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comments8.xml" ContentType="application/vnd.openxmlformats-officedocument.spreadsheetml.comment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omments6.xml" ContentType="application/vnd.openxmlformats-officedocument.spreadsheetml.comments+xml"/>
  <Override PartName="/xl/comments7.xml" ContentType="application/vnd.openxmlformats-officedocument.spreadsheetml.comment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charts/chart1.xml" ContentType="application/vnd.openxmlformats-officedocument.drawingml.chart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worksheets/sheet19.xml" ContentType="application/vnd.openxmlformats-officedocument.spreadsheetml.worksheet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omments10.xml" ContentType="application/vnd.openxmlformats-officedocument.spreadsheetml.comments+xml"/>
  <Override PartName="/xl/charts/chart8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worksheets/sheet14.xml" ContentType="application/vnd.openxmlformats-officedocument.spreadsheetml.worksheet+xml"/>
  <Override PartName="/xl/charts/chart5.xml" ContentType="application/vnd.openxmlformats-officedocument.drawingml.chart+xml"/>
  <Override PartName="/xl/comments9.xml" ContentType="application/vnd.openxmlformats-officedocument.spreadsheetml.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9585" yWindow="-15" windowWidth="4800" windowHeight="9465" firstSheet="13" activeTab="15"/>
  </bookViews>
  <sheets>
    <sheet name="HASIL PROD" sheetId="9" r:id="rId1"/>
    <sheet name="Actual VS SAP" sheetId="16" r:id="rId2"/>
    <sheet name="RIJECT COOKING" sheetId="17" r:id="rId3"/>
    <sheet name="DAILY OKEY AYAM" sheetId="7" r:id="rId4"/>
    <sheet name="DAILY CHAMP AYAM" sheetId="1" r:id="rId5"/>
    <sheet name="DAILY CHAMP SAPI" sheetId="4" r:id="rId6"/>
    <sheet name="DAILY CHAMP OTAK-OTAK" sheetId="11" r:id="rId7"/>
    <sheet name="DAILY FIESTA" sheetId="14" r:id="rId8"/>
    <sheet name="BSTB" sheetId="3" r:id="rId9"/>
    <sheet name="REKAPAN OKEY AYAM" sheetId="8" r:id="rId10"/>
    <sheet name="REKAPAN CHAMP AYAM" sheetId="2" r:id="rId11"/>
    <sheet name="REKAPAN CHAMP SAPI" sheetId="6" r:id="rId12"/>
    <sheet name="REKAPAN CHAMP OTAK-OTAK" sheetId="12" r:id="rId13"/>
    <sheet name="REKAPAN FIESTA" sheetId="15" r:id="rId14"/>
    <sheet name="ALL SORTASI" sheetId="5" r:id="rId15"/>
    <sheet name="DAILY FILLER OKEY" sheetId="22" r:id="rId16"/>
    <sheet name="DAILY FILLER C. AYAM" sheetId="29" r:id="rId17"/>
    <sheet name="DAILY FILLER C. SAPI" sheetId="30" r:id="rId18"/>
    <sheet name="SUMMARY FILLER" sheetId="31" r:id="rId19"/>
    <sheet name="Sheet2" sheetId="28" r:id="rId20"/>
    <sheet name="STD DRY" sheetId="10" r:id="rId21"/>
  </sheets>
  <externalReferences>
    <externalReference r:id="rId22"/>
    <externalReference r:id="rId23"/>
    <externalReference r:id="rId24"/>
    <externalReference r:id="rId25"/>
    <externalReference r:id="rId26"/>
  </externalReferences>
  <definedNames>
    <definedName name="_xlnm.Print_Area" localSheetId="4">'DAILY CHAMP AYAM'!$A$5:$AC$29</definedName>
    <definedName name="_xlnm.Print_Area" localSheetId="6">'DAILY CHAMP OTAK-OTAK'!$A$1:$M$97</definedName>
    <definedName name="_xlnm.Print_Area" localSheetId="5">'DAILY CHAMP SAPI'!$A$1:$N$98</definedName>
    <definedName name="_xlnm.Print_Area" localSheetId="7">'DAILY FIESTA'!$A$1:$M$97</definedName>
    <definedName name="_xlnm.Print_Area" localSheetId="3">'DAILY OKEY AYAM'!$A$1:$N$132</definedName>
    <definedName name="_xlnm.Print_Area" localSheetId="0">'HASIL PROD'!$A$2:$D$346</definedName>
  </definedNames>
  <calcPr calcId="124519"/>
  <fileRecoveryPr autoRecover="0"/>
</workbook>
</file>

<file path=xl/calcChain.xml><?xml version="1.0" encoding="utf-8"?>
<calcChain xmlns="http://schemas.openxmlformats.org/spreadsheetml/2006/main">
  <c r="D119" i="7"/>
  <c r="D107"/>
  <c r="J108"/>
  <c r="J105"/>
  <c r="E50" i="3"/>
  <c r="E49"/>
  <c r="E120" i="7"/>
  <c r="E47" i="3"/>
  <c r="E48"/>
  <c r="E46"/>
  <c r="E10" i="7"/>
  <c r="E44" i="3"/>
  <c r="E42"/>
  <c r="E41"/>
  <c r="E96" i="7"/>
  <c r="E88"/>
  <c r="F4" i="22"/>
  <c r="C4" i="30"/>
  <c r="D4" s="1"/>
  <c r="G4"/>
  <c r="I4"/>
  <c r="K4"/>
  <c r="M4"/>
  <c r="O4"/>
  <c r="Q4"/>
  <c r="C5"/>
  <c r="D5"/>
  <c r="E5" s="1"/>
  <c r="F5"/>
  <c r="G5"/>
  <c r="H5"/>
  <c r="I5"/>
  <c r="J5"/>
  <c r="K5"/>
  <c r="L5"/>
  <c r="M5"/>
  <c r="N5"/>
  <c r="O5"/>
  <c r="P5"/>
  <c r="Q5"/>
  <c r="C6"/>
  <c r="D6"/>
  <c r="E6" s="1"/>
  <c r="F6"/>
  <c r="G6"/>
  <c r="H6"/>
  <c r="I6"/>
  <c r="J6"/>
  <c r="K6"/>
  <c r="L6"/>
  <c r="M6"/>
  <c r="N6"/>
  <c r="O6"/>
  <c r="P6"/>
  <c r="Q6"/>
  <c r="C7"/>
  <c r="D7"/>
  <c r="E7" s="1"/>
  <c r="F7"/>
  <c r="G7"/>
  <c r="H7"/>
  <c r="I7"/>
  <c r="J7"/>
  <c r="K7"/>
  <c r="L7"/>
  <c r="M7"/>
  <c r="N7"/>
  <c r="O7"/>
  <c r="P7"/>
  <c r="Q7"/>
  <c r="C8"/>
  <c r="D8"/>
  <c r="E8" s="1"/>
  <c r="F8"/>
  <c r="G8"/>
  <c r="H8"/>
  <c r="I8"/>
  <c r="J8"/>
  <c r="K8"/>
  <c r="L8"/>
  <c r="M8"/>
  <c r="N8"/>
  <c r="O8"/>
  <c r="P8"/>
  <c r="Q8"/>
  <c r="C9"/>
  <c r="D9"/>
  <c r="E9" s="1"/>
  <c r="F9"/>
  <c r="G9"/>
  <c r="H9"/>
  <c r="I9"/>
  <c r="J9"/>
  <c r="K9"/>
  <c r="L9"/>
  <c r="M9"/>
  <c r="N9"/>
  <c r="O9"/>
  <c r="P9"/>
  <c r="Q9"/>
  <c r="C10"/>
  <c r="D10"/>
  <c r="E10" s="1"/>
  <c r="F10"/>
  <c r="G10"/>
  <c r="H10"/>
  <c r="I10"/>
  <c r="J10"/>
  <c r="K10"/>
  <c r="L10"/>
  <c r="M10"/>
  <c r="N10"/>
  <c r="O10"/>
  <c r="P10"/>
  <c r="Q10"/>
  <c r="C11"/>
  <c r="D11"/>
  <c r="E11" s="1"/>
  <c r="F11"/>
  <c r="G11"/>
  <c r="H11"/>
  <c r="I11"/>
  <c r="J11"/>
  <c r="K11"/>
  <c r="L11"/>
  <c r="M11"/>
  <c r="N11"/>
  <c r="O11"/>
  <c r="P11"/>
  <c r="Q11"/>
  <c r="C12"/>
  <c r="D12"/>
  <c r="E12" s="1"/>
  <c r="F12"/>
  <c r="G12"/>
  <c r="H12"/>
  <c r="I12"/>
  <c r="J12"/>
  <c r="K12"/>
  <c r="L12"/>
  <c r="M12"/>
  <c r="N12"/>
  <c r="O12"/>
  <c r="P12"/>
  <c r="Q12"/>
  <c r="C13"/>
  <c r="D13"/>
  <c r="F13"/>
  <c r="G13"/>
  <c r="H13"/>
  <c r="I13"/>
  <c r="J13"/>
  <c r="K13"/>
  <c r="L13"/>
  <c r="M13"/>
  <c r="M15" s="1"/>
  <c r="N13"/>
  <c r="O13"/>
  <c r="P13"/>
  <c r="Q13"/>
  <c r="C17"/>
  <c r="D17" s="1"/>
  <c r="G17"/>
  <c r="I17"/>
  <c r="K17"/>
  <c r="M17"/>
  <c r="O17"/>
  <c r="Q17"/>
  <c r="C18"/>
  <c r="D18"/>
  <c r="E18" s="1"/>
  <c r="F18"/>
  <c r="G18"/>
  <c r="H18"/>
  <c r="I18"/>
  <c r="J18"/>
  <c r="K18"/>
  <c r="L18"/>
  <c r="M18"/>
  <c r="N18"/>
  <c r="O18"/>
  <c r="P18"/>
  <c r="Q18"/>
  <c r="C19"/>
  <c r="D19" s="1"/>
  <c r="E19" s="1"/>
  <c r="G19"/>
  <c r="I19"/>
  <c r="K19"/>
  <c r="M19"/>
  <c r="O19"/>
  <c r="Q19"/>
  <c r="C20"/>
  <c r="D20"/>
  <c r="E20" s="1"/>
  <c r="F20"/>
  <c r="G20"/>
  <c r="H20"/>
  <c r="I20"/>
  <c r="J20"/>
  <c r="K20"/>
  <c r="L20"/>
  <c r="M20"/>
  <c r="N20"/>
  <c r="O20"/>
  <c r="P20"/>
  <c r="Q20"/>
  <c r="C21"/>
  <c r="D21" s="1"/>
  <c r="E21" s="1"/>
  <c r="G21"/>
  <c r="I21"/>
  <c r="K21"/>
  <c r="M21"/>
  <c r="O21"/>
  <c r="Q21"/>
  <c r="C22"/>
  <c r="D22"/>
  <c r="E22" s="1"/>
  <c r="F22"/>
  <c r="G22"/>
  <c r="H22"/>
  <c r="I22"/>
  <c r="J22"/>
  <c r="K22"/>
  <c r="L22"/>
  <c r="M22"/>
  <c r="N22"/>
  <c r="O22"/>
  <c r="P22"/>
  <c r="Q22"/>
  <c r="C23"/>
  <c r="D23" s="1"/>
  <c r="E23" s="1"/>
  <c r="G23"/>
  <c r="I23"/>
  <c r="K23"/>
  <c r="M23"/>
  <c r="O23"/>
  <c r="Q23"/>
  <c r="C24"/>
  <c r="D24"/>
  <c r="E24" s="1"/>
  <c r="F24"/>
  <c r="G24"/>
  <c r="H24"/>
  <c r="I24"/>
  <c r="J24"/>
  <c r="K24"/>
  <c r="L24"/>
  <c r="M24"/>
  <c r="N24"/>
  <c r="O24"/>
  <c r="P24"/>
  <c r="Q24"/>
  <c r="C25"/>
  <c r="D25" s="1"/>
  <c r="E25" s="1"/>
  <c r="G25"/>
  <c r="I25"/>
  <c r="K25"/>
  <c r="M25"/>
  <c r="O25"/>
  <c r="Q25"/>
  <c r="C26"/>
  <c r="D26"/>
  <c r="E26" s="1"/>
  <c r="F26"/>
  <c r="G26"/>
  <c r="H26"/>
  <c r="I26"/>
  <c r="J26"/>
  <c r="K26"/>
  <c r="L26"/>
  <c r="M26"/>
  <c r="N26"/>
  <c r="O26"/>
  <c r="P26"/>
  <c r="Q26"/>
  <c r="D93" i="7"/>
  <c r="J14" i="4"/>
  <c r="J14" i="1"/>
  <c r="J20"/>
  <c r="J82" i="7"/>
  <c r="J74"/>
  <c r="J52"/>
  <c r="J53"/>
  <c r="J62"/>
  <c r="J92"/>
  <c r="S346" i="9"/>
  <c r="N346"/>
  <c r="I346"/>
  <c r="I15" i="30" l="1"/>
  <c r="Q15"/>
  <c r="O15"/>
  <c r="K15"/>
  <c r="R5"/>
  <c r="U5" s="1"/>
  <c r="R8"/>
  <c r="U8" s="1"/>
  <c r="R6"/>
  <c r="U6" s="1"/>
  <c r="R24"/>
  <c r="S24" s="1"/>
  <c r="R20"/>
  <c r="S20" s="1"/>
  <c r="R9"/>
  <c r="U9" s="1"/>
  <c r="R26"/>
  <c r="S26" s="1"/>
  <c r="R22"/>
  <c r="R18"/>
  <c r="S18" s="1"/>
  <c r="R7"/>
  <c r="U7" s="1"/>
  <c r="R12"/>
  <c r="U12" s="1"/>
  <c r="R11"/>
  <c r="U11" s="1"/>
  <c r="R10"/>
  <c r="U10" s="1"/>
  <c r="O28"/>
  <c r="O29" s="1"/>
  <c r="K28"/>
  <c r="G28"/>
  <c r="G29" s="1"/>
  <c r="R13"/>
  <c r="U13" s="1"/>
  <c r="Q28"/>
  <c r="Q32" s="1"/>
  <c r="M28"/>
  <c r="M29" s="1"/>
  <c r="I28"/>
  <c r="M32"/>
  <c r="E4"/>
  <c r="E15" s="1"/>
  <c r="E32" s="1"/>
  <c r="D15"/>
  <c r="S22"/>
  <c r="E17"/>
  <c r="E28" s="1"/>
  <c r="D28"/>
  <c r="S10"/>
  <c r="P25"/>
  <c r="N25"/>
  <c r="L25"/>
  <c r="J25"/>
  <c r="H25"/>
  <c r="F25"/>
  <c r="P23"/>
  <c r="N23"/>
  <c r="L23"/>
  <c r="J23"/>
  <c r="H23"/>
  <c r="F23"/>
  <c r="P21"/>
  <c r="N21"/>
  <c r="L21"/>
  <c r="J21"/>
  <c r="H21"/>
  <c r="F21"/>
  <c r="P19"/>
  <c r="N19"/>
  <c r="L19"/>
  <c r="J19"/>
  <c r="H19"/>
  <c r="F19"/>
  <c r="P17"/>
  <c r="N17"/>
  <c r="L17"/>
  <c r="J17"/>
  <c r="H17"/>
  <c r="H28" s="1"/>
  <c r="H29" s="1"/>
  <c r="F17"/>
  <c r="G15"/>
  <c r="P4"/>
  <c r="P15" s="1"/>
  <c r="N4"/>
  <c r="N15" s="1"/>
  <c r="L4"/>
  <c r="L15" s="1"/>
  <c r="J4"/>
  <c r="J15" s="1"/>
  <c r="H4"/>
  <c r="H15" s="1"/>
  <c r="F4"/>
  <c r="J28" l="1"/>
  <c r="J29" s="1"/>
  <c r="I32"/>
  <c r="N28"/>
  <c r="N29" s="1"/>
  <c r="P28"/>
  <c r="P29" s="1"/>
  <c r="L28"/>
  <c r="L29" s="1"/>
  <c r="S5"/>
  <c r="K32"/>
  <c r="S8"/>
  <c r="S12"/>
  <c r="S13"/>
  <c r="O32"/>
  <c r="S7"/>
  <c r="S9"/>
  <c r="S11"/>
  <c r="I29"/>
  <c r="Q29"/>
  <c r="S6"/>
  <c r="R19"/>
  <c r="S19" s="1"/>
  <c r="K29"/>
  <c r="R4"/>
  <c r="F15"/>
  <c r="J16"/>
  <c r="J32"/>
  <c r="N16"/>
  <c r="N32"/>
  <c r="G16"/>
  <c r="G32"/>
  <c r="I16"/>
  <c r="K16"/>
  <c r="M16"/>
  <c r="O16"/>
  <c r="Q16"/>
  <c r="H16"/>
  <c r="H32"/>
  <c r="H33" s="1"/>
  <c r="L16"/>
  <c r="P16"/>
  <c r="R17"/>
  <c r="F28"/>
  <c r="F29" s="1"/>
  <c r="R21"/>
  <c r="R23"/>
  <c r="S23" s="1"/>
  <c r="R25"/>
  <c r="S25" s="1"/>
  <c r="I33"/>
  <c r="M33"/>
  <c r="Q33"/>
  <c r="K33" l="1"/>
  <c r="P32"/>
  <c r="L32"/>
  <c r="O33"/>
  <c r="G33"/>
  <c r="N33"/>
  <c r="J33"/>
  <c r="U4"/>
  <c r="V4" s="1"/>
  <c r="S4"/>
  <c r="R15"/>
  <c r="R16" s="1"/>
  <c r="U21"/>
  <c r="V21" s="1"/>
  <c r="S21"/>
  <c r="U17"/>
  <c r="V17" s="1"/>
  <c r="S17"/>
  <c r="R28"/>
  <c r="R29" s="1"/>
  <c r="F16"/>
  <c r="F32"/>
  <c r="L33" l="1"/>
  <c r="P33"/>
  <c r="R32"/>
  <c r="F33"/>
  <c r="AD3"/>
  <c r="AF3"/>
  <c r="AH3"/>
  <c r="AJ3"/>
  <c r="AC3"/>
  <c r="AE3"/>
  <c r="AG3"/>
  <c r="AI3"/>
  <c r="R33" l="1"/>
  <c r="F11" i="31"/>
  <c r="F8"/>
  <c r="F7"/>
  <c r="F10"/>
  <c r="C10"/>
  <c r="C7"/>
  <c r="C4"/>
  <c r="C13" s="1"/>
  <c r="H111" i="29"/>
  <c r="H110"/>
  <c r="E110"/>
  <c r="E175" i="22"/>
  <c r="Q31" i="17"/>
  <c r="N31"/>
  <c r="G31"/>
  <c r="O31"/>
  <c r="M31"/>
  <c r="L31"/>
  <c r="K31"/>
  <c r="H31"/>
  <c r="F31"/>
  <c r="B31"/>
  <c r="Q30"/>
  <c r="O30"/>
  <c r="N30"/>
  <c r="K30"/>
  <c r="H30"/>
  <c r="G30"/>
  <c r="B30"/>
  <c r="D85" i="7"/>
  <c r="C161" i="22" l="1"/>
  <c r="C162"/>
  <c r="C163"/>
  <c r="C164"/>
  <c r="C165"/>
  <c r="C166"/>
  <c r="C167"/>
  <c r="C168"/>
  <c r="C169"/>
  <c r="C160"/>
  <c r="P160" s="1"/>
  <c r="P169"/>
  <c r="N169"/>
  <c r="L169"/>
  <c r="J169"/>
  <c r="H169"/>
  <c r="F169"/>
  <c r="D169"/>
  <c r="E169" s="1"/>
  <c r="Q169"/>
  <c r="P168"/>
  <c r="P167"/>
  <c r="N167"/>
  <c r="L167"/>
  <c r="J167"/>
  <c r="H167"/>
  <c r="F167"/>
  <c r="D167"/>
  <c r="E167" s="1"/>
  <c r="Q167"/>
  <c r="Q166"/>
  <c r="P165"/>
  <c r="N165"/>
  <c r="L165"/>
  <c r="J165"/>
  <c r="H165"/>
  <c r="F165"/>
  <c r="D165"/>
  <c r="E165" s="1"/>
  <c r="Q165"/>
  <c r="Q164"/>
  <c r="P163"/>
  <c r="N163"/>
  <c r="L163"/>
  <c r="J163"/>
  <c r="H163"/>
  <c r="F163"/>
  <c r="D163"/>
  <c r="E163" s="1"/>
  <c r="Q163"/>
  <c r="P162"/>
  <c r="P161"/>
  <c r="N161"/>
  <c r="L161"/>
  <c r="J161"/>
  <c r="H161"/>
  <c r="F161"/>
  <c r="D161"/>
  <c r="E161" s="1"/>
  <c r="Q161"/>
  <c r="G160" l="1"/>
  <c r="I160"/>
  <c r="K160"/>
  <c r="M160"/>
  <c r="O160"/>
  <c r="Q160"/>
  <c r="G162"/>
  <c r="I162"/>
  <c r="K162"/>
  <c r="M162"/>
  <c r="O162"/>
  <c r="Q162"/>
  <c r="G168"/>
  <c r="I168"/>
  <c r="K168"/>
  <c r="M168"/>
  <c r="O168"/>
  <c r="Q168"/>
  <c r="D160"/>
  <c r="F160"/>
  <c r="H160"/>
  <c r="J160"/>
  <c r="L160"/>
  <c r="N160"/>
  <c r="G161"/>
  <c r="I161"/>
  <c r="K161"/>
  <c r="M161"/>
  <c r="O161"/>
  <c r="D162"/>
  <c r="E162" s="1"/>
  <c r="F162"/>
  <c r="H162"/>
  <c r="J162"/>
  <c r="L162"/>
  <c r="N162"/>
  <c r="G163"/>
  <c r="I163"/>
  <c r="K163"/>
  <c r="M163"/>
  <c r="O163"/>
  <c r="D164"/>
  <c r="E164" s="1"/>
  <c r="F164"/>
  <c r="H164"/>
  <c r="J164"/>
  <c r="L164"/>
  <c r="N164"/>
  <c r="P164"/>
  <c r="G165"/>
  <c r="I165"/>
  <c r="K165"/>
  <c r="M165"/>
  <c r="O165"/>
  <c r="D166"/>
  <c r="E166" s="1"/>
  <c r="F166"/>
  <c r="H166"/>
  <c r="J166"/>
  <c r="L166"/>
  <c r="N166"/>
  <c r="P166"/>
  <c r="G167"/>
  <c r="I167"/>
  <c r="K167"/>
  <c r="M167"/>
  <c r="O167"/>
  <c r="D168"/>
  <c r="E168" s="1"/>
  <c r="F168"/>
  <c r="H168"/>
  <c r="J168"/>
  <c r="L168"/>
  <c r="N168"/>
  <c r="G169"/>
  <c r="I169"/>
  <c r="K169"/>
  <c r="M169"/>
  <c r="O169"/>
  <c r="G164"/>
  <c r="I164"/>
  <c r="K164"/>
  <c r="M164"/>
  <c r="O164"/>
  <c r="G166"/>
  <c r="I166"/>
  <c r="K166"/>
  <c r="M166"/>
  <c r="O166"/>
  <c r="M30" i="17"/>
  <c r="L30"/>
  <c r="J30"/>
  <c r="F30"/>
  <c r="E30"/>
  <c r="D30"/>
  <c r="Q29"/>
  <c r="O29"/>
  <c r="M29"/>
  <c r="L29"/>
  <c r="K29"/>
  <c r="J29"/>
  <c r="H29"/>
  <c r="G29"/>
  <c r="E29"/>
  <c r="D29"/>
  <c r="B29"/>
  <c r="C148" i="22"/>
  <c r="C149"/>
  <c r="C150"/>
  <c r="C151"/>
  <c r="C152"/>
  <c r="C153"/>
  <c r="C154"/>
  <c r="C155"/>
  <c r="C156"/>
  <c r="C147"/>
  <c r="Q147" s="1"/>
  <c r="P156"/>
  <c r="N156"/>
  <c r="L156"/>
  <c r="J156"/>
  <c r="H156"/>
  <c r="F156"/>
  <c r="D156"/>
  <c r="E156" s="1"/>
  <c r="Q156"/>
  <c r="P155"/>
  <c r="P154"/>
  <c r="N154"/>
  <c r="L154"/>
  <c r="J154"/>
  <c r="H154"/>
  <c r="F154"/>
  <c r="D154"/>
  <c r="E154" s="1"/>
  <c r="Q154"/>
  <c r="Q153"/>
  <c r="P152"/>
  <c r="N152"/>
  <c r="L152"/>
  <c r="J152"/>
  <c r="H152"/>
  <c r="F152"/>
  <c r="D152"/>
  <c r="E152" s="1"/>
  <c r="Q152"/>
  <c r="Q151"/>
  <c r="P150"/>
  <c r="N150"/>
  <c r="L150"/>
  <c r="J150"/>
  <c r="H150"/>
  <c r="F150"/>
  <c r="D150"/>
  <c r="E150" s="1"/>
  <c r="Q150"/>
  <c r="P149"/>
  <c r="P148"/>
  <c r="N148"/>
  <c r="L148"/>
  <c r="J148"/>
  <c r="H148"/>
  <c r="F148"/>
  <c r="D148"/>
  <c r="E148" s="1"/>
  <c r="Q148"/>
  <c r="R169" l="1"/>
  <c r="S169" s="1"/>
  <c r="P171"/>
  <c r="R161"/>
  <c r="S161" s="1"/>
  <c r="R167"/>
  <c r="S167" s="1"/>
  <c r="R165"/>
  <c r="S165" s="1"/>
  <c r="R163"/>
  <c r="U169"/>
  <c r="D171"/>
  <c r="E160"/>
  <c r="E171" s="1"/>
  <c r="R162"/>
  <c r="S162" s="1"/>
  <c r="L171"/>
  <c r="L172" s="1"/>
  <c r="H171"/>
  <c r="O171"/>
  <c r="O172" s="1"/>
  <c r="K171"/>
  <c r="G171"/>
  <c r="G172" s="1"/>
  <c r="F171"/>
  <c r="F172" s="1"/>
  <c r="R160"/>
  <c r="R168"/>
  <c r="S168" s="1"/>
  <c r="R166"/>
  <c r="S166" s="1"/>
  <c r="R164"/>
  <c r="N171"/>
  <c r="N172" s="1"/>
  <c r="J171"/>
  <c r="Q171"/>
  <c r="Q172" s="1"/>
  <c r="M171"/>
  <c r="I171"/>
  <c r="I172" s="1"/>
  <c r="G149"/>
  <c r="I149"/>
  <c r="K149"/>
  <c r="M149"/>
  <c r="O149"/>
  <c r="Q149"/>
  <c r="G155"/>
  <c r="I155"/>
  <c r="K155"/>
  <c r="M155"/>
  <c r="O155"/>
  <c r="Q155"/>
  <c r="D147"/>
  <c r="F147"/>
  <c r="H147"/>
  <c r="J147"/>
  <c r="L147"/>
  <c r="N147"/>
  <c r="P147"/>
  <c r="G148"/>
  <c r="I148"/>
  <c r="K148"/>
  <c r="M148"/>
  <c r="O148"/>
  <c r="D149"/>
  <c r="E149" s="1"/>
  <c r="F149"/>
  <c r="H149"/>
  <c r="J149"/>
  <c r="L149"/>
  <c r="N149"/>
  <c r="G150"/>
  <c r="I150"/>
  <c r="K150"/>
  <c r="M150"/>
  <c r="O150"/>
  <c r="D151"/>
  <c r="E151" s="1"/>
  <c r="F151"/>
  <c r="H151"/>
  <c r="J151"/>
  <c r="L151"/>
  <c r="N151"/>
  <c r="P151"/>
  <c r="G152"/>
  <c r="I152"/>
  <c r="K152"/>
  <c r="M152"/>
  <c r="O152"/>
  <c r="D153"/>
  <c r="E153" s="1"/>
  <c r="F153"/>
  <c r="H153"/>
  <c r="J153"/>
  <c r="L153"/>
  <c r="N153"/>
  <c r="P153"/>
  <c r="G154"/>
  <c r="I154"/>
  <c r="K154"/>
  <c r="M154"/>
  <c r="O154"/>
  <c r="D155"/>
  <c r="E155" s="1"/>
  <c r="F155"/>
  <c r="H155"/>
  <c r="J155"/>
  <c r="L155"/>
  <c r="N155"/>
  <c r="G156"/>
  <c r="I156"/>
  <c r="K156"/>
  <c r="M156"/>
  <c r="O156"/>
  <c r="G147"/>
  <c r="I147"/>
  <c r="K147"/>
  <c r="M147"/>
  <c r="O147"/>
  <c r="G151"/>
  <c r="I151"/>
  <c r="K151"/>
  <c r="M151"/>
  <c r="O151"/>
  <c r="G153"/>
  <c r="I153"/>
  <c r="K153"/>
  <c r="M153"/>
  <c r="O153"/>
  <c r="E39" i="3"/>
  <c r="C135" i="22"/>
  <c r="C136"/>
  <c r="C137"/>
  <c r="C138"/>
  <c r="C139"/>
  <c r="C140"/>
  <c r="C141"/>
  <c r="C142"/>
  <c r="C143"/>
  <c r="C134"/>
  <c r="Q134" s="1"/>
  <c r="P143"/>
  <c r="N143"/>
  <c r="L143"/>
  <c r="J143"/>
  <c r="H143"/>
  <c r="F143"/>
  <c r="D143"/>
  <c r="E143" s="1"/>
  <c r="Q143"/>
  <c r="Q142"/>
  <c r="P141"/>
  <c r="N141"/>
  <c r="L141"/>
  <c r="J141"/>
  <c r="H141"/>
  <c r="F141"/>
  <c r="D141"/>
  <c r="E141" s="1"/>
  <c r="Q141"/>
  <c r="Q140"/>
  <c r="P139"/>
  <c r="N139"/>
  <c r="L139"/>
  <c r="J139"/>
  <c r="H139"/>
  <c r="F139"/>
  <c r="D139"/>
  <c r="E139" s="1"/>
  <c r="Q139"/>
  <c r="Q138"/>
  <c r="P137"/>
  <c r="N137"/>
  <c r="L137"/>
  <c r="J137"/>
  <c r="H137"/>
  <c r="F137"/>
  <c r="D137"/>
  <c r="E137" s="1"/>
  <c r="Q137"/>
  <c r="Q136"/>
  <c r="P135"/>
  <c r="N135"/>
  <c r="L135"/>
  <c r="J135"/>
  <c r="H135"/>
  <c r="F135"/>
  <c r="D135"/>
  <c r="E135" s="1"/>
  <c r="Q135"/>
  <c r="Q28" i="17"/>
  <c r="G28"/>
  <c r="D28"/>
  <c r="B28"/>
  <c r="E38" i="3"/>
  <c r="E77" i="7"/>
  <c r="D74"/>
  <c r="D73"/>
  <c r="D30" i="16"/>
  <c r="D29"/>
  <c r="C256" i="9"/>
  <c r="D256" s="1"/>
  <c r="S163" i="22" l="1"/>
  <c r="U163"/>
  <c r="V163" s="1"/>
  <c r="U160"/>
  <c r="V160" s="1"/>
  <c r="P172"/>
  <c r="M172"/>
  <c r="J172"/>
  <c r="K172"/>
  <c r="H172"/>
  <c r="R171"/>
  <c r="R172" s="1"/>
  <c r="S160"/>
  <c r="S164"/>
  <c r="R154"/>
  <c r="S154" s="1"/>
  <c r="R152"/>
  <c r="S152" s="1"/>
  <c r="R150"/>
  <c r="S150" s="1"/>
  <c r="R156"/>
  <c r="U156" s="1"/>
  <c r="R148"/>
  <c r="S148" s="1"/>
  <c r="Q158"/>
  <c r="E147"/>
  <c r="E158" s="1"/>
  <c r="D158"/>
  <c r="O158"/>
  <c r="O159" s="1"/>
  <c r="K158"/>
  <c r="G158"/>
  <c r="G159" s="1"/>
  <c r="R155"/>
  <c r="R153"/>
  <c r="S153" s="1"/>
  <c r="R151"/>
  <c r="P158"/>
  <c r="P159" s="1"/>
  <c r="L158"/>
  <c r="H158"/>
  <c r="H159" s="1"/>
  <c r="F158"/>
  <c r="R147"/>
  <c r="M158"/>
  <c r="I158"/>
  <c r="I159" s="1"/>
  <c r="R149"/>
  <c r="S149" s="1"/>
  <c r="N158"/>
  <c r="N159" s="1"/>
  <c r="J158"/>
  <c r="Q145"/>
  <c r="D134"/>
  <c r="F134"/>
  <c r="H134"/>
  <c r="J134"/>
  <c r="L134"/>
  <c r="N134"/>
  <c r="P134"/>
  <c r="G135"/>
  <c r="I135"/>
  <c r="K135"/>
  <c r="M135"/>
  <c r="O135"/>
  <c r="D136"/>
  <c r="E136" s="1"/>
  <c r="F136"/>
  <c r="H136"/>
  <c r="J136"/>
  <c r="L136"/>
  <c r="N136"/>
  <c r="P136"/>
  <c r="G137"/>
  <c r="I137"/>
  <c r="K137"/>
  <c r="M137"/>
  <c r="O137"/>
  <c r="D138"/>
  <c r="E138" s="1"/>
  <c r="F138"/>
  <c r="H138"/>
  <c r="J138"/>
  <c r="L138"/>
  <c r="N138"/>
  <c r="P138"/>
  <c r="G139"/>
  <c r="I139"/>
  <c r="K139"/>
  <c r="M139"/>
  <c r="O139"/>
  <c r="D140"/>
  <c r="E140" s="1"/>
  <c r="F140"/>
  <c r="H140"/>
  <c r="J140"/>
  <c r="L140"/>
  <c r="N140"/>
  <c r="P140"/>
  <c r="G141"/>
  <c r="I141"/>
  <c r="K141"/>
  <c r="M141"/>
  <c r="O141"/>
  <c r="D142"/>
  <c r="E142" s="1"/>
  <c r="F142"/>
  <c r="H142"/>
  <c r="J142"/>
  <c r="L142"/>
  <c r="N142"/>
  <c r="P142"/>
  <c r="G143"/>
  <c r="I143"/>
  <c r="K143"/>
  <c r="M143"/>
  <c r="O143"/>
  <c r="G134"/>
  <c r="I134"/>
  <c r="K134"/>
  <c r="M134"/>
  <c r="O134"/>
  <c r="G136"/>
  <c r="I136"/>
  <c r="K136"/>
  <c r="M136"/>
  <c r="O136"/>
  <c r="G138"/>
  <c r="I138"/>
  <c r="K138"/>
  <c r="M138"/>
  <c r="O138"/>
  <c r="G140"/>
  <c r="I140"/>
  <c r="K140"/>
  <c r="M140"/>
  <c r="O140"/>
  <c r="G142"/>
  <c r="I142"/>
  <c r="K142"/>
  <c r="M142"/>
  <c r="O142"/>
  <c r="S155" l="1"/>
  <c r="U155"/>
  <c r="V155" s="1"/>
  <c r="U151"/>
  <c r="V151" s="1"/>
  <c r="J159"/>
  <c r="M159"/>
  <c r="F159"/>
  <c r="L159"/>
  <c r="K159"/>
  <c r="Q159"/>
  <c r="S156"/>
  <c r="U147"/>
  <c r="V147" s="1"/>
  <c r="S151"/>
  <c r="R158"/>
  <c r="R159" s="1"/>
  <c r="S147"/>
  <c r="R143"/>
  <c r="R141"/>
  <c r="S141" s="1"/>
  <c r="R139"/>
  <c r="S139" s="1"/>
  <c r="R137"/>
  <c r="S137" s="1"/>
  <c r="R135"/>
  <c r="S135" s="1"/>
  <c r="D145"/>
  <c r="E134"/>
  <c r="E145" s="1"/>
  <c r="Q146" s="1"/>
  <c r="O145"/>
  <c r="K145"/>
  <c r="K146" s="1"/>
  <c r="G145"/>
  <c r="P145"/>
  <c r="P146" s="1"/>
  <c r="L145"/>
  <c r="L146" s="1"/>
  <c r="H145"/>
  <c r="H146" s="1"/>
  <c r="F145"/>
  <c r="F146" s="1"/>
  <c r="R134"/>
  <c r="M145"/>
  <c r="M146" s="1"/>
  <c r="I145"/>
  <c r="I146" s="1"/>
  <c r="R142"/>
  <c r="S142" s="1"/>
  <c r="R140"/>
  <c r="S140" s="1"/>
  <c r="R138"/>
  <c r="S138" s="1"/>
  <c r="R136"/>
  <c r="S136" s="1"/>
  <c r="N145"/>
  <c r="N146" s="1"/>
  <c r="J145"/>
  <c r="J146" s="1"/>
  <c r="G146" l="1"/>
  <c r="O146"/>
  <c r="S143"/>
  <c r="U143"/>
  <c r="V143" s="1"/>
  <c r="U137"/>
  <c r="V137" s="1"/>
  <c r="U134"/>
  <c r="V134" s="1"/>
  <c r="R145"/>
  <c r="R146" s="1"/>
  <c r="S134"/>
  <c r="Q27" i="17" l="1"/>
  <c r="O28"/>
  <c r="N28"/>
  <c r="L28"/>
  <c r="K28"/>
  <c r="J28"/>
  <c r="H28"/>
  <c r="D57" i="1"/>
  <c r="D10" i="4"/>
  <c r="D13"/>
  <c r="D58" i="1"/>
  <c r="D66" i="7"/>
  <c r="E28" i="17"/>
  <c r="N27" l="1"/>
  <c r="M27"/>
  <c r="K27"/>
  <c r="J27"/>
  <c r="H27"/>
  <c r="E27"/>
  <c r="B27"/>
  <c r="C122" i="22"/>
  <c r="C123"/>
  <c r="C124"/>
  <c r="C125"/>
  <c r="P125" s="1"/>
  <c r="C126"/>
  <c r="C127"/>
  <c r="C128"/>
  <c r="C129"/>
  <c r="Q129" s="1"/>
  <c r="C130"/>
  <c r="C121"/>
  <c r="P121" s="1"/>
  <c r="P130"/>
  <c r="N130"/>
  <c r="L130"/>
  <c r="J130"/>
  <c r="H130"/>
  <c r="F130"/>
  <c r="D130"/>
  <c r="E130" s="1"/>
  <c r="Q130"/>
  <c r="P128"/>
  <c r="N128"/>
  <c r="L128"/>
  <c r="J128"/>
  <c r="H128"/>
  <c r="F128"/>
  <c r="D128"/>
  <c r="E128" s="1"/>
  <c r="Q128"/>
  <c r="Q127"/>
  <c r="P126"/>
  <c r="N126"/>
  <c r="L126"/>
  <c r="J126"/>
  <c r="H126"/>
  <c r="F126"/>
  <c r="D126"/>
  <c r="E126" s="1"/>
  <c r="Q126"/>
  <c r="P124"/>
  <c r="N124"/>
  <c r="L124"/>
  <c r="J124"/>
  <c r="H124"/>
  <c r="F124"/>
  <c r="D124"/>
  <c r="E124" s="1"/>
  <c r="Q124"/>
  <c r="P123"/>
  <c r="P122"/>
  <c r="N122"/>
  <c r="L122"/>
  <c r="J122"/>
  <c r="H122"/>
  <c r="F122"/>
  <c r="D122"/>
  <c r="E122" s="1"/>
  <c r="Q122"/>
  <c r="E35" i="3"/>
  <c r="G34"/>
  <c r="L27" i="17"/>
  <c r="G27"/>
  <c r="F27"/>
  <c r="D27"/>
  <c r="C109" i="22"/>
  <c r="C110"/>
  <c r="P110" s="1"/>
  <c r="C111"/>
  <c r="C112"/>
  <c r="N112" s="1"/>
  <c r="C113"/>
  <c r="P113" s="1"/>
  <c r="C114"/>
  <c r="N114" s="1"/>
  <c r="C115"/>
  <c r="P115" s="1"/>
  <c r="C116"/>
  <c r="N116" s="1"/>
  <c r="C117"/>
  <c r="C108"/>
  <c r="N108" s="1"/>
  <c r="C96"/>
  <c r="C97"/>
  <c r="C98"/>
  <c r="C99"/>
  <c r="Q99" s="1"/>
  <c r="C100"/>
  <c r="C101"/>
  <c r="Q101" s="1"/>
  <c r="C102"/>
  <c r="C103"/>
  <c r="Q103" s="1"/>
  <c r="C104"/>
  <c r="C95"/>
  <c r="Q95" s="1"/>
  <c r="P117"/>
  <c r="P116"/>
  <c r="L116"/>
  <c r="H116"/>
  <c r="D116"/>
  <c r="E116" s="1"/>
  <c r="P114"/>
  <c r="L114"/>
  <c r="H114"/>
  <c r="D114"/>
  <c r="E114" s="1"/>
  <c r="P112"/>
  <c r="L112"/>
  <c r="H112"/>
  <c r="D112"/>
  <c r="E112" s="1"/>
  <c r="P111"/>
  <c r="N110"/>
  <c r="J110"/>
  <c r="F110"/>
  <c r="Q110"/>
  <c r="P109"/>
  <c r="P108"/>
  <c r="H108"/>
  <c r="P104"/>
  <c r="P102"/>
  <c r="F100"/>
  <c r="D100"/>
  <c r="E100" s="1"/>
  <c r="P100"/>
  <c r="P98"/>
  <c r="N98"/>
  <c r="L98"/>
  <c r="J98"/>
  <c r="H98"/>
  <c r="F98"/>
  <c r="D98"/>
  <c r="E98" s="1"/>
  <c r="Q98"/>
  <c r="P97"/>
  <c r="P96"/>
  <c r="N96"/>
  <c r="L96"/>
  <c r="J96"/>
  <c r="H96"/>
  <c r="F96"/>
  <c r="D96"/>
  <c r="E96" s="1"/>
  <c r="Q96"/>
  <c r="D108" l="1"/>
  <c r="E108" s="1"/>
  <c r="L108"/>
  <c r="D110"/>
  <c r="E110" s="1"/>
  <c r="H110"/>
  <c r="L110"/>
  <c r="Q112"/>
  <c r="F112"/>
  <c r="J112"/>
  <c r="Q114"/>
  <c r="F114"/>
  <c r="J114"/>
  <c r="Q116"/>
  <c r="F116"/>
  <c r="J116"/>
  <c r="G121"/>
  <c r="I121"/>
  <c r="K121"/>
  <c r="M121"/>
  <c r="O121"/>
  <c r="Q121"/>
  <c r="G123"/>
  <c r="I123"/>
  <c r="K123"/>
  <c r="M123"/>
  <c r="O123"/>
  <c r="Q123"/>
  <c r="G125"/>
  <c r="I125"/>
  <c r="K125"/>
  <c r="M125"/>
  <c r="O125"/>
  <c r="Q125"/>
  <c r="D121"/>
  <c r="F121"/>
  <c r="H121"/>
  <c r="J121"/>
  <c r="L121"/>
  <c r="N121"/>
  <c r="G122"/>
  <c r="I122"/>
  <c r="K122"/>
  <c r="M122"/>
  <c r="O122"/>
  <c r="D123"/>
  <c r="E123" s="1"/>
  <c r="F123"/>
  <c r="H123"/>
  <c r="J123"/>
  <c r="L123"/>
  <c r="N123"/>
  <c r="G124"/>
  <c r="I124"/>
  <c r="K124"/>
  <c r="M124"/>
  <c r="O124"/>
  <c r="D125"/>
  <c r="E125" s="1"/>
  <c r="F125"/>
  <c r="H125"/>
  <c r="J125"/>
  <c r="L125"/>
  <c r="N125"/>
  <c r="G126"/>
  <c r="I126"/>
  <c r="K126"/>
  <c r="M126"/>
  <c r="O126"/>
  <c r="D127"/>
  <c r="E127" s="1"/>
  <c r="F127"/>
  <c r="H127"/>
  <c r="J127"/>
  <c r="L127"/>
  <c r="N127"/>
  <c r="P127"/>
  <c r="G128"/>
  <c r="I128"/>
  <c r="K128"/>
  <c r="M128"/>
  <c r="O128"/>
  <c r="D129"/>
  <c r="E129" s="1"/>
  <c r="F129"/>
  <c r="H129"/>
  <c r="J129"/>
  <c r="L129"/>
  <c r="N129"/>
  <c r="P129"/>
  <c r="G130"/>
  <c r="I130"/>
  <c r="K130"/>
  <c r="M130"/>
  <c r="O130"/>
  <c r="G127"/>
  <c r="I127"/>
  <c r="K127"/>
  <c r="M127"/>
  <c r="O127"/>
  <c r="G129"/>
  <c r="I129"/>
  <c r="K129"/>
  <c r="M129"/>
  <c r="O129"/>
  <c r="Q108"/>
  <c r="F108"/>
  <c r="J108"/>
  <c r="P119"/>
  <c r="G113"/>
  <c r="I113"/>
  <c r="K113"/>
  <c r="M113"/>
  <c r="O113"/>
  <c r="Q113"/>
  <c r="G115"/>
  <c r="I115"/>
  <c r="K115"/>
  <c r="M115"/>
  <c r="O115"/>
  <c r="Q115"/>
  <c r="G117"/>
  <c r="I117"/>
  <c r="K117"/>
  <c r="M117"/>
  <c r="O117"/>
  <c r="Q117"/>
  <c r="G109"/>
  <c r="I109"/>
  <c r="K109"/>
  <c r="M109"/>
  <c r="O109"/>
  <c r="Q109"/>
  <c r="G111"/>
  <c r="I111"/>
  <c r="K111"/>
  <c r="M111"/>
  <c r="O111"/>
  <c r="Q111"/>
  <c r="G108"/>
  <c r="I108"/>
  <c r="K108"/>
  <c r="M108"/>
  <c r="O108"/>
  <c r="D109"/>
  <c r="E109" s="1"/>
  <c r="F109"/>
  <c r="H109"/>
  <c r="J109"/>
  <c r="L109"/>
  <c r="N109"/>
  <c r="G110"/>
  <c r="I110"/>
  <c r="K110"/>
  <c r="M110"/>
  <c r="O110"/>
  <c r="D111"/>
  <c r="E111" s="1"/>
  <c r="F111"/>
  <c r="H111"/>
  <c r="J111"/>
  <c r="L111"/>
  <c r="N111"/>
  <c r="G112"/>
  <c r="I112"/>
  <c r="K112"/>
  <c r="M112"/>
  <c r="O112"/>
  <c r="D113"/>
  <c r="E113" s="1"/>
  <c r="F113"/>
  <c r="H113"/>
  <c r="J113"/>
  <c r="L113"/>
  <c r="N113"/>
  <c r="G114"/>
  <c r="I114"/>
  <c r="K114"/>
  <c r="M114"/>
  <c r="O114"/>
  <c r="D115"/>
  <c r="E115" s="1"/>
  <c r="F115"/>
  <c r="H115"/>
  <c r="J115"/>
  <c r="L115"/>
  <c r="N115"/>
  <c r="G116"/>
  <c r="I116"/>
  <c r="K116"/>
  <c r="M116"/>
  <c r="O116"/>
  <c r="D117"/>
  <c r="E117" s="1"/>
  <c r="F117"/>
  <c r="H117"/>
  <c r="J117"/>
  <c r="L117"/>
  <c r="N117"/>
  <c r="G97"/>
  <c r="I97"/>
  <c r="K97"/>
  <c r="M97"/>
  <c r="O97"/>
  <c r="Q97"/>
  <c r="D95"/>
  <c r="F95"/>
  <c r="H95"/>
  <c r="J95"/>
  <c r="L95"/>
  <c r="N95"/>
  <c r="P95"/>
  <c r="G96"/>
  <c r="I96"/>
  <c r="K96"/>
  <c r="M96"/>
  <c r="O96"/>
  <c r="D97"/>
  <c r="E97" s="1"/>
  <c r="F97"/>
  <c r="H97"/>
  <c r="J97"/>
  <c r="L97"/>
  <c r="N97"/>
  <c r="G98"/>
  <c r="I98"/>
  <c r="K98"/>
  <c r="M98"/>
  <c r="O98"/>
  <c r="D99"/>
  <c r="E99" s="1"/>
  <c r="F99"/>
  <c r="H99"/>
  <c r="J99"/>
  <c r="L99"/>
  <c r="N99"/>
  <c r="P99"/>
  <c r="G100"/>
  <c r="I100"/>
  <c r="K100"/>
  <c r="M100"/>
  <c r="O100"/>
  <c r="Q100"/>
  <c r="D101"/>
  <c r="E101" s="1"/>
  <c r="F101"/>
  <c r="H101"/>
  <c r="J101"/>
  <c r="L101"/>
  <c r="N101"/>
  <c r="P101"/>
  <c r="G102"/>
  <c r="I102"/>
  <c r="K102"/>
  <c r="M102"/>
  <c r="O102"/>
  <c r="Q102"/>
  <c r="D103"/>
  <c r="E103" s="1"/>
  <c r="F103"/>
  <c r="H103"/>
  <c r="J103"/>
  <c r="L103"/>
  <c r="N103"/>
  <c r="P103"/>
  <c r="G104"/>
  <c r="I104"/>
  <c r="K104"/>
  <c r="M104"/>
  <c r="O104"/>
  <c r="Q104"/>
  <c r="G95"/>
  <c r="I95"/>
  <c r="K95"/>
  <c r="M95"/>
  <c r="O95"/>
  <c r="G99"/>
  <c r="I99"/>
  <c r="K99"/>
  <c r="M99"/>
  <c r="O99"/>
  <c r="H100"/>
  <c r="J100"/>
  <c r="L100"/>
  <c r="N100"/>
  <c r="G101"/>
  <c r="I101"/>
  <c r="K101"/>
  <c r="M101"/>
  <c r="O101"/>
  <c r="D102"/>
  <c r="E102" s="1"/>
  <c r="F102"/>
  <c r="H102"/>
  <c r="J102"/>
  <c r="L102"/>
  <c r="N102"/>
  <c r="G103"/>
  <c r="I103"/>
  <c r="K103"/>
  <c r="M103"/>
  <c r="O103"/>
  <c r="D104"/>
  <c r="E104" s="1"/>
  <c r="F104"/>
  <c r="H104"/>
  <c r="J104"/>
  <c r="L104"/>
  <c r="N104"/>
  <c r="R130" l="1"/>
  <c r="S130" s="1"/>
  <c r="R128"/>
  <c r="U128" s="1"/>
  <c r="R126"/>
  <c r="S126" s="1"/>
  <c r="R122"/>
  <c r="S122" s="1"/>
  <c r="P132"/>
  <c r="R124"/>
  <c r="D132"/>
  <c r="E121"/>
  <c r="E132" s="1"/>
  <c r="R129"/>
  <c r="S129" s="1"/>
  <c r="R127"/>
  <c r="S127" s="1"/>
  <c r="R123"/>
  <c r="S123" s="1"/>
  <c r="L132"/>
  <c r="L133" s="1"/>
  <c r="H132"/>
  <c r="O132"/>
  <c r="O133" s="1"/>
  <c r="K132"/>
  <c r="G132"/>
  <c r="G133" s="1"/>
  <c r="F132"/>
  <c r="R121"/>
  <c r="R125"/>
  <c r="S125" s="1"/>
  <c r="N132"/>
  <c r="N133" s="1"/>
  <c r="J132"/>
  <c r="Q132"/>
  <c r="Q133" s="1"/>
  <c r="M132"/>
  <c r="I132"/>
  <c r="I133" s="1"/>
  <c r="R116"/>
  <c r="S116" s="1"/>
  <c r="R112"/>
  <c r="S112" s="1"/>
  <c r="N119"/>
  <c r="J119"/>
  <c r="Q119"/>
  <c r="R114"/>
  <c r="S114" s="1"/>
  <c r="R110"/>
  <c r="S110" s="1"/>
  <c r="L119"/>
  <c r="H119"/>
  <c r="R96"/>
  <c r="S96" s="1"/>
  <c r="Q106"/>
  <c r="R117"/>
  <c r="S117" s="1"/>
  <c r="R113"/>
  <c r="S113" s="1"/>
  <c r="R109"/>
  <c r="O119"/>
  <c r="K119"/>
  <c r="G119"/>
  <c r="R108"/>
  <c r="D119"/>
  <c r="R100"/>
  <c r="S100" s="1"/>
  <c r="R98"/>
  <c r="S98" s="1"/>
  <c r="R115"/>
  <c r="S115" s="1"/>
  <c r="R111"/>
  <c r="M119"/>
  <c r="I119"/>
  <c r="E119"/>
  <c r="P120" s="1"/>
  <c r="F119"/>
  <c r="D106"/>
  <c r="E95"/>
  <c r="E106" s="1"/>
  <c r="R102"/>
  <c r="S102" s="1"/>
  <c r="O106"/>
  <c r="O107" s="1"/>
  <c r="K106"/>
  <c r="G106"/>
  <c r="G107" s="1"/>
  <c r="R103"/>
  <c r="S103" s="1"/>
  <c r="R99"/>
  <c r="S99" s="1"/>
  <c r="P106"/>
  <c r="L106"/>
  <c r="L107" s="1"/>
  <c r="H106"/>
  <c r="F106"/>
  <c r="F107" s="1"/>
  <c r="R95"/>
  <c r="U95" s="1"/>
  <c r="R104"/>
  <c r="S104" s="1"/>
  <c r="M106"/>
  <c r="I106"/>
  <c r="I107" s="1"/>
  <c r="R101"/>
  <c r="S101" s="1"/>
  <c r="R97"/>
  <c r="S97" s="1"/>
  <c r="N106"/>
  <c r="J106"/>
  <c r="J107" s="1"/>
  <c r="N107" l="1"/>
  <c r="M107"/>
  <c r="H107"/>
  <c r="P107"/>
  <c r="K107"/>
  <c r="M120"/>
  <c r="K120"/>
  <c r="L120"/>
  <c r="J120"/>
  <c r="F120"/>
  <c r="I120"/>
  <c r="G120"/>
  <c r="O120"/>
  <c r="Q107"/>
  <c r="H120"/>
  <c r="Q120"/>
  <c r="N120"/>
  <c r="M133"/>
  <c r="J133"/>
  <c r="F133"/>
  <c r="K133"/>
  <c r="H133"/>
  <c r="P133"/>
  <c r="U124"/>
  <c r="V124" s="1"/>
  <c r="S128"/>
  <c r="V128"/>
  <c r="S124"/>
  <c r="R132"/>
  <c r="R133" s="1"/>
  <c r="U121"/>
  <c r="V121" s="1"/>
  <c r="S121"/>
  <c r="U111"/>
  <c r="V111" s="1"/>
  <c r="U108"/>
  <c r="V108" s="1"/>
  <c r="S111"/>
  <c r="R119"/>
  <c r="R120" s="1"/>
  <c r="S108"/>
  <c r="S109"/>
  <c r="R106"/>
  <c r="R107" s="1"/>
  <c r="S95"/>
  <c r="V95"/>
  <c r="E33" i="3" l="1"/>
  <c r="E32"/>
  <c r="G31"/>
  <c r="C29" l="1"/>
  <c r="C27"/>
  <c r="C26"/>
  <c r="C25"/>
  <c r="D12" i="8" l="1"/>
  <c r="D13"/>
  <c r="D14"/>
  <c r="D42" i="1" l="1"/>
  <c r="C24" i="3"/>
  <c r="C23"/>
  <c r="C83" i="22"/>
  <c r="C84"/>
  <c r="C85"/>
  <c r="C86"/>
  <c r="C87"/>
  <c r="C88"/>
  <c r="C89"/>
  <c r="C90"/>
  <c r="C91"/>
  <c r="C82"/>
  <c r="Q82" s="1"/>
  <c r="P91"/>
  <c r="N91"/>
  <c r="L91"/>
  <c r="J91"/>
  <c r="H91"/>
  <c r="F91"/>
  <c r="D91"/>
  <c r="E91" s="1"/>
  <c r="Q91"/>
  <c r="P90"/>
  <c r="P89"/>
  <c r="N89"/>
  <c r="L89"/>
  <c r="J89"/>
  <c r="H89"/>
  <c r="F89"/>
  <c r="D89"/>
  <c r="E89" s="1"/>
  <c r="Q89"/>
  <c r="P88"/>
  <c r="P87"/>
  <c r="N87"/>
  <c r="L87"/>
  <c r="J87"/>
  <c r="H87"/>
  <c r="F87"/>
  <c r="D87"/>
  <c r="E87" s="1"/>
  <c r="Q87"/>
  <c r="Q86"/>
  <c r="P85"/>
  <c r="N85"/>
  <c r="L85"/>
  <c r="J85"/>
  <c r="H85"/>
  <c r="F85"/>
  <c r="D85"/>
  <c r="E85" s="1"/>
  <c r="Q85"/>
  <c r="P84"/>
  <c r="P83"/>
  <c r="N83"/>
  <c r="L83"/>
  <c r="J83"/>
  <c r="H83"/>
  <c r="F83"/>
  <c r="D83"/>
  <c r="E83" s="1"/>
  <c r="Q83"/>
  <c r="C96" i="29"/>
  <c r="C97"/>
  <c r="C98"/>
  <c r="C99"/>
  <c r="C100"/>
  <c r="C101"/>
  <c r="C102"/>
  <c r="C103"/>
  <c r="C104"/>
  <c r="C95"/>
  <c r="P95" s="1"/>
  <c r="P104"/>
  <c r="N104"/>
  <c r="L104"/>
  <c r="J104"/>
  <c r="H104"/>
  <c r="F104"/>
  <c r="D104"/>
  <c r="E104" s="1"/>
  <c r="Q104"/>
  <c r="P103"/>
  <c r="P102"/>
  <c r="N102"/>
  <c r="L102"/>
  <c r="J102"/>
  <c r="H102"/>
  <c r="F102"/>
  <c r="D102"/>
  <c r="E102" s="1"/>
  <c r="Q102"/>
  <c r="Q101"/>
  <c r="P100"/>
  <c r="N100"/>
  <c r="L100"/>
  <c r="J100"/>
  <c r="H100"/>
  <c r="F100"/>
  <c r="D100"/>
  <c r="E100" s="1"/>
  <c r="Q100"/>
  <c r="P99"/>
  <c r="N99"/>
  <c r="L99"/>
  <c r="J99"/>
  <c r="H99"/>
  <c r="F99"/>
  <c r="D99"/>
  <c r="E99" s="1"/>
  <c r="Q99"/>
  <c r="Q98"/>
  <c r="P97"/>
  <c r="N97"/>
  <c r="L97"/>
  <c r="J97"/>
  <c r="H97"/>
  <c r="F97"/>
  <c r="D97"/>
  <c r="E97" s="1"/>
  <c r="Q97"/>
  <c r="Q96"/>
  <c r="N95"/>
  <c r="J95"/>
  <c r="F95"/>
  <c r="Q95"/>
  <c r="AO23" i="17"/>
  <c r="AL23"/>
  <c r="AI23"/>
  <c r="AH23"/>
  <c r="AF23"/>
  <c r="AE23"/>
  <c r="AC23"/>
  <c r="AB23"/>
  <c r="Q23"/>
  <c r="O23"/>
  <c r="M23"/>
  <c r="L23"/>
  <c r="K23"/>
  <c r="J23"/>
  <c r="H23"/>
  <c r="F23"/>
  <c r="E23"/>
  <c r="D23"/>
  <c r="B23"/>
  <c r="G84" i="22" l="1"/>
  <c r="I84"/>
  <c r="K84"/>
  <c r="M84"/>
  <c r="O84"/>
  <c r="Q84"/>
  <c r="G88"/>
  <c r="I88"/>
  <c r="K88"/>
  <c r="M88"/>
  <c r="O88"/>
  <c r="Q88"/>
  <c r="G90"/>
  <c r="I90"/>
  <c r="K90"/>
  <c r="M90"/>
  <c r="O90"/>
  <c r="Q90"/>
  <c r="D82"/>
  <c r="F82"/>
  <c r="H82"/>
  <c r="J82"/>
  <c r="L82"/>
  <c r="N82"/>
  <c r="P82"/>
  <c r="G83"/>
  <c r="I83"/>
  <c r="K83"/>
  <c r="M83"/>
  <c r="O83"/>
  <c r="D84"/>
  <c r="E84" s="1"/>
  <c r="F84"/>
  <c r="H84"/>
  <c r="J84"/>
  <c r="L84"/>
  <c r="N84"/>
  <c r="G85"/>
  <c r="I85"/>
  <c r="K85"/>
  <c r="M85"/>
  <c r="O85"/>
  <c r="D86"/>
  <c r="E86" s="1"/>
  <c r="F86"/>
  <c r="H86"/>
  <c r="J86"/>
  <c r="L86"/>
  <c r="N86"/>
  <c r="P86"/>
  <c r="G87"/>
  <c r="I87"/>
  <c r="K87"/>
  <c r="M87"/>
  <c r="O87"/>
  <c r="D88"/>
  <c r="E88" s="1"/>
  <c r="F88"/>
  <c r="H88"/>
  <c r="J88"/>
  <c r="L88"/>
  <c r="N88"/>
  <c r="G89"/>
  <c r="I89"/>
  <c r="K89"/>
  <c r="M89"/>
  <c r="O89"/>
  <c r="D90"/>
  <c r="E90" s="1"/>
  <c r="F90"/>
  <c r="H90"/>
  <c r="J90"/>
  <c r="L90"/>
  <c r="N90"/>
  <c r="G91"/>
  <c r="I91"/>
  <c r="K91"/>
  <c r="M91"/>
  <c r="O91"/>
  <c r="G82"/>
  <c r="I82"/>
  <c r="K82"/>
  <c r="M82"/>
  <c r="O82"/>
  <c r="G86"/>
  <c r="I86"/>
  <c r="K86"/>
  <c r="M86"/>
  <c r="O86"/>
  <c r="D95" i="29"/>
  <c r="E95" s="1"/>
  <c r="H95"/>
  <c r="L95"/>
  <c r="G103"/>
  <c r="I103"/>
  <c r="K103"/>
  <c r="M103"/>
  <c r="O103"/>
  <c r="Q103"/>
  <c r="Q106" s="1"/>
  <c r="G95"/>
  <c r="I95"/>
  <c r="K95"/>
  <c r="M95"/>
  <c r="O95"/>
  <c r="D96"/>
  <c r="E96" s="1"/>
  <c r="F96"/>
  <c r="H96"/>
  <c r="J96"/>
  <c r="L96"/>
  <c r="N96"/>
  <c r="P96"/>
  <c r="G97"/>
  <c r="I97"/>
  <c r="K97"/>
  <c r="M97"/>
  <c r="O97"/>
  <c r="D98"/>
  <c r="E98" s="1"/>
  <c r="F98"/>
  <c r="H98"/>
  <c r="J98"/>
  <c r="L98"/>
  <c r="N98"/>
  <c r="P98"/>
  <c r="G99"/>
  <c r="I99"/>
  <c r="K99"/>
  <c r="M99"/>
  <c r="O99"/>
  <c r="G100"/>
  <c r="I100"/>
  <c r="K100"/>
  <c r="M100"/>
  <c r="O100"/>
  <c r="D101"/>
  <c r="E101" s="1"/>
  <c r="F101"/>
  <c r="H101"/>
  <c r="J101"/>
  <c r="L101"/>
  <c r="N101"/>
  <c r="P101"/>
  <c r="G102"/>
  <c r="I102"/>
  <c r="K102"/>
  <c r="M102"/>
  <c r="O102"/>
  <c r="D103"/>
  <c r="E103" s="1"/>
  <c r="F103"/>
  <c r="H103"/>
  <c r="J103"/>
  <c r="L103"/>
  <c r="N103"/>
  <c r="G104"/>
  <c r="I104"/>
  <c r="K104"/>
  <c r="M104"/>
  <c r="O104"/>
  <c r="G96"/>
  <c r="I96"/>
  <c r="K96"/>
  <c r="M96"/>
  <c r="O96"/>
  <c r="G98"/>
  <c r="I98"/>
  <c r="K98"/>
  <c r="M98"/>
  <c r="O98"/>
  <c r="G101"/>
  <c r="I101"/>
  <c r="K101"/>
  <c r="M101"/>
  <c r="O101"/>
  <c r="C83"/>
  <c r="C84"/>
  <c r="C85"/>
  <c r="C86"/>
  <c r="C87"/>
  <c r="C88"/>
  <c r="C89"/>
  <c r="C90"/>
  <c r="C91"/>
  <c r="C82"/>
  <c r="Q82" s="1"/>
  <c r="P91"/>
  <c r="N91"/>
  <c r="L91"/>
  <c r="J91"/>
  <c r="H91"/>
  <c r="F91"/>
  <c r="D91"/>
  <c r="E91" s="1"/>
  <c r="Q91"/>
  <c r="Q90"/>
  <c r="P89"/>
  <c r="N89"/>
  <c r="L89"/>
  <c r="J89"/>
  <c r="H89"/>
  <c r="F89"/>
  <c r="D89"/>
  <c r="E89" s="1"/>
  <c r="Q89"/>
  <c r="Q88"/>
  <c r="P87"/>
  <c r="N87"/>
  <c r="L87"/>
  <c r="J87"/>
  <c r="H87"/>
  <c r="F87"/>
  <c r="D87"/>
  <c r="E87" s="1"/>
  <c r="Q87"/>
  <c r="Q86"/>
  <c r="P85"/>
  <c r="N85"/>
  <c r="L85"/>
  <c r="J85"/>
  <c r="H85"/>
  <c r="F85"/>
  <c r="D85"/>
  <c r="E85" s="1"/>
  <c r="Q85"/>
  <c r="Q84"/>
  <c r="P83"/>
  <c r="N83"/>
  <c r="L83"/>
  <c r="J83"/>
  <c r="H83"/>
  <c r="F83"/>
  <c r="D83"/>
  <c r="E83" s="1"/>
  <c r="Q83"/>
  <c r="Q93" i="22" l="1"/>
  <c r="R89"/>
  <c r="S89" s="1"/>
  <c r="R83"/>
  <c r="M93"/>
  <c r="I93"/>
  <c r="R91"/>
  <c r="S91" s="1"/>
  <c r="R87"/>
  <c r="S87" s="1"/>
  <c r="R85"/>
  <c r="S85" s="1"/>
  <c r="P93"/>
  <c r="D93"/>
  <c r="E82"/>
  <c r="E93" s="1"/>
  <c r="R88"/>
  <c r="R86"/>
  <c r="S86" s="1"/>
  <c r="L93"/>
  <c r="H93"/>
  <c r="H94" s="1"/>
  <c r="F93"/>
  <c r="R82"/>
  <c r="U82" s="1"/>
  <c r="V82" s="1"/>
  <c r="O93"/>
  <c r="K93"/>
  <c r="K94" s="1"/>
  <c r="G93"/>
  <c r="R90"/>
  <c r="S90" s="1"/>
  <c r="R84"/>
  <c r="S84" s="1"/>
  <c r="N93"/>
  <c r="N94" s="1"/>
  <c r="J93"/>
  <c r="R95" i="29"/>
  <c r="H106"/>
  <c r="R102"/>
  <c r="S102" s="1"/>
  <c r="R100"/>
  <c r="S100" s="1"/>
  <c r="P106"/>
  <c r="L106"/>
  <c r="R104"/>
  <c r="S104" s="1"/>
  <c r="R99"/>
  <c r="R97"/>
  <c r="S97" s="1"/>
  <c r="N106"/>
  <c r="J106"/>
  <c r="S99"/>
  <c r="R98"/>
  <c r="S98" s="1"/>
  <c r="R96"/>
  <c r="S96" s="1"/>
  <c r="O106"/>
  <c r="K106"/>
  <c r="G106"/>
  <c r="F106"/>
  <c r="S95"/>
  <c r="R103"/>
  <c r="S103" s="1"/>
  <c r="R101"/>
  <c r="S101" s="1"/>
  <c r="M106"/>
  <c r="I106"/>
  <c r="E106"/>
  <c r="Q107" s="1"/>
  <c r="D106"/>
  <c r="Q93"/>
  <c r="D82"/>
  <c r="F82"/>
  <c r="H82"/>
  <c r="J82"/>
  <c r="L82"/>
  <c r="N82"/>
  <c r="P82"/>
  <c r="G83"/>
  <c r="I83"/>
  <c r="K83"/>
  <c r="M83"/>
  <c r="O83"/>
  <c r="D84"/>
  <c r="E84" s="1"/>
  <c r="F84"/>
  <c r="H84"/>
  <c r="J84"/>
  <c r="L84"/>
  <c r="N84"/>
  <c r="P84"/>
  <c r="G85"/>
  <c r="I85"/>
  <c r="K85"/>
  <c r="M85"/>
  <c r="O85"/>
  <c r="D86"/>
  <c r="E86" s="1"/>
  <c r="F86"/>
  <c r="H86"/>
  <c r="J86"/>
  <c r="L86"/>
  <c r="N86"/>
  <c r="P86"/>
  <c r="G87"/>
  <c r="I87"/>
  <c r="K87"/>
  <c r="M87"/>
  <c r="O87"/>
  <c r="D88"/>
  <c r="E88" s="1"/>
  <c r="F88"/>
  <c r="H88"/>
  <c r="J88"/>
  <c r="L88"/>
  <c r="N88"/>
  <c r="P88"/>
  <c r="G89"/>
  <c r="I89"/>
  <c r="K89"/>
  <c r="M89"/>
  <c r="O89"/>
  <c r="D90"/>
  <c r="E90" s="1"/>
  <c r="F90"/>
  <c r="H90"/>
  <c r="J90"/>
  <c r="L90"/>
  <c r="N90"/>
  <c r="P90"/>
  <c r="G91"/>
  <c r="I91"/>
  <c r="K91"/>
  <c r="M91"/>
  <c r="O91"/>
  <c r="G82"/>
  <c r="I82"/>
  <c r="K82"/>
  <c r="M82"/>
  <c r="O82"/>
  <c r="G84"/>
  <c r="I84"/>
  <c r="K84"/>
  <c r="M84"/>
  <c r="O84"/>
  <c r="G86"/>
  <c r="I86"/>
  <c r="K86"/>
  <c r="M86"/>
  <c r="O86"/>
  <c r="G88"/>
  <c r="I88"/>
  <c r="K88"/>
  <c r="M88"/>
  <c r="O88"/>
  <c r="G90"/>
  <c r="I90"/>
  <c r="K90"/>
  <c r="M90"/>
  <c r="O90"/>
  <c r="P94" i="22" l="1"/>
  <c r="I94"/>
  <c r="Q94"/>
  <c r="J94"/>
  <c r="G94"/>
  <c r="O94"/>
  <c r="F94"/>
  <c r="L94"/>
  <c r="M94"/>
  <c r="M107" i="29"/>
  <c r="F107"/>
  <c r="K107"/>
  <c r="N107"/>
  <c r="L107"/>
  <c r="H107"/>
  <c r="I107"/>
  <c r="G107"/>
  <c r="O107"/>
  <c r="J107"/>
  <c r="P107"/>
  <c r="S83" i="22"/>
  <c r="U83"/>
  <c r="V83" s="1"/>
  <c r="S88"/>
  <c r="R93"/>
  <c r="R94" s="1"/>
  <c r="S82"/>
  <c r="U95" i="29"/>
  <c r="V95" s="1"/>
  <c r="R106"/>
  <c r="R107" s="1"/>
  <c r="U99"/>
  <c r="R91"/>
  <c r="S91" s="1"/>
  <c r="R89"/>
  <c r="S89" s="1"/>
  <c r="R87"/>
  <c r="S87" s="1"/>
  <c r="R85"/>
  <c r="S85" s="1"/>
  <c r="R83"/>
  <c r="S83" s="1"/>
  <c r="D93"/>
  <c r="E82"/>
  <c r="E93" s="1"/>
  <c r="Q94" s="1"/>
  <c r="O93"/>
  <c r="K93"/>
  <c r="K94" s="1"/>
  <c r="G93"/>
  <c r="P93"/>
  <c r="P94" s="1"/>
  <c r="L93"/>
  <c r="H93"/>
  <c r="H94" s="1"/>
  <c r="F93"/>
  <c r="R82"/>
  <c r="U82" s="1"/>
  <c r="V82" s="1"/>
  <c r="M93"/>
  <c r="I93"/>
  <c r="I94" s="1"/>
  <c r="R90"/>
  <c r="S90" s="1"/>
  <c r="R88"/>
  <c r="S88" s="1"/>
  <c r="R86"/>
  <c r="R84"/>
  <c r="S84" s="1"/>
  <c r="N93"/>
  <c r="J93"/>
  <c r="J94" s="1"/>
  <c r="N94" l="1"/>
  <c r="M94"/>
  <c r="F94"/>
  <c r="L94"/>
  <c r="G94"/>
  <c r="O94"/>
  <c r="S86"/>
  <c r="U86"/>
  <c r="R93"/>
  <c r="R94" s="1"/>
  <c r="S82"/>
  <c r="BM22" i="17" l="1"/>
  <c r="BD22"/>
  <c r="BC22"/>
  <c r="BB22"/>
  <c r="BA22"/>
  <c r="AZ22"/>
  <c r="AX22"/>
  <c r="BJ22"/>
  <c r="BI22"/>
  <c r="BF22"/>
  <c r="Z21"/>
  <c r="AB21"/>
  <c r="AE21"/>
  <c r="AF21"/>
  <c r="AL21"/>
  <c r="AM21"/>
  <c r="AH21"/>
  <c r="F43" i="29"/>
  <c r="D31" i="1"/>
  <c r="D30"/>
  <c r="Q65" i="29"/>
  <c r="P65"/>
  <c r="O65"/>
  <c r="N65"/>
  <c r="M65"/>
  <c r="L65"/>
  <c r="K65"/>
  <c r="J65"/>
  <c r="I65"/>
  <c r="H65"/>
  <c r="G65"/>
  <c r="F65"/>
  <c r="Q64"/>
  <c r="P64"/>
  <c r="O64"/>
  <c r="N64"/>
  <c r="M64"/>
  <c r="L64"/>
  <c r="K64"/>
  <c r="J64"/>
  <c r="I64"/>
  <c r="H64"/>
  <c r="G64"/>
  <c r="F64"/>
  <c r="Q63"/>
  <c r="P63"/>
  <c r="O63"/>
  <c r="N63"/>
  <c r="M63"/>
  <c r="L63"/>
  <c r="K63"/>
  <c r="J63"/>
  <c r="I63"/>
  <c r="H63"/>
  <c r="G63"/>
  <c r="F63"/>
  <c r="Q62"/>
  <c r="P62"/>
  <c r="O62"/>
  <c r="N62"/>
  <c r="M62"/>
  <c r="L62"/>
  <c r="K62"/>
  <c r="J62"/>
  <c r="I62"/>
  <c r="H62"/>
  <c r="G62"/>
  <c r="F62"/>
  <c r="Q61"/>
  <c r="P61"/>
  <c r="O61"/>
  <c r="N61"/>
  <c r="M61"/>
  <c r="L61"/>
  <c r="K61"/>
  <c r="J61"/>
  <c r="I61"/>
  <c r="H61"/>
  <c r="G61"/>
  <c r="F61"/>
  <c r="Q60"/>
  <c r="P60"/>
  <c r="O60"/>
  <c r="N60"/>
  <c r="M60"/>
  <c r="L60"/>
  <c r="K60"/>
  <c r="J60"/>
  <c r="I60"/>
  <c r="H60"/>
  <c r="G60"/>
  <c r="F60"/>
  <c r="Q59"/>
  <c r="P59"/>
  <c r="O59"/>
  <c r="N59"/>
  <c r="M59"/>
  <c r="L59"/>
  <c r="K59"/>
  <c r="J59"/>
  <c r="I59"/>
  <c r="H59"/>
  <c r="G59"/>
  <c r="F59"/>
  <c r="Q58"/>
  <c r="P58"/>
  <c r="O58"/>
  <c r="N58"/>
  <c r="M58"/>
  <c r="L58"/>
  <c r="K58"/>
  <c r="J58"/>
  <c r="I58"/>
  <c r="H58"/>
  <c r="G58"/>
  <c r="F58"/>
  <c r="Q57"/>
  <c r="P57"/>
  <c r="O57"/>
  <c r="N57"/>
  <c r="M57"/>
  <c r="L57"/>
  <c r="K57"/>
  <c r="J57"/>
  <c r="I57"/>
  <c r="H57"/>
  <c r="G57"/>
  <c r="F57"/>
  <c r="Q56"/>
  <c r="P56"/>
  <c r="O56"/>
  <c r="N56"/>
  <c r="M56"/>
  <c r="L56"/>
  <c r="K56"/>
  <c r="J56"/>
  <c r="I56"/>
  <c r="H56"/>
  <c r="G56"/>
  <c r="F56"/>
  <c r="Q52"/>
  <c r="P52"/>
  <c r="O52"/>
  <c r="N52"/>
  <c r="M52"/>
  <c r="L52"/>
  <c r="K52"/>
  <c r="J52"/>
  <c r="I52"/>
  <c r="H52"/>
  <c r="G52"/>
  <c r="F52"/>
  <c r="Q51"/>
  <c r="P51"/>
  <c r="O51"/>
  <c r="N51"/>
  <c r="M51"/>
  <c r="L51"/>
  <c r="K51"/>
  <c r="J51"/>
  <c r="I51"/>
  <c r="H51"/>
  <c r="G51"/>
  <c r="F51"/>
  <c r="Q50"/>
  <c r="P50"/>
  <c r="O50"/>
  <c r="N50"/>
  <c r="M50"/>
  <c r="L50"/>
  <c r="K50"/>
  <c r="J50"/>
  <c r="I50"/>
  <c r="H50"/>
  <c r="G50"/>
  <c r="F50"/>
  <c r="Q49"/>
  <c r="P49"/>
  <c r="O49"/>
  <c r="N49"/>
  <c r="M49"/>
  <c r="L49"/>
  <c r="K49"/>
  <c r="J49"/>
  <c r="I49"/>
  <c r="H49"/>
  <c r="G49"/>
  <c r="F49"/>
  <c r="Q48"/>
  <c r="P48"/>
  <c r="O48"/>
  <c r="N48"/>
  <c r="M48"/>
  <c r="L48"/>
  <c r="K48"/>
  <c r="J48"/>
  <c r="I48"/>
  <c r="H48"/>
  <c r="G48"/>
  <c r="F48"/>
  <c r="Q47"/>
  <c r="P47"/>
  <c r="O47"/>
  <c r="N47"/>
  <c r="M47"/>
  <c r="L47"/>
  <c r="K47"/>
  <c r="J47"/>
  <c r="I47"/>
  <c r="H47"/>
  <c r="G47"/>
  <c r="F47"/>
  <c r="Q46"/>
  <c r="P46"/>
  <c r="O46"/>
  <c r="N46"/>
  <c r="M46"/>
  <c r="L46"/>
  <c r="K46"/>
  <c r="J46"/>
  <c r="I46"/>
  <c r="H46"/>
  <c r="G46"/>
  <c r="F46"/>
  <c r="Q45"/>
  <c r="P45"/>
  <c r="O45"/>
  <c r="N45"/>
  <c r="M45"/>
  <c r="L45"/>
  <c r="K45"/>
  <c r="J45"/>
  <c r="I45"/>
  <c r="H45"/>
  <c r="G45"/>
  <c r="F45"/>
  <c r="Q44"/>
  <c r="P44"/>
  <c r="O44"/>
  <c r="N44"/>
  <c r="M44"/>
  <c r="L44"/>
  <c r="K44"/>
  <c r="J44"/>
  <c r="I44"/>
  <c r="H44"/>
  <c r="G44"/>
  <c r="F44"/>
  <c r="Q43"/>
  <c r="P43"/>
  <c r="O43"/>
  <c r="N43"/>
  <c r="M43"/>
  <c r="L43"/>
  <c r="K43"/>
  <c r="J43"/>
  <c r="I43"/>
  <c r="H43"/>
  <c r="G43"/>
  <c r="AC34" i="1"/>
  <c r="AC33"/>
  <c r="C21" i="3"/>
  <c r="AO20" i="17" l="1"/>
  <c r="AM20"/>
  <c r="AK20"/>
  <c r="AJ20"/>
  <c r="AI20"/>
  <c r="AH20"/>
  <c r="AF20"/>
  <c r="AE20"/>
  <c r="AD20"/>
  <c r="AB20"/>
  <c r="Z20"/>
  <c r="AO21"/>
  <c r="AJ21"/>
  <c r="AD21"/>
  <c r="AC21"/>
  <c r="AK21"/>
  <c r="AI21"/>
  <c r="E19" i="3"/>
  <c r="E18"/>
  <c r="D52" i="7"/>
  <c r="C70" i="29"/>
  <c r="C71"/>
  <c r="C72"/>
  <c r="C73"/>
  <c r="C74"/>
  <c r="C75"/>
  <c r="C76"/>
  <c r="C77"/>
  <c r="C78"/>
  <c r="C69"/>
  <c r="N69" s="1"/>
  <c r="P78"/>
  <c r="Q77"/>
  <c r="P76"/>
  <c r="J75"/>
  <c r="H75"/>
  <c r="F75"/>
  <c r="D75"/>
  <c r="E75" s="1"/>
  <c r="Q75"/>
  <c r="P74"/>
  <c r="P73"/>
  <c r="N73"/>
  <c r="L73"/>
  <c r="J73"/>
  <c r="H73"/>
  <c r="F73"/>
  <c r="D73"/>
  <c r="E73" s="1"/>
  <c r="Q73"/>
  <c r="P72"/>
  <c r="P71"/>
  <c r="N71"/>
  <c r="L71"/>
  <c r="J71"/>
  <c r="H71"/>
  <c r="F71"/>
  <c r="D71"/>
  <c r="E71" s="1"/>
  <c r="Q71"/>
  <c r="P70"/>
  <c r="P69"/>
  <c r="L69"/>
  <c r="H69"/>
  <c r="D69"/>
  <c r="E17" i="3"/>
  <c r="D39" i="7"/>
  <c r="AL20" i="17"/>
  <c r="C57" i="29"/>
  <c r="C58"/>
  <c r="C59"/>
  <c r="C60"/>
  <c r="C61"/>
  <c r="C62"/>
  <c r="C63"/>
  <c r="C64"/>
  <c r="C65"/>
  <c r="C56"/>
  <c r="D65"/>
  <c r="E65" s="1"/>
  <c r="D63"/>
  <c r="E63" s="1"/>
  <c r="D61"/>
  <c r="E61" s="1"/>
  <c r="D59"/>
  <c r="E59" s="1"/>
  <c r="D57"/>
  <c r="E57" s="1"/>
  <c r="C83" i="9"/>
  <c r="Q69" i="29" l="1"/>
  <c r="F69"/>
  <c r="J69"/>
  <c r="G70"/>
  <c r="I70"/>
  <c r="K70"/>
  <c r="M70"/>
  <c r="O70"/>
  <c r="Q70"/>
  <c r="G72"/>
  <c r="I72"/>
  <c r="K72"/>
  <c r="M72"/>
  <c r="O72"/>
  <c r="Q72"/>
  <c r="G74"/>
  <c r="I74"/>
  <c r="K74"/>
  <c r="M74"/>
  <c r="O74"/>
  <c r="Q74"/>
  <c r="L75"/>
  <c r="N75"/>
  <c r="P75"/>
  <c r="G76"/>
  <c r="I76"/>
  <c r="K76"/>
  <c r="M76"/>
  <c r="O76"/>
  <c r="Q76"/>
  <c r="D77"/>
  <c r="E77" s="1"/>
  <c r="F77"/>
  <c r="H77"/>
  <c r="J77"/>
  <c r="L77"/>
  <c r="N77"/>
  <c r="P77"/>
  <c r="G78"/>
  <c r="I78"/>
  <c r="K78"/>
  <c r="M78"/>
  <c r="O78"/>
  <c r="Q78"/>
  <c r="E69"/>
  <c r="G69"/>
  <c r="I69"/>
  <c r="K69"/>
  <c r="M69"/>
  <c r="O69"/>
  <c r="D70"/>
  <c r="E70" s="1"/>
  <c r="F70"/>
  <c r="H70"/>
  <c r="J70"/>
  <c r="L70"/>
  <c r="N70"/>
  <c r="G71"/>
  <c r="I71"/>
  <c r="K71"/>
  <c r="M71"/>
  <c r="O71"/>
  <c r="D72"/>
  <c r="E72" s="1"/>
  <c r="F72"/>
  <c r="H72"/>
  <c r="J72"/>
  <c r="L72"/>
  <c r="N72"/>
  <c r="G73"/>
  <c r="I73"/>
  <c r="K73"/>
  <c r="M73"/>
  <c r="O73"/>
  <c r="D74"/>
  <c r="E74" s="1"/>
  <c r="F74"/>
  <c r="H74"/>
  <c r="J74"/>
  <c r="L74"/>
  <c r="N74"/>
  <c r="G75"/>
  <c r="I75"/>
  <c r="K75"/>
  <c r="M75"/>
  <c r="O75"/>
  <c r="D76"/>
  <c r="E76" s="1"/>
  <c r="F76"/>
  <c r="H76"/>
  <c r="J76"/>
  <c r="L76"/>
  <c r="N76"/>
  <c r="G77"/>
  <c r="I77"/>
  <c r="K77"/>
  <c r="M77"/>
  <c r="O77"/>
  <c r="D78"/>
  <c r="E78" s="1"/>
  <c r="F78"/>
  <c r="H78"/>
  <c r="J78"/>
  <c r="L78"/>
  <c r="N78"/>
  <c r="Q67"/>
  <c r="D56"/>
  <c r="D58"/>
  <c r="E58" s="1"/>
  <c r="D60"/>
  <c r="E60" s="1"/>
  <c r="D62"/>
  <c r="E62" s="1"/>
  <c r="D64"/>
  <c r="E64" s="1"/>
  <c r="C44"/>
  <c r="C45"/>
  <c r="C46"/>
  <c r="C47"/>
  <c r="C48"/>
  <c r="C49"/>
  <c r="C50"/>
  <c r="C51"/>
  <c r="C52"/>
  <c r="C43"/>
  <c r="D52"/>
  <c r="E52" s="1"/>
  <c r="D50"/>
  <c r="E50" s="1"/>
  <c r="D48"/>
  <c r="E48" s="1"/>
  <c r="D46"/>
  <c r="E46" s="1"/>
  <c r="D44"/>
  <c r="E44" s="1"/>
  <c r="E31" i="7"/>
  <c r="E27"/>
  <c r="E16" i="3"/>
  <c r="E15"/>
  <c r="E14"/>
  <c r="E13"/>
  <c r="E22" i="7"/>
  <c r="H80" i="29" l="1"/>
  <c r="N80"/>
  <c r="R75"/>
  <c r="S75" s="1"/>
  <c r="R73"/>
  <c r="J80"/>
  <c r="R71"/>
  <c r="S71" s="1"/>
  <c r="L80"/>
  <c r="Q80"/>
  <c r="P80"/>
  <c r="S73"/>
  <c r="R76"/>
  <c r="S76" s="1"/>
  <c r="R72"/>
  <c r="S72" s="1"/>
  <c r="M80"/>
  <c r="I80"/>
  <c r="E80"/>
  <c r="R77"/>
  <c r="S77" s="1"/>
  <c r="R78"/>
  <c r="S78" s="1"/>
  <c r="R74"/>
  <c r="S74" s="1"/>
  <c r="R70"/>
  <c r="S70" s="1"/>
  <c r="O80"/>
  <c r="K80"/>
  <c r="K81" s="1"/>
  <c r="G80"/>
  <c r="R69"/>
  <c r="D80"/>
  <c r="F80"/>
  <c r="F81" s="1"/>
  <c r="R65"/>
  <c r="R63"/>
  <c r="S63" s="1"/>
  <c r="R61"/>
  <c r="S61" s="1"/>
  <c r="R59"/>
  <c r="S59" s="1"/>
  <c r="R57"/>
  <c r="S57" s="1"/>
  <c r="D67"/>
  <c r="E56"/>
  <c r="E67" s="1"/>
  <c r="Q68" s="1"/>
  <c r="M67"/>
  <c r="I67"/>
  <c r="I68" s="1"/>
  <c r="R64"/>
  <c r="U64" s="1"/>
  <c r="V64" s="1"/>
  <c r="P67"/>
  <c r="P68" s="1"/>
  <c r="L67"/>
  <c r="H67"/>
  <c r="H68" s="1"/>
  <c r="F67"/>
  <c r="R56"/>
  <c r="O67"/>
  <c r="K67"/>
  <c r="K68" s="1"/>
  <c r="G67"/>
  <c r="R62"/>
  <c r="S62" s="1"/>
  <c r="R60"/>
  <c r="R58"/>
  <c r="S58" s="1"/>
  <c r="N67"/>
  <c r="J67"/>
  <c r="J68" s="1"/>
  <c r="D43"/>
  <c r="D45"/>
  <c r="E45" s="1"/>
  <c r="D47"/>
  <c r="E47" s="1"/>
  <c r="D49"/>
  <c r="E49" s="1"/>
  <c r="D51"/>
  <c r="E51" s="1"/>
  <c r="F39" i="7"/>
  <c r="H39"/>
  <c r="I39" s="1"/>
  <c r="F40"/>
  <c r="H40"/>
  <c r="I40" s="1"/>
  <c r="F41"/>
  <c r="H41"/>
  <c r="I41"/>
  <c r="G81" i="29" l="1"/>
  <c r="O81"/>
  <c r="I81"/>
  <c r="Q81"/>
  <c r="N81"/>
  <c r="N68"/>
  <c r="G68"/>
  <c r="O68"/>
  <c r="F68"/>
  <c r="L68"/>
  <c r="M68"/>
  <c r="M81"/>
  <c r="P81"/>
  <c r="L81"/>
  <c r="J81"/>
  <c r="H81"/>
  <c r="U60"/>
  <c r="V60" s="1"/>
  <c r="S64"/>
  <c r="S65"/>
  <c r="U65"/>
  <c r="R80"/>
  <c r="R81" s="1"/>
  <c r="S69"/>
  <c r="U69"/>
  <c r="V69" s="1"/>
  <c r="U73"/>
  <c r="V73" s="1"/>
  <c r="S60"/>
  <c r="U56"/>
  <c r="V56" s="1"/>
  <c r="R67"/>
  <c r="R68" s="1"/>
  <c r="S56"/>
  <c r="R52"/>
  <c r="S52" s="1"/>
  <c r="R50"/>
  <c r="S50" s="1"/>
  <c r="R46"/>
  <c r="R44"/>
  <c r="S44" s="1"/>
  <c r="R48"/>
  <c r="S48" s="1"/>
  <c r="P54"/>
  <c r="S46"/>
  <c r="D54"/>
  <c r="E43"/>
  <c r="E54" s="1"/>
  <c r="R51"/>
  <c r="S51" s="1"/>
  <c r="R47"/>
  <c r="S47" s="1"/>
  <c r="R45"/>
  <c r="S45" s="1"/>
  <c r="L54"/>
  <c r="L55" s="1"/>
  <c r="H54"/>
  <c r="O54"/>
  <c r="O55" s="1"/>
  <c r="K54"/>
  <c r="G54"/>
  <c r="G55" s="1"/>
  <c r="R43"/>
  <c r="U43" s="1"/>
  <c r="F54"/>
  <c r="F55" s="1"/>
  <c r="R49"/>
  <c r="S49" s="1"/>
  <c r="N54"/>
  <c r="N55" s="1"/>
  <c r="J54"/>
  <c r="Q54"/>
  <c r="Q55" s="1"/>
  <c r="M54"/>
  <c r="I54"/>
  <c r="I55" s="1"/>
  <c r="Q16" i="17"/>
  <c r="O16"/>
  <c r="K16"/>
  <c r="J16"/>
  <c r="H16"/>
  <c r="G16"/>
  <c r="E16"/>
  <c r="D16"/>
  <c r="B16"/>
  <c r="N16"/>
  <c r="M16"/>
  <c r="F16"/>
  <c r="Q15"/>
  <c r="O15"/>
  <c r="N15"/>
  <c r="M15"/>
  <c r="L15"/>
  <c r="J15"/>
  <c r="H15"/>
  <c r="G15"/>
  <c r="F15"/>
  <c r="E15"/>
  <c r="D15"/>
  <c r="C110" i="9"/>
  <c r="C70" i="22"/>
  <c r="N70" s="1"/>
  <c r="C71"/>
  <c r="C72"/>
  <c r="C73"/>
  <c r="C74"/>
  <c r="C75"/>
  <c r="C76"/>
  <c r="P76" s="1"/>
  <c r="C77"/>
  <c r="C78"/>
  <c r="N78" s="1"/>
  <c r="C69"/>
  <c r="Q69" s="1"/>
  <c r="P78"/>
  <c r="Q77"/>
  <c r="N76"/>
  <c r="L76"/>
  <c r="J76"/>
  <c r="H76"/>
  <c r="F76"/>
  <c r="D76"/>
  <c r="E76" s="1"/>
  <c r="Q76"/>
  <c r="P75"/>
  <c r="P74"/>
  <c r="N74"/>
  <c r="L74"/>
  <c r="J74"/>
  <c r="H74"/>
  <c r="F74"/>
  <c r="D74"/>
  <c r="E74" s="1"/>
  <c r="Q74"/>
  <c r="Q73"/>
  <c r="P72"/>
  <c r="N72"/>
  <c r="L72"/>
  <c r="J72"/>
  <c r="H72"/>
  <c r="F72"/>
  <c r="D72"/>
  <c r="E72" s="1"/>
  <c r="Q72"/>
  <c r="Q71"/>
  <c r="P70"/>
  <c r="L70"/>
  <c r="H70"/>
  <c r="D70"/>
  <c r="E70" s="1"/>
  <c r="E12" i="3"/>
  <c r="E10"/>
  <c r="AC15" i="7"/>
  <c r="AC16"/>
  <c r="AC17"/>
  <c r="AC18"/>
  <c r="AC19"/>
  <c r="F16"/>
  <c r="H16"/>
  <c r="I16" s="1"/>
  <c r="F17"/>
  <c r="H17"/>
  <c r="I17"/>
  <c r="M55" i="29" l="1"/>
  <c r="J55"/>
  <c r="K55"/>
  <c r="H55"/>
  <c r="P55"/>
  <c r="H78" i="22"/>
  <c r="D78"/>
  <c r="E78" s="1"/>
  <c r="L78"/>
  <c r="Q78"/>
  <c r="F78"/>
  <c r="J78"/>
  <c r="V43" i="29"/>
  <c r="R54"/>
  <c r="R55" s="1"/>
  <c r="S43"/>
  <c r="Q70" i="22"/>
  <c r="F70"/>
  <c r="J70"/>
  <c r="G75"/>
  <c r="I75"/>
  <c r="K75"/>
  <c r="M75"/>
  <c r="O75"/>
  <c r="Q75"/>
  <c r="D69"/>
  <c r="F69"/>
  <c r="H69"/>
  <c r="J69"/>
  <c r="L69"/>
  <c r="N69"/>
  <c r="P69"/>
  <c r="G70"/>
  <c r="I70"/>
  <c r="K70"/>
  <c r="M70"/>
  <c r="O70"/>
  <c r="D71"/>
  <c r="E71" s="1"/>
  <c r="F71"/>
  <c r="H71"/>
  <c r="J71"/>
  <c r="L71"/>
  <c r="N71"/>
  <c r="P71"/>
  <c r="G72"/>
  <c r="I72"/>
  <c r="K72"/>
  <c r="M72"/>
  <c r="O72"/>
  <c r="D73"/>
  <c r="E73" s="1"/>
  <c r="F73"/>
  <c r="H73"/>
  <c r="J73"/>
  <c r="L73"/>
  <c r="N73"/>
  <c r="P73"/>
  <c r="G74"/>
  <c r="I74"/>
  <c r="K74"/>
  <c r="M74"/>
  <c r="O74"/>
  <c r="D75"/>
  <c r="E75" s="1"/>
  <c r="F75"/>
  <c r="H75"/>
  <c r="J75"/>
  <c r="L75"/>
  <c r="N75"/>
  <c r="G76"/>
  <c r="I76"/>
  <c r="K76"/>
  <c r="M76"/>
  <c r="O76"/>
  <c r="D77"/>
  <c r="E77" s="1"/>
  <c r="F77"/>
  <c r="H77"/>
  <c r="J77"/>
  <c r="L77"/>
  <c r="N77"/>
  <c r="P77"/>
  <c r="G78"/>
  <c r="I78"/>
  <c r="K78"/>
  <c r="M78"/>
  <c r="O78"/>
  <c r="G69"/>
  <c r="I69"/>
  <c r="K69"/>
  <c r="M69"/>
  <c r="O69"/>
  <c r="G71"/>
  <c r="I71"/>
  <c r="K71"/>
  <c r="M71"/>
  <c r="O71"/>
  <c r="G73"/>
  <c r="I73"/>
  <c r="K73"/>
  <c r="M73"/>
  <c r="O73"/>
  <c r="G77"/>
  <c r="I77"/>
  <c r="K77"/>
  <c r="M77"/>
  <c r="O77"/>
  <c r="Q14" i="17"/>
  <c r="N14"/>
  <c r="L14"/>
  <c r="K14"/>
  <c r="J14"/>
  <c r="G14"/>
  <c r="F14"/>
  <c r="E14"/>
  <c r="D14"/>
  <c r="B14"/>
  <c r="K15"/>
  <c r="B15"/>
  <c r="C57" i="22"/>
  <c r="P57" s="1"/>
  <c r="C58"/>
  <c r="P58" s="1"/>
  <c r="C59"/>
  <c r="P59" s="1"/>
  <c r="C60"/>
  <c r="C61"/>
  <c r="N61" s="1"/>
  <c r="C62"/>
  <c r="P62" s="1"/>
  <c r="C63"/>
  <c r="N63" s="1"/>
  <c r="C64"/>
  <c r="C65"/>
  <c r="C56"/>
  <c r="P65"/>
  <c r="Q64"/>
  <c r="P63"/>
  <c r="L63"/>
  <c r="H63"/>
  <c r="D63"/>
  <c r="E63" s="1"/>
  <c r="P61"/>
  <c r="L61"/>
  <c r="H61"/>
  <c r="D61"/>
  <c r="E61" s="1"/>
  <c r="P60"/>
  <c r="N59"/>
  <c r="J59"/>
  <c r="F59"/>
  <c r="Q59"/>
  <c r="N57"/>
  <c r="J57"/>
  <c r="F57"/>
  <c r="Q57"/>
  <c r="P56"/>
  <c r="D57" l="1"/>
  <c r="E57" s="1"/>
  <c r="H57"/>
  <c r="L57"/>
  <c r="D59"/>
  <c r="E59" s="1"/>
  <c r="H59"/>
  <c r="L59"/>
  <c r="Q61"/>
  <c r="F61"/>
  <c r="J61"/>
  <c r="Q63"/>
  <c r="F63"/>
  <c r="J63"/>
  <c r="Q80"/>
  <c r="R74"/>
  <c r="S74" s="1"/>
  <c r="R72"/>
  <c r="R70"/>
  <c r="S70" s="1"/>
  <c r="R78"/>
  <c r="S78" s="1"/>
  <c r="R76"/>
  <c r="S76" s="1"/>
  <c r="S72"/>
  <c r="D80"/>
  <c r="E69"/>
  <c r="E80" s="1"/>
  <c r="M80"/>
  <c r="I80"/>
  <c r="I81" s="1"/>
  <c r="R77"/>
  <c r="S77" s="1"/>
  <c r="P80"/>
  <c r="P81" s="1"/>
  <c r="L80"/>
  <c r="H80"/>
  <c r="H81" s="1"/>
  <c r="F80"/>
  <c r="R69"/>
  <c r="O80"/>
  <c r="K80"/>
  <c r="K81" s="1"/>
  <c r="G80"/>
  <c r="R75"/>
  <c r="R73"/>
  <c r="S73" s="1"/>
  <c r="R71"/>
  <c r="S71" s="1"/>
  <c r="N80"/>
  <c r="J80"/>
  <c r="J81" s="1"/>
  <c r="G56"/>
  <c r="I56"/>
  <c r="K56"/>
  <c r="M56"/>
  <c r="O56"/>
  <c r="Q56"/>
  <c r="G58"/>
  <c r="I58"/>
  <c r="K58"/>
  <c r="M58"/>
  <c r="O58"/>
  <c r="Q58"/>
  <c r="G60"/>
  <c r="I60"/>
  <c r="K60"/>
  <c r="M60"/>
  <c r="O60"/>
  <c r="Q60"/>
  <c r="G62"/>
  <c r="I62"/>
  <c r="K62"/>
  <c r="M62"/>
  <c r="O62"/>
  <c r="Q62"/>
  <c r="F64"/>
  <c r="H64"/>
  <c r="J64"/>
  <c r="L64"/>
  <c r="N64"/>
  <c r="P64"/>
  <c r="P67" s="1"/>
  <c r="G65"/>
  <c r="I65"/>
  <c r="K65"/>
  <c r="M65"/>
  <c r="O65"/>
  <c r="Q65"/>
  <c r="D56"/>
  <c r="F56"/>
  <c r="H56"/>
  <c r="J56"/>
  <c r="L56"/>
  <c r="N56"/>
  <c r="G57"/>
  <c r="I57"/>
  <c r="K57"/>
  <c r="M57"/>
  <c r="O57"/>
  <c r="D58"/>
  <c r="E58" s="1"/>
  <c r="F58"/>
  <c r="H58"/>
  <c r="J58"/>
  <c r="L58"/>
  <c r="N58"/>
  <c r="G59"/>
  <c r="I59"/>
  <c r="K59"/>
  <c r="M59"/>
  <c r="O59"/>
  <c r="D60"/>
  <c r="E60" s="1"/>
  <c r="F60"/>
  <c r="H60"/>
  <c r="J60"/>
  <c r="L60"/>
  <c r="N60"/>
  <c r="G61"/>
  <c r="I61"/>
  <c r="K61"/>
  <c r="M61"/>
  <c r="O61"/>
  <c r="D62"/>
  <c r="E62" s="1"/>
  <c r="F62"/>
  <c r="H62"/>
  <c r="J62"/>
  <c r="L62"/>
  <c r="N62"/>
  <c r="G63"/>
  <c r="I63"/>
  <c r="K63"/>
  <c r="M63"/>
  <c r="O63"/>
  <c r="D64"/>
  <c r="E64" s="1"/>
  <c r="G64"/>
  <c r="I64"/>
  <c r="K64"/>
  <c r="M64"/>
  <c r="O64"/>
  <c r="D65"/>
  <c r="E65" s="1"/>
  <c r="F65"/>
  <c r="H65"/>
  <c r="J65"/>
  <c r="L65"/>
  <c r="N65"/>
  <c r="E9" i="3"/>
  <c r="E12" i="7"/>
  <c r="Q81" i="22" l="1"/>
  <c r="N81"/>
  <c r="G81"/>
  <c r="O81"/>
  <c r="F81"/>
  <c r="L81"/>
  <c r="M81"/>
  <c r="U69"/>
  <c r="V69" s="1"/>
  <c r="U73"/>
  <c r="V73" s="1"/>
  <c r="S75"/>
  <c r="R80"/>
  <c r="R81" s="1"/>
  <c r="S69"/>
  <c r="R63"/>
  <c r="S63" s="1"/>
  <c r="R59"/>
  <c r="S59" s="1"/>
  <c r="R61"/>
  <c r="S61" s="1"/>
  <c r="R57"/>
  <c r="S57" s="1"/>
  <c r="F67"/>
  <c r="R56"/>
  <c r="R65"/>
  <c r="S65" s="1"/>
  <c r="R60"/>
  <c r="S60" s="1"/>
  <c r="N67"/>
  <c r="J67"/>
  <c r="Q67"/>
  <c r="M67"/>
  <c r="I67"/>
  <c r="D67"/>
  <c r="E56"/>
  <c r="E67" s="1"/>
  <c r="P68" s="1"/>
  <c r="R62"/>
  <c r="R58"/>
  <c r="S58" s="1"/>
  <c r="L67"/>
  <c r="H67"/>
  <c r="H68" s="1"/>
  <c r="R64"/>
  <c r="S64" s="1"/>
  <c r="O67"/>
  <c r="O68" s="1"/>
  <c r="K67"/>
  <c r="G67"/>
  <c r="G68" s="1"/>
  <c r="C8" i="3"/>
  <c r="K68" i="22" l="1"/>
  <c r="L68"/>
  <c r="M68"/>
  <c r="J68"/>
  <c r="I68"/>
  <c r="Q68"/>
  <c r="N68"/>
  <c r="F68"/>
  <c r="U56"/>
  <c r="V56" s="1"/>
  <c r="U60"/>
  <c r="V60" s="1"/>
  <c r="S62"/>
  <c r="R67"/>
  <c r="R68" s="1"/>
  <c r="S56"/>
  <c r="M14" i="17"/>
  <c r="Q13"/>
  <c r="N13"/>
  <c r="L13"/>
  <c r="J13"/>
  <c r="H13"/>
  <c r="G13"/>
  <c r="E13"/>
  <c r="D13"/>
  <c r="C44" i="22"/>
  <c r="C45"/>
  <c r="C46"/>
  <c r="C47"/>
  <c r="C48"/>
  <c r="C49"/>
  <c r="C50"/>
  <c r="C51"/>
  <c r="C52"/>
  <c r="C43"/>
  <c r="D52"/>
  <c r="E52" s="1"/>
  <c r="D51"/>
  <c r="E51" s="1"/>
  <c r="D47"/>
  <c r="E47" s="1"/>
  <c r="P43" l="1"/>
  <c r="N43"/>
  <c r="L43"/>
  <c r="J43"/>
  <c r="H43"/>
  <c r="F43"/>
  <c r="Q43"/>
  <c r="O43"/>
  <c r="M43"/>
  <c r="K43"/>
  <c r="I43"/>
  <c r="G43"/>
  <c r="Q51"/>
  <c r="O51"/>
  <c r="M51"/>
  <c r="K51"/>
  <c r="I51"/>
  <c r="G51"/>
  <c r="P51"/>
  <c r="N51"/>
  <c r="L51"/>
  <c r="J51"/>
  <c r="H51"/>
  <c r="F51"/>
  <c r="P49"/>
  <c r="N49"/>
  <c r="L49"/>
  <c r="J49"/>
  <c r="H49"/>
  <c r="F49"/>
  <c r="Q49"/>
  <c r="O49"/>
  <c r="M49"/>
  <c r="K49"/>
  <c r="I49"/>
  <c r="G49"/>
  <c r="P47"/>
  <c r="N47"/>
  <c r="L47"/>
  <c r="J47"/>
  <c r="H47"/>
  <c r="F47"/>
  <c r="Q47"/>
  <c r="O47"/>
  <c r="M47"/>
  <c r="K47"/>
  <c r="I47"/>
  <c r="G47"/>
  <c r="P45"/>
  <c r="N45"/>
  <c r="L45"/>
  <c r="J45"/>
  <c r="H45"/>
  <c r="F45"/>
  <c r="Q45"/>
  <c r="O45"/>
  <c r="M45"/>
  <c r="K45"/>
  <c r="I45"/>
  <c r="G45"/>
  <c r="Q52"/>
  <c r="O52"/>
  <c r="M52"/>
  <c r="K52"/>
  <c r="I52"/>
  <c r="G52"/>
  <c r="P52"/>
  <c r="N52"/>
  <c r="L52"/>
  <c r="J52"/>
  <c r="H52"/>
  <c r="F52"/>
  <c r="I50"/>
  <c r="Q50"/>
  <c r="O50"/>
  <c r="M50"/>
  <c r="K50"/>
  <c r="H50"/>
  <c r="F50"/>
  <c r="P50"/>
  <c r="N50"/>
  <c r="L50"/>
  <c r="J50"/>
  <c r="G50"/>
  <c r="P48"/>
  <c r="N48"/>
  <c r="L48"/>
  <c r="J48"/>
  <c r="H48"/>
  <c r="F48"/>
  <c r="Q48"/>
  <c r="O48"/>
  <c r="M48"/>
  <c r="K48"/>
  <c r="I48"/>
  <c r="G48"/>
  <c r="P46"/>
  <c r="N46"/>
  <c r="L46"/>
  <c r="J46"/>
  <c r="H46"/>
  <c r="F46"/>
  <c r="Q46"/>
  <c r="O46"/>
  <c r="M46"/>
  <c r="K46"/>
  <c r="I46"/>
  <c r="G46"/>
  <c r="P44"/>
  <c r="N44"/>
  <c r="L44"/>
  <c r="J44"/>
  <c r="H44"/>
  <c r="F44"/>
  <c r="Q44"/>
  <c r="O44"/>
  <c r="M44"/>
  <c r="K44"/>
  <c r="I44"/>
  <c r="G44"/>
  <c r="D45"/>
  <c r="E45" s="1"/>
  <c r="D49"/>
  <c r="E49" s="1"/>
  <c r="D43"/>
  <c r="E43" s="1"/>
  <c r="D44"/>
  <c r="E44" s="1"/>
  <c r="D46"/>
  <c r="E46" s="1"/>
  <c r="D48"/>
  <c r="E48" s="1"/>
  <c r="D50"/>
  <c r="E50" s="1"/>
  <c r="Q54" l="1"/>
  <c r="R43"/>
  <c r="R49"/>
  <c r="R47"/>
  <c r="S47" s="1"/>
  <c r="R45"/>
  <c r="S45" s="1"/>
  <c r="N54"/>
  <c r="J54"/>
  <c r="R52"/>
  <c r="S52" s="1"/>
  <c r="P54"/>
  <c r="L54"/>
  <c r="H54"/>
  <c r="S43"/>
  <c r="R51"/>
  <c r="R50"/>
  <c r="S50" s="1"/>
  <c r="R48"/>
  <c r="S48" s="1"/>
  <c r="R46"/>
  <c r="R44"/>
  <c r="S44" s="1"/>
  <c r="O54"/>
  <c r="K54"/>
  <c r="G54"/>
  <c r="F54"/>
  <c r="M54"/>
  <c r="I54"/>
  <c r="E54"/>
  <c r="D54"/>
  <c r="C5" i="3"/>
  <c r="E18" i="1"/>
  <c r="F31" i="29"/>
  <c r="G31"/>
  <c r="H31"/>
  <c r="I31"/>
  <c r="J31"/>
  <c r="K31"/>
  <c r="L31"/>
  <c r="M31"/>
  <c r="N31"/>
  <c r="O31"/>
  <c r="P31"/>
  <c r="Q31"/>
  <c r="F32"/>
  <c r="G32"/>
  <c r="H32"/>
  <c r="I32"/>
  <c r="J32"/>
  <c r="K32"/>
  <c r="L32"/>
  <c r="M32"/>
  <c r="N32"/>
  <c r="O32"/>
  <c r="P32"/>
  <c r="Q32"/>
  <c r="F33"/>
  <c r="G33"/>
  <c r="H33"/>
  <c r="I33"/>
  <c r="J33"/>
  <c r="K33"/>
  <c r="L33"/>
  <c r="M33"/>
  <c r="N33"/>
  <c r="O33"/>
  <c r="P33"/>
  <c r="Q33"/>
  <c r="F34"/>
  <c r="G34"/>
  <c r="H34"/>
  <c r="I34"/>
  <c r="J34"/>
  <c r="K34"/>
  <c r="L34"/>
  <c r="M34"/>
  <c r="N34"/>
  <c r="O34"/>
  <c r="P34"/>
  <c r="Q34"/>
  <c r="F35"/>
  <c r="G35"/>
  <c r="H35"/>
  <c r="I35"/>
  <c r="J35"/>
  <c r="K35"/>
  <c r="L35"/>
  <c r="M35"/>
  <c r="N35"/>
  <c r="O35"/>
  <c r="P35"/>
  <c r="Q35"/>
  <c r="F36"/>
  <c r="G36"/>
  <c r="H36"/>
  <c r="I36"/>
  <c r="J36"/>
  <c r="K36"/>
  <c r="L36"/>
  <c r="M36"/>
  <c r="N36"/>
  <c r="O36"/>
  <c r="P36"/>
  <c r="Q36"/>
  <c r="F37"/>
  <c r="G37"/>
  <c r="H37"/>
  <c r="I37"/>
  <c r="J37"/>
  <c r="K37"/>
  <c r="L37"/>
  <c r="M37"/>
  <c r="N37"/>
  <c r="O37"/>
  <c r="P37"/>
  <c r="Q37"/>
  <c r="F38"/>
  <c r="G38"/>
  <c r="H38"/>
  <c r="I38"/>
  <c r="J38"/>
  <c r="K38"/>
  <c r="L38"/>
  <c r="M38"/>
  <c r="N38"/>
  <c r="O38"/>
  <c r="P38"/>
  <c r="Q38"/>
  <c r="F39"/>
  <c r="G39"/>
  <c r="H39"/>
  <c r="I39"/>
  <c r="J39"/>
  <c r="K39"/>
  <c r="L39"/>
  <c r="M39"/>
  <c r="N39"/>
  <c r="O39"/>
  <c r="P39"/>
  <c r="Q39"/>
  <c r="Q30"/>
  <c r="P30"/>
  <c r="O30"/>
  <c r="N30"/>
  <c r="M30"/>
  <c r="L30"/>
  <c r="K30"/>
  <c r="J30"/>
  <c r="I30"/>
  <c r="H30"/>
  <c r="G30"/>
  <c r="F30"/>
  <c r="F18"/>
  <c r="G18"/>
  <c r="H18"/>
  <c r="I18"/>
  <c r="J18"/>
  <c r="K18"/>
  <c r="L18"/>
  <c r="M18"/>
  <c r="N18"/>
  <c r="O18"/>
  <c r="P18"/>
  <c r="Q18"/>
  <c r="F19"/>
  <c r="G19"/>
  <c r="H19"/>
  <c r="I19"/>
  <c r="J19"/>
  <c r="K19"/>
  <c r="L19"/>
  <c r="M19"/>
  <c r="N19"/>
  <c r="O19"/>
  <c r="P19"/>
  <c r="Q19"/>
  <c r="F20"/>
  <c r="G20"/>
  <c r="H20"/>
  <c r="I20"/>
  <c r="J20"/>
  <c r="K20"/>
  <c r="L20"/>
  <c r="M20"/>
  <c r="N20"/>
  <c r="O20"/>
  <c r="P20"/>
  <c r="Q20"/>
  <c r="F21"/>
  <c r="G21"/>
  <c r="H21"/>
  <c r="I21"/>
  <c r="J21"/>
  <c r="K21"/>
  <c r="L21"/>
  <c r="M21"/>
  <c r="N21"/>
  <c r="O21"/>
  <c r="P21"/>
  <c r="Q21"/>
  <c r="F22"/>
  <c r="G22"/>
  <c r="H22"/>
  <c r="I22"/>
  <c r="J22"/>
  <c r="K22"/>
  <c r="L22"/>
  <c r="M22"/>
  <c r="N22"/>
  <c r="O22"/>
  <c r="P22"/>
  <c r="Q22"/>
  <c r="F23"/>
  <c r="G23"/>
  <c r="H23"/>
  <c r="I23"/>
  <c r="J23"/>
  <c r="K23"/>
  <c r="L23"/>
  <c r="M23"/>
  <c r="N23"/>
  <c r="O23"/>
  <c r="P23"/>
  <c r="Q23"/>
  <c r="F24"/>
  <c r="G24"/>
  <c r="H24"/>
  <c r="I24"/>
  <c r="J24"/>
  <c r="K24"/>
  <c r="L24"/>
  <c r="M24"/>
  <c r="N24"/>
  <c r="O24"/>
  <c r="P24"/>
  <c r="Q24"/>
  <c r="F25"/>
  <c r="G25"/>
  <c r="H25"/>
  <c r="I25"/>
  <c r="J25"/>
  <c r="K25"/>
  <c r="L25"/>
  <c r="M25"/>
  <c r="N25"/>
  <c r="O25"/>
  <c r="P25"/>
  <c r="Q25"/>
  <c r="F26"/>
  <c r="G26"/>
  <c r="H26"/>
  <c r="I26"/>
  <c r="J26"/>
  <c r="K26"/>
  <c r="L26"/>
  <c r="M26"/>
  <c r="N26"/>
  <c r="O26"/>
  <c r="P26"/>
  <c r="Q26"/>
  <c r="Q17"/>
  <c r="P17"/>
  <c r="O17"/>
  <c r="N17"/>
  <c r="M17"/>
  <c r="L17"/>
  <c r="K17"/>
  <c r="J17"/>
  <c r="I17"/>
  <c r="H17"/>
  <c r="G17"/>
  <c r="F17"/>
  <c r="F5"/>
  <c r="G5"/>
  <c r="H5"/>
  <c r="I5"/>
  <c r="J5"/>
  <c r="K5"/>
  <c r="L5"/>
  <c r="M5"/>
  <c r="N5"/>
  <c r="O5"/>
  <c r="P5"/>
  <c r="Q5"/>
  <c r="F6"/>
  <c r="G6"/>
  <c r="H6"/>
  <c r="I6"/>
  <c r="J6"/>
  <c r="K6"/>
  <c r="L6"/>
  <c r="M6"/>
  <c r="N6"/>
  <c r="O6"/>
  <c r="P6"/>
  <c r="Q6"/>
  <c r="F7"/>
  <c r="G7"/>
  <c r="H7"/>
  <c r="I7"/>
  <c r="J7"/>
  <c r="K7"/>
  <c r="L7"/>
  <c r="M7"/>
  <c r="N7"/>
  <c r="O7"/>
  <c r="P7"/>
  <c r="Q7"/>
  <c r="F8"/>
  <c r="G8"/>
  <c r="H8"/>
  <c r="I8"/>
  <c r="J8"/>
  <c r="K8"/>
  <c r="L8"/>
  <c r="M8"/>
  <c r="N8"/>
  <c r="O8"/>
  <c r="P8"/>
  <c r="Q8"/>
  <c r="F9"/>
  <c r="G9"/>
  <c r="H9"/>
  <c r="I9"/>
  <c r="J9"/>
  <c r="K9"/>
  <c r="L9"/>
  <c r="M9"/>
  <c r="N9"/>
  <c r="O9"/>
  <c r="P9"/>
  <c r="Q9"/>
  <c r="F10"/>
  <c r="G10"/>
  <c r="H10"/>
  <c r="I10"/>
  <c r="J10"/>
  <c r="K10"/>
  <c r="L10"/>
  <c r="M10"/>
  <c r="N10"/>
  <c r="O10"/>
  <c r="P10"/>
  <c r="Q10"/>
  <c r="F11"/>
  <c r="G11"/>
  <c r="H11"/>
  <c r="I11"/>
  <c r="J11"/>
  <c r="K11"/>
  <c r="L11"/>
  <c r="M11"/>
  <c r="N11"/>
  <c r="O11"/>
  <c r="P11"/>
  <c r="Q11"/>
  <c r="F12"/>
  <c r="G12"/>
  <c r="H12"/>
  <c r="I12"/>
  <c r="J12"/>
  <c r="K12"/>
  <c r="L12"/>
  <c r="M12"/>
  <c r="N12"/>
  <c r="O12"/>
  <c r="P12"/>
  <c r="Q12"/>
  <c r="F13"/>
  <c r="G13"/>
  <c r="H13"/>
  <c r="I13"/>
  <c r="J13"/>
  <c r="K13"/>
  <c r="L13"/>
  <c r="M13"/>
  <c r="N13"/>
  <c r="O13"/>
  <c r="P13"/>
  <c r="Q13"/>
  <c r="Q4"/>
  <c r="P4"/>
  <c r="O4"/>
  <c r="N4"/>
  <c r="M4"/>
  <c r="L4"/>
  <c r="K4"/>
  <c r="J4"/>
  <c r="I4"/>
  <c r="H4"/>
  <c r="G4"/>
  <c r="F4"/>
  <c r="C38"/>
  <c r="C39"/>
  <c r="C31"/>
  <c r="C32"/>
  <c r="C33"/>
  <c r="C34"/>
  <c r="C35"/>
  <c r="C36"/>
  <c r="C37"/>
  <c r="C30"/>
  <c r="C18"/>
  <c r="C19"/>
  <c r="C20"/>
  <c r="C21"/>
  <c r="C22"/>
  <c r="C23"/>
  <c r="C24"/>
  <c r="C25"/>
  <c r="C17"/>
  <c r="D17" s="1"/>
  <c r="D25"/>
  <c r="E25" s="1"/>
  <c r="D24"/>
  <c r="E24" s="1"/>
  <c r="D23"/>
  <c r="E23" s="1"/>
  <c r="D22"/>
  <c r="E22" s="1"/>
  <c r="D21"/>
  <c r="E21" s="1"/>
  <c r="D20"/>
  <c r="E20" s="1"/>
  <c r="D19"/>
  <c r="E19" s="1"/>
  <c r="D18"/>
  <c r="C4"/>
  <c r="D5"/>
  <c r="D6"/>
  <c r="D7"/>
  <c r="D8"/>
  <c r="D9"/>
  <c r="D10"/>
  <c r="D11"/>
  <c r="D12"/>
  <c r="E12" s="1"/>
  <c r="D13"/>
  <c r="E13" s="1"/>
  <c r="D4"/>
  <c r="E5"/>
  <c r="E6"/>
  <c r="E7"/>
  <c r="E8"/>
  <c r="E9"/>
  <c r="E10"/>
  <c r="E11"/>
  <c r="E18"/>
  <c r="C31" i="22"/>
  <c r="C32"/>
  <c r="C33"/>
  <c r="C34"/>
  <c r="C35"/>
  <c r="C36"/>
  <c r="C37"/>
  <c r="C38"/>
  <c r="C39"/>
  <c r="C30"/>
  <c r="C18"/>
  <c r="C19"/>
  <c r="C20"/>
  <c r="C21"/>
  <c r="C22"/>
  <c r="C23"/>
  <c r="C24"/>
  <c r="C25"/>
  <c r="C26"/>
  <c r="C17"/>
  <c r="C5"/>
  <c r="C6"/>
  <c r="C7"/>
  <c r="C8"/>
  <c r="C9"/>
  <c r="C10"/>
  <c r="C11"/>
  <c r="C12"/>
  <c r="C13"/>
  <c r="C4"/>
  <c r="A48" i="9"/>
  <c r="A49" s="1"/>
  <c r="A50" s="1"/>
  <c r="A51" s="1"/>
  <c r="A52" s="1"/>
  <c r="A53" s="1"/>
  <c r="A54" s="1"/>
  <c r="A55" s="1"/>
  <c r="A56" s="1"/>
  <c r="A57" s="1"/>
  <c r="A37"/>
  <c r="A38" s="1"/>
  <c r="A39" s="1"/>
  <c r="A40" s="1"/>
  <c r="A41" s="1"/>
  <c r="A42" s="1"/>
  <c r="A43" s="1"/>
  <c r="A44" s="1"/>
  <c r="A45" s="1"/>
  <c r="A46" s="1"/>
  <c r="A26"/>
  <c r="A27" s="1"/>
  <c r="A28" s="1"/>
  <c r="A29" s="1"/>
  <c r="A30" s="1"/>
  <c r="A31" s="1"/>
  <c r="A32" s="1"/>
  <c r="A33" s="1"/>
  <c r="A34" s="1"/>
  <c r="A35" s="1"/>
  <c r="A16"/>
  <c r="A17" s="1"/>
  <c r="A18" s="1"/>
  <c r="A19" s="1"/>
  <c r="A20" s="1"/>
  <c r="A21" s="1"/>
  <c r="A22" s="1"/>
  <c r="A23" s="1"/>
  <c r="A24" s="1"/>
  <c r="A6"/>
  <c r="A7"/>
  <c r="A8"/>
  <c r="A9"/>
  <c r="A10"/>
  <c r="A11"/>
  <c r="A12"/>
  <c r="A13"/>
  <c r="A5"/>
  <c r="I55" i="22" l="1"/>
  <c r="F55"/>
  <c r="K55"/>
  <c r="H55"/>
  <c r="P55"/>
  <c r="J55"/>
  <c r="Q55"/>
  <c r="M55"/>
  <c r="G55"/>
  <c r="O55"/>
  <c r="L55"/>
  <c r="N55"/>
  <c r="P4"/>
  <c r="N4"/>
  <c r="L4"/>
  <c r="J4"/>
  <c r="H4"/>
  <c r="O4"/>
  <c r="K4"/>
  <c r="Q4"/>
  <c r="M4"/>
  <c r="I4"/>
  <c r="G4"/>
  <c r="G12"/>
  <c r="I12"/>
  <c r="K12"/>
  <c r="M12"/>
  <c r="O12"/>
  <c r="Q12"/>
  <c r="H12"/>
  <c r="L12"/>
  <c r="P12"/>
  <c r="F12"/>
  <c r="J12"/>
  <c r="N12"/>
  <c r="G8"/>
  <c r="I8"/>
  <c r="K8"/>
  <c r="M8"/>
  <c r="O8"/>
  <c r="Q8"/>
  <c r="F8"/>
  <c r="H8"/>
  <c r="L8"/>
  <c r="P8"/>
  <c r="J8"/>
  <c r="N8"/>
  <c r="D17"/>
  <c r="P17"/>
  <c r="N17"/>
  <c r="L17"/>
  <c r="J17"/>
  <c r="H17"/>
  <c r="F17"/>
  <c r="Q17"/>
  <c r="O17"/>
  <c r="M17"/>
  <c r="K17"/>
  <c r="I17"/>
  <c r="G17"/>
  <c r="D23"/>
  <c r="E23" s="1"/>
  <c r="P23"/>
  <c r="N23"/>
  <c r="L23"/>
  <c r="J23"/>
  <c r="H23"/>
  <c r="F23"/>
  <c r="Q23"/>
  <c r="O23"/>
  <c r="M23"/>
  <c r="K23"/>
  <c r="I23"/>
  <c r="G23"/>
  <c r="D21"/>
  <c r="E21" s="1"/>
  <c r="P21"/>
  <c r="N21"/>
  <c r="L21"/>
  <c r="J21"/>
  <c r="H21"/>
  <c r="F21"/>
  <c r="Q21"/>
  <c r="O21"/>
  <c r="M21"/>
  <c r="K21"/>
  <c r="I21"/>
  <c r="G21"/>
  <c r="D19"/>
  <c r="E19" s="1"/>
  <c r="P19"/>
  <c r="N19"/>
  <c r="L19"/>
  <c r="J19"/>
  <c r="H19"/>
  <c r="F19"/>
  <c r="Q19"/>
  <c r="O19"/>
  <c r="M19"/>
  <c r="K19"/>
  <c r="I19"/>
  <c r="G19"/>
  <c r="D30"/>
  <c r="P30"/>
  <c r="N30"/>
  <c r="L30"/>
  <c r="J30"/>
  <c r="H30"/>
  <c r="F30"/>
  <c r="Q30"/>
  <c r="O30"/>
  <c r="M30"/>
  <c r="K30"/>
  <c r="I30"/>
  <c r="G30"/>
  <c r="D38"/>
  <c r="E38" s="1"/>
  <c r="P38"/>
  <c r="N38"/>
  <c r="L38"/>
  <c r="J38"/>
  <c r="H38"/>
  <c r="F38"/>
  <c r="Q38"/>
  <c r="O38"/>
  <c r="M38"/>
  <c r="K38"/>
  <c r="I38"/>
  <c r="G38"/>
  <c r="D36"/>
  <c r="P36"/>
  <c r="N36"/>
  <c r="L36"/>
  <c r="J36"/>
  <c r="H36"/>
  <c r="F36"/>
  <c r="Q36"/>
  <c r="O36"/>
  <c r="M36"/>
  <c r="K36"/>
  <c r="I36"/>
  <c r="G36"/>
  <c r="D32"/>
  <c r="P32"/>
  <c r="N32"/>
  <c r="L32"/>
  <c r="J32"/>
  <c r="H32"/>
  <c r="F32"/>
  <c r="Q32"/>
  <c r="O32"/>
  <c r="M32"/>
  <c r="K32"/>
  <c r="I32"/>
  <c r="G32"/>
  <c r="G13"/>
  <c r="I13"/>
  <c r="K13"/>
  <c r="M13"/>
  <c r="O13"/>
  <c r="Q13"/>
  <c r="H13"/>
  <c r="L13"/>
  <c r="P13"/>
  <c r="F13"/>
  <c r="J13"/>
  <c r="N13"/>
  <c r="G11"/>
  <c r="I11"/>
  <c r="K11"/>
  <c r="M11"/>
  <c r="O11"/>
  <c r="Q11"/>
  <c r="F11"/>
  <c r="H11"/>
  <c r="L11"/>
  <c r="P11"/>
  <c r="J11"/>
  <c r="N11"/>
  <c r="G9"/>
  <c r="I9"/>
  <c r="K9"/>
  <c r="M9"/>
  <c r="O9"/>
  <c r="Q9"/>
  <c r="H9"/>
  <c r="J9"/>
  <c r="N9"/>
  <c r="F9"/>
  <c r="L9"/>
  <c r="P9"/>
  <c r="G7"/>
  <c r="I7"/>
  <c r="K7"/>
  <c r="M7"/>
  <c r="O7"/>
  <c r="Q7"/>
  <c r="F7"/>
  <c r="J7"/>
  <c r="N7"/>
  <c r="H7"/>
  <c r="L7"/>
  <c r="P7"/>
  <c r="G5"/>
  <c r="I5"/>
  <c r="K5"/>
  <c r="M5"/>
  <c r="O5"/>
  <c r="Q5"/>
  <c r="F5"/>
  <c r="H5"/>
  <c r="J5"/>
  <c r="L5"/>
  <c r="N5"/>
  <c r="P5"/>
  <c r="P26"/>
  <c r="N26"/>
  <c r="L26"/>
  <c r="J26"/>
  <c r="H26"/>
  <c r="F26"/>
  <c r="Q26"/>
  <c r="O26"/>
  <c r="M26"/>
  <c r="K26"/>
  <c r="I26"/>
  <c r="G26"/>
  <c r="P24"/>
  <c r="N24"/>
  <c r="L24"/>
  <c r="J24"/>
  <c r="H24"/>
  <c r="F24"/>
  <c r="Q24"/>
  <c r="O24"/>
  <c r="M24"/>
  <c r="K24"/>
  <c r="I24"/>
  <c r="G24"/>
  <c r="P22"/>
  <c r="N22"/>
  <c r="L22"/>
  <c r="J22"/>
  <c r="H22"/>
  <c r="F22"/>
  <c r="Q22"/>
  <c r="O22"/>
  <c r="M22"/>
  <c r="K22"/>
  <c r="I22"/>
  <c r="G22"/>
  <c r="P20"/>
  <c r="N20"/>
  <c r="L20"/>
  <c r="J20"/>
  <c r="H20"/>
  <c r="F20"/>
  <c r="Q20"/>
  <c r="O20"/>
  <c r="M20"/>
  <c r="K20"/>
  <c r="I20"/>
  <c r="G20"/>
  <c r="P18"/>
  <c r="N18"/>
  <c r="L18"/>
  <c r="J18"/>
  <c r="H18"/>
  <c r="F18"/>
  <c r="Q18"/>
  <c r="O18"/>
  <c r="M18"/>
  <c r="K18"/>
  <c r="I18"/>
  <c r="G18"/>
  <c r="D39"/>
  <c r="E39" s="1"/>
  <c r="P39"/>
  <c r="N39"/>
  <c r="L39"/>
  <c r="J39"/>
  <c r="H39"/>
  <c r="F39"/>
  <c r="Q39"/>
  <c r="O39"/>
  <c r="M39"/>
  <c r="K39"/>
  <c r="I39"/>
  <c r="G39"/>
  <c r="D37"/>
  <c r="E37" s="1"/>
  <c r="P37"/>
  <c r="N37"/>
  <c r="L37"/>
  <c r="J37"/>
  <c r="H37"/>
  <c r="F37"/>
  <c r="Q37"/>
  <c r="O37"/>
  <c r="M37"/>
  <c r="K37"/>
  <c r="I37"/>
  <c r="G37"/>
  <c r="D35"/>
  <c r="P35"/>
  <c r="N35"/>
  <c r="L35"/>
  <c r="J35"/>
  <c r="H35"/>
  <c r="F35"/>
  <c r="Q35"/>
  <c r="O35"/>
  <c r="M35"/>
  <c r="K35"/>
  <c r="I35"/>
  <c r="G35"/>
  <c r="D33"/>
  <c r="P33"/>
  <c r="N33"/>
  <c r="L33"/>
  <c r="J33"/>
  <c r="H33"/>
  <c r="F33"/>
  <c r="Q33"/>
  <c r="O33"/>
  <c r="M33"/>
  <c r="K33"/>
  <c r="I33"/>
  <c r="G33"/>
  <c r="D31"/>
  <c r="P31"/>
  <c r="N31"/>
  <c r="L31"/>
  <c r="J31"/>
  <c r="H31"/>
  <c r="F31"/>
  <c r="Q31"/>
  <c r="O31"/>
  <c r="M31"/>
  <c r="K31"/>
  <c r="I31"/>
  <c r="G31"/>
  <c r="G10"/>
  <c r="I10"/>
  <c r="K10"/>
  <c r="M10"/>
  <c r="O10"/>
  <c r="Q10"/>
  <c r="F10"/>
  <c r="J10"/>
  <c r="L10"/>
  <c r="P10"/>
  <c r="H10"/>
  <c r="N10"/>
  <c r="G6"/>
  <c r="I6"/>
  <c r="K6"/>
  <c r="M6"/>
  <c r="O6"/>
  <c r="Q6"/>
  <c r="H6"/>
  <c r="N6"/>
  <c r="F6"/>
  <c r="J6"/>
  <c r="L6"/>
  <c r="P6"/>
  <c r="D25"/>
  <c r="E25" s="1"/>
  <c r="P25"/>
  <c r="N25"/>
  <c r="L25"/>
  <c r="J25"/>
  <c r="H25"/>
  <c r="F25"/>
  <c r="Q25"/>
  <c r="O25"/>
  <c r="M25"/>
  <c r="K25"/>
  <c r="I25"/>
  <c r="G25"/>
  <c r="D34"/>
  <c r="P34"/>
  <c r="N34"/>
  <c r="L34"/>
  <c r="J34"/>
  <c r="H34"/>
  <c r="F34"/>
  <c r="Q34"/>
  <c r="O34"/>
  <c r="M34"/>
  <c r="K34"/>
  <c r="I34"/>
  <c r="G34"/>
  <c r="A59" i="9"/>
  <c r="A60" s="1"/>
  <c r="A61" s="1"/>
  <c r="A62" s="1"/>
  <c r="A63" s="1"/>
  <c r="A64" s="1"/>
  <c r="A65" s="1"/>
  <c r="A66" s="1"/>
  <c r="A67" s="1"/>
  <c r="A68" s="1"/>
  <c r="S49" i="22"/>
  <c r="U47"/>
  <c r="V47" s="1"/>
  <c r="U43"/>
  <c r="V43" s="1"/>
  <c r="S51"/>
  <c r="S46"/>
  <c r="R54"/>
  <c r="R55" s="1"/>
  <c r="D26"/>
  <c r="E26" s="1"/>
  <c r="D18"/>
  <c r="E18" s="1"/>
  <c r="D22"/>
  <c r="E22" s="1"/>
  <c r="D24"/>
  <c r="E24" s="1"/>
  <c r="D20"/>
  <c r="E20" s="1"/>
  <c r="R26" i="29"/>
  <c r="S26" s="1"/>
  <c r="D31"/>
  <c r="E31" s="1"/>
  <c r="D33"/>
  <c r="E33" s="1"/>
  <c r="D35"/>
  <c r="E35" s="1"/>
  <c r="D37"/>
  <c r="E37" s="1"/>
  <c r="D39"/>
  <c r="E39" s="1"/>
  <c r="P41"/>
  <c r="D30"/>
  <c r="D32"/>
  <c r="E32" s="1"/>
  <c r="D34"/>
  <c r="E34" s="1"/>
  <c r="D36"/>
  <c r="E36" s="1"/>
  <c r="D38"/>
  <c r="E38" s="1"/>
  <c r="Q28"/>
  <c r="R13"/>
  <c r="S13" s="1"/>
  <c r="R11"/>
  <c r="U11" s="1"/>
  <c r="R9"/>
  <c r="S9" s="1"/>
  <c r="R7"/>
  <c r="S7" s="1"/>
  <c r="R5"/>
  <c r="S5" s="1"/>
  <c r="F15"/>
  <c r="G15"/>
  <c r="H15"/>
  <c r="I15"/>
  <c r="J15"/>
  <c r="K15"/>
  <c r="L15"/>
  <c r="M15"/>
  <c r="N15"/>
  <c r="P15"/>
  <c r="Q15"/>
  <c r="R19"/>
  <c r="S19" s="1"/>
  <c r="R21"/>
  <c r="U21" s="1"/>
  <c r="V21" s="1"/>
  <c r="R23"/>
  <c r="S23" s="1"/>
  <c r="R25"/>
  <c r="S25" s="1"/>
  <c r="D28"/>
  <c r="E17"/>
  <c r="E28" s="1"/>
  <c r="R12"/>
  <c r="S12" s="1"/>
  <c r="R10"/>
  <c r="S10" s="1"/>
  <c r="R8"/>
  <c r="S8" s="1"/>
  <c r="R6"/>
  <c r="U6" s="1"/>
  <c r="H28"/>
  <c r="H29" s="1"/>
  <c r="J28"/>
  <c r="J29" s="1"/>
  <c r="L28"/>
  <c r="L29" s="1"/>
  <c r="N28"/>
  <c r="N29" s="1"/>
  <c r="P28"/>
  <c r="P29" s="1"/>
  <c r="O15"/>
  <c r="D15"/>
  <c r="E4"/>
  <c r="E15" s="1"/>
  <c r="D41" i="22"/>
  <c r="D4"/>
  <c r="D12"/>
  <c r="E12" s="1"/>
  <c r="D10"/>
  <c r="E10" s="1"/>
  <c r="D8"/>
  <c r="E8" s="1"/>
  <c r="D6"/>
  <c r="E6" s="1"/>
  <c r="D13"/>
  <c r="E13" s="1"/>
  <c r="D11"/>
  <c r="E11" s="1"/>
  <c r="D9"/>
  <c r="E9" s="1"/>
  <c r="D7"/>
  <c r="E7" s="1"/>
  <c r="D5"/>
  <c r="E5" s="1"/>
  <c r="A70" i="9"/>
  <c r="P110" i="29" l="1"/>
  <c r="P16"/>
  <c r="M16"/>
  <c r="K16"/>
  <c r="I16"/>
  <c r="G16"/>
  <c r="O16"/>
  <c r="Q16"/>
  <c r="N16"/>
  <c r="L16"/>
  <c r="J16"/>
  <c r="H16"/>
  <c r="F16"/>
  <c r="Q29"/>
  <c r="F41" i="22"/>
  <c r="D28"/>
  <c r="U13" i="29"/>
  <c r="S6"/>
  <c r="R22" i="22"/>
  <c r="S22" s="1"/>
  <c r="R38"/>
  <c r="S38" s="1"/>
  <c r="R13"/>
  <c r="S13" s="1"/>
  <c r="R39"/>
  <c r="R25"/>
  <c r="S25" s="1"/>
  <c r="R12"/>
  <c r="S12" s="1"/>
  <c r="R20"/>
  <c r="S20" s="1"/>
  <c r="F28"/>
  <c r="R21"/>
  <c r="S21" s="1"/>
  <c r="R23"/>
  <c r="S23" s="1"/>
  <c r="R24"/>
  <c r="S24" s="1"/>
  <c r="R26"/>
  <c r="S26" s="1"/>
  <c r="R18"/>
  <c r="S18" s="1"/>
  <c r="R11"/>
  <c r="S11" s="1"/>
  <c r="R19"/>
  <c r="S19" s="1"/>
  <c r="N41"/>
  <c r="J41"/>
  <c r="O28"/>
  <c r="K28"/>
  <c r="G28"/>
  <c r="P28"/>
  <c r="L28"/>
  <c r="Q41"/>
  <c r="M41"/>
  <c r="I41"/>
  <c r="J28"/>
  <c r="P41"/>
  <c r="L41"/>
  <c r="H41"/>
  <c r="Q28"/>
  <c r="M28"/>
  <c r="I28"/>
  <c r="N28"/>
  <c r="H28"/>
  <c r="O41"/>
  <c r="K41"/>
  <c r="G41"/>
  <c r="D41" i="29"/>
  <c r="E30"/>
  <c r="E41" s="1"/>
  <c r="P42" s="1"/>
  <c r="R37"/>
  <c r="S37" s="1"/>
  <c r="R35"/>
  <c r="S35" s="1"/>
  <c r="R33"/>
  <c r="R31"/>
  <c r="S31" s="1"/>
  <c r="L41"/>
  <c r="H41"/>
  <c r="H42" s="1"/>
  <c r="O41"/>
  <c r="K41"/>
  <c r="K42" s="1"/>
  <c r="G41"/>
  <c r="F41"/>
  <c r="F42" s="1"/>
  <c r="R30"/>
  <c r="R38"/>
  <c r="S38" s="1"/>
  <c r="R36"/>
  <c r="S36" s="1"/>
  <c r="R34"/>
  <c r="S34" s="1"/>
  <c r="R32"/>
  <c r="S32" s="1"/>
  <c r="N41"/>
  <c r="N42" s="1"/>
  <c r="J41"/>
  <c r="R39"/>
  <c r="S39" s="1"/>
  <c r="Q41"/>
  <c r="M41"/>
  <c r="M42" s="1"/>
  <c r="I41"/>
  <c r="U5"/>
  <c r="U10"/>
  <c r="U8"/>
  <c r="U12"/>
  <c r="U9"/>
  <c r="U7"/>
  <c r="S11"/>
  <c r="S21"/>
  <c r="R24"/>
  <c r="S24" s="1"/>
  <c r="R22"/>
  <c r="R20"/>
  <c r="S20" s="1"/>
  <c r="R18"/>
  <c r="S18" s="1"/>
  <c r="I28"/>
  <c r="I29" s="1"/>
  <c r="O28"/>
  <c r="O29" s="1"/>
  <c r="K28"/>
  <c r="K29" s="1"/>
  <c r="G28"/>
  <c r="G29" s="1"/>
  <c r="M28"/>
  <c r="M29" s="1"/>
  <c r="R4"/>
  <c r="R15" s="1"/>
  <c r="R16" s="1"/>
  <c r="F28"/>
  <c r="F29" s="1"/>
  <c r="R17"/>
  <c r="F15" i="22"/>
  <c r="D15"/>
  <c r="A71" i="9"/>
  <c r="A81"/>
  <c r="P111" i="29" l="1"/>
  <c r="N7" i="31"/>
  <c r="F175" i="22"/>
  <c r="F110" i="29"/>
  <c r="L110"/>
  <c r="Q110"/>
  <c r="I110"/>
  <c r="K110"/>
  <c r="J110"/>
  <c r="N110"/>
  <c r="O110"/>
  <c r="M110"/>
  <c r="G110"/>
  <c r="I42"/>
  <c r="Q42"/>
  <c r="J42"/>
  <c r="G42"/>
  <c r="O42"/>
  <c r="L42"/>
  <c r="U30"/>
  <c r="V30" s="1"/>
  <c r="S22"/>
  <c r="U22"/>
  <c r="V22" s="1"/>
  <c r="S30"/>
  <c r="R41"/>
  <c r="R42" s="1"/>
  <c r="U33"/>
  <c r="V33" s="1"/>
  <c r="S33"/>
  <c r="S4"/>
  <c r="U4"/>
  <c r="V4" s="1"/>
  <c r="R28"/>
  <c r="R29" s="1"/>
  <c r="S17"/>
  <c r="U17"/>
  <c r="V17" s="1"/>
  <c r="A72" i="9"/>
  <c r="A73" s="1"/>
  <c r="A74" s="1"/>
  <c r="A75" s="1"/>
  <c r="A82"/>
  <c r="A83" s="1"/>
  <c r="A84" s="1"/>
  <c r="A85" s="1"/>
  <c r="A86" s="1"/>
  <c r="A87" s="1"/>
  <c r="A88" s="1"/>
  <c r="A89" s="1"/>
  <c r="A90" s="1"/>
  <c r="A92"/>
  <c r="N8" i="31" l="1"/>
  <c r="G111" i="29"/>
  <c r="E7" i="31"/>
  <c r="J111" i="29"/>
  <c r="H7" i="31"/>
  <c r="I111" i="29"/>
  <c r="G7" i="31"/>
  <c r="L111" i="29"/>
  <c r="J7" i="31"/>
  <c r="O111" i="29"/>
  <c r="M7" i="31"/>
  <c r="M111" i="29"/>
  <c r="K7" i="31"/>
  <c r="N111" i="29"/>
  <c r="L7" i="31"/>
  <c r="K111" i="29"/>
  <c r="I7" i="31"/>
  <c r="Q111" i="29"/>
  <c r="O7" i="31"/>
  <c r="F111" i="29"/>
  <c r="D7" i="31"/>
  <c r="P7" s="1"/>
  <c r="F176" i="22"/>
  <c r="D4" i="31"/>
  <c r="R110" i="29"/>
  <c r="AC3"/>
  <c r="AE3"/>
  <c r="AG3"/>
  <c r="AI3"/>
  <c r="AD3"/>
  <c r="AF3"/>
  <c r="AH3"/>
  <c r="AJ3"/>
  <c r="A76" i="9"/>
  <c r="A77" s="1"/>
  <c r="A78" s="1"/>
  <c r="A79" s="1"/>
  <c r="A93"/>
  <c r="A103"/>
  <c r="R111" i="29" l="1"/>
  <c r="P8" i="31" s="1"/>
  <c r="H21"/>
  <c r="D21"/>
  <c r="G21"/>
  <c r="C21"/>
  <c r="J21"/>
  <c r="F21"/>
  <c r="I21"/>
  <c r="E21"/>
  <c r="D5"/>
  <c r="D8"/>
  <c r="O8"/>
  <c r="I8"/>
  <c r="L8"/>
  <c r="K8"/>
  <c r="M8"/>
  <c r="J8"/>
  <c r="G8"/>
  <c r="H8"/>
  <c r="E8"/>
  <c r="A94" i="9"/>
  <c r="A104"/>
  <c r="A105" s="1"/>
  <c r="A106" s="1"/>
  <c r="A107" s="1"/>
  <c r="A108" s="1"/>
  <c r="A109" s="1"/>
  <c r="A110" s="1"/>
  <c r="A111" s="1"/>
  <c r="A112" s="1"/>
  <c r="A114"/>
  <c r="A115" l="1"/>
  <c r="A125"/>
  <c r="A95"/>
  <c r="A116" l="1"/>
  <c r="A96"/>
  <c r="A136"/>
  <c r="A126"/>
  <c r="A127" s="1"/>
  <c r="A128" s="1"/>
  <c r="A129" s="1"/>
  <c r="A130" s="1"/>
  <c r="A131" s="1"/>
  <c r="A132" s="1"/>
  <c r="A133" s="1"/>
  <c r="A134" s="1"/>
  <c r="A117" l="1"/>
  <c r="A97"/>
  <c r="A98" s="1"/>
  <c r="A99" s="1"/>
  <c r="A100" s="1"/>
  <c r="A101" s="1"/>
  <c r="A137"/>
  <c r="A138" s="1"/>
  <c r="A139" s="1"/>
  <c r="A140" s="1"/>
  <c r="A141" s="1"/>
  <c r="A142" s="1"/>
  <c r="A143" s="1"/>
  <c r="A144" s="1"/>
  <c r="A145" s="1"/>
  <c r="A147"/>
  <c r="A118" l="1"/>
  <c r="A148"/>
  <c r="A149" s="1"/>
  <c r="A150" s="1"/>
  <c r="A151" s="1"/>
  <c r="A152" s="1"/>
  <c r="A153" s="1"/>
  <c r="A154" s="1"/>
  <c r="A155" s="1"/>
  <c r="A156" s="1"/>
  <c r="A158"/>
  <c r="A119" l="1"/>
  <c r="A159"/>
  <c r="A160" s="1"/>
  <c r="A161" s="1"/>
  <c r="A162" s="1"/>
  <c r="A163" s="1"/>
  <c r="A164" s="1"/>
  <c r="A165" s="1"/>
  <c r="A166" s="1"/>
  <c r="A167" s="1"/>
  <c r="A169"/>
  <c r="A120" l="1"/>
  <c r="A170"/>
  <c r="A171" s="1"/>
  <c r="A172" s="1"/>
  <c r="A173" s="1"/>
  <c r="A174" s="1"/>
  <c r="A175" s="1"/>
  <c r="A176" s="1"/>
  <c r="A177" s="1"/>
  <c r="A178" s="1"/>
  <c r="A180"/>
  <c r="A121" l="1"/>
  <c r="A181"/>
  <c r="A182" s="1"/>
  <c r="A183" s="1"/>
  <c r="A184" s="1"/>
  <c r="A185" s="1"/>
  <c r="A186" s="1"/>
  <c r="A187" s="1"/>
  <c r="A188" s="1"/>
  <c r="A189" s="1"/>
  <c r="A191"/>
  <c r="A122" l="1"/>
  <c r="A192"/>
  <c r="A193" s="1"/>
  <c r="A194" s="1"/>
  <c r="A195" s="1"/>
  <c r="A196" s="1"/>
  <c r="A197" s="1"/>
  <c r="A198" s="1"/>
  <c r="A199" s="1"/>
  <c r="A200" s="1"/>
  <c r="A202"/>
  <c r="A123" l="1"/>
  <c r="A213"/>
  <c r="A203"/>
  <c r="A204" s="1"/>
  <c r="A205" s="1"/>
  <c r="A206" s="1"/>
  <c r="A207" s="1"/>
  <c r="A208" s="1"/>
  <c r="A209" s="1"/>
  <c r="A210" s="1"/>
  <c r="A211" s="1"/>
  <c r="A214" l="1"/>
  <c r="A215" s="1"/>
  <c r="A216" s="1"/>
  <c r="A217" s="1"/>
  <c r="A218" s="1"/>
  <c r="A219" s="1"/>
  <c r="A220" s="1"/>
  <c r="A221" s="1"/>
  <c r="A222" s="1"/>
  <c r="A224"/>
  <c r="A235" l="1"/>
  <c r="A225"/>
  <c r="A226" s="1"/>
  <c r="A227" s="1"/>
  <c r="A228" s="1"/>
  <c r="A229" s="1"/>
  <c r="A230" s="1"/>
  <c r="A231" s="1"/>
  <c r="A232" s="1"/>
  <c r="A233" s="1"/>
  <c r="A236" l="1"/>
  <c r="A237" s="1"/>
  <c r="A238" s="1"/>
  <c r="A239" s="1"/>
  <c r="A240" s="1"/>
  <c r="A241" s="1"/>
  <c r="A242" s="1"/>
  <c r="A243" s="1"/>
  <c r="A244" s="1"/>
  <c r="A246"/>
  <c r="A247" l="1"/>
  <c r="A248" s="1"/>
  <c r="A249" s="1"/>
  <c r="A250" s="1"/>
  <c r="A251" s="1"/>
  <c r="A252" s="1"/>
  <c r="A253" s="1"/>
  <c r="A254" s="1"/>
  <c r="A255" s="1"/>
  <c r="A257"/>
  <c r="A268" l="1"/>
  <c r="A258"/>
  <c r="A259" s="1"/>
  <c r="A260" s="1"/>
  <c r="A261" s="1"/>
  <c r="A262" s="1"/>
  <c r="A263" s="1"/>
  <c r="A264" s="1"/>
  <c r="A265" s="1"/>
  <c r="A266" s="1"/>
  <c r="A279" l="1"/>
  <c r="A269"/>
  <c r="A270" s="1"/>
  <c r="A271" s="1"/>
  <c r="A272" s="1"/>
  <c r="A273" s="1"/>
  <c r="A274" s="1"/>
  <c r="A275" s="1"/>
  <c r="A276" s="1"/>
  <c r="A277" s="1"/>
  <c r="A280" l="1"/>
  <c r="A281" s="1"/>
  <c r="A282" s="1"/>
  <c r="A283" s="1"/>
  <c r="A284" s="1"/>
  <c r="A285" s="1"/>
  <c r="A286" s="1"/>
  <c r="A287" s="1"/>
  <c r="A288" s="1"/>
  <c r="A290"/>
  <c r="A301" l="1"/>
  <c r="A291"/>
  <c r="A292" s="1"/>
  <c r="A293" s="1"/>
  <c r="A294" s="1"/>
  <c r="A295" s="1"/>
  <c r="A296" s="1"/>
  <c r="A297" s="1"/>
  <c r="A298" s="1"/>
  <c r="A299" s="1"/>
  <c r="A302" l="1"/>
  <c r="A303" s="1"/>
  <c r="A304" s="1"/>
  <c r="A305" s="1"/>
  <c r="A306" s="1"/>
  <c r="A307" s="1"/>
  <c r="A308" s="1"/>
  <c r="A309" s="1"/>
  <c r="A310" s="1"/>
  <c r="A312"/>
  <c r="A323" l="1"/>
  <c r="A313"/>
  <c r="A314" s="1"/>
  <c r="A315" s="1"/>
  <c r="A316" s="1"/>
  <c r="A317" s="1"/>
  <c r="A318" s="1"/>
  <c r="A319" s="1"/>
  <c r="A320" s="1"/>
  <c r="A321" s="1"/>
  <c r="A334" l="1"/>
  <c r="A335" s="1"/>
  <c r="A336" s="1"/>
  <c r="A337" s="1"/>
  <c r="A338" s="1"/>
  <c r="A339" s="1"/>
  <c r="A340" s="1"/>
  <c r="A341" s="1"/>
  <c r="A342" s="1"/>
  <c r="A343" s="1"/>
  <c r="A324"/>
  <c r="A325" s="1"/>
  <c r="A326" s="1"/>
  <c r="A327" s="1"/>
  <c r="A328" s="1"/>
  <c r="A329" s="1"/>
  <c r="A330" s="1"/>
  <c r="A331" s="1"/>
  <c r="A332" s="1"/>
  <c r="T8" i="16" l="1"/>
  <c r="T7"/>
  <c r="T9"/>
  <c r="T6"/>
  <c r="H7"/>
  <c r="D11" i="1" s="1"/>
  <c r="H9" i="16"/>
  <c r="B8"/>
  <c r="B9"/>
  <c r="B7"/>
  <c r="H8"/>
  <c r="D21" i="1" s="1"/>
  <c r="N7" i="16"/>
  <c r="N8"/>
  <c r="H6"/>
  <c r="D10" i="1" s="1"/>
  <c r="N9" i="16"/>
  <c r="B6"/>
  <c r="D10" i="7" s="1"/>
  <c r="I344" i="9" l="1"/>
  <c r="H344"/>
  <c r="I343"/>
  <c r="L343" s="1"/>
  <c r="G343"/>
  <c r="F343"/>
  <c r="E343"/>
  <c r="L342"/>
  <c r="J342"/>
  <c r="K342" s="1"/>
  <c r="I342"/>
  <c r="G342"/>
  <c r="E342"/>
  <c r="F342" s="1"/>
  <c r="I341"/>
  <c r="L341" s="1"/>
  <c r="G341"/>
  <c r="F341"/>
  <c r="E341"/>
  <c r="L340"/>
  <c r="J340"/>
  <c r="K340" s="1"/>
  <c r="I340"/>
  <c r="G340"/>
  <c r="E340"/>
  <c r="F340" s="1"/>
  <c r="I339"/>
  <c r="L339" s="1"/>
  <c r="G339"/>
  <c r="F339"/>
  <c r="E339"/>
  <c r="L338"/>
  <c r="J338"/>
  <c r="K338" s="1"/>
  <c r="I338"/>
  <c r="G338"/>
  <c r="E338"/>
  <c r="F338" s="1"/>
  <c r="I337"/>
  <c r="L337" s="1"/>
  <c r="G337"/>
  <c r="F337"/>
  <c r="E337"/>
  <c r="L336"/>
  <c r="J336"/>
  <c r="K336" s="1"/>
  <c r="I336"/>
  <c r="G336"/>
  <c r="E336"/>
  <c r="F336" s="1"/>
  <c r="I335"/>
  <c r="L335" s="1"/>
  <c r="G335"/>
  <c r="F335"/>
  <c r="E335"/>
  <c r="L334"/>
  <c r="J334"/>
  <c r="I334"/>
  <c r="G334"/>
  <c r="G344" s="1"/>
  <c r="E334"/>
  <c r="E344" s="1"/>
  <c r="I333"/>
  <c r="H333"/>
  <c r="I332"/>
  <c r="L332" s="1"/>
  <c r="G332"/>
  <c r="F332"/>
  <c r="E332"/>
  <c r="L331"/>
  <c r="J331"/>
  <c r="K331" s="1"/>
  <c r="I331"/>
  <c r="G331"/>
  <c r="E331"/>
  <c r="F331" s="1"/>
  <c r="I330"/>
  <c r="L330" s="1"/>
  <c r="G330"/>
  <c r="F330"/>
  <c r="E330"/>
  <c r="L329"/>
  <c r="J329"/>
  <c r="K329" s="1"/>
  <c r="I329"/>
  <c r="G329"/>
  <c r="E329"/>
  <c r="F329" s="1"/>
  <c r="I328"/>
  <c r="L328" s="1"/>
  <c r="G328"/>
  <c r="F328"/>
  <c r="E328"/>
  <c r="L327"/>
  <c r="J327"/>
  <c r="K327" s="1"/>
  <c r="I327"/>
  <c r="G327"/>
  <c r="E327"/>
  <c r="F327" s="1"/>
  <c r="I326"/>
  <c r="L326" s="1"/>
  <c r="G326"/>
  <c r="F326"/>
  <c r="E326"/>
  <c r="L325"/>
  <c r="J325"/>
  <c r="K325" s="1"/>
  <c r="I325"/>
  <c r="G325"/>
  <c r="E325"/>
  <c r="F325" s="1"/>
  <c r="I324"/>
  <c r="L324" s="1"/>
  <c r="G324"/>
  <c r="F324"/>
  <c r="E324"/>
  <c r="L323"/>
  <c r="J323"/>
  <c r="I323"/>
  <c r="G323"/>
  <c r="G333" s="1"/>
  <c r="E323"/>
  <c r="E333" s="1"/>
  <c r="H322"/>
  <c r="I322" s="1"/>
  <c r="L321"/>
  <c r="J321"/>
  <c r="K321" s="1"/>
  <c r="I321"/>
  <c r="G321"/>
  <c r="E321"/>
  <c r="F321" s="1"/>
  <c r="I320"/>
  <c r="L320" s="1"/>
  <c r="G320"/>
  <c r="F320"/>
  <c r="E320"/>
  <c r="L319"/>
  <c r="J319"/>
  <c r="K319" s="1"/>
  <c r="I319"/>
  <c r="G319"/>
  <c r="E319"/>
  <c r="F319" s="1"/>
  <c r="I318"/>
  <c r="L318" s="1"/>
  <c r="G318"/>
  <c r="F318"/>
  <c r="E318"/>
  <c r="L317"/>
  <c r="J317"/>
  <c r="K317" s="1"/>
  <c r="I317"/>
  <c r="G317"/>
  <c r="E317"/>
  <c r="F317" s="1"/>
  <c r="I316"/>
  <c r="L316" s="1"/>
  <c r="G316"/>
  <c r="E316"/>
  <c r="F316" s="1"/>
  <c r="I315"/>
  <c r="L315" s="1"/>
  <c r="G315"/>
  <c r="E315"/>
  <c r="F315" s="1"/>
  <c r="J314"/>
  <c r="K314" s="1"/>
  <c r="I314"/>
  <c r="L314" s="1"/>
  <c r="G314"/>
  <c r="E314"/>
  <c r="F314" s="1"/>
  <c r="I313"/>
  <c r="L313" s="1"/>
  <c r="G313"/>
  <c r="F313"/>
  <c r="E313"/>
  <c r="L312"/>
  <c r="L322" s="1"/>
  <c r="J312"/>
  <c r="I312"/>
  <c r="G312"/>
  <c r="G322" s="1"/>
  <c r="E312"/>
  <c r="E322" s="1"/>
  <c r="I311"/>
  <c r="H311"/>
  <c r="I310"/>
  <c r="L310" s="1"/>
  <c r="G310"/>
  <c r="F310"/>
  <c r="E310"/>
  <c r="L309"/>
  <c r="J309"/>
  <c r="K309" s="1"/>
  <c r="I309"/>
  <c r="G309"/>
  <c r="E309"/>
  <c r="F309" s="1"/>
  <c r="I308"/>
  <c r="L308" s="1"/>
  <c r="G308"/>
  <c r="F308"/>
  <c r="E308"/>
  <c r="L307"/>
  <c r="J307"/>
  <c r="K307" s="1"/>
  <c r="I307"/>
  <c r="G307"/>
  <c r="E307"/>
  <c r="F307" s="1"/>
  <c r="I306"/>
  <c r="L306" s="1"/>
  <c r="G306"/>
  <c r="F306"/>
  <c r="E306"/>
  <c r="L305"/>
  <c r="J305"/>
  <c r="K305" s="1"/>
  <c r="I305"/>
  <c r="G305"/>
  <c r="E305"/>
  <c r="F305" s="1"/>
  <c r="I304"/>
  <c r="L304" s="1"/>
  <c r="G304"/>
  <c r="F304"/>
  <c r="E304"/>
  <c r="L303"/>
  <c r="J303"/>
  <c r="K303" s="1"/>
  <c r="I303"/>
  <c r="G303"/>
  <c r="E303"/>
  <c r="F303" s="1"/>
  <c r="I302"/>
  <c r="L302" s="1"/>
  <c r="G302"/>
  <c r="F302"/>
  <c r="E302"/>
  <c r="L301"/>
  <c r="J301"/>
  <c r="I301"/>
  <c r="G301"/>
  <c r="G311" s="1"/>
  <c r="E301"/>
  <c r="E311" s="1"/>
  <c r="I300"/>
  <c r="H300"/>
  <c r="I299"/>
  <c r="L299" s="1"/>
  <c r="G299"/>
  <c r="F299"/>
  <c r="E299"/>
  <c r="L298"/>
  <c r="J298"/>
  <c r="K298" s="1"/>
  <c r="I298"/>
  <c r="G298"/>
  <c r="E298"/>
  <c r="F298" s="1"/>
  <c r="I297"/>
  <c r="L297" s="1"/>
  <c r="G297"/>
  <c r="F297"/>
  <c r="E297"/>
  <c r="L296"/>
  <c r="J296"/>
  <c r="K296" s="1"/>
  <c r="I296"/>
  <c r="G296"/>
  <c r="E296"/>
  <c r="F296" s="1"/>
  <c r="I295"/>
  <c r="L295" s="1"/>
  <c r="G295"/>
  <c r="F295"/>
  <c r="E295"/>
  <c r="L294"/>
  <c r="J294"/>
  <c r="K294" s="1"/>
  <c r="I294"/>
  <c r="G294"/>
  <c r="E294"/>
  <c r="F294" s="1"/>
  <c r="I293"/>
  <c r="L293" s="1"/>
  <c r="G293"/>
  <c r="F293"/>
  <c r="E293"/>
  <c r="L292"/>
  <c r="J292"/>
  <c r="K292" s="1"/>
  <c r="I292"/>
  <c r="G292"/>
  <c r="E292"/>
  <c r="F292" s="1"/>
  <c r="I291"/>
  <c r="L291" s="1"/>
  <c r="G291"/>
  <c r="F291"/>
  <c r="E291"/>
  <c r="L290"/>
  <c r="L300" s="1"/>
  <c r="J290"/>
  <c r="I290"/>
  <c r="G290"/>
  <c r="G300" s="1"/>
  <c r="E290"/>
  <c r="E300" s="1"/>
  <c r="I289"/>
  <c r="H289"/>
  <c r="I288"/>
  <c r="L288" s="1"/>
  <c r="G288"/>
  <c r="F288"/>
  <c r="E288"/>
  <c r="L287"/>
  <c r="J287"/>
  <c r="K287" s="1"/>
  <c r="I287"/>
  <c r="G287"/>
  <c r="E287"/>
  <c r="F287" s="1"/>
  <c r="I286"/>
  <c r="L286" s="1"/>
  <c r="G286"/>
  <c r="F286"/>
  <c r="E286"/>
  <c r="L285"/>
  <c r="J285"/>
  <c r="K285" s="1"/>
  <c r="I285"/>
  <c r="G285"/>
  <c r="E285"/>
  <c r="F285" s="1"/>
  <c r="I284"/>
  <c r="L284" s="1"/>
  <c r="G284"/>
  <c r="F284"/>
  <c r="E284"/>
  <c r="L283"/>
  <c r="J283"/>
  <c r="K283" s="1"/>
  <c r="I283"/>
  <c r="G283"/>
  <c r="E283"/>
  <c r="F283" s="1"/>
  <c r="I282"/>
  <c r="L282" s="1"/>
  <c r="G282"/>
  <c r="F282"/>
  <c r="E282"/>
  <c r="L281"/>
  <c r="J281"/>
  <c r="K281" s="1"/>
  <c r="I281"/>
  <c r="G281"/>
  <c r="E281"/>
  <c r="F281" s="1"/>
  <c r="I280"/>
  <c r="L280" s="1"/>
  <c r="G280"/>
  <c r="F280"/>
  <c r="E280"/>
  <c r="L279"/>
  <c r="L289" s="1"/>
  <c r="J279"/>
  <c r="I279"/>
  <c r="G279"/>
  <c r="G289" s="1"/>
  <c r="E279"/>
  <c r="E289" s="1"/>
  <c r="I278"/>
  <c r="H278"/>
  <c r="I277"/>
  <c r="L277" s="1"/>
  <c r="G277"/>
  <c r="F277"/>
  <c r="E277"/>
  <c r="L276"/>
  <c r="J276"/>
  <c r="K276" s="1"/>
  <c r="I276"/>
  <c r="G276"/>
  <c r="E276"/>
  <c r="F276" s="1"/>
  <c r="I275"/>
  <c r="L275" s="1"/>
  <c r="L274"/>
  <c r="J274"/>
  <c r="K274" s="1"/>
  <c r="I274"/>
  <c r="I273"/>
  <c r="L273" s="1"/>
  <c r="L272"/>
  <c r="J272"/>
  <c r="K272" s="1"/>
  <c r="I272"/>
  <c r="I271"/>
  <c r="L271" s="1"/>
  <c r="L270"/>
  <c r="J270"/>
  <c r="K270" s="1"/>
  <c r="I270"/>
  <c r="I269"/>
  <c r="L269" s="1"/>
  <c r="L268"/>
  <c r="J268"/>
  <c r="I268"/>
  <c r="I267"/>
  <c r="H267"/>
  <c r="I266"/>
  <c r="L266" s="1"/>
  <c r="G266"/>
  <c r="F266"/>
  <c r="E266"/>
  <c r="L265"/>
  <c r="J265"/>
  <c r="K265" s="1"/>
  <c r="I265"/>
  <c r="I264"/>
  <c r="L264" s="1"/>
  <c r="L263"/>
  <c r="J263"/>
  <c r="K263" s="1"/>
  <c r="I263"/>
  <c r="I262"/>
  <c r="L262" s="1"/>
  <c r="L261"/>
  <c r="J261"/>
  <c r="K261" s="1"/>
  <c r="I261"/>
  <c r="I260"/>
  <c r="L260" s="1"/>
  <c r="L259"/>
  <c r="J259"/>
  <c r="K259" s="1"/>
  <c r="I259"/>
  <c r="I258"/>
  <c r="L258" s="1"/>
  <c r="L257"/>
  <c r="L267" s="1"/>
  <c r="J257"/>
  <c r="I257"/>
  <c r="I256"/>
  <c r="H256"/>
  <c r="I255"/>
  <c r="L255" s="1"/>
  <c r="L254"/>
  <c r="J254"/>
  <c r="K254" s="1"/>
  <c r="I254"/>
  <c r="I253"/>
  <c r="L253" s="1"/>
  <c r="L252"/>
  <c r="J252"/>
  <c r="K252" s="1"/>
  <c r="I252"/>
  <c r="I251"/>
  <c r="L251" s="1"/>
  <c r="L250"/>
  <c r="J250"/>
  <c r="K250" s="1"/>
  <c r="I250"/>
  <c r="I249"/>
  <c r="L249" s="1"/>
  <c r="L248"/>
  <c r="J248"/>
  <c r="K248" s="1"/>
  <c r="I248"/>
  <c r="I247"/>
  <c r="L247" s="1"/>
  <c r="L246"/>
  <c r="L256" s="1"/>
  <c r="J246"/>
  <c r="I246"/>
  <c r="I245"/>
  <c r="H245"/>
  <c r="I244"/>
  <c r="L244" s="1"/>
  <c r="G244"/>
  <c r="F244"/>
  <c r="E244"/>
  <c r="L243"/>
  <c r="J243"/>
  <c r="K243" s="1"/>
  <c r="I243"/>
  <c r="G243"/>
  <c r="E243"/>
  <c r="F243" s="1"/>
  <c r="I242"/>
  <c r="L242" s="1"/>
  <c r="L241"/>
  <c r="J241"/>
  <c r="K241" s="1"/>
  <c r="I241"/>
  <c r="I240"/>
  <c r="L240" s="1"/>
  <c r="L239"/>
  <c r="J239"/>
  <c r="K239" s="1"/>
  <c r="I239"/>
  <c r="I238"/>
  <c r="L238" s="1"/>
  <c r="L237"/>
  <c r="J237"/>
  <c r="K237" s="1"/>
  <c r="I237"/>
  <c r="I236"/>
  <c r="L236" s="1"/>
  <c r="L235"/>
  <c r="L245" s="1"/>
  <c r="J235"/>
  <c r="I235"/>
  <c r="I234"/>
  <c r="H234"/>
  <c r="I233"/>
  <c r="L233" s="1"/>
  <c r="G233"/>
  <c r="F233"/>
  <c r="E233"/>
  <c r="L232"/>
  <c r="J232"/>
  <c r="K232" s="1"/>
  <c r="I232"/>
  <c r="I231"/>
  <c r="L231" s="1"/>
  <c r="L230"/>
  <c r="J230"/>
  <c r="K230" s="1"/>
  <c r="I230"/>
  <c r="I229"/>
  <c r="L229" s="1"/>
  <c r="L228"/>
  <c r="J228"/>
  <c r="K228" s="1"/>
  <c r="I228"/>
  <c r="I227"/>
  <c r="L227" s="1"/>
  <c r="L226"/>
  <c r="J226"/>
  <c r="K226" s="1"/>
  <c r="I226"/>
  <c r="I225"/>
  <c r="L225" s="1"/>
  <c r="L224"/>
  <c r="L234" s="1"/>
  <c r="J224"/>
  <c r="I224"/>
  <c r="I223"/>
  <c r="H223"/>
  <c r="I222"/>
  <c r="L222" s="1"/>
  <c r="G222"/>
  <c r="F222"/>
  <c r="E222"/>
  <c r="L221"/>
  <c r="J221"/>
  <c r="K221" s="1"/>
  <c r="I221"/>
  <c r="G221"/>
  <c r="E221"/>
  <c r="F221" s="1"/>
  <c r="I220"/>
  <c r="L220" s="1"/>
  <c r="G220"/>
  <c r="F220"/>
  <c r="E220"/>
  <c r="L219"/>
  <c r="J219"/>
  <c r="K219" s="1"/>
  <c r="I219"/>
  <c r="G219"/>
  <c r="E219"/>
  <c r="F219" s="1"/>
  <c r="I218"/>
  <c r="L218" s="1"/>
  <c r="G218"/>
  <c r="F218"/>
  <c r="E218"/>
  <c r="L217"/>
  <c r="J217"/>
  <c r="K217" s="1"/>
  <c r="I217"/>
  <c r="G217"/>
  <c r="E217"/>
  <c r="F217" s="1"/>
  <c r="I216"/>
  <c r="L216" s="1"/>
  <c r="G216"/>
  <c r="F216"/>
  <c r="E216"/>
  <c r="L215"/>
  <c r="J215"/>
  <c r="K215" s="1"/>
  <c r="I215"/>
  <c r="G215"/>
  <c r="E215"/>
  <c r="F215" s="1"/>
  <c r="I214"/>
  <c r="L214" s="1"/>
  <c r="G214"/>
  <c r="F214"/>
  <c r="E214"/>
  <c r="L213"/>
  <c r="L223" s="1"/>
  <c r="J213"/>
  <c r="I213"/>
  <c r="I212"/>
  <c r="H212"/>
  <c r="I211"/>
  <c r="L211" s="1"/>
  <c r="G211"/>
  <c r="F211"/>
  <c r="E211"/>
  <c r="L210"/>
  <c r="J210"/>
  <c r="K210" s="1"/>
  <c r="I210"/>
  <c r="G210"/>
  <c r="E210"/>
  <c r="F210" s="1"/>
  <c r="I209"/>
  <c r="L209" s="1"/>
  <c r="G209"/>
  <c r="F209"/>
  <c r="E209"/>
  <c r="L208"/>
  <c r="J208"/>
  <c r="K208" s="1"/>
  <c r="I208"/>
  <c r="G208"/>
  <c r="E208"/>
  <c r="F208" s="1"/>
  <c r="I207"/>
  <c r="L207" s="1"/>
  <c r="G207"/>
  <c r="F207"/>
  <c r="E207"/>
  <c r="L206"/>
  <c r="J206"/>
  <c r="K206" s="1"/>
  <c r="I206"/>
  <c r="G206"/>
  <c r="E206"/>
  <c r="F206" s="1"/>
  <c r="I205"/>
  <c r="L205" s="1"/>
  <c r="G205"/>
  <c r="F205"/>
  <c r="E205"/>
  <c r="L204"/>
  <c r="J204"/>
  <c r="K204" s="1"/>
  <c r="I204"/>
  <c r="G204"/>
  <c r="E204"/>
  <c r="F204" s="1"/>
  <c r="I203"/>
  <c r="L203" s="1"/>
  <c r="G203"/>
  <c r="F203"/>
  <c r="E203"/>
  <c r="L202"/>
  <c r="J202"/>
  <c r="I202"/>
  <c r="G202"/>
  <c r="G212" s="1"/>
  <c r="E202"/>
  <c r="E212" s="1"/>
  <c r="I201"/>
  <c r="H201"/>
  <c r="I200"/>
  <c r="L200" s="1"/>
  <c r="G200"/>
  <c r="F200"/>
  <c r="E200"/>
  <c r="L199"/>
  <c r="J199"/>
  <c r="K199" s="1"/>
  <c r="I199"/>
  <c r="G199"/>
  <c r="E199"/>
  <c r="F199" s="1"/>
  <c r="I198"/>
  <c r="L198" s="1"/>
  <c r="G198"/>
  <c r="F198"/>
  <c r="E198"/>
  <c r="L197"/>
  <c r="J197"/>
  <c r="K197" s="1"/>
  <c r="I197"/>
  <c r="G197"/>
  <c r="E197"/>
  <c r="F197" s="1"/>
  <c r="I196"/>
  <c r="L196" s="1"/>
  <c r="G196"/>
  <c r="F196"/>
  <c r="E196"/>
  <c r="L195"/>
  <c r="J195"/>
  <c r="K195" s="1"/>
  <c r="I195"/>
  <c r="G195"/>
  <c r="E195"/>
  <c r="F195" s="1"/>
  <c r="I194"/>
  <c r="L194" s="1"/>
  <c r="G194"/>
  <c r="F194"/>
  <c r="E194"/>
  <c r="L193"/>
  <c r="J193"/>
  <c r="K193" s="1"/>
  <c r="I193"/>
  <c r="G193"/>
  <c r="E193"/>
  <c r="F193" s="1"/>
  <c r="I192"/>
  <c r="L192" s="1"/>
  <c r="G192"/>
  <c r="F192"/>
  <c r="E192"/>
  <c r="L191"/>
  <c r="L201" s="1"/>
  <c r="J191"/>
  <c r="I191"/>
  <c r="G191"/>
  <c r="G201" s="1"/>
  <c r="E191"/>
  <c r="E201" s="1"/>
  <c r="H190"/>
  <c r="I190" s="1"/>
  <c r="I189"/>
  <c r="L189" s="1"/>
  <c r="G189"/>
  <c r="F189"/>
  <c r="E189"/>
  <c r="L188"/>
  <c r="J188"/>
  <c r="K188" s="1"/>
  <c r="I188"/>
  <c r="G188"/>
  <c r="E188"/>
  <c r="F188" s="1"/>
  <c r="I187"/>
  <c r="L187" s="1"/>
  <c r="G187"/>
  <c r="F187"/>
  <c r="E187"/>
  <c r="L186"/>
  <c r="J186"/>
  <c r="K186" s="1"/>
  <c r="I186"/>
  <c r="G186"/>
  <c r="E186"/>
  <c r="F186" s="1"/>
  <c r="I185"/>
  <c r="L185" s="1"/>
  <c r="G185"/>
  <c r="F185"/>
  <c r="E185"/>
  <c r="L184"/>
  <c r="J184"/>
  <c r="K184" s="1"/>
  <c r="I184"/>
  <c r="I183"/>
  <c r="L183" s="1"/>
  <c r="L182"/>
  <c r="J182"/>
  <c r="K182" s="1"/>
  <c r="I182"/>
  <c r="I181"/>
  <c r="L181" s="1"/>
  <c r="I180"/>
  <c r="J180" s="1"/>
  <c r="I179"/>
  <c r="H179"/>
  <c r="I178"/>
  <c r="L178" s="1"/>
  <c r="G178"/>
  <c r="F178"/>
  <c r="E178"/>
  <c r="L177"/>
  <c r="J177"/>
  <c r="K177" s="1"/>
  <c r="I177"/>
  <c r="I176"/>
  <c r="L176" s="1"/>
  <c r="L175"/>
  <c r="J175"/>
  <c r="K175" s="1"/>
  <c r="I175"/>
  <c r="I174"/>
  <c r="L174" s="1"/>
  <c r="L173"/>
  <c r="J173"/>
  <c r="K173" s="1"/>
  <c r="I173"/>
  <c r="I172"/>
  <c r="L172" s="1"/>
  <c r="L171"/>
  <c r="J171"/>
  <c r="K171" s="1"/>
  <c r="I171"/>
  <c r="I170"/>
  <c r="L170" s="1"/>
  <c r="I169"/>
  <c r="L169" s="1"/>
  <c r="H168"/>
  <c r="I168" s="1"/>
  <c r="I167"/>
  <c r="L167" s="1"/>
  <c r="G167"/>
  <c r="F167"/>
  <c r="E167"/>
  <c r="I166"/>
  <c r="L166" s="1"/>
  <c r="G166"/>
  <c r="E166"/>
  <c r="F166" s="1"/>
  <c r="I165"/>
  <c r="L165" s="1"/>
  <c r="G165"/>
  <c r="F165"/>
  <c r="E165"/>
  <c r="I164"/>
  <c r="J164" s="1"/>
  <c r="K164" s="1"/>
  <c r="G164"/>
  <c r="E164"/>
  <c r="F164" s="1"/>
  <c r="I163"/>
  <c r="L163" s="1"/>
  <c r="G163"/>
  <c r="F163"/>
  <c r="E163"/>
  <c r="I162"/>
  <c r="L162" s="1"/>
  <c r="G162"/>
  <c r="E162"/>
  <c r="F162" s="1"/>
  <c r="I161"/>
  <c r="L161" s="1"/>
  <c r="G161"/>
  <c r="F161"/>
  <c r="E161"/>
  <c r="I160"/>
  <c r="J160" s="1"/>
  <c r="K160" s="1"/>
  <c r="G160"/>
  <c r="E160"/>
  <c r="F160" s="1"/>
  <c r="I159"/>
  <c r="L159" s="1"/>
  <c r="G159"/>
  <c r="F159"/>
  <c r="E159"/>
  <c r="I158"/>
  <c r="J158" s="1"/>
  <c r="G158"/>
  <c r="G168" s="1"/>
  <c r="E158"/>
  <c r="E168" s="1"/>
  <c r="H157"/>
  <c r="I157" s="1"/>
  <c r="I156"/>
  <c r="L156" s="1"/>
  <c r="G156"/>
  <c r="F156"/>
  <c r="E156"/>
  <c r="I155"/>
  <c r="J155" s="1"/>
  <c r="K155" s="1"/>
  <c r="G155"/>
  <c r="E155"/>
  <c r="F155" s="1"/>
  <c r="I154"/>
  <c r="L154" s="1"/>
  <c r="G154"/>
  <c r="F154"/>
  <c r="E154"/>
  <c r="I153"/>
  <c r="J153" s="1"/>
  <c r="K153" s="1"/>
  <c r="G153"/>
  <c r="E153"/>
  <c r="F153" s="1"/>
  <c r="I152"/>
  <c r="L152" s="1"/>
  <c r="G152"/>
  <c r="F152"/>
  <c r="E152"/>
  <c r="I151"/>
  <c r="J151" s="1"/>
  <c r="K151" s="1"/>
  <c r="G151"/>
  <c r="E151"/>
  <c r="F151" s="1"/>
  <c r="I150"/>
  <c r="L150" s="1"/>
  <c r="G150"/>
  <c r="F150"/>
  <c r="E150"/>
  <c r="I149"/>
  <c r="L149" s="1"/>
  <c r="G149"/>
  <c r="E149"/>
  <c r="F149" s="1"/>
  <c r="I148"/>
  <c r="L148" s="1"/>
  <c r="G148"/>
  <c r="F148"/>
  <c r="E148"/>
  <c r="I147"/>
  <c r="L147" s="1"/>
  <c r="G147"/>
  <c r="G157" s="1"/>
  <c r="E147"/>
  <c r="E157" s="1"/>
  <c r="H146"/>
  <c r="I146" s="1"/>
  <c r="L145"/>
  <c r="J145"/>
  <c r="K145" s="1"/>
  <c r="I145"/>
  <c r="G145"/>
  <c r="E145"/>
  <c r="F145" s="1"/>
  <c r="I144"/>
  <c r="L144" s="1"/>
  <c r="G144"/>
  <c r="F144"/>
  <c r="E144"/>
  <c r="L143"/>
  <c r="J143"/>
  <c r="K143" s="1"/>
  <c r="I143"/>
  <c r="G143"/>
  <c r="E143"/>
  <c r="F143" s="1"/>
  <c r="I142"/>
  <c r="L142" s="1"/>
  <c r="G142"/>
  <c r="F142"/>
  <c r="E142"/>
  <c r="L141"/>
  <c r="J141"/>
  <c r="K141" s="1"/>
  <c r="I141"/>
  <c r="G141"/>
  <c r="E141"/>
  <c r="F141" s="1"/>
  <c r="I140"/>
  <c r="L140" s="1"/>
  <c r="G140"/>
  <c r="F140"/>
  <c r="E140"/>
  <c r="L139"/>
  <c r="J139"/>
  <c r="K139" s="1"/>
  <c r="I139"/>
  <c r="G139"/>
  <c r="E139"/>
  <c r="F139" s="1"/>
  <c r="I138"/>
  <c r="L138" s="1"/>
  <c r="G138"/>
  <c r="F138"/>
  <c r="E138"/>
  <c r="L137"/>
  <c r="J137"/>
  <c r="K137" s="1"/>
  <c r="I137"/>
  <c r="G137"/>
  <c r="E137"/>
  <c r="F137" s="1"/>
  <c r="I136"/>
  <c r="L136" s="1"/>
  <c r="G136"/>
  <c r="G146" s="1"/>
  <c r="F136"/>
  <c r="E136"/>
  <c r="E146" s="1"/>
  <c r="I135"/>
  <c r="H135"/>
  <c r="I134"/>
  <c r="L134" s="1"/>
  <c r="G134"/>
  <c r="F134"/>
  <c r="E134"/>
  <c r="L133"/>
  <c r="J133"/>
  <c r="K133" s="1"/>
  <c r="I133"/>
  <c r="G133"/>
  <c r="E133"/>
  <c r="F133" s="1"/>
  <c r="I132"/>
  <c r="L132" s="1"/>
  <c r="G132"/>
  <c r="F132"/>
  <c r="E132"/>
  <c r="L131"/>
  <c r="J131"/>
  <c r="K131" s="1"/>
  <c r="I131"/>
  <c r="G131"/>
  <c r="E131"/>
  <c r="F131" s="1"/>
  <c r="I130"/>
  <c r="L130" s="1"/>
  <c r="G130"/>
  <c r="F130"/>
  <c r="E130"/>
  <c r="L129"/>
  <c r="J129"/>
  <c r="K129" s="1"/>
  <c r="I129"/>
  <c r="G129"/>
  <c r="E129"/>
  <c r="F129" s="1"/>
  <c r="I128"/>
  <c r="L128" s="1"/>
  <c r="G128"/>
  <c r="F128"/>
  <c r="E128"/>
  <c r="L127"/>
  <c r="J127"/>
  <c r="K127" s="1"/>
  <c r="I127"/>
  <c r="G127"/>
  <c r="E127"/>
  <c r="F127" s="1"/>
  <c r="I126"/>
  <c r="L126" s="1"/>
  <c r="G126"/>
  <c r="F126"/>
  <c r="E126"/>
  <c r="L125"/>
  <c r="J125"/>
  <c r="I125"/>
  <c r="G125"/>
  <c r="G135" s="1"/>
  <c r="E125"/>
  <c r="E135" s="1"/>
  <c r="I124"/>
  <c r="H124"/>
  <c r="I123"/>
  <c r="L123" s="1"/>
  <c r="G123"/>
  <c r="F123"/>
  <c r="E123"/>
  <c r="L122"/>
  <c r="J122"/>
  <c r="K122" s="1"/>
  <c r="I122"/>
  <c r="G122"/>
  <c r="E122"/>
  <c r="F122" s="1"/>
  <c r="I121"/>
  <c r="L121" s="1"/>
  <c r="G121"/>
  <c r="F121"/>
  <c r="E121"/>
  <c r="L120"/>
  <c r="J120"/>
  <c r="K120" s="1"/>
  <c r="I120"/>
  <c r="G120"/>
  <c r="E120"/>
  <c r="F120" s="1"/>
  <c r="I119"/>
  <c r="L119" s="1"/>
  <c r="G119"/>
  <c r="F119"/>
  <c r="E119"/>
  <c r="L118"/>
  <c r="J118"/>
  <c r="K118" s="1"/>
  <c r="I118"/>
  <c r="G118"/>
  <c r="E118"/>
  <c r="F118" s="1"/>
  <c r="I117"/>
  <c r="L117" s="1"/>
  <c r="G117"/>
  <c r="F117"/>
  <c r="E117"/>
  <c r="L116"/>
  <c r="J116"/>
  <c r="K116" s="1"/>
  <c r="I116"/>
  <c r="G116"/>
  <c r="E116"/>
  <c r="F116" s="1"/>
  <c r="I115"/>
  <c r="L115" s="1"/>
  <c r="G115"/>
  <c r="F115"/>
  <c r="E115"/>
  <c r="L114"/>
  <c r="J114"/>
  <c r="I114"/>
  <c r="G114"/>
  <c r="G124" s="1"/>
  <c r="E114"/>
  <c r="E124" s="1"/>
  <c r="I113"/>
  <c r="H113"/>
  <c r="I112"/>
  <c r="L112" s="1"/>
  <c r="G112"/>
  <c r="F112"/>
  <c r="E112"/>
  <c r="L111"/>
  <c r="J111"/>
  <c r="K111" s="1"/>
  <c r="I111"/>
  <c r="I110"/>
  <c r="L110" s="1"/>
  <c r="L109"/>
  <c r="J109"/>
  <c r="K109" s="1"/>
  <c r="I109"/>
  <c r="I108"/>
  <c r="L108" s="1"/>
  <c r="L107"/>
  <c r="J107"/>
  <c r="K107" s="1"/>
  <c r="I107"/>
  <c r="I106"/>
  <c r="L106" s="1"/>
  <c r="L105"/>
  <c r="J105"/>
  <c r="K105" s="1"/>
  <c r="I105"/>
  <c r="I104"/>
  <c r="L104" s="1"/>
  <c r="L103"/>
  <c r="J103"/>
  <c r="I103"/>
  <c r="I102"/>
  <c r="H102"/>
  <c r="I101"/>
  <c r="L101" s="1"/>
  <c r="G101"/>
  <c r="F101"/>
  <c r="E101"/>
  <c r="L100"/>
  <c r="J100"/>
  <c r="K100" s="1"/>
  <c r="I100"/>
  <c r="E100"/>
  <c r="F100" s="1"/>
  <c r="I99"/>
  <c r="L99" s="1"/>
  <c r="G99"/>
  <c r="E99"/>
  <c r="F99" s="1"/>
  <c r="L98"/>
  <c r="J98"/>
  <c r="K98" s="1"/>
  <c r="I98"/>
  <c r="G98"/>
  <c r="I97"/>
  <c r="L97" s="1"/>
  <c r="L96"/>
  <c r="J96"/>
  <c r="K96" s="1"/>
  <c r="I96"/>
  <c r="E96"/>
  <c r="F96" s="1"/>
  <c r="I95"/>
  <c r="L95" s="1"/>
  <c r="G95"/>
  <c r="E95"/>
  <c r="F95" s="1"/>
  <c r="L94"/>
  <c r="J94"/>
  <c r="K94" s="1"/>
  <c r="I94"/>
  <c r="I93"/>
  <c r="L93" s="1"/>
  <c r="L92"/>
  <c r="J92"/>
  <c r="I92"/>
  <c r="I91"/>
  <c r="H91"/>
  <c r="I90"/>
  <c r="L90" s="1"/>
  <c r="L89"/>
  <c r="J89"/>
  <c r="K89" s="1"/>
  <c r="I89"/>
  <c r="G89"/>
  <c r="I88"/>
  <c r="L88" s="1"/>
  <c r="L87"/>
  <c r="J87"/>
  <c r="K87" s="1"/>
  <c r="I87"/>
  <c r="E87"/>
  <c r="F87" s="1"/>
  <c r="I86"/>
  <c r="L86" s="1"/>
  <c r="G86"/>
  <c r="E86"/>
  <c r="F86" s="1"/>
  <c r="L85"/>
  <c r="J85"/>
  <c r="K85" s="1"/>
  <c r="I85"/>
  <c r="G85"/>
  <c r="I84"/>
  <c r="L84" s="1"/>
  <c r="L83"/>
  <c r="J83"/>
  <c r="K83" s="1"/>
  <c r="I83"/>
  <c r="I82"/>
  <c r="L82" s="1"/>
  <c r="L81"/>
  <c r="J81"/>
  <c r="I81"/>
  <c r="G81"/>
  <c r="I80"/>
  <c r="H80"/>
  <c r="I79"/>
  <c r="L79" s="1"/>
  <c r="G79"/>
  <c r="F79"/>
  <c r="E79"/>
  <c r="L78"/>
  <c r="J78"/>
  <c r="K78" s="1"/>
  <c r="I78"/>
  <c r="G78"/>
  <c r="E78"/>
  <c r="F78" s="1"/>
  <c r="I77"/>
  <c r="L77" s="1"/>
  <c r="G77"/>
  <c r="F77"/>
  <c r="E77"/>
  <c r="L76"/>
  <c r="J76"/>
  <c r="K76" s="1"/>
  <c r="I76"/>
  <c r="G76"/>
  <c r="E76"/>
  <c r="F76" s="1"/>
  <c r="I75"/>
  <c r="L75" s="1"/>
  <c r="G75"/>
  <c r="F75"/>
  <c r="E75"/>
  <c r="L74"/>
  <c r="J74"/>
  <c r="K74" s="1"/>
  <c r="I74"/>
  <c r="G74"/>
  <c r="E74"/>
  <c r="F74" s="1"/>
  <c r="I73"/>
  <c r="L73" s="1"/>
  <c r="G73"/>
  <c r="F73"/>
  <c r="E73"/>
  <c r="L72"/>
  <c r="J72"/>
  <c r="K72" s="1"/>
  <c r="I72"/>
  <c r="G72"/>
  <c r="E72"/>
  <c r="F72" s="1"/>
  <c r="I71"/>
  <c r="L71" s="1"/>
  <c r="G71"/>
  <c r="F71"/>
  <c r="E71"/>
  <c r="L70"/>
  <c r="J70"/>
  <c r="I70"/>
  <c r="G70"/>
  <c r="G80" s="1"/>
  <c r="E70"/>
  <c r="E80" s="1"/>
  <c r="H69"/>
  <c r="I69" s="1"/>
  <c r="L68"/>
  <c r="J68"/>
  <c r="K68" s="1"/>
  <c r="I68"/>
  <c r="G68"/>
  <c r="E68"/>
  <c r="F68" s="1"/>
  <c r="I67"/>
  <c r="L67" s="1"/>
  <c r="G67"/>
  <c r="F67"/>
  <c r="E67"/>
  <c r="L66"/>
  <c r="J66"/>
  <c r="K66" s="1"/>
  <c r="I66"/>
  <c r="G66"/>
  <c r="E66"/>
  <c r="F66" s="1"/>
  <c r="I65"/>
  <c r="L65" s="1"/>
  <c r="G65"/>
  <c r="F65"/>
  <c r="E65"/>
  <c r="L64"/>
  <c r="J64"/>
  <c r="K64" s="1"/>
  <c r="I64"/>
  <c r="G64"/>
  <c r="E64"/>
  <c r="F64" s="1"/>
  <c r="I63"/>
  <c r="L63" s="1"/>
  <c r="G63"/>
  <c r="F63"/>
  <c r="E63"/>
  <c r="L62"/>
  <c r="J62"/>
  <c r="K62" s="1"/>
  <c r="I62"/>
  <c r="G62"/>
  <c r="E62"/>
  <c r="F62" s="1"/>
  <c r="I61"/>
  <c r="L61" s="1"/>
  <c r="G61"/>
  <c r="F61"/>
  <c r="E61"/>
  <c r="L60"/>
  <c r="J60"/>
  <c r="K60" s="1"/>
  <c r="I60"/>
  <c r="G60"/>
  <c r="E60"/>
  <c r="F60" s="1"/>
  <c r="I59"/>
  <c r="L59" s="1"/>
  <c r="G59"/>
  <c r="G69" s="1"/>
  <c r="F59"/>
  <c r="E59"/>
  <c r="E69" s="1"/>
  <c r="I58"/>
  <c r="H58"/>
  <c r="I57"/>
  <c r="L57" s="1"/>
  <c r="G57"/>
  <c r="F57"/>
  <c r="E57"/>
  <c r="L56"/>
  <c r="J56"/>
  <c r="K56" s="1"/>
  <c r="I56"/>
  <c r="G56"/>
  <c r="E56"/>
  <c r="F56" s="1"/>
  <c r="I55"/>
  <c r="L55" s="1"/>
  <c r="G55"/>
  <c r="F55"/>
  <c r="E55"/>
  <c r="L54"/>
  <c r="J54"/>
  <c r="K54" s="1"/>
  <c r="I54"/>
  <c r="G54"/>
  <c r="E54"/>
  <c r="F54" s="1"/>
  <c r="I53"/>
  <c r="L53" s="1"/>
  <c r="G53"/>
  <c r="F53"/>
  <c r="E53"/>
  <c r="L52"/>
  <c r="J52"/>
  <c r="K52" s="1"/>
  <c r="I52"/>
  <c r="G52"/>
  <c r="E52"/>
  <c r="F52" s="1"/>
  <c r="I51"/>
  <c r="L51" s="1"/>
  <c r="G51"/>
  <c r="F51"/>
  <c r="E51"/>
  <c r="L50"/>
  <c r="J50"/>
  <c r="K50" s="1"/>
  <c r="I50"/>
  <c r="G50"/>
  <c r="E50"/>
  <c r="F50" s="1"/>
  <c r="I49"/>
  <c r="L49" s="1"/>
  <c r="G49"/>
  <c r="F49"/>
  <c r="E49"/>
  <c r="L48"/>
  <c r="L58" s="1"/>
  <c r="J48"/>
  <c r="I48"/>
  <c r="G48"/>
  <c r="G58" s="1"/>
  <c r="E48"/>
  <c r="E58" s="1"/>
  <c r="L46"/>
  <c r="K46"/>
  <c r="L45"/>
  <c r="K45"/>
  <c r="L44"/>
  <c r="K44"/>
  <c r="L43"/>
  <c r="K43"/>
  <c r="L42"/>
  <c r="K42"/>
  <c r="L41"/>
  <c r="K41"/>
  <c r="L40"/>
  <c r="K40"/>
  <c r="L39"/>
  <c r="K39"/>
  <c r="L38"/>
  <c r="K38"/>
  <c r="L37"/>
  <c r="L47" s="1"/>
  <c r="K37"/>
  <c r="K47" s="1"/>
  <c r="L35"/>
  <c r="K35"/>
  <c r="L34"/>
  <c r="K34"/>
  <c r="L33"/>
  <c r="K33"/>
  <c r="L32"/>
  <c r="K32"/>
  <c r="L31"/>
  <c r="K31"/>
  <c r="L30"/>
  <c r="K30"/>
  <c r="L29"/>
  <c r="K29"/>
  <c r="L28"/>
  <c r="K28"/>
  <c r="L27"/>
  <c r="K27"/>
  <c r="L26"/>
  <c r="L36" s="1"/>
  <c r="K26"/>
  <c r="K36" s="1"/>
  <c r="G46"/>
  <c r="F46"/>
  <c r="G45"/>
  <c r="F45"/>
  <c r="G44"/>
  <c r="F44"/>
  <c r="G43"/>
  <c r="F43"/>
  <c r="G42"/>
  <c r="F42"/>
  <c r="G41"/>
  <c r="F41"/>
  <c r="G40"/>
  <c r="F40"/>
  <c r="G39"/>
  <c r="F39"/>
  <c r="G38"/>
  <c r="F38"/>
  <c r="G37"/>
  <c r="G47" s="1"/>
  <c r="F37"/>
  <c r="F47" s="1"/>
  <c r="G35"/>
  <c r="F35"/>
  <c r="G34"/>
  <c r="F34"/>
  <c r="G33"/>
  <c r="F33"/>
  <c r="G32"/>
  <c r="F32"/>
  <c r="G31"/>
  <c r="F31"/>
  <c r="G30"/>
  <c r="F30"/>
  <c r="G29"/>
  <c r="F29"/>
  <c r="G28"/>
  <c r="F28"/>
  <c r="G27"/>
  <c r="F27"/>
  <c r="G26"/>
  <c r="G36" s="1"/>
  <c r="F26"/>
  <c r="F36" s="1"/>
  <c r="G24"/>
  <c r="F24"/>
  <c r="G23"/>
  <c r="F23"/>
  <c r="G22"/>
  <c r="F22"/>
  <c r="G21"/>
  <c r="F21"/>
  <c r="G20"/>
  <c r="F20"/>
  <c r="G19"/>
  <c r="F19"/>
  <c r="G18"/>
  <c r="F18"/>
  <c r="G17"/>
  <c r="F17"/>
  <c r="G16"/>
  <c r="F16"/>
  <c r="G15"/>
  <c r="G25" s="1"/>
  <c r="F15"/>
  <c r="F25" s="1"/>
  <c r="K25"/>
  <c r="K24"/>
  <c r="K23"/>
  <c r="K22"/>
  <c r="K21"/>
  <c r="K20"/>
  <c r="K19"/>
  <c r="K18"/>
  <c r="K17"/>
  <c r="K16"/>
  <c r="K15"/>
  <c r="S344"/>
  <c r="R344"/>
  <c r="M344"/>
  <c r="N344" s="1"/>
  <c r="S343"/>
  <c r="V343" s="1"/>
  <c r="N343"/>
  <c r="Q343" s="1"/>
  <c r="S342"/>
  <c r="V342" s="1"/>
  <c r="N342"/>
  <c r="Q342" s="1"/>
  <c r="S341"/>
  <c r="V341" s="1"/>
  <c r="N341"/>
  <c r="Q341" s="1"/>
  <c r="S340"/>
  <c r="V340" s="1"/>
  <c r="N340"/>
  <c r="Q340" s="1"/>
  <c r="S339"/>
  <c r="V339" s="1"/>
  <c r="N339"/>
  <c r="Q339" s="1"/>
  <c r="S338"/>
  <c r="V338" s="1"/>
  <c r="N338"/>
  <c r="Q338" s="1"/>
  <c r="S337"/>
  <c r="V337" s="1"/>
  <c r="N337"/>
  <c r="Q337" s="1"/>
  <c r="S336"/>
  <c r="V336" s="1"/>
  <c r="N336"/>
  <c r="Q336" s="1"/>
  <c r="S335"/>
  <c r="V335" s="1"/>
  <c r="N335"/>
  <c r="Q335" s="1"/>
  <c r="S334"/>
  <c r="V334" s="1"/>
  <c r="V344" s="1"/>
  <c r="N334"/>
  <c r="Q334" s="1"/>
  <c r="Q344" s="1"/>
  <c r="S333"/>
  <c r="R333"/>
  <c r="M333"/>
  <c r="N333" s="1"/>
  <c r="S332"/>
  <c r="V332" s="1"/>
  <c r="N332"/>
  <c r="Q332" s="1"/>
  <c r="S331"/>
  <c r="V331" s="1"/>
  <c r="N331"/>
  <c r="Q331" s="1"/>
  <c r="S330"/>
  <c r="V330" s="1"/>
  <c r="N330"/>
  <c r="Q330" s="1"/>
  <c r="S329"/>
  <c r="V329" s="1"/>
  <c r="N329"/>
  <c r="Q329" s="1"/>
  <c r="S328"/>
  <c r="V328" s="1"/>
  <c r="N328"/>
  <c r="Q328" s="1"/>
  <c r="S327"/>
  <c r="V327" s="1"/>
  <c r="N327"/>
  <c r="Q327" s="1"/>
  <c r="S326"/>
  <c r="V326" s="1"/>
  <c r="N326"/>
  <c r="Q326" s="1"/>
  <c r="S325"/>
  <c r="V325" s="1"/>
  <c r="N325"/>
  <c r="Q325" s="1"/>
  <c r="S324"/>
  <c r="V324" s="1"/>
  <c r="N324"/>
  <c r="Q324" s="1"/>
  <c r="S323"/>
  <c r="V323" s="1"/>
  <c r="V333" s="1"/>
  <c r="N323"/>
  <c r="Q323" s="1"/>
  <c r="Q333" s="1"/>
  <c r="S322"/>
  <c r="R322"/>
  <c r="M322"/>
  <c r="N322" s="1"/>
  <c r="S321"/>
  <c r="V321" s="1"/>
  <c r="N321"/>
  <c r="Q321" s="1"/>
  <c r="S320"/>
  <c r="V320" s="1"/>
  <c r="N320"/>
  <c r="Q320" s="1"/>
  <c r="S319"/>
  <c r="V319" s="1"/>
  <c r="N319"/>
  <c r="Q319" s="1"/>
  <c r="S318"/>
  <c r="V318" s="1"/>
  <c r="N318"/>
  <c r="Q318" s="1"/>
  <c r="S317"/>
  <c r="N317"/>
  <c r="S316"/>
  <c r="N316"/>
  <c r="S315"/>
  <c r="N315"/>
  <c r="S314"/>
  <c r="N314"/>
  <c r="S313"/>
  <c r="N313"/>
  <c r="S312"/>
  <c r="N312"/>
  <c r="S311"/>
  <c r="R311"/>
  <c r="M311"/>
  <c r="N311" s="1"/>
  <c r="S310"/>
  <c r="N310"/>
  <c r="S309"/>
  <c r="N309"/>
  <c r="S308"/>
  <c r="N308"/>
  <c r="S307"/>
  <c r="N307"/>
  <c r="S306"/>
  <c r="N306"/>
  <c r="S305"/>
  <c r="N305"/>
  <c r="S304"/>
  <c r="N304"/>
  <c r="S303"/>
  <c r="N303"/>
  <c r="S302"/>
  <c r="N302"/>
  <c r="S301"/>
  <c r="N301"/>
  <c r="S300"/>
  <c r="R300"/>
  <c r="M300"/>
  <c r="N300" s="1"/>
  <c r="S299"/>
  <c r="N299"/>
  <c r="S298"/>
  <c r="N298"/>
  <c r="S297"/>
  <c r="N297"/>
  <c r="S296"/>
  <c r="N296"/>
  <c r="S295"/>
  <c r="N295"/>
  <c r="S294"/>
  <c r="N294"/>
  <c r="S293"/>
  <c r="N293"/>
  <c r="S292"/>
  <c r="N292"/>
  <c r="S291"/>
  <c r="N291"/>
  <c r="S290"/>
  <c r="N290"/>
  <c r="S289"/>
  <c r="R289"/>
  <c r="M289"/>
  <c r="N289" s="1"/>
  <c r="S288"/>
  <c r="N288"/>
  <c r="S287"/>
  <c r="N287"/>
  <c r="S286"/>
  <c r="N286"/>
  <c r="S285"/>
  <c r="N285"/>
  <c r="S284"/>
  <c r="N284"/>
  <c r="S283"/>
  <c r="N283"/>
  <c r="S282"/>
  <c r="N282"/>
  <c r="S281"/>
  <c r="N281"/>
  <c r="S280"/>
  <c r="V280" s="1"/>
  <c r="N280"/>
  <c r="Q280" s="1"/>
  <c r="S279"/>
  <c r="V279" s="1"/>
  <c r="N279"/>
  <c r="Q279" s="1"/>
  <c r="S278"/>
  <c r="R278"/>
  <c r="M278"/>
  <c r="N278" s="1"/>
  <c r="S277"/>
  <c r="V277" s="1"/>
  <c r="N277"/>
  <c r="Q277" s="1"/>
  <c r="S276"/>
  <c r="V276" s="1"/>
  <c r="N276"/>
  <c r="Q276" s="1"/>
  <c r="S275"/>
  <c r="V275" s="1"/>
  <c r="N275"/>
  <c r="Q275" s="1"/>
  <c r="S274"/>
  <c r="V274" s="1"/>
  <c r="N274"/>
  <c r="Q274" s="1"/>
  <c r="S273"/>
  <c r="V273" s="1"/>
  <c r="N273"/>
  <c r="Q273" s="1"/>
  <c r="S272"/>
  <c r="V272" s="1"/>
  <c r="N272"/>
  <c r="Q272" s="1"/>
  <c r="S271"/>
  <c r="V271" s="1"/>
  <c r="N271"/>
  <c r="Q271" s="1"/>
  <c r="S270"/>
  <c r="V270" s="1"/>
  <c r="N270"/>
  <c r="Q270" s="1"/>
  <c r="S269"/>
  <c r="V269" s="1"/>
  <c r="N269"/>
  <c r="Q269" s="1"/>
  <c r="S268"/>
  <c r="V268" s="1"/>
  <c r="V278" s="1"/>
  <c r="N268"/>
  <c r="Q268" s="1"/>
  <c r="Q278" s="1"/>
  <c r="S267"/>
  <c r="R267"/>
  <c r="M267"/>
  <c r="N267" s="1"/>
  <c r="S266"/>
  <c r="V266" s="1"/>
  <c r="N266"/>
  <c r="Q266" s="1"/>
  <c r="S265"/>
  <c r="V265" s="1"/>
  <c r="N265"/>
  <c r="Q265" s="1"/>
  <c r="S264"/>
  <c r="V264" s="1"/>
  <c r="N264"/>
  <c r="Q264" s="1"/>
  <c r="S263"/>
  <c r="V263" s="1"/>
  <c r="N263"/>
  <c r="Q263" s="1"/>
  <c r="S262"/>
  <c r="V262" s="1"/>
  <c r="N262"/>
  <c r="Q262" s="1"/>
  <c r="S261"/>
  <c r="V261" s="1"/>
  <c r="N261"/>
  <c r="Q261" s="1"/>
  <c r="S260"/>
  <c r="V260" s="1"/>
  <c r="N260"/>
  <c r="Q260" s="1"/>
  <c r="S259"/>
  <c r="V259" s="1"/>
  <c r="N259"/>
  <c r="Q259" s="1"/>
  <c r="S258"/>
  <c r="V258" s="1"/>
  <c r="N258"/>
  <c r="Q258" s="1"/>
  <c r="S257"/>
  <c r="V257" s="1"/>
  <c r="V267" s="1"/>
  <c r="N257"/>
  <c r="Q257" s="1"/>
  <c r="Q267" s="1"/>
  <c r="S256"/>
  <c r="R256"/>
  <c r="M256"/>
  <c r="N256" s="1"/>
  <c r="S255"/>
  <c r="V255" s="1"/>
  <c r="N255"/>
  <c r="Q255" s="1"/>
  <c r="S254"/>
  <c r="V254" s="1"/>
  <c r="N254"/>
  <c r="Q254" s="1"/>
  <c r="S253"/>
  <c r="V253" s="1"/>
  <c r="N253"/>
  <c r="Q253" s="1"/>
  <c r="S252"/>
  <c r="V252" s="1"/>
  <c r="N252"/>
  <c r="Q252" s="1"/>
  <c r="S251"/>
  <c r="V251" s="1"/>
  <c r="N251"/>
  <c r="Q251" s="1"/>
  <c r="S250"/>
  <c r="V250" s="1"/>
  <c r="N250"/>
  <c r="Q250" s="1"/>
  <c r="S249"/>
  <c r="V249" s="1"/>
  <c r="N249"/>
  <c r="Q249" s="1"/>
  <c r="S248"/>
  <c r="V248" s="1"/>
  <c r="N248"/>
  <c r="Q248" s="1"/>
  <c r="S247"/>
  <c r="V247" s="1"/>
  <c r="N247"/>
  <c r="Q247" s="1"/>
  <c r="S246"/>
  <c r="V246" s="1"/>
  <c r="V256" s="1"/>
  <c r="N246"/>
  <c r="Q246" s="1"/>
  <c r="Q256" s="1"/>
  <c r="S245"/>
  <c r="R245"/>
  <c r="M245"/>
  <c r="N245" s="1"/>
  <c r="S244"/>
  <c r="V244" s="1"/>
  <c r="N244"/>
  <c r="Q244" s="1"/>
  <c r="S243"/>
  <c r="V243" s="1"/>
  <c r="N243"/>
  <c r="Q243" s="1"/>
  <c r="S242"/>
  <c r="V242" s="1"/>
  <c r="N242"/>
  <c r="Q242" s="1"/>
  <c r="S241"/>
  <c r="V241" s="1"/>
  <c r="N241"/>
  <c r="Q241" s="1"/>
  <c r="S240"/>
  <c r="V240" s="1"/>
  <c r="N240"/>
  <c r="Q240" s="1"/>
  <c r="S239"/>
  <c r="V239" s="1"/>
  <c r="N239"/>
  <c r="Q239" s="1"/>
  <c r="S238"/>
  <c r="V238" s="1"/>
  <c r="N238"/>
  <c r="Q238" s="1"/>
  <c r="S237"/>
  <c r="V237" s="1"/>
  <c r="N237"/>
  <c r="Q237" s="1"/>
  <c r="S236"/>
  <c r="V236" s="1"/>
  <c r="N236"/>
  <c r="Q236" s="1"/>
  <c r="S235"/>
  <c r="V235" s="1"/>
  <c r="V245" s="1"/>
  <c r="N235"/>
  <c r="Q235" s="1"/>
  <c r="Q245" s="1"/>
  <c r="S234"/>
  <c r="R234"/>
  <c r="M234"/>
  <c r="N234" s="1"/>
  <c r="S233"/>
  <c r="V233" s="1"/>
  <c r="N233"/>
  <c r="Q233" s="1"/>
  <c r="S232"/>
  <c r="V232" s="1"/>
  <c r="N232"/>
  <c r="Q232" s="1"/>
  <c r="S231"/>
  <c r="V231" s="1"/>
  <c r="N231"/>
  <c r="Q231" s="1"/>
  <c r="S230"/>
  <c r="V230" s="1"/>
  <c r="N230"/>
  <c r="Q230" s="1"/>
  <c r="S229"/>
  <c r="V229" s="1"/>
  <c r="N229"/>
  <c r="Q229" s="1"/>
  <c r="S228"/>
  <c r="V228" s="1"/>
  <c r="N228"/>
  <c r="Q228" s="1"/>
  <c r="S227"/>
  <c r="V227" s="1"/>
  <c r="N227"/>
  <c r="Q227" s="1"/>
  <c r="S226"/>
  <c r="V226" s="1"/>
  <c r="N226"/>
  <c r="Q226" s="1"/>
  <c r="S225"/>
  <c r="V225" s="1"/>
  <c r="N225"/>
  <c r="Q225" s="1"/>
  <c r="S224"/>
  <c r="V224" s="1"/>
  <c r="V234" s="1"/>
  <c r="N224"/>
  <c r="Q224" s="1"/>
  <c r="Q234" s="1"/>
  <c r="S223"/>
  <c r="R223"/>
  <c r="M223"/>
  <c r="N223" s="1"/>
  <c r="S222"/>
  <c r="V222" s="1"/>
  <c r="N222"/>
  <c r="Q222" s="1"/>
  <c r="S221"/>
  <c r="V221" s="1"/>
  <c r="N221"/>
  <c r="Q221" s="1"/>
  <c r="S220"/>
  <c r="V220" s="1"/>
  <c r="N220"/>
  <c r="Q220" s="1"/>
  <c r="S219"/>
  <c r="V219" s="1"/>
  <c r="N219"/>
  <c r="Q219" s="1"/>
  <c r="S218"/>
  <c r="V218" s="1"/>
  <c r="N218"/>
  <c r="Q218" s="1"/>
  <c r="S217"/>
  <c r="V217" s="1"/>
  <c r="N217"/>
  <c r="Q217" s="1"/>
  <c r="S216"/>
  <c r="V216" s="1"/>
  <c r="N216"/>
  <c r="Q216" s="1"/>
  <c r="S215"/>
  <c r="V215" s="1"/>
  <c r="N215"/>
  <c r="Q215" s="1"/>
  <c r="S214"/>
  <c r="V214" s="1"/>
  <c r="N214"/>
  <c r="Q214" s="1"/>
  <c r="S213"/>
  <c r="V213" s="1"/>
  <c r="V223" s="1"/>
  <c r="N213"/>
  <c r="Q213" s="1"/>
  <c r="Q223" s="1"/>
  <c r="S212"/>
  <c r="R212"/>
  <c r="M212"/>
  <c r="N212" s="1"/>
  <c r="S211"/>
  <c r="V211" s="1"/>
  <c r="N211"/>
  <c r="Q211" s="1"/>
  <c r="S210"/>
  <c r="V210" s="1"/>
  <c r="N210"/>
  <c r="Q210" s="1"/>
  <c r="S209"/>
  <c r="V209" s="1"/>
  <c r="N209"/>
  <c r="Q209" s="1"/>
  <c r="S208"/>
  <c r="V208" s="1"/>
  <c r="N208"/>
  <c r="Q208" s="1"/>
  <c r="S207"/>
  <c r="V207" s="1"/>
  <c r="N207"/>
  <c r="Q207" s="1"/>
  <c r="S206"/>
  <c r="V206" s="1"/>
  <c r="N206"/>
  <c r="Q206" s="1"/>
  <c r="S205"/>
  <c r="V205" s="1"/>
  <c r="N205"/>
  <c r="Q205" s="1"/>
  <c r="S204"/>
  <c r="V204" s="1"/>
  <c r="N204"/>
  <c r="Q204" s="1"/>
  <c r="S203"/>
  <c r="V203" s="1"/>
  <c r="N203"/>
  <c r="Q203" s="1"/>
  <c r="S202"/>
  <c r="N202"/>
  <c r="S201"/>
  <c r="R201"/>
  <c r="M201"/>
  <c r="N201" s="1"/>
  <c r="S200"/>
  <c r="N200"/>
  <c r="S199"/>
  <c r="N199"/>
  <c r="S198"/>
  <c r="N198"/>
  <c r="S197"/>
  <c r="N197"/>
  <c r="S196"/>
  <c r="N196"/>
  <c r="S195"/>
  <c r="N195"/>
  <c r="S194"/>
  <c r="N194"/>
  <c r="S193"/>
  <c r="N193"/>
  <c r="S192"/>
  <c r="N192"/>
  <c r="S191"/>
  <c r="N191"/>
  <c r="S190"/>
  <c r="R190"/>
  <c r="M190"/>
  <c r="N190" s="1"/>
  <c r="S189"/>
  <c r="N189"/>
  <c r="S188"/>
  <c r="N188"/>
  <c r="S187"/>
  <c r="N187"/>
  <c r="S186"/>
  <c r="N186"/>
  <c r="S185"/>
  <c r="N185"/>
  <c r="S184"/>
  <c r="N184"/>
  <c r="S183"/>
  <c r="N183"/>
  <c r="S182"/>
  <c r="N182"/>
  <c r="S181"/>
  <c r="N181"/>
  <c r="S180"/>
  <c r="N180"/>
  <c r="S179"/>
  <c r="R179"/>
  <c r="M179"/>
  <c r="N179" s="1"/>
  <c r="S178"/>
  <c r="N178"/>
  <c r="S177"/>
  <c r="N177"/>
  <c r="S176"/>
  <c r="N176"/>
  <c r="S175"/>
  <c r="N175"/>
  <c r="S174"/>
  <c r="N174"/>
  <c r="S173"/>
  <c r="N173"/>
  <c r="S172"/>
  <c r="N172"/>
  <c r="S171"/>
  <c r="O171"/>
  <c r="P171" s="1"/>
  <c r="N171"/>
  <c r="Q171" s="1"/>
  <c r="V170"/>
  <c r="T170"/>
  <c r="U170" s="1"/>
  <c r="S170"/>
  <c r="O170"/>
  <c r="P170" s="1"/>
  <c r="N170"/>
  <c r="Q170" s="1"/>
  <c r="V169"/>
  <c r="T169"/>
  <c r="U169" s="1"/>
  <c r="S169"/>
  <c r="O169"/>
  <c r="N169"/>
  <c r="Q169" s="1"/>
  <c r="R168"/>
  <c r="S168" s="1"/>
  <c r="M168"/>
  <c r="N168" s="1"/>
  <c r="V167"/>
  <c r="T167"/>
  <c r="U167" s="1"/>
  <c r="S167"/>
  <c r="Q167"/>
  <c r="O167"/>
  <c r="P167" s="1"/>
  <c r="N167"/>
  <c r="V166"/>
  <c r="T166"/>
  <c r="U166" s="1"/>
  <c r="S166"/>
  <c r="Q166"/>
  <c r="O166"/>
  <c r="P166" s="1"/>
  <c r="N166"/>
  <c r="V165"/>
  <c r="T165"/>
  <c r="U165" s="1"/>
  <c r="S165"/>
  <c r="Q165"/>
  <c r="O165"/>
  <c r="P165" s="1"/>
  <c r="N165"/>
  <c r="V164"/>
  <c r="T164"/>
  <c r="U164" s="1"/>
  <c r="S164"/>
  <c r="Q164"/>
  <c r="O164"/>
  <c r="P164" s="1"/>
  <c r="N164"/>
  <c r="V163"/>
  <c r="T163"/>
  <c r="U163" s="1"/>
  <c r="S163"/>
  <c r="Q163"/>
  <c r="O163"/>
  <c r="P163" s="1"/>
  <c r="N163"/>
  <c r="V162"/>
  <c r="T162"/>
  <c r="U162" s="1"/>
  <c r="S162"/>
  <c r="Q162"/>
  <c r="O162"/>
  <c r="P162" s="1"/>
  <c r="N162"/>
  <c r="V161"/>
  <c r="T161"/>
  <c r="U161" s="1"/>
  <c r="S161"/>
  <c r="Q161"/>
  <c r="O161"/>
  <c r="P161" s="1"/>
  <c r="N161"/>
  <c r="V160"/>
  <c r="T160"/>
  <c r="U160" s="1"/>
  <c r="S160"/>
  <c r="Q160"/>
  <c r="O160"/>
  <c r="P160" s="1"/>
  <c r="N160"/>
  <c r="V159"/>
  <c r="T159"/>
  <c r="U159" s="1"/>
  <c r="S159"/>
  <c r="Q159"/>
  <c r="O159"/>
  <c r="P159" s="1"/>
  <c r="N159"/>
  <c r="V158"/>
  <c r="V168" s="1"/>
  <c r="T158"/>
  <c r="T168" s="1"/>
  <c r="S158"/>
  <c r="N158"/>
  <c r="Q158" s="1"/>
  <c r="Q168" s="1"/>
  <c r="R157"/>
  <c r="S157" s="1"/>
  <c r="N157"/>
  <c r="M157"/>
  <c r="V156"/>
  <c r="T156"/>
  <c r="U156" s="1"/>
  <c r="S156"/>
  <c r="Q156"/>
  <c r="O156"/>
  <c r="P156" s="1"/>
  <c r="N156"/>
  <c r="V155"/>
  <c r="T155"/>
  <c r="U155" s="1"/>
  <c r="S155"/>
  <c r="Q155"/>
  <c r="O155"/>
  <c r="P155" s="1"/>
  <c r="N155"/>
  <c r="V154"/>
  <c r="T154"/>
  <c r="U154" s="1"/>
  <c r="S154"/>
  <c r="Q154"/>
  <c r="O154"/>
  <c r="P154" s="1"/>
  <c r="N154"/>
  <c r="V153"/>
  <c r="T153"/>
  <c r="U153" s="1"/>
  <c r="S153"/>
  <c r="Q153"/>
  <c r="O153"/>
  <c r="P153" s="1"/>
  <c r="N153"/>
  <c r="V152"/>
  <c r="T152"/>
  <c r="U152" s="1"/>
  <c r="S152"/>
  <c r="Q152"/>
  <c r="O152"/>
  <c r="P152" s="1"/>
  <c r="N152"/>
  <c r="V151"/>
  <c r="T151"/>
  <c r="U151" s="1"/>
  <c r="S151"/>
  <c r="Q151"/>
  <c r="O151"/>
  <c r="P151" s="1"/>
  <c r="N151"/>
  <c r="V150"/>
  <c r="T150"/>
  <c r="U150" s="1"/>
  <c r="S150"/>
  <c r="Q150"/>
  <c r="O150"/>
  <c r="P150" s="1"/>
  <c r="N150"/>
  <c r="V149"/>
  <c r="T149"/>
  <c r="U149" s="1"/>
  <c r="S149"/>
  <c r="Q149"/>
  <c r="O149"/>
  <c r="P149" s="1"/>
  <c r="N149"/>
  <c r="V148"/>
  <c r="T148"/>
  <c r="U148" s="1"/>
  <c r="S148"/>
  <c r="Q148"/>
  <c r="O148"/>
  <c r="P148" s="1"/>
  <c r="N148"/>
  <c r="V147"/>
  <c r="V157" s="1"/>
  <c r="T147"/>
  <c r="T157" s="1"/>
  <c r="S147"/>
  <c r="Q147"/>
  <c r="Q157" s="1"/>
  <c r="O147"/>
  <c r="O157" s="1"/>
  <c r="N147"/>
  <c r="R146"/>
  <c r="S146" s="1"/>
  <c r="N146"/>
  <c r="M146"/>
  <c r="V145"/>
  <c r="T145"/>
  <c r="U145" s="1"/>
  <c r="S145"/>
  <c r="Q145"/>
  <c r="O145"/>
  <c r="P145" s="1"/>
  <c r="N145"/>
  <c r="V144"/>
  <c r="T144"/>
  <c r="U144" s="1"/>
  <c r="S144"/>
  <c r="Q144"/>
  <c r="O144"/>
  <c r="P144" s="1"/>
  <c r="N144"/>
  <c r="V143"/>
  <c r="T143"/>
  <c r="U143" s="1"/>
  <c r="S143"/>
  <c r="Q143"/>
  <c r="O143"/>
  <c r="P143" s="1"/>
  <c r="N143"/>
  <c r="V142"/>
  <c r="T142"/>
  <c r="U142" s="1"/>
  <c r="S142"/>
  <c r="Q142"/>
  <c r="O142"/>
  <c r="P142" s="1"/>
  <c r="N142"/>
  <c r="V141"/>
  <c r="T141"/>
  <c r="U141" s="1"/>
  <c r="S141"/>
  <c r="Q141"/>
  <c r="O141"/>
  <c r="P141" s="1"/>
  <c r="N141"/>
  <c r="V140"/>
  <c r="T140"/>
  <c r="U140" s="1"/>
  <c r="S140"/>
  <c r="Q140"/>
  <c r="O140"/>
  <c r="P140" s="1"/>
  <c r="N140"/>
  <c r="V139"/>
  <c r="T139"/>
  <c r="U139" s="1"/>
  <c r="S139"/>
  <c r="Q139"/>
  <c r="O139"/>
  <c r="P139" s="1"/>
  <c r="N139"/>
  <c r="V138"/>
  <c r="T138"/>
  <c r="U138" s="1"/>
  <c r="S138"/>
  <c r="Q138"/>
  <c r="O138"/>
  <c r="P138" s="1"/>
  <c r="N138"/>
  <c r="V137"/>
  <c r="T137"/>
  <c r="U137" s="1"/>
  <c r="S137"/>
  <c r="Q137"/>
  <c r="O137"/>
  <c r="P137" s="1"/>
  <c r="N137"/>
  <c r="V136"/>
  <c r="V146" s="1"/>
  <c r="T136"/>
  <c r="T146" s="1"/>
  <c r="S136"/>
  <c r="Q136"/>
  <c r="Q146" s="1"/>
  <c r="O136"/>
  <c r="O146" s="1"/>
  <c r="N136"/>
  <c r="R135"/>
  <c r="S135" s="1"/>
  <c r="N135"/>
  <c r="M135"/>
  <c r="V134"/>
  <c r="T134"/>
  <c r="U134" s="1"/>
  <c r="S134"/>
  <c r="Q134"/>
  <c r="O134"/>
  <c r="P134" s="1"/>
  <c r="N134"/>
  <c r="V133"/>
  <c r="T133"/>
  <c r="U133" s="1"/>
  <c r="S133"/>
  <c r="Q133"/>
  <c r="O133"/>
  <c r="P133" s="1"/>
  <c r="N133"/>
  <c r="V132"/>
  <c r="T132"/>
  <c r="U132" s="1"/>
  <c r="S132"/>
  <c r="Q132"/>
  <c r="O132"/>
  <c r="P132" s="1"/>
  <c r="N132"/>
  <c r="V131"/>
  <c r="T131"/>
  <c r="U131" s="1"/>
  <c r="S131"/>
  <c r="Q131"/>
  <c r="O131"/>
  <c r="P131" s="1"/>
  <c r="N131"/>
  <c r="V130"/>
  <c r="T130"/>
  <c r="U130" s="1"/>
  <c r="S130"/>
  <c r="Q130"/>
  <c r="O130"/>
  <c r="P130" s="1"/>
  <c r="N130"/>
  <c r="V129"/>
  <c r="T129"/>
  <c r="U129" s="1"/>
  <c r="S129"/>
  <c r="Q129"/>
  <c r="O129"/>
  <c r="P129" s="1"/>
  <c r="N129"/>
  <c r="V128"/>
  <c r="T128"/>
  <c r="U128" s="1"/>
  <c r="S128"/>
  <c r="Q128"/>
  <c r="O128"/>
  <c r="P128" s="1"/>
  <c r="N128"/>
  <c r="V127"/>
  <c r="T127"/>
  <c r="U127" s="1"/>
  <c r="S127"/>
  <c r="Q127"/>
  <c r="O127"/>
  <c r="P127" s="1"/>
  <c r="N127"/>
  <c r="V126"/>
  <c r="T126"/>
  <c r="U126" s="1"/>
  <c r="S126"/>
  <c r="Q126"/>
  <c r="O126"/>
  <c r="P126" s="1"/>
  <c r="N126"/>
  <c r="V125"/>
  <c r="V135" s="1"/>
  <c r="T125"/>
  <c r="T135" s="1"/>
  <c r="S125"/>
  <c r="Q125"/>
  <c r="Q135" s="1"/>
  <c r="O125"/>
  <c r="O135" s="1"/>
  <c r="N125"/>
  <c r="R124"/>
  <c r="S124" s="1"/>
  <c r="N124"/>
  <c r="M124"/>
  <c r="V123"/>
  <c r="T123"/>
  <c r="U123" s="1"/>
  <c r="S123"/>
  <c r="Q123"/>
  <c r="O123"/>
  <c r="P123" s="1"/>
  <c r="N123"/>
  <c r="V122"/>
  <c r="T122"/>
  <c r="U122" s="1"/>
  <c r="S122"/>
  <c r="Q122"/>
  <c r="O122"/>
  <c r="P122" s="1"/>
  <c r="N122"/>
  <c r="V121"/>
  <c r="T121"/>
  <c r="U121" s="1"/>
  <c r="S121"/>
  <c r="Q121"/>
  <c r="O121"/>
  <c r="P121" s="1"/>
  <c r="N121"/>
  <c r="V120"/>
  <c r="T120"/>
  <c r="U120" s="1"/>
  <c r="S120"/>
  <c r="Q120"/>
  <c r="O120"/>
  <c r="P120" s="1"/>
  <c r="N120"/>
  <c r="V119"/>
  <c r="T119"/>
  <c r="U119" s="1"/>
  <c r="S119"/>
  <c r="Q119"/>
  <c r="O119"/>
  <c r="P119" s="1"/>
  <c r="N119"/>
  <c r="V118"/>
  <c r="T118"/>
  <c r="U118" s="1"/>
  <c r="S118"/>
  <c r="Q118"/>
  <c r="O118"/>
  <c r="P118" s="1"/>
  <c r="N118"/>
  <c r="V117"/>
  <c r="T117"/>
  <c r="U117" s="1"/>
  <c r="S117"/>
  <c r="Q117"/>
  <c r="O117"/>
  <c r="P117" s="1"/>
  <c r="N117"/>
  <c r="V116"/>
  <c r="T116"/>
  <c r="U116" s="1"/>
  <c r="S116"/>
  <c r="Q116"/>
  <c r="O116"/>
  <c r="P116" s="1"/>
  <c r="N116"/>
  <c r="V115"/>
  <c r="T115"/>
  <c r="U115" s="1"/>
  <c r="S115"/>
  <c r="Q115"/>
  <c r="O115"/>
  <c r="P115" s="1"/>
  <c r="N115"/>
  <c r="V114"/>
  <c r="V124" s="1"/>
  <c r="T114"/>
  <c r="T124" s="1"/>
  <c r="S114"/>
  <c r="Q114"/>
  <c r="Q124" s="1"/>
  <c r="O114"/>
  <c r="O124" s="1"/>
  <c r="N114"/>
  <c r="R113"/>
  <c r="S113" s="1"/>
  <c r="N113"/>
  <c r="M113"/>
  <c r="V112"/>
  <c r="T112"/>
  <c r="U112" s="1"/>
  <c r="S112"/>
  <c r="Q112"/>
  <c r="O112"/>
  <c r="P112" s="1"/>
  <c r="N112"/>
  <c r="V111"/>
  <c r="T111"/>
  <c r="U111" s="1"/>
  <c r="S111"/>
  <c r="Q111"/>
  <c r="O111"/>
  <c r="P111" s="1"/>
  <c r="N111"/>
  <c r="V110"/>
  <c r="T110"/>
  <c r="U110" s="1"/>
  <c r="S110"/>
  <c r="Q110"/>
  <c r="O110"/>
  <c r="P110" s="1"/>
  <c r="N110"/>
  <c r="V109"/>
  <c r="T109"/>
  <c r="U109" s="1"/>
  <c r="S109"/>
  <c r="Q109"/>
  <c r="O109"/>
  <c r="P109" s="1"/>
  <c r="N109"/>
  <c r="V108"/>
  <c r="T108"/>
  <c r="U108" s="1"/>
  <c r="S108"/>
  <c r="Q108"/>
  <c r="O108"/>
  <c r="P108" s="1"/>
  <c r="N108"/>
  <c r="V107"/>
  <c r="T107"/>
  <c r="U107" s="1"/>
  <c r="S107"/>
  <c r="Q107"/>
  <c r="O107"/>
  <c r="P107" s="1"/>
  <c r="N107"/>
  <c r="V106"/>
  <c r="T106"/>
  <c r="U106" s="1"/>
  <c r="S106"/>
  <c r="Q106"/>
  <c r="O106"/>
  <c r="P106" s="1"/>
  <c r="N106"/>
  <c r="V105"/>
  <c r="T105"/>
  <c r="U105" s="1"/>
  <c r="S105"/>
  <c r="Q105"/>
  <c r="O105"/>
  <c r="P105" s="1"/>
  <c r="N105"/>
  <c r="V104"/>
  <c r="T104"/>
  <c r="U104" s="1"/>
  <c r="S104"/>
  <c r="Q104"/>
  <c r="O104"/>
  <c r="P104" s="1"/>
  <c r="N104"/>
  <c r="V103"/>
  <c r="V113" s="1"/>
  <c r="T103"/>
  <c r="T113" s="1"/>
  <c r="S103"/>
  <c r="Q103"/>
  <c r="Q113" s="1"/>
  <c r="O103"/>
  <c r="O113" s="1"/>
  <c r="N103"/>
  <c r="R102"/>
  <c r="S102" s="1"/>
  <c r="N102"/>
  <c r="M102"/>
  <c r="V101"/>
  <c r="T101"/>
  <c r="U101" s="1"/>
  <c r="S101"/>
  <c r="Q101"/>
  <c r="O101"/>
  <c r="P101" s="1"/>
  <c r="N101"/>
  <c r="V100"/>
  <c r="T100"/>
  <c r="U100" s="1"/>
  <c r="S100"/>
  <c r="Q100"/>
  <c r="O100"/>
  <c r="P100" s="1"/>
  <c r="N100"/>
  <c r="V99"/>
  <c r="T99"/>
  <c r="U99" s="1"/>
  <c r="S99"/>
  <c r="Q99"/>
  <c r="O99"/>
  <c r="P99" s="1"/>
  <c r="N99"/>
  <c r="V98"/>
  <c r="T98"/>
  <c r="U98" s="1"/>
  <c r="S98"/>
  <c r="Q98"/>
  <c r="O98"/>
  <c r="P98" s="1"/>
  <c r="N98"/>
  <c r="V97"/>
  <c r="T97"/>
  <c r="U97" s="1"/>
  <c r="S97"/>
  <c r="Q97"/>
  <c r="O97"/>
  <c r="P97" s="1"/>
  <c r="N97"/>
  <c r="V96"/>
  <c r="T96"/>
  <c r="U96" s="1"/>
  <c r="S96"/>
  <c r="Q96"/>
  <c r="O96"/>
  <c r="P96" s="1"/>
  <c r="N96"/>
  <c r="V95"/>
  <c r="T95"/>
  <c r="U95" s="1"/>
  <c r="S95"/>
  <c r="Q95"/>
  <c r="O95"/>
  <c r="P95" s="1"/>
  <c r="N95"/>
  <c r="V94"/>
  <c r="T94"/>
  <c r="U94" s="1"/>
  <c r="S94"/>
  <c r="Q94"/>
  <c r="O94"/>
  <c r="P94" s="1"/>
  <c r="N94"/>
  <c r="V93"/>
  <c r="T93"/>
  <c r="U93" s="1"/>
  <c r="S93"/>
  <c r="Q93"/>
  <c r="O93"/>
  <c r="P93" s="1"/>
  <c r="N93"/>
  <c r="V92"/>
  <c r="V102" s="1"/>
  <c r="T92"/>
  <c r="T102" s="1"/>
  <c r="S92"/>
  <c r="Q92"/>
  <c r="Q102" s="1"/>
  <c r="O92"/>
  <c r="O102" s="1"/>
  <c r="N92"/>
  <c r="R91"/>
  <c r="S91" s="1"/>
  <c r="N91"/>
  <c r="M91"/>
  <c r="V90"/>
  <c r="T90"/>
  <c r="U90" s="1"/>
  <c r="S90"/>
  <c r="Q90"/>
  <c r="O90"/>
  <c r="P90" s="1"/>
  <c r="N90"/>
  <c r="V89"/>
  <c r="T89"/>
  <c r="U89" s="1"/>
  <c r="S89"/>
  <c r="Q89"/>
  <c r="O89"/>
  <c r="P89" s="1"/>
  <c r="N89"/>
  <c r="V88"/>
  <c r="T88"/>
  <c r="U88" s="1"/>
  <c r="S88"/>
  <c r="Q88"/>
  <c r="O88"/>
  <c r="P88" s="1"/>
  <c r="N88"/>
  <c r="V87"/>
  <c r="T87"/>
  <c r="U87" s="1"/>
  <c r="S87"/>
  <c r="Q87"/>
  <c r="O87"/>
  <c r="P87" s="1"/>
  <c r="N87"/>
  <c r="V86"/>
  <c r="T86"/>
  <c r="U86" s="1"/>
  <c r="S86"/>
  <c r="Q86"/>
  <c r="O86"/>
  <c r="P86" s="1"/>
  <c r="N86"/>
  <c r="V85"/>
  <c r="T85"/>
  <c r="U85" s="1"/>
  <c r="S85"/>
  <c r="Q85"/>
  <c r="O85"/>
  <c r="P85" s="1"/>
  <c r="N85"/>
  <c r="V84"/>
  <c r="T84"/>
  <c r="U84" s="1"/>
  <c r="S84"/>
  <c r="Q84"/>
  <c r="O84"/>
  <c r="P84" s="1"/>
  <c r="N84"/>
  <c r="V83"/>
  <c r="T83"/>
  <c r="U83" s="1"/>
  <c r="S83"/>
  <c r="Q83"/>
  <c r="O83"/>
  <c r="P83" s="1"/>
  <c r="N83"/>
  <c r="V82"/>
  <c r="T82"/>
  <c r="U82" s="1"/>
  <c r="S82"/>
  <c r="Q82"/>
  <c r="O82"/>
  <c r="P82" s="1"/>
  <c r="N82"/>
  <c r="V81"/>
  <c r="V91" s="1"/>
  <c r="T81"/>
  <c r="T91" s="1"/>
  <c r="S81"/>
  <c r="Q81"/>
  <c r="Q91" s="1"/>
  <c r="O81"/>
  <c r="O91" s="1"/>
  <c r="N81"/>
  <c r="R80"/>
  <c r="S80" s="1"/>
  <c r="N80"/>
  <c r="M80"/>
  <c r="V79"/>
  <c r="T79"/>
  <c r="U79" s="1"/>
  <c r="S79"/>
  <c r="Q79"/>
  <c r="O79"/>
  <c r="P79" s="1"/>
  <c r="N79"/>
  <c r="V78"/>
  <c r="T78"/>
  <c r="U78" s="1"/>
  <c r="S78"/>
  <c r="Q78"/>
  <c r="O78"/>
  <c r="P78" s="1"/>
  <c r="N78"/>
  <c r="V77"/>
  <c r="T77"/>
  <c r="U77" s="1"/>
  <c r="S77"/>
  <c r="Q77"/>
  <c r="O77"/>
  <c r="P77" s="1"/>
  <c r="N77"/>
  <c r="V76"/>
  <c r="T76"/>
  <c r="U76" s="1"/>
  <c r="S76"/>
  <c r="Q76"/>
  <c r="O76"/>
  <c r="P76" s="1"/>
  <c r="N76"/>
  <c r="V75"/>
  <c r="T75"/>
  <c r="U75" s="1"/>
  <c r="S75"/>
  <c r="Q75"/>
  <c r="O75"/>
  <c r="P75" s="1"/>
  <c r="N75"/>
  <c r="V74"/>
  <c r="T74"/>
  <c r="U74" s="1"/>
  <c r="S74"/>
  <c r="Q74"/>
  <c r="O74"/>
  <c r="P74" s="1"/>
  <c r="N74"/>
  <c r="V73"/>
  <c r="T73"/>
  <c r="U73" s="1"/>
  <c r="S73"/>
  <c r="Q73"/>
  <c r="O73"/>
  <c r="P73" s="1"/>
  <c r="N73"/>
  <c r="V72"/>
  <c r="T72"/>
  <c r="U72" s="1"/>
  <c r="S72"/>
  <c r="Q72"/>
  <c r="O72"/>
  <c r="P72" s="1"/>
  <c r="N72"/>
  <c r="V71"/>
  <c r="T71"/>
  <c r="U71" s="1"/>
  <c r="S71"/>
  <c r="Q71"/>
  <c r="O71"/>
  <c r="P71" s="1"/>
  <c r="N71"/>
  <c r="V70"/>
  <c r="V80" s="1"/>
  <c r="T70"/>
  <c r="T80" s="1"/>
  <c r="S70"/>
  <c r="Q70"/>
  <c r="Q80" s="1"/>
  <c r="O70"/>
  <c r="O80" s="1"/>
  <c r="N70"/>
  <c r="R69"/>
  <c r="S69" s="1"/>
  <c r="N69"/>
  <c r="M69"/>
  <c r="V68"/>
  <c r="T68"/>
  <c r="U68" s="1"/>
  <c r="S68"/>
  <c r="Q68"/>
  <c r="O68"/>
  <c r="P68" s="1"/>
  <c r="N68"/>
  <c r="V67"/>
  <c r="T67"/>
  <c r="U67" s="1"/>
  <c r="S67"/>
  <c r="Q67"/>
  <c r="O67"/>
  <c r="P67" s="1"/>
  <c r="N67"/>
  <c r="T66"/>
  <c r="U66" s="1"/>
  <c r="S66"/>
  <c r="V66" s="1"/>
  <c r="O66"/>
  <c r="P66" s="1"/>
  <c r="N66"/>
  <c r="Q66" s="1"/>
  <c r="T65"/>
  <c r="U65" s="1"/>
  <c r="S65"/>
  <c r="V65" s="1"/>
  <c r="N65"/>
  <c r="Q65" s="1"/>
  <c r="S64"/>
  <c r="V64" s="1"/>
  <c r="O64"/>
  <c r="P64" s="1"/>
  <c r="N64"/>
  <c r="Q64" s="1"/>
  <c r="T63"/>
  <c r="U63" s="1"/>
  <c r="S63"/>
  <c r="V63" s="1"/>
  <c r="O63"/>
  <c r="P63" s="1"/>
  <c r="N63"/>
  <c r="Q63" s="1"/>
  <c r="T62"/>
  <c r="U62" s="1"/>
  <c r="S62"/>
  <c r="V62" s="1"/>
  <c r="O62"/>
  <c r="P62" s="1"/>
  <c r="N62"/>
  <c r="Q62" s="1"/>
  <c r="T61"/>
  <c r="U61" s="1"/>
  <c r="S61"/>
  <c r="V61" s="1"/>
  <c r="O61"/>
  <c r="P61" s="1"/>
  <c r="N61"/>
  <c r="Q61" s="1"/>
  <c r="T60"/>
  <c r="U60" s="1"/>
  <c r="S60"/>
  <c r="V60" s="1"/>
  <c r="Q60"/>
  <c r="O60"/>
  <c r="P60" s="1"/>
  <c r="N60"/>
  <c r="T59"/>
  <c r="S59"/>
  <c r="V59" s="1"/>
  <c r="V69" s="1"/>
  <c r="O59"/>
  <c r="N59"/>
  <c r="Q59" s="1"/>
  <c r="Q69" s="1"/>
  <c r="R58"/>
  <c r="S58" s="1"/>
  <c r="M58"/>
  <c r="N58" s="1"/>
  <c r="T57"/>
  <c r="U57" s="1"/>
  <c r="S57"/>
  <c r="V57" s="1"/>
  <c r="Q57"/>
  <c r="O57"/>
  <c r="P57" s="1"/>
  <c r="N57"/>
  <c r="V56"/>
  <c r="T56"/>
  <c r="U56" s="1"/>
  <c r="S56"/>
  <c r="Q56"/>
  <c r="O56"/>
  <c r="P56" s="1"/>
  <c r="N56"/>
  <c r="T55"/>
  <c r="U55" s="1"/>
  <c r="S55"/>
  <c r="V55" s="1"/>
  <c r="O55"/>
  <c r="P55" s="1"/>
  <c r="N55"/>
  <c r="Q55" s="1"/>
  <c r="T54"/>
  <c r="U54" s="1"/>
  <c r="S54"/>
  <c r="V54" s="1"/>
  <c r="O54"/>
  <c r="P54" s="1"/>
  <c r="N54"/>
  <c r="Q54" s="1"/>
  <c r="T53"/>
  <c r="U53" s="1"/>
  <c r="S53"/>
  <c r="V53" s="1"/>
  <c r="N53"/>
  <c r="Q53" s="1"/>
  <c r="S52"/>
  <c r="V52" s="1"/>
  <c r="N52"/>
  <c r="Q52" s="1"/>
  <c r="S51"/>
  <c r="V51" s="1"/>
  <c r="N51"/>
  <c r="Q51" s="1"/>
  <c r="S50"/>
  <c r="V50" s="1"/>
  <c r="N50"/>
  <c r="Q50" s="1"/>
  <c r="S49"/>
  <c r="V49" s="1"/>
  <c r="N49"/>
  <c r="Q49" s="1"/>
  <c r="S48"/>
  <c r="V48" s="1"/>
  <c r="N48"/>
  <c r="Q48" s="1"/>
  <c r="Q58" s="1"/>
  <c r="R47"/>
  <c r="S47" s="1"/>
  <c r="M47"/>
  <c r="N47" s="1"/>
  <c r="T46"/>
  <c r="U46" s="1"/>
  <c r="S46"/>
  <c r="V46" s="1"/>
  <c r="O46"/>
  <c r="P46" s="1"/>
  <c r="N46"/>
  <c r="Q46" s="1"/>
  <c r="V45"/>
  <c r="T45"/>
  <c r="U45" s="1"/>
  <c r="S45"/>
  <c r="O45"/>
  <c r="P45" s="1"/>
  <c r="N45"/>
  <c r="Q45" s="1"/>
  <c r="S44"/>
  <c r="V44" s="1"/>
  <c r="N44"/>
  <c r="Q44" s="1"/>
  <c r="S43"/>
  <c r="V43" s="1"/>
  <c r="N43"/>
  <c r="Q43" s="1"/>
  <c r="S42"/>
  <c r="V42" s="1"/>
  <c r="Q42"/>
  <c r="O42"/>
  <c r="P42" s="1"/>
  <c r="N42"/>
  <c r="V41"/>
  <c r="T41"/>
  <c r="U41" s="1"/>
  <c r="S41"/>
  <c r="Q41"/>
  <c r="O41"/>
  <c r="P41" s="1"/>
  <c r="N41"/>
  <c r="V40"/>
  <c r="T40"/>
  <c r="U40" s="1"/>
  <c r="S40"/>
  <c r="Q40"/>
  <c r="O40"/>
  <c r="P40" s="1"/>
  <c r="N40"/>
  <c r="V39"/>
  <c r="T39"/>
  <c r="U39" s="1"/>
  <c r="S39"/>
  <c r="Q39"/>
  <c r="O39"/>
  <c r="P39" s="1"/>
  <c r="N39"/>
  <c r="V38"/>
  <c r="T38"/>
  <c r="U38" s="1"/>
  <c r="S38"/>
  <c r="Q38"/>
  <c r="O38"/>
  <c r="P38" s="1"/>
  <c r="N38"/>
  <c r="V37"/>
  <c r="V47" s="1"/>
  <c r="T37"/>
  <c r="S37"/>
  <c r="Q37"/>
  <c r="O37"/>
  <c r="N37"/>
  <c r="R36"/>
  <c r="S36" s="1"/>
  <c r="N36"/>
  <c r="M36"/>
  <c r="V35"/>
  <c r="T35"/>
  <c r="U35" s="1"/>
  <c r="S35"/>
  <c r="Q35"/>
  <c r="O35"/>
  <c r="P35" s="1"/>
  <c r="N35"/>
  <c r="V34"/>
  <c r="T34"/>
  <c r="U34" s="1"/>
  <c r="S34"/>
  <c r="Q34"/>
  <c r="O34"/>
  <c r="P34" s="1"/>
  <c r="N34"/>
  <c r="V33"/>
  <c r="T33"/>
  <c r="U33" s="1"/>
  <c r="S33"/>
  <c r="Q33"/>
  <c r="O33"/>
  <c r="P33" s="1"/>
  <c r="N33"/>
  <c r="V32"/>
  <c r="T32"/>
  <c r="U32" s="1"/>
  <c r="S32"/>
  <c r="Q32"/>
  <c r="O32"/>
  <c r="P32" s="1"/>
  <c r="N32"/>
  <c r="V31"/>
  <c r="T31"/>
  <c r="U31" s="1"/>
  <c r="S31"/>
  <c r="Q31"/>
  <c r="O31"/>
  <c r="P31" s="1"/>
  <c r="N31"/>
  <c r="S30"/>
  <c r="V30" s="1"/>
  <c r="N30"/>
  <c r="Q30" s="1"/>
  <c r="S29"/>
  <c r="V29" s="1"/>
  <c r="N29"/>
  <c r="Q29" s="1"/>
  <c r="S28"/>
  <c r="V28" s="1"/>
  <c r="N28"/>
  <c r="Q28" s="1"/>
  <c r="S27"/>
  <c r="V27" s="1"/>
  <c r="O27"/>
  <c r="P27" s="1"/>
  <c r="N27"/>
  <c r="Q27" s="1"/>
  <c r="T26"/>
  <c r="S26"/>
  <c r="V26" s="1"/>
  <c r="V36" s="1"/>
  <c r="O26"/>
  <c r="N26"/>
  <c r="Q26" s="1"/>
  <c r="R25"/>
  <c r="S25" s="1"/>
  <c r="N25"/>
  <c r="M25"/>
  <c r="T24"/>
  <c r="U24" s="1"/>
  <c r="S24"/>
  <c r="V24" s="1"/>
  <c r="Q24"/>
  <c r="O24"/>
  <c r="P24" s="1"/>
  <c r="N24"/>
  <c r="V23"/>
  <c r="T23"/>
  <c r="U23" s="1"/>
  <c r="S23"/>
  <c r="Q23"/>
  <c r="O23"/>
  <c r="P23" s="1"/>
  <c r="N23"/>
  <c r="V22"/>
  <c r="T22"/>
  <c r="U22" s="1"/>
  <c r="S22"/>
  <c r="Q22"/>
  <c r="O22"/>
  <c r="P22" s="1"/>
  <c r="N22"/>
  <c r="V21"/>
  <c r="T21"/>
  <c r="U21" s="1"/>
  <c r="S21"/>
  <c r="Q21"/>
  <c r="O21"/>
  <c r="P21" s="1"/>
  <c r="N21"/>
  <c r="V20"/>
  <c r="T20"/>
  <c r="U20" s="1"/>
  <c r="S20"/>
  <c r="Q20"/>
  <c r="O20"/>
  <c r="P20" s="1"/>
  <c r="N20"/>
  <c r="T19"/>
  <c r="U19" s="1"/>
  <c r="S19"/>
  <c r="V19" s="1"/>
  <c r="N19"/>
  <c r="Q19" s="1"/>
  <c r="S18"/>
  <c r="V18" s="1"/>
  <c r="N18"/>
  <c r="Q18" s="1"/>
  <c r="S17"/>
  <c r="V17" s="1"/>
  <c r="N17"/>
  <c r="Q17" s="1"/>
  <c r="S16"/>
  <c r="V16" s="1"/>
  <c r="N16"/>
  <c r="Q16" s="1"/>
  <c r="S15"/>
  <c r="V15" s="1"/>
  <c r="N15"/>
  <c r="Q15" s="1"/>
  <c r="U5"/>
  <c r="U6"/>
  <c r="U7"/>
  <c r="U8"/>
  <c r="U9"/>
  <c r="U10"/>
  <c r="U11"/>
  <c r="U12"/>
  <c r="U13"/>
  <c r="P6"/>
  <c r="P8"/>
  <c r="P10"/>
  <c r="P12"/>
  <c r="C344"/>
  <c r="D344" s="1"/>
  <c r="D343"/>
  <c r="D342"/>
  <c r="D341"/>
  <c r="D340"/>
  <c r="D339"/>
  <c r="D338"/>
  <c r="D337"/>
  <c r="D336"/>
  <c r="D335"/>
  <c r="X334"/>
  <c r="D334"/>
  <c r="C333"/>
  <c r="D333" s="1"/>
  <c r="D332"/>
  <c r="D331"/>
  <c r="D330"/>
  <c r="D329"/>
  <c r="D328"/>
  <c r="D327"/>
  <c r="D326"/>
  <c r="D325"/>
  <c r="D324"/>
  <c r="X323"/>
  <c r="D323"/>
  <c r="C322"/>
  <c r="D322" s="1"/>
  <c r="D321"/>
  <c r="D320"/>
  <c r="D319"/>
  <c r="D318"/>
  <c r="D317"/>
  <c r="D316"/>
  <c r="D315"/>
  <c r="D314"/>
  <c r="D313"/>
  <c r="X312"/>
  <c r="D312"/>
  <c r="C311"/>
  <c r="D311" s="1"/>
  <c r="D310"/>
  <c r="D309"/>
  <c r="D308"/>
  <c r="D307"/>
  <c r="D306"/>
  <c r="D305"/>
  <c r="D304"/>
  <c r="D303"/>
  <c r="D302"/>
  <c r="X301"/>
  <c r="D301"/>
  <c r="C300"/>
  <c r="D300" s="1"/>
  <c r="D299"/>
  <c r="D298"/>
  <c r="D297"/>
  <c r="D296"/>
  <c r="D295"/>
  <c r="D294"/>
  <c r="D293"/>
  <c r="D292"/>
  <c r="D291"/>
  <c r="X290"/>
  <c r="D290"/>
  <c r="C289"/>
  <c r="D289" s="1"/>
  <c r="D288"/>
  <c r="D287"/>
  <c r="D286"/>
  <c r="D285"/>
  <c r="D284"/>
  <c r="D283"/>
  <c r="D282"/>
  <c r="D281"/>
  <c r="D280"/>
  <c r="X279"/>
  <c r="D279"/>
  <c r="C278"/>
  <c r="D278" s="1"/>
  <c r="D277"/>
  <c r="D276"/>
  <c r="D275"/>
  <c r="G275" s="1"/>
  <c r="D274"/>
  <c r="E274" s="1"/>
  <c r="F274" s="1"/>
  <c r="D273"/>
  <c r="G273" s="1"/>
  <c r="D272"/>
  <c r="G272" s="1"/>
  <c r="D271"/>
  <c r="G271" s="1"/>
  <c r="D270"/>
  <c r="E270" s="1"/>
  <c r="F270" s="1"/>
  <c r="D269"/>
  <c r="G269" s="1"/>
  <c r="X268"/>
  <c r="D268"/>
  <c r="G268" s="1"/>
  <c r="C267"/>
  <c r="D267" s="1"/>
  <c r="D266"/>
  <c r="D265"/>
  <c r="E265" s="1"/>
  <c r="F265" s="1"/>
  <c r="D264"/>
  <c r="G264" s="1"/>
  <c r="D263"/>
  <c r="G263" s="1"/>
  <c r="D262"/>
  <c r="G262" s="1"/>
  <c r="D261"/>
  <c r="E261" s="1"/>
  <c r="F261" s="1"/>
  <c r="D260"/>
  <c r="G260" s="1"/>
  <c r="D259"/>
  <c r="G259" s="1"/>
  <c r="D258"/>
  <c r="G258" s="1"/>
  <c r="X257"/>
  <c r="D257"/>
  <c r="E257" s="1"/>
  <c r="D255"/>
  <c r="G255" s="1"/>
  <c r="D254"/>
  <c r="G254" s="1"/>
  <c r="D253"/>
  <c r="G253" s="1"/>
  <c r="D252"/>
  <c r="E252" s="1"/>
  <c r="F252" s="1"/>
  <c r="D251"/>
  <c r="G251" s="1"/>
  <c r="D250"/>
  <c r="G250" s="1"/>
  <c r="D249"/>
  <c r="G249" s="1"/>
  <c r="D248"/>
  <c r="E248" s="1"/>
  <c r="F248" s="1"/>
  <c r="D247"/>
  <c r="G247" s="1"/>
  <c r="X246"/>
  <c r="D246"/>
  <c r="G246" s="1"/>
  <c r="C245"/>
  <c r="D245" s="1"/>
  <c r="D244"/>
  <c r="D243"/>
  <c r="D242"/>
  <c r="G242" s="1"/>
  <c r="D241"/>
  <c r="G241" s="1"/>
  <c r="D240"/>
  <c r="G240" s="1"/>
  <c r="D239"/>
  <c r="E239" s="1"/>
  <c r="F239" s="1"/>
  <c r="D238"/>
  <c r="G238" s="1"/>
  <c r="D237"/>
  <c r="G237" s="1"/>
  <c r="D236"/>
  <c r="G236" s="1"/>
  <c r="X235"/>
  <c r="D235"/>
  <c r="E235" s="1"/>
  <c r="C234"/>
  <c r="D234" s="1"/>
  <c r="D233"/>
  <c r="D232"/>
  <c r="G232" s="1"/>
  <c r="D231"/>
  <c r="G231" s="1"/>
  <c r="D230"/>
  <c r="E230" s="1"/>
  <c r="F230" s="1"/>
  <c r="D229"/>
  <c r="G229" s="1"/>
  <c r="D228"/>
  <c r="G228" s="1"/>
  <c r="D227"/>
  <c r="G227" s="1"/>
  <c r="D226"/>
  <c r="E226" s="1"/>
  <c r="F226" s="1"/>
  <c r="D225"/>
  <c r="G225" s="1"/>
  <c r="X224"/>
  <c r="D224"/>
  <c r="G224" s="1"/>
  <c r="C223"/>
  <c r="D223" s="1"/>
  <c r="D222"/>
  <c r="D221"/>
  <c r="D220"/>
  <c r="D219"/>
  <c r="D218"/>
  <c r="D217"/>
  <c r="D216"/>
  <c r="D215"/>
  <c r="D214"/>
  <c r="X213"/>
  <c r="D213"/>
  <c r="E213" s="1"/>
  <c r="E223" s="1"/>
  <c r="C212"/>
  <c r="D212" s="1"/>
  <c r="D211"/>
  <c r="D210"/>
  <c r="D209"/>
  <c r="D208"/>
  <c r="D207"/>
  <c r="D206"/>
  <c r="D205"/>
  <c r="D204"/>
  <c r="D203"/>
  <c r="X202"/>
  <c r="D202"/>
  <c r="C201"/>
  <c r="D201" s="1"/>
  <c r="D200"/>
  <c r="D199"/>
  <c r="D198"/>
  <c r="D197"/>
  <c r="D196"/>
  <c r="D195"/>
  <c r="D194"/>
  <c r="D193"/>
  <c r="D192"/>
  <c r="X191"/>
  <c r="D191"/>
  <c r="C190"/>
  <c r="D190" s="1"/>
  <c r="D189"/>
  <c r="D188"/>
  <c r="D187"/>
  <c r="D186"/>
  <c r="D185"/>
  <c r="D184"/>
  <c r="E184" s="1"/>
  <c r="F184" s="1"/>
  <c r="D183"/>
  <c r="G183" s="1"/>
  <c r="D182"/>
  <c r="G182" s="1"/>
  <c r="D181"/>
  <c r="G181" s="1"/>
  <c r="X180"/>
  <c r="D180"/>
  <c r="E180" s="1"/>
  <c r="C179"/>
  <c r="D179" s="1"/>
  <c r="D178"/>
  <c r="D177"/>
  <c r="E177" s="1"/>
  <c r="F177" s="1"/>
  <c r="D176"/>
  <c r="G176" s="1"/>
  <c r="D175"/>
  <c r="G175" s="1"/>
  <c r="D174"/>
  <c r="G174" s="1"/>
  <c r="D173"/>
  <c r="E173" s="1"/>
  <c r="F173" s="1"/>
  <c r="D172"/>
  <c r="G172" s="1"/>
  <c r="D171"/>
  <c r="G171" s="1"/>
  <c r="D170"/>
  <c r="G170" s="1"/>
  <c r="X169"/>
  <c r="D169"/>
  <c r="E169" s="1"/>
  <c r="C168"/>
  <c r="D168" s="1"/>
  <c r="D167"/>
  <c r="D166"/>
  <c r="D165"/>
  <c r="D164"/>
  <c r="D163"/>
  <c r="D162"/>
  <c r="D161"/>
  <c r="D160"/>
  <c r="D159"/>
  <c r="X158"/>
  <c r="D158"/>
  <c r="C157"/>
  <c r="D157" s="1"/>
  <c r="D156"/>
  <c r="D155"/>
  <c r="D154"/>
  <c r="D153"/>
  <c r="D152"/>
  <c r="D151"/>
  <c r="D150"/>
  <c r="D149"/>
  <c r="D148"/>
  <c r="X147"/>
  <c r="D147"/>
  <c r="C146"/>
  <c r="D146" s="1"/>
  <c r="D145"/>
  <c r="D144"/>
  <c r="D143"/>
  <c r="D142"/>
  <c r="D141"/>
  <c r="D140"/>
  <c r="D139"/>
  <c r="D138"/>
  <c r="D137"/>
  <c r="X136"/>
  <c r="D136"/>
  <c r="C135"/>
  <c r="D135" s="1"/>
  <c r="D134"/>
  <c r="D133"/>
  <c r="D132"/>
  <c r="D131"/>
  <c r="D130"/>
  <c r="D129"/>
  <c r="D128"/>
  <c r="D127"/>
  <c r="D126"/>
  <c r="X125"/>
  <c r="D125"/>
  <c r="C124"/>
  <c r="D124" s="1"/>
  <c r="D123"/>
  <c r="D122"/>
  <c r="D121"/>
  <c r="D120"/>
  <c r="D119"/>
  <c r="D118"/>
  <c r="D117"/>
  <c r="D116"/>
  <c r="D115"/>
  <c r="X114"/>
  <c r="D114"/>
  <c r="C113"/>
  <c r="D113" s="1"/>
  <c r="D112"/>
  <c r="D111"/>
  <c r="G111" s="1"/>
  <c r="D110"/>
  <c r="G110" s="1"/>
  <c r="D109"/>
  <c r="E109" s="1"/>
  <c r="F109" s="1"/>
  <c r="D108"/>
  <c r="G108" s="1"/>
  <c r="D107"/>
  <c r="G107" s="1"/>
  <c r="D106"/>
  <c r="G106" s="1"/>
  <c r="D105"/>
  <c r="E105" s="1"/>
  <c r="F105" s="1"/>
  <c r="D104"/>
  <c r="G104" s="1"/>
  <c r="X103"/>
  <c r="D103"/>
  <c r="G103" s="1"/>
  <c r="C102"/>
  <c r="D102" s="1"/>
  <c r="D101"/>
  <c r="D100"/>
  <c r="G100" s="1"/>
  <c r="D99"/>
  <c r="D98"/>
  <c r="E98" s="1"/>
  <c r="F98" s="1"/>
  <c r="D97"/>
  <c r="G97" s="1"/>
  <c r="D96"/>
  <c r="G96" s="1"/>
  <c r="D95"/>
  <c r="D94"/>
  <c r="E94" s="1"/>
  <c r="F94" s="1"/>
  <c r="D93"/>
  <c r="G93" s="1"/>
  <c r="X92"/>
  <c r="D92"/>
  <c r="G92" s="1"/>
  <c r="C91"/>
  <c r="D90"/>
  <c r="G90" s="1"/>
  <c r="D89"/>
  <c r="E89" s="1"/>
  <c r="F89" s="1"/>
  <c r="D88"/>
  <c r="G88" s="1"/>
  <c r="D87"/>
  <c r="G87" s="1"/>
  <c r="D86"/>
  <c r="D85"/>
  <c r="E85" s="1"/>
  <c r="F85" s="1"/>
  <c r="D84"/>
  <c r="G84" s="1"/>
  <c r="D83"/>
  <c r="G83" s="1"/>
  <c r="D82"/>
  <c r="G82" s="1"/>
  <c r="X81"/>
  <c r="D81"/>
  <c r="E81" s="1"/>
  <c r="C80"/>
  <c r="D80" s="1"/>
  <c r="D79"/>
  <c r="D78"/>
  <c r="D77"/>
  <c r="D76"/>
  <c r="D75"/>
  <c r="D74"/>
  <c r="D73"/>
  <c r="D72"/>
  <c r="D71"/>
  <c r="X70"/>
  <c r="D70"/>
  <c r="C69"/>
  <c r="D69" s="1"/>
  <c r="D68"/>
  <c r="D67"/>
  <c r="D66"/>
  <c r="D65"/>
  <c r="D64"/>
  <c r="D63"/>
  <c r="D62"/>
  <c r="D61"/>
  <c r="D60"/>
  <c r="X59"/>
  <c r="D59"/>
  <c r="C58"/>
  <c r="D58" s="1"/>
  <c r="D57"/>
  <c r="D56"/>
  <c r="D55"/>
  <c r="D54"/>
  <c r="D53"/>
  <c r="D52"/>
  <c r="D51"/>
  <c r="D50"/>
  <c r="D49"/>
  <c r="X48"/>
  <c r="D48"/>
  <c r="H47"/>
  <c r="I47" s="1"/>
  <c r="C47"/>
  <c r="D47" s="1"/>
  <c r="I46"/>
  <c r="D46"/>
  <c r="E46" s="1"/>
  <c r="I45"/>
  <c r="D45"/>
  <c r="E45" s="1"/>
  <c r="I44"/>
  <c r="D44"/>
  <c r="E44" s="1"/>
  <c r="I43"/>
  <c r="D43"/>
  <c r="E43" s="1"/>
  <c r="I42"/>
  <c r="D42"/>
  <c r="E42" s="1"/>
  <c r="I41"/>
  <c r="D41"/>
  <c r="E41" s="1"/>
  <c r="I40"/>
  <c r="D40"/>
  <c r="E40" s="1"/>
  <c r="I39"/>
  <c r="D39"/>
  <c r="E39" s="1"/>
  <c r="I38"/>
  <c r="D38"/>
  <c r="E38" s="1"/>
  <c r="X37"/>
  <c r="I37"/>
  <c r="J37" s="1"/>
  <c r="D37"/>
  <c r="H36"/>
  <c r="I36" s="1"/>
  <c r="C36"/>
  <c r="D36" s="1"/>
  <c r="I35"/>
  <c r="D35"/>
  <c r="I34"/>
  <c r="D34"/>
  <c r="I33"/>
  <c r="D33"/>
  <c r="I32"/>
  <c r="D32"/>
  <c r="I31"/>
  <c r="D31"/>
  <c r="I30"/>
  <c r="D30"/>
  <c r="I29"/>
  <c r="D29"/>
  <c r="I28"/>
  <c r="D28"/>
  <c r="I27"/>
  <c r="D27"/>
  <c r="X26"/>
  <c r="I26"/>
  <c r="D26"/>
  <c r="H25"/>
  <c r="I25" s="1"/>
  <c r="C25"/>
  <c r="D25" s="1"/>
  <c r="D15"/>
  <c r="E15" s="1"/>
  <c r="I15"/>
  <c r="J15" s="1"/>
  <c r="X15"/>
  <c r="D16"/>
  <c r="E16" s="1"/>
  <c r="I16"/>
  <c r="J16" s="1"/>
  <c r="D17"/>
  <c r="E17" s="1"/>
  <c r="I17"/>
  <c r="J17" s="1"/>
  <c r="D18"/>
  <c r="E18" s="1"/>
  <c r="I18"/>
  <c r="J18" s="1"/>
  <c r="D19"/>
  <c r="E19" s="1"/>
  <c r="I19"/>
  <c r="J19" s="1"/>
  <c r="D20"/>
  <c r="E20" s="1"/>
  <c r="I20"/>
  <c r="J20" s="1"/>
  <c r="D21"/>
  <c r="E21" s="1"/>
  <c r="I21"/>
  <c r="J21" s="1"/>
  <c r="D22"/>
  <c r="E22" s="1"/>
  <c r="I22"/>
  <c r="J22" s="1"/>
  <c r="D23"/>
  <c r="E23" s="1"/>
  <c r="I23"/>
  <c r="J23" s="1"/>
  <c r="D24"/>
  <c r="E24" s="1"/>
  <c r="I24"/>
  <c r="J24" s="1"/>
  <c r="R14"/>
  <c r="S14" s="1"/>
  <c r="M14"/>
  <c r="N14" s="1"/>
  <c r="H14"/>
  <c r="I14" s="1"/>
  <c r="S5"/>
  <c r="T5" s="1"/>
  <c r="S6"/>
  <c r="T6" s="1"/>
  <c r="S7"/>
  <c r="T7" s="1"/>
  <c r="S8"/>
  <c r="T8" s="1"/>
  <c r="S9"/>
  <c r="T9" s="1"/>
  <c r="S10"/>
  <c r="T10" s="1"/>
  <c r="S11"/>
  <c r="T11" s="1"/>
  <c r="S12"/>
  <c r="T12" s="1"/>
  <c r="S13"/>
  <c r="T13" s="1"/>
  <c r="I5"/>
  <c r="J5" s="1"/>
  <c r="K5" s="1"/>
  <c r="N5"/>
  <c r="O5" s="1"/>
  <c r="P5" s="1"/>
  <c r="I6"/>
  <c r="J6" s="1"/>
  <c r="K6" s="1"/>
  <c r="N6"/>
  <c r="O6" s="1"/>
  <c r="I7"/>
  <c r="J7" s="1"/>
  <c r="K7" s="1"/>
  <c r="N7"/>
  <c r="O7" s="1"/>
  <c r="P7" s="1"/>
  <c r="I8"/>
  <c r="J8" s="1"/>
  <c r="K8" s="1"/>
  <c r="N8"/>
  <c r="O8" s="1"/>
  <c r="I9"/>
  <c r="J9" s="1"/>
  <c r="K9" s="1"/>
  <c r="N9"/>
  <c r="O9" s="1"/>
  <c r="P9" s="1"/>
  <c r="I10"/>
  <c r="J10" s="1"/>
  <c r="K10" s="1"/>
  <c r="N10"/>
  <c r="O10" s="1"/>
  <c r="I11"/>
  <c r="J11" s="1"/>
  <c r="K11" s="1"/>
  <c r="N11"/>
  <c r="O11" s="1"/>
  <c r="P11" s="1"/>
  <c r="I12"/>
  <c r="J12" s="1"/>
  <c r="K12" s="1"/>
  <c r="N12"/>
  <c r="O12" s="1"/>
  <c r="I13"/>
  <c r="J13" s="1"/>
  <c r="K13" s="1"/>
  <c r="N13"/>
  <c r="O13" s="1"/>
  <c r="P13" s="1"/>
  <c r="D5"/>
  <c r="E5" s="1"/>
  <c r="F5" s="1"/>
  <c r="D6"/>
  <c r="E6" s="1"/>
  <c r="F6" s="1"/>
  <c r="D7"/>
  <c r="E7" s="1"/>
  <c r="F7" s="1"/>
  <c r="D8"/>
  <c r="E8" s="1"/>
  <c r="F8" s="1"/>
  <c r="D9"/>
  <c r="E9" s="1"/>
  <c r="F9" s="1"/>
  <c r="D10"/>
  <c r="E10" s="1"/>
  <c r="F10" s="1"/>
  <c r="D11"/>
  <c r="E11" s="1"/>
  <c r="F11" s="1"/>
  <c r="D12"/>
  <c r="E12" s="1"/>
  <c r="F12" s="1"/>
  <c r="D13"/>
  <c r="E13" s="1"/>
  <c r="F13" s="1"/>
  <c r="C14"/>
  <c r="D14" s="1"/>
  <c r="E275" l="1"/>
  <c r="F275" s="1"/>
  <c r="G274"/>
  <c r="E273"/>
  <c r="F273" s="1"/>
  <c r="E272"/>
  <c r="F272" s="1"/>
  <c r="E271"/>
  <c r="F271" s="1"/>
  <c r="G270"/>
  <c r="G278" s="1"/>
  <c r="E269"/>
  <c r="F269" s="1"/>
  <c r="E268"/>
  <c r="G265"/>
  <c r="E264"/>
  <c r="F264" s="1"/>
  <c r="E263"/>
  <c r="F263" s="1"/>
  <c r="E262"/>
  <c r="F262" s="1"/>
  <c r="G261"/>
  <c r="E260"/>
  <c r="F260" s="1"/>
  <c r="E259"/>
  <c r="F259" s="1"/>
  <c r="E258"/>
  <c r="F258" s="1"/>
  <c r="G257"/>
  <c r="G267" s="1"/>
  <c r="E255"/>
  <c r="F255" s="1"/>
  <c r="E254"/>
  <c r="F254" s="1"/>
  <c r="E253"/>
  <c r="F253" s="1"/>
  <c r="G252"/>
  <c r="E251"/>
  <c r="F251" s="1"/>
  <c r="E250"/>
  <c r="F250" s="1"/>
  <c r="E249"/>
  <c r="F249" s="1"/>
  <c r="G248"/>
  <c r="G256" s="1"/>
  <c r="E247"/>
  <c r="F247" s="1"/>
  <c r="E246"/>
  <c r="E242"/>
  <c r="F242" s="1"/>
  <c r="E241"/>
  <c r="F241" s="1"/>
  <c r="E240"/>
  <c r="F240" s="1"/>
  <c r="G239"/>
  <c r="E238"/>
  <c r="F238" s="1"/>
  <c r="E237"/>
  <c r="F237" s="1"/>
  <c r="E245"/>
  <c r="E236"/>
  <c r="F236" s="1"/>
  <c r="G235"/>
  <c r="G245" s="1"/>
  <c r="E232"/>
  <c r="F232" s="1"/>
  <c r="E231"/>
  <c r="F231" s="1"/>
  <c r="G230"/>
  <c r="E229"/>
  <c r="F229" s="1"/>
  <c r="E228"/>
  <c r="F228" s="1"/>
  <c r="E227"/>
  <c r="F227" s="1"/>
  <c r="G226"/>
  <c r="G234" s="1"/>
  <c r="E225"/>
  <c r="F225" s="1"/>
  <c r="E224"/>
  <c r="G213"/>
  <c r="G223" s="1"/>
  <c r="G184"/>
  <c r="E183"/>
  <c r="F183" s="1"/>
  <c r="E182"/>
  <c r="F182" s="1"/>
  <c r="E181"/>
  <c r="F181" s="1"/>
  <c r="G180"/>
  <c r="G190" s="1"/>
  <c r="L180"/>
  <c r="J169"/>
  <c r="G177"/>
  <c r="E176"/>
  <c r="F176" s="1"/>
  <c r="E175"/>
  <c r="F175" s="1"/>
  <c r="E174"/>
  <c r="F174" s="1"/>
  <c r="G173"/>
  <c r="E172"/>
  <c r="F172" s="1"/>
  <c r="E171"/>
  <c r="F171" s="1"/>
  <c r="E170"/>
  <c r="F170" s="1"/>
  <c r="G169"/>
  <c r="G179" s="1"/>
  <c r="J166"/>
  <c r="K166" s="1"/>
  <c r="L164"/>
  <c r="L168" s="1"/>
  <c r="J162"/>
  <c r="K162" s="1"/>
  <c r="L160"/>
  <c r="O158"/>
  <c r="O168" s="1"/>
  <c r="L158"/>
  <c r="L155"/>
  <c r="L153"/>
  <c r="L151"/>
  <c r="J149"/>
  <c r="K149" s="1"/>
  <c r="J147"/>
  <c r="D91"/>
  <c r="E111"/>
  <c r="F111" s="1"/>
  <c r="E110"/>
  <c r="F110" s="1"/>
  <c r="G109"/>
  <c r="E108"/>
  <c r="F108" s="1"/>
  <c r="E107"/>
  <c r="F107" s="1"/>
  <c r="E106"/>
  <c r="F106" s="1"/>
  <c r="G105"/>
  <c r="G113" s="1"/>
  <c r="E104"/>
  <c r="F104" s="1"/>
  <c r="E103"/>
  <c r="E97"/>
  <c r="F97" s="1"/>
  <c r="G94"/>
  <c r="G102" s="1"/>
  <c r="E93"/>
  <c r="F93" s="1"/>
  <c r="E92"/>
  <c r="E90"/>
  <c r="F90" s="1"/>
  <c r="E88"/>
  <c r="F88" s="1"/>
  <c r="E84"/>
  <c r="F84" s="1"/>
  <c r="E83"/>
  <c r="F83" s="1"/>
  <c r="G91"/>
  <c r="E82"/>
  <c r="F82" s="1"/>
  <c r="L344"/>
  <c r="F334"/>
  <c r="F344" s="1"/>
  <c r="K334"/>
  <c r="J335"/>
  <c r="K335" s="1"/>
  <c r="J337"/>
  <c r="K337" s="1"/>
  <c r="J339"/>
  <c r="K339" s="1"/>
  <c r="J341"/>
  <c r="K341" s="1"/>
  <c r="J343"/>
  <c r="K343" s="1"/>
  <c r="L333"/>
  <c r="F323"/>
  <c r="F333" s="1"/>
  <c r="K323"/>
  <c r="J324"/>
  <c r="K324" s="1"/>
  <c r="J326"/>
  <c r="K326" s="1"/>
  <c r="J328"/>
  <c r="K328" s="1"/>
  <c r="J330"/>
  <c r="K330" s="1"/>
  <c r="J332"/>
  <c r="K332" s="1"/>
  <c r="F312"/>
  <c r="F322" s="1"/>
  <c r="K312"/>
  <c r="J313"/>
  <c r="K313" s="1"/>
  <c r="J315"/>
  <c r="K315" s="1"/>
  <c r="J316"/>
  <c r="K316" s="1"/>
  <c r="J318"/>
  <c r="K318" s="1"/>
  <c r="J320"/>
  <c r="K320" s="1"/>
  <c r="L311"/>
  <c r="F290"/>
  <c r="F300" s="1"/>
  <c r="K290"/>
  <c r="J291"/>
  <c r="K291" s="1"/>
  <c r="J293"/>
  <c r="K293" s="1"/>
  <c r="J295"/>
  <c r="K295" s="1"/>
  <c r="J297"/>
  <c r="K297" s="1"/>
  <c r="J299"/>
  <c r="K299" s="1"/>
  <c r="F301"/>
  <c r="F311" s="1"/>
  <c r="K301"/>
  <c r="J302"/>
  <c r="K302" s="1"/>
  <c r="J304"/>
  <c r="K304" s="1"/>
  <c r="J306"/>
  <c r="K306" s="1"/>
  <c r="J308"/>
  <c r="K308" s="1"/>
  <c r="J310"/>
  <c r="K310" s="1"/>
  <c r="L278"/>
  <c r="F257"/>
  <c r="F267" s="1"/>
  <c r="K257"/>
  <c r="J258"/>
  <c r="K258" s="1"/>
  <c r="J260"/>
  <c r="K260" s="1"/>
  <c r="J262"/>
  <c r="K262" s="1"/>
  <c r="J264"/>
  <c r="K264" s="1"/>
  <c r="J266"/>
  <c r="K266" s="1"/>
  <c r="F268"/>
  <c r="K268"/>
  <c r="J269"/>
  <c r="K269" s="1"/>
  <c r="J271"/>
  <c r="K271" s="1"/>
  <c r="J273"/>
  <c r="K273" s="1"/>
  <c r="J275"/>
  <c r="K275" s="1"/>
  <c r="J277"/>
  <c r="K277" s="1"/>
  <c r="F279"/>
  <c r="F289" s="1"/>
  <c r="K279"/>
  <c r="J280"/>
  <c r="K280" s="1"/>
  <c r="J282"/>
  <c r="K282" s="1"/>
  <c r="J284"/>
  <c r="K284" s="1"/>
  <c r="J286"/>
  <c r="K286" s="1"/>
  <c r="J288"/>
  <c r="K288" s="1"/>
  <c r="F224"/>
  <c r="F234" s="1"/>
  <c r="K224"/>
  <c r="J225"/>
  <c r="K225" s="1"/>
  <c r="J227"/>
  <c r="K227" s="1"/>
  <c r="J229"/>
  <c r="K229" s="1"/>
  <c r="J231"/>
  <c r="K231" s="1"/>
  <c r="J233"/>
  <c r="K233" s="1"/>
  <c r="F235"/>
  <c r="K235"/>
  <c r="J236"/>
  <c r="K236" s="1"/>
  <c r="J238"/>
  <c r="K238" s="1"/>
  <c r="J240"/>
  <c r="K240" s="1"/>
  <c r="J242"/>
  <c r="K242" s="1"/>
  <c r="J244"/>
  <c r="K244" s="1"/>
  <c r="F246"/>
  <c r="F256" s="1"/>
  <c r="K246"/>
  <c r="J247"/>
  <c r="K247" s="1"/>
  <c r="J249"/>
  <c r="K249" s="1"/>
  <c r="J251"/>
  <c r="K251" s="1"/>
  <c r="J253"/>
  <c r="K253" s="1"/>
  <c r="J255"/>
  <c r="K255" s="1"/>
  <c r="L190"/>
  <c r="L212"/>
  <c r="F180"/>
  <c r="K180"/>
  <c r="J181"/>
  <c r="K181" s="1"/>
  <c r="J183"/>
  <c r="K183" s="1"/>
  <c r="J185"/>
  <c r="K185" s="1"/>
  <c r="J187"/>
  <c r="K187" s="1"/>
  <c r="J189"/>
  <c r="K189" s="1"/>
  <c r="F191"/>
  <c r="F201" s="1"/>
  <c r="K191"/>
  <c r="J192"/>
  <c r="K192" s="1"/>
  <c r="J194"/>
  <c r="K194" s="1"/>
  <c r="J196"/>
  <c r="K196" s="1"/>
  <c r="J198"/>
  <c r="K198" s="1"/>
  <c r="J200"/>
  <c r="K200" s="1"/>
  <c r="F202"/>
  <c r="F212" s="1"/>
  <c r="K202"/>
  <c r="J203"/>
  <c r="K203" s="1"/>
  <c r="J205"/>
  <c r="K205" s="1"/>
  <c r="J207"/>
  <c r="K207" s="1"/>
  <c r="J209"/>
  <c r="K209" s="1"/>
  <c r="J211"/>
  <c r="K211" s="1"/>
  <c r="F213"/>
  <c r="F223" s="1"/>
  <c r="K213"/>
  <c r="J214"/>
  <c r="K214" s="1"/>
  <c r="J216"/>
  <c r="K216" s="1"/>
  <c r="J218"/>
  <c r="K218" s="1"/>
  <c r="J220"/>
  <c r="K220" s="1"/>
  <c r="J222"/>
  <c r="K222" s="1"/>
  <c r="L179"/>
  <c r="F169"/>
  <c r="K169"/>
  <c r="J170"/>
  <c r="K170" s="1"/>
  <c r="J172"/>
  <c r="K172" s="1"/>
  <c r="J174"/>
  <c r="K174" s="1"/>
  <c r="J176"/>
  <c r="K176" s="1"/>
  <c r="J178"/>
  <c r="K178" s="1"/>
  <c r="F158"/>
  <c r="F168" s="1"/>
  <c r="K158"/>
  <c r="J159"/>
  <c r="K159" s="1"/>
  <c r="J161"/>
  <c r="K161" s="1"/>
  <c r="J163"/>
  <c r="K163" s="1"/>
  <c r="J165"/>
  <c r="K165" s="1"/>
  <c r="J167"/>
  <c r="K167" s="1"/>
  <c r="L157"/>
  <c r="F147"/>
  <c r="F157" s="1"/>
  <c r="K147"/>
  <c r="J148"/>
  <c r="K148" s="1"/>
  <c r="J150"/>
  <c r="K150" s="1"/>
  <c r="J152"/>
  <c r="K152" s="1"/>
  <c r="J154"/>
  <c r="K154" s="1"/>
  <c r="J156"/>
  <c r="K156" s="1"/>
  <c r="F146"/>
  <c r="L146"/>
  <c r="J136"/>
  <c r="J138"/>
  <c r="K138" s="1"/>
  <c r="J140"/>
  <c r="K140" s="1"/>
  <c r="J142"/>
  <c r="K142" s="1"/>
  <c r="J144"/>
  <c r="K144" s="1"/>
  <c r="L135"/>
  <c r="F125"/>
  <c r="F135" s="1"/>
  <c r="K125"/>
  <c r="J126"/>
  <c r="K126" s="1"/>
  <c r="J128"/>
  <c r="K128" s="1"/>
  <c r="J130"/>
  <c r="K130" s="1"/>
  <c r="J132"/>
  <c r="K132" s="1"/>
  <c r="J134"/>
  <c r="K134" s="1"/>
  <c r="L124"/>
  <c r="F114"/>
  <c r="F124" s="1"/>
  <c r="K114"/>
  <c r="J115"/>
  <c r="K115" s="1"/>
  <c r="J117"/>
  <c r="K117" s="1"/>
  <c r="J119"/>
  <c r="K119" s="1"/>
  <c r="J121"/>
  <c r="K121" s="1"/>
  <c r="J123"/>
  <c r="K123" s="1"/>
  <c r="L113"/>
  <c r="F103"/>
  <c r="F113" s="1"/>
  <c r="K103"/>
  <c r="J104"/>
  <c r="K104" s="1"/>
  <c r="J106"/>
  <c r="K106" s="1"/>
  <c r="J108"/>
  <c r="K108" s="1"/>
  <c r="J110"/>
  <c r="K110" s="1"/>
  <c r="J112"/>
  <c r="K112" s="1"/>
  <c r="L102"/>
  <c r="F92"/>
  <c r="K92"/>
  <c r="J93"/>
  <c r="K93" s="1"/>
  <c r="J95"/>
  <c r="K95" s="1"/>
  <c r="J97"/>
  <c r="K97" s="1"/>
  <c r="J99"/>
  <c r="K99" s="1"/>
  <c r="J101"/>
  <c r="K101" s="1"/>
  <c r="L91"/>
  <c r="F81"/>
  <c r="F91" s="1"/>
  <c r="K81"/>
  <c r="J82"/>
  <c r="K82" s="1"/>
  <c r="J84"/>
  <c r="K84" s="1"/>
  <c r="J86"/>
  <c r="K86" s="1"/>
  <c r="J88"/>
  <c r="K88" s="1"/>
  <c r="J90"/>
  <c r="K90" s="1"/>
  <c r="L80"/>
  <c r="F70"/>
  <c r="F80" s="1"/>
  <c r="K70"/>
  <c r="J71"/>
  <c r="K71" s="1"/>
  <c r="J73"/>
  <c r="K73" s="1"/>
  <c r="J75"/>
  <c r="K75" s="1"/>
  <c r="J77"/>
  <c r="K77" s="1"/>
  <c r="J79"/>
  <c r="K79" s="1"/>
  <c r="F69"/>
  <c r="L69"/>
  <c r="J59"/>
  <c r="J61"/>
  <c r="K61" s="1"/>
  <c r="J63"/>
  <c r="K63" s="1"/>
  <c r="J65"/>
  <c r="K65" s="1"/>
  <c r="J67"/>
  <c r="K67" s="1"/>
  <c r="F48"/>
  <c r="F58" s="1"/>
  <c r="K48"/>
  <c r="J49"/>
  <c r="K49" s="1"/>
  <c r="J51"/>
  <c r="K51" s="1"/>
  <c r="J53"/>
  <c r="K53" s="1"/>
  <c r="J55"/>
  <c r="K55" s="1"/>
  <c r="J57"/>
  <c r="K57" s="1"/>
  <c r="Q25"/>
  <c r="V25"/>
  <c r="Q36"/>
  <c r="Q47"/>
  <c r="V58"/>
  <c r="P26"/>
  <c r="U26"/>
  <c r="P37"/>
  <c r="U37"/>
  <c r="P59"/>
  <c r="U59"/>
  <c r="P70"/>
  <c r="P80" s="1"/>
  <c r="U70"/>
  <c r="U80" s="1"/>
  <c r="P81"/>
  <c r="P91" s="1"/>
  <c r="U81"/>
  <c r="U91" s="1"/>
  <c r="P92"/>
  <c r="P102" s="1"/>
  <c r="U92"/>
  <c r="U102" s="1"/>
  <c r="P103"/>
  <c r="P113" s="1"/>
  <c r="U103"/>
  <c r="U113" s="1"/>
  <c r="P114"/>
  <c r="P124" s="1"/>
  <c r="U114"/>
  <c r="U124" s="1"/>
  <c r="P125"/>
  <c r="P135" s="1"/>
  <c r="U125"/>
  <c r="U135" s="1"/>
  <c r="P136"/>
  <c r="P146" s="1"/>
  <c r="U136"/>
  <c r="U146" s="1"/>
  <c r="P147"/>
  <c r="P157" s="1"/>
  <c r="U147"/>
  <c r="U157" s="1"/>
  <c r="P158"/>
  <c r="P168" s="1"/>
  <c r="U158"/>
  <c r="U168" s="1"/>
  <c r="P169"/>
  <c r="V171"/>
  <c r="T171"/>
  <c r="U171" s="1"/>
  <c r="U179" s="1"/>
  <c r="Q172"/>
  <c r="O172"/>
  <c r="P172" s="1"/>
  <c r="V172"/>
  <c r="T172"/>
  <c r="U172" s="1"/>
  <c r="Q173"/>
  <c r="O173"/>
  <c r="P173" s="1"/>
  <c r="V173"/>
  <c r="T173"/>
  <c r="U173" s="1"/>
  <c r="Q174"/>
  <c r="O174"/>
  <c r="P174" s="1"/>
  <c r="V174"/>
  <c r="T174"/>
  <c r="U174" s="1"/>
  <c r="Q175"/>
  <c r="O175"/>
  <c r="P175" s="1"/>
  <c r="V175"/>
  <c r="T175"/>
  <c r="U175" s="1"/>
  <c r="Q176"/>
  <c r="O176"/>
  <c r="P176" s="1"/>
  <c r="V176"/>
  <c r="T176"/>
  <c r="U176" s="1"/>
  <c r="Q177"/>
  <c r="O177"/>
  <c r="P177" s="1"/>
  <c r="V177"/>
  <c r="T177"/>
  <c r="U177" s="1"/>
  <c r="Q178"/>
  <c r="O178"/>
  <c r="P178" s="1"/>
  <c r="V178"/>
  <c r="T178"/>
  <c r="U178" s="1"/>
  <c r="Q180"/>
  <c r="O180"/>
  <c r="V180"/>
  <c r="T180"/>
  <c r="Q181"/>
  <c r="O181"/>
  <c r="P181" s="1"/>
  <c r="V181"/>
  <c r="T181"/>
  <c r="U181" s="1"/>
  <c r="Q182"/>
  <c r="O182"/>
  <c r="P182" s="1"/>
  <c r="V182"/>
  <c r="T182"/>
  <c r="U182" s="1"/>
  <c r="Q183"/>
  <c r="O183"/>
  <c r="P183" s="1"/>
  <c r="V183"/>
  <c r="T183"/>
  <c r="U183" s="1"/>
  <c r="Q184"/>
  <c r="O184"/>
  <c r="P184" s="1"/>
  <c r="V184"/>
  <c r="T184"/>
  <c r="U184" s="1"/>
  <c r="Q185"/>
  <c r="O185"/>
  <c r="P185" s="1"/>
  <c r="V185"/>
  <c r="T185"/>
  <c r="U185" s="1"/>
  <c r="Q186"/>
  <c r="O186"/>
  <c r="P186" s="1"/>
  <c r="V186"/>
  <c r="T186"/>
  <c r="U186" s="1"/>
  <c r="Q187"/>
  <c r="O187"/>
  <c r="P187" s="1"/>
  <c r="V187"/>
  <c r="T187"/>
  <c r="U187" s="1"/>
  <c r="Q188"/>
  <c r="O188"/>
  <c r="P188" s="1"/>
  <c r="V188"/>
  <c r="T188"/>
  <c r="U188" s="1"/>
  <c r="Q189"/>
  <c r="O189"/>
  <c r="P189" s="1"/>
  <c r="V189"/>
  <c r="T189"/>
  <c r="U189" s="1"/>
  <c r="Q191"/>
  <c r="O191"/>
  <c r="V191"/>
  <c r="T191"/>
  <c r="Q192"/>
  <c r="O192"/>
  <c r="P192" s="1"/>
  <c r="V192"/>
  <c r="T192"/>
  <c r="U192" s="1"/>
  <c r="Q193"/>
  <c r="O193"/>
  <c r="P193" s="1"/>
  <c r="V193"/>
  <c r="T193"/>
  <c r="U193" s="1"/>
  <c r="Q194"/>
  <c r="O194"/>
  <c r="P194" s="1"/>
  <c r="V194"/>
  <c r="T194"/>
  <c r="U194" s="1"/>
  <c r="Q195"/>
  <c r="O195"/>
  <c r="P195" s="1"/>
  <c r="V195"/>
  <c r="T195"/>
  <c r="U195" s="1"/>
  <c r="Q196"/>
  <c r="O196"/>
  <c r="P196" s="1"/>
  <c r="V196"/>
  <c r="T196"/>
  <c r="U196" s="1"/>
  <c r="Q197"/>
  <c r="O197"/>
  <c r="P197" s="1"/>
  <c r="V197"/>
  <c r="T197"/>
  <c r="U197" s="1"/>
  <c r="Q198"/>
  <c r="O198"/>
  <c r="P198" s="1"/>
  <c r="V198"/>
  <c r="T198"/>
  <c r="U198" s="1"/>
  <c r="Q199"/>
  <c r="O199"/>
  <c r="P199" s="1"/>
  <c r="V199"/>
  <c r="T199"/>
  <c r="U199" s="1"/>
  <c r="Q200"/>
  <c r="O200"/>
  <c r="P200" s="1"/>
  <c r="V200"/>
  <c r="T200"/>
  <c r="U200" s="1"/>
  <c r="Q202"/>
  <c r="Q212" s="1"/>
  <c r="O202"/>
  <c r="V202"/>
  <c r="V212" s="1"/>
  <c r="T202"/>
  <c r="O15"/>
  <c r="T15"/>
  <c r="O16"/>
  <c r="P16" s="1"/>
  <c r="T16"/>
  <c r="U16" s="1"/>
  <c r="O17"/>
  <c r="P17" s="1"/>
  <c r="T17"/>
  <c r="U17" s="1"/>
  <c r="O18"/>
  <c r="P18" s="1"/>
  <c r="T18"/>
  <c r="U18" s="1"/>
  <c r="O19"/>
  <c r="P19" s="1"/>
  <c r="T27"/>
  <c r="U27" s="1"/>
  <c r="O28"/>
  <c r="P28" s="1"/>
  <c r="T28"/>
  <c r="U28" s="1"/>
  <c r="O29"/>
  <c r="P29" s="1"/>
  <c r="T29"/>
  <c r="U29" s="1"/>
  <c r="O30"/>
  <c r="P30" s="1"/>
  <c r="T30"/>
  <c r="U30" s="1"/>
  <c r="T42"/>
  <c r="U42" s="1"/>
  <c r="O43"/>
  <c r="P43" s="1"/>
  <c r="T43"/>
  <c r="U43" s="1"/>
  <c r="O44"/>
  <c r="P44" s="1"/>
  <c r="T44"/>
  <c r="U44" s="1"/>
  <c r="O48"/>
  <c r="T48"/>
  <c r="O49"/>
  <c r="P49" s="1"/>
  <c r="T49"/>
  <c r="U49" s="1"/>
  <c r="O50"/>
  <c r="P50" s="1"/>
  <c r="T50"/>
  <c r="U50" s="1"/>
  <c r="O51"/>
  <c r="P51" s="1"/>
  <c r="T51"/>
  <c r="U51" s="1"/>
  <c r="O52"/>
  <c r="P52" s="1"/>
  <c r="T52"/>
  <c r="U52" s="1"/>
  <c r="O53"/>
  <c r="P53" s="1"/>
  <c r="T64"/>
  <c r="U64" s="1"/>
  <c r="O65"/>
  <c r="P65" s="1"/>
  <c r="T179"/>
  <c r="V179"/>
  <c r="O203"/>
  <c r="P203" s="1"/>
  <c r="T203"/>
  <c r="U203" s="1"/>
  <c r="O204"/>
  <c r="P204" s="1"/>
  <c r="T204"/>
  <c r="U204" s="1"/>
  <c r="O205"/>
  <c r="P205" s="1"/>
  <c r="T205"/>
  <c r="U205" s="1"/>
  <c r="O206"/>
  <c r="P206" s="1"/>
  <c r="T206"/>
  <c r="U206" s="1"/>
  <c r="O207"/>
  <c r="P207" s="1"/>
  <c r="T207"/>
  <c r="U207" s="1"/>
  <c r="O208"/>
  <c r="P208" s="1"/>
  <c r="T208"/>
  <c r="U208" s="1"/>
  <c r="O209"/>
  <c r="P209" s="1"/>
  <c r="T209"/>
  <c r="U209" s="1"/>
  <c r="O210"/>
  <c r="P210" s="1"/>
  <c r="T210"/>
  <c r="U210" s="1"/>
  <c r="O211"/>
  <c r="P211" s="1"/>
  <c r="T211"/>
  <c r="U211" s="1"/>
  <c r="O213"/>
  <c r="T213"/>
  <c r="O214"/>
  <c r="P214" s="1"/>
  <c r="T214"/>
  <c r="U214" s="1"/>
  <c r="O215"/>
  <c r="P215" s="1"/>
  <c r="T215"/>
  <c r="U215" s="1"/>
  <c r="O216"/>
  <c r="P216" s="1"/>
  <c r="T216"/>
  <c r="U216" s="1"/>
  <c r="O217"/>
  <c r="P217" s="1"/>
  <c r="T217"/>
  <c r="U217" s="1"/>
  <c r="O218"/>
  <c r="P218" s="1"/>
  <c r="T218"/>
  <c r="U218" s="1"/>
  <c r="O219"/>
  <c r="P219" s="1"/>
  <c r="T219"/>
  <c r="U219" s="1"/>
  <c r="O220"/>
  <c r="P220" s="1"/>
  <c r="T220"/>
  <c r="U220" s="1"/>
  <c r="O221"/>
  <c r="P221" s="1"/>
  <c r="T221"/>
  <c r="U221" s="1"/>
  <c r="O222"/>
  <c r="P222" s="1"/>
  <c r="T222"/>
  <c r="U222" s="1"/>
  <c r="O224"/>
  <c r="T224"/>
  <c r="O225"/>
  <c r="P225" s="1"/>
  <c r="T225"/>
  <c r="U225" s="1"/>
  <c r="O226"/>
  <c r="P226" s="1"/>
  <c r="T226"/>
  <c r="U226" s="1"/>
  <c r="O227"/>
  <c r="P227" s="1"/>
  <c r="T227"/>
  <c r="U227" s="1"/>
  <c r="O228"/>
  <c r="P228" s="1"/>
  <c r="T228"/>
  <c r="U228" s="1"/>
  <c r="O229"/>
  <c r="P229" s="1"/>
  <c r="T229"/>
  <c r="U229" s="1"/>
  <c r="O230"/>
  <c r="P230" s="1"/>
  <c r="T230"/>
  <c r="U230" s="1"/>
  <c r="O231"/>
  <c r="P231" s="1"/>
  <c r="T231"/>
  <c r="U231" s="1"/>
  <c r="O232"/>
  <c r="P232" s="1"/>
  <c r="T232"/>
  <c r="U232" s="1"/>
  <c r="O233"/>
  <c r="P233" s="1"/>
  <c r="T233"/>
  <c r="U233" s="1"/>
  <c r="O235"/>
  <c r="T235"/>
  <c r="O236"/>
  <c r="P236" s="1"/>
  <c r="T236"/>
  <c r="U236" s="1"/>
  <c r="O237"/>
  <c r="P237" s="1"/>
  <c r="T237"/>
  <c r="U237" s="1"/>
  <c r="O238"/>
  <c r="P238" s="1"/>
  <c r="T238"/>
  <c r="U238" s="1"/>
  <c r="O239"/>
  <c r="P239" s="1"/>
  <c r="T239"/>
  <c r="U239" s="1"/>
  <c r="O240"/>
  <c r="P240" s="1"/>
  <c r="T240"/>
  <c r="U240" s="1"/>
  <c r="O241"/>
  <c r="P241" s="1"/>
  <c r="T241"/>
  <c r="U241" s="1"/>
  <c r="O242"/>
  <c r="P242" s="1"/>
  <c r="T242"/>
  <c r="U242" s="1"/>
  <c r="O243"/>
  <c r="P243" s="1"/>
  <c r="T243"/>
  <c r="U243" s="1"/>
  <c r="O244"/>
  <c r="P244" s="1"/>
  <c r="T244"/>
  <c r="U244" s="1"/>
  <c r="O246"/>
  <c r="T246"/>
  <c r="O247"/>
  <c r="P247" s="1"/>
  <c r="T247"/>
  <c r="U247" s="1"/>
  <c r="O248"/>
  <c r="P248" s="1"/>
  <c r="T248"/>
  <c r="U248" s="1"/>
  <c r="O249"/>
  <c r="P249" s="1"/>
  <c r="T249"/>
  <c r="U249" s="1"/>
  <c r="O250"/>
  <c r="P250" s="1"/>
  <c r="T250"/>
  <c r="U250" s="1"/>
  <c r="O251"/>
  <c r="P251" s="1"/>
  <c r="T251"/>
  <c r="U251" s="1"/>
  <c r="O252"/>
  <c r="P252" s="1"/>
  <c r="T252"/>
  <c r="U252" s="1"/>
  <c r="O253"/>
  <c r="P253" s="1"/>
  <c r="T253"/>
  <c r="U253" s="1"/>
  <c r="O254"/>
  <c r="P254" s="1"/>
  <c r="T254"/>
  <c r="U254" s="1"/>
  <c r="O255"/>
  <c r="P255" s="1"/>
  <c r="T255"/>
  <c r="U255" s="1"/>
  <c r="O257"/>
  <c r="T257"/>
  <c r="O258"/>
  <c r="P258" s="1"/>
  <c r="T258"/>
  <c r="U258" s="1"/>
  <c r="O259"/>
  <c r="P259" s="1"/>
  <c r="T259"/>
  <c r="U259" s="1"/>
  <c r="O260"/>
  <c r="P260" s="1"/>
  <c r="T260"/>
  <c r="U260" s="1"/>
  <c r="O261"/>
  <c r="P261" s="1"/>
  <c r="T261"/>
  <c r="U261" s="1"/>
  <c r="O262"/>
  <c r="P262" s="1"/>
  <c r="T262"/>
  <c r="U262" s="1"/>
  <c r="O263"/>
  <c r="P263" s="1"/>
  <c r="T263"/>
  <c r="U263" s="1"/>
  <c r="O264"/>
  <c r="P264" s="1"/>
  <c r="T264"/>
  <c r="U264" s="1"/>
  <c r="O265"/>
  <c r="P265" s="1"/>
  <c r="T265"/>
  <c r="U265" s="1"/>
  <c r="O266"/>
  <c r="P266" s="1"/>
  <c r="T266"/>
  <c r="U266" s="1"/>
  <c r="O268"/>
  <c r="T268"/>
  <c r="O269"/>
  <c r="P269" s="1"/>
  <c r="T269"/>
  <c r="U269" s="1"/>
  <c r="O270"/>
  <c r="P270" s="1"/>
  <c r="T270"/>
  <c r="U270" s="1"/>
  <c r="O271"/>
  <c r="P271" s="1"/>
  <c r="T271"/>
  <c r="U271" s="1"/>
  <c r="O272"/>
  <c r="P272" s="1"/>
  <c r="T272"/>
  <c r="U272" s="1"/>
  <c r="O273"/>
  <c r="P273" s="1"/>
  <c r="T273"/>
  <c r="U273" s="1"/>
  <c r="O274"/>
  <c r="P274" s="1"/>
  <c r="T274"/>
  <c r="U274" s="1"/>
  <c r="O275"/>
  <c r="P275" s="1"/>
  <c r="T275"/>
  <c r="U275" s="1"/>
  <c r="O276"/>
  <c r="P276" s="1"/>
  <c r="T276"/>
  <c r="U276" s="1"/>
  <c r="O277"/>
  <c r="P277" s="1"/>
  <c r="T277"/>
  <c r="U277" s="1"/>
  <c r="O279"/>
  <c r="T279"/>
  <c r="O280"/>
  <c r="P280" s="1"/>
  <c r="T280"/>
  <c r="U280" s="1"/>
  <c r="Q281"/>
  <c r="Q289" s="1"/>
  <c r="O281"/>
  <c r="P281" s="1"/>
  <c r="V281"/>
  <c r="V289" s="1"/>
  <c r="T281"/>
  <c r="U281" s="1"/>
  <c r="Q282"/>
  <c r="O282"/>
  <c r="P282" s="1"/>
  <c r="V282"/>
  <c r="T282"/>
  <c r="U282" s="1"/>
  <c r="Q283"/>
  <c r="O283"/>
  <c r="P283" s="1"/>
  <c r="V283"/>
  <c r="T283"/>
  <c r="U283" s="1"/>
  <c r="Q284"/>
  <c r="O284"/>
  <c r="P284" s="1"/>
  <c r="V284"/>
  <c r="T284"/>
  <c r="U284" s="1"/>
  <c r="Q285"/>
  <c r="O285"/>
  <c r="P285" s="1"/>
  <c r="V285"/>
  <c r="T285"/>
  <c r="U285" s="1"/>
  <c r="Q286"/>
  <c r="O286"/>
  <c r="P286" s="1"/>
  <c r="V286"/>
  <c r="T286"/>
  <c r="U286" s="1"/>
  <c r="Q287"/>
  <c r="O287"/>
  <c r="P287" s="1"/>
  <c r="V287"/>
  <c r="T287"/>
  <c r="U287" s="1"/>
  <c r="Q288"/>
  <c r="O288"/>
  <c r="P288" s="1"/>
  <c r="V288"/>
  <c r="T288"/>
  <c r="U288" s="1"/>
  <c r="Q290"/>
  <c r="O290"/>
  <c r="V290"/>
  <c r="T290"/>
  <c r="Q291"/>
  <c r="O291"/>
  <c r="P291" s="1"/>
  <c r="V291"/>
  <c r="T291"/>
  <c r="U291" s="1"/>
  <c r="Q292"/>
  <c r="O292"/>
  <c r="P292" s="1"/>
  <c r="V292"/>
  <c r="T292"/>
  <c r="U292" s="1"/>
  <c r="Q293"/>
  <c r="O293"/>
  <c r="P293" s="1"/>
  <c r="V293"/>
  <c r="T293"/>
  <c r="U293" s="1"/>
  <c r="Q294"/>
  <c r="O294"/>
  <c r="P294" s="1"/>
  <c r="V294"/>
  <c r="T294"/>
  <c r="U294" s="1"/>
  <c r="Q295"/>
  <c r="O295"/>
  <c r="P295" s="1"/>
  <c r="V295"/>
  <c r="T295"/>
  <c r="U295" s="1"/>
  <c r="Q296"/>
  <c r="O296"/>
  <c r="P296" s="1"/>
  <c r="V296"/>
  <c r="T296"/>
  <c r="U296" s="1"/>
  <c r="Q297"/>
  <c r="O297"/>
  <c r="P297" s="1"/>
  <c r="V297"/>
  <c r="T297"/>
  <c r="U297" s="1"/>
  <c r="Q298"/>
  <c r="O298"/>
  <c r="P298" s="1"/>
  <c r="V298"/>
  <c r="T298"/>
  <c r="U298" s="1"/>
  <c r="Q299"/>
  <c r="O299"/>
  <c r="P299" s="1"/>
  <c r="V299"/>
  <c r="T299"/>
  <c r="U299" s="1"/>
  <c r="Q301"/>
  <c r="O301"/>
  <c r="V301"/>
  <c r="T301"/>
  <c r="Q302"/>
  <c r="O302"/>
  <c r="P302" s="1"/>
  <c r="V302"/>
  <c r="T302"/>
  <c r="U302" s="1"/>
  <c r="Q303"/>
  <c r="O303"/>
  <c r="P303" s="1"/>
  <c r="V303"/>
  <c r="T303"/>
  <c r="U303" s="1"/>
  <c r="Q304"/>
  <c r="O304"/>
  <c r="P304" s="1"/>
  <c r="V304"/>
  <c r="T304"/>
  <c r="U304" s="1"/>
  <c r="Q305"/>
  <c r="O305"/>
  <c r="P305" s="1"/>
  <c r="V305"/>
  <c r="T305"/>
  <c r="U305" s="1"/>
  <c r="Q306"/>
  <c r="O306"/>
  <c r="P306" s="1"/>
  <c r="V306"/>
  <c r="T306"/>
  <c r="U306" s="1"/>
  <c r="Q307"/>
  <c r="O307"/>
  <c r="P307" s="1"/>
  <c r="V307"/>
  <c r="T307"/>
  <c r="U307" s="1"/>
  <c r="Q308"/>
  <c r="O308"/>
  <c r="P308" s="1"/>
  <c r="V308"/>
  <c r="T308"/>
  <c r="U308" s="1"/>
  <c r="Q309"/>
  <c r="O309"/>
  <c r="P309" s="1"/>
  <c r="V309"/>
  <c r="T309"/>
  <c r="U309" s="1"/>
  <c r="Q310"/>
  <c r="O310"/>
  <c r="P310" s="1"/>
  <c r="V310"/>
  <c r="T310"/>
  <c r="U310" s="1"/>
  <c r="Q312"/>
  <c r="O312"/>
  <c r="V312"/>
  <c r="T312"/>
  <c r="Q313"/>
  <c r="O313"/>
  <c r="P313" s="1"/>
  <c r="V313"/>
  <c r="T313"/>
  <c r="U313" s="1"/>
  <c r="Q314"/>
  <c r="O314"/>
  <c r="P314" s="1"/>
  <c r="V314"/>
  <c r="T314"/>
  <c r="U314" s="1"/>
  <c r="Q315"/>
  <c r="O315"/>
  <c r="P315" s="1"/>
  <c r="V315"/>
  <c r="T315"/>
  <c r="U315" s="1"/>
  <c r="Q316"/>
  <c r="O316"/>
  <c r="P316" s="1"/>
  <c r="V316"/>
  <c r="T316"/>
  <c r="U316" s="1"/>
  <c r="Q317"/>
  <c r="O317"/>
  <c r="P317" s="1"/>
  <c r="V317"/>
  <c r="T317"/>
  <c r="U317" s="1"/>
  <c r="O318"/>
  <c r="P318" s="1"/>
  <c r="T318"/>
  <c r="U318" s="1"/>
  <c r="O319"/>
  <c r="P319" s="1"/>
  <c r="T319"/>
  <c r="U319" s="1"/>
  <c r="O320"/>
  <c r="P320" s="1"/>
  <c r="T320"/>
  <c r="U320" s="1"/>
  <c r="O321"/>
  <c r="P321" s="1"/>
  <c r="T321"/>
  <c r="U321" s="1"/>
  <c r="O323"/>
  <c r="T323"/>
  <c r="O324"/>
  <c r="P324" s="1"/>
  <c r="T324"/>
  <c r="U324" s="1"/>
  <c r="O325"/>
  <c r="P325" s="1"/>
  <c r="T325"/>
  <c r="U325" s="1"/>
  <c r="O326"/>
  <c r="P326" s="1"/>
  <c r="T326"/>
  <c r="U326" s="1"/>
  <c r="O327"/>
  <c r="P327" s="1"/>
  <c r="T327"/>
  <c r="U327" s="1"/>
  <c r="O328"/>
  <c r="P328" s="1"/>
  <c r="T328"/>
  <c r="U328" s="1"/>
  <c r="O329"/>
  <c r="P329" s="1"/>
  <c r="T329"/>
  <c r="U329" s="1"/>
  <c r="O330"/>
  <c r="P330" s="1"/>
  <c r="T330"/>
  <c r="U330" s="1"/>
  <c r="O331"/>
  <c r="P331" s="1"/>
  <c r="T331"/>
  <c r="U331" s="1"/>
  <c r="O332"/>
  <c r="P332" s="1"/>
  <c r="T332"/>
  <c r="U332" s="1"/>
  <c r="O334"/>
  <c r="T334"/>
  <c r="O335"/>
  <c r="P335" s="1"/>
  <c r="T335"/>
  <c r="U335" s="1"/>
  <c r="O336"/>
  <c r="P336" s="1"/>
  <c r="T336"/>
  <c r="U336" s="1"/>
  <c r="O337"/>
  <c r="P337" s="1"/>
  <c r="T337"/>
  <c r="U337" s="1"/>
  <c r="O338"/>
  <c r="P338" s="1"/>
  <c r="T338"/>
  <c r="U338" s="1"/>
  <c r="O339"/>
  <c r="P339" s="1"/>
  <c r="T339"/>
  <c r="U339" s="1"/>
  <c r="O340"/>
  <c r="P340" s="1"/>
  <c r="T340"/>
  <c r="U340" s="1"/>
  <c r="O341"/>
  <c r="P341" s="1"/>
  <c r="T341"/>
  <c r="U341" s="1"/>
  <c r="O342"/>
  <c r="P342" s="1"/>
  <c r="T342"/>
  <c r="U342" s="1"/>
  <c r="O343"/>
  <c r="P343" s="1"/>
  <c r="T343"/>
  <c r="U343" s="1"/>
  <c r="V9"/>
  <c r="L12"/>
  <c r="G9"/>
  <c r="L7"/>
  <c r="Q6"/>
  <c r="L6"/>
  <c r="V13"/>
  <c r="V5"/>
  <c r="E37"/>
  <c r="E47" s="1"/>
  <c r="G11"/>
  <c r="G7"/>
  <c r="Q11"/>
  <c r="L11"/>
  <c r="Q10"/>
  <c r="L10"/>
  <c r="Q9"/>
  <c r="L9"/>
  <c r="Q8"/>
  <c r="L8"/>
  <c r="V12"/>
  <c r="V11"/>
  <c r="V8"/>
  <c r="V7"/>
  <c r="L21"/>
  <c r="L19"/>
  <c r="E26"/>
  <c r="Q5"/>
  <c r="L5"/>
  <c r="V10"/>
  <c r="V6"/>
  <c r="E25"/>
  <c r="J38"/>
  <c r="J39"/>
  <c r="J40"/>
  <c r="J41"/>
  <c r="J42"/>
  <c r="J43"/>
  <c r="J44"/>
  <c r="J45"/>
  <c r="J46"/>
  <c r="G13"/>
  <c r="Q13"/>
  <c r="L13"/>
  <c r="Q12"/>
  <c r="Q7"/>
  <c r="L20"/>
  <c r="L15"/>
  <c r="J27"/>
  <c r="J28"/>
  <c r="J29"/>
  <c r="J30"/>
  <c r="J31"/>
  <c r="J32"/>
  <c r="J33"/>
  <c r="J34"/>
  <c r="J35"/>
  <c r="L18"/>
  <c r="J25"/>
  <c r="G12"/>
  <c r="G5"/>
  <c r="L24"/>
  <c r="L23"/>
  <c r="L22"/>
  <c r="L16"/>
  <c r="L17"/>
  <c r="M346"/>
  <c r="J26"/>
  <c r="E27"/>
  <c r="E28"/>
  <c r="E29"/>
  <c r="E30"/>
  <c r="E31"/>
  <c r="E32"/>
  <c r="E33"/>
  <c r="E34"/>
  <c r="E35"/>
  <c r="C346"/>
  <c r="D346" s="1"/>
  <c r="H346"/>
  <c r="R346"/>
  <c r="G10"/>
  <c r="G8"/>
  <c r="G6"/>
  <c r="Q7" i="17"/>
  <c r="O7"/>
  <c r="N7"/>
  <c r="M7"/>
  <c r="K7"/>
  <c r="J7"/>
  <c r="H7"/>
  <c r="G7"/>
  <c r="D7"/>
  <c r="B7"/>
  <c r="AK9"/>
  <c r="AJ9"/>
  <c r="AH9"/>
  <c r="AE9"/>
  <c r="AC9"/>
  <c r="Z9"/>
  <c r="AO9"/>
  <c r="AL9"/>
  <c r="AB9"/>
  <c r="AO8"/>
  <c r="AL8"/>
  <c r="AK8"/>
  <c r="AJ8"/>
  <c r="AH8"/>
  <c r="AF8"/>
  <c r="AC8"/>
  <c r="AB8"/>
  <c r="AE8"/>
  <c r="S39" i="22"/>
  <c r="R37"/>
  <c r="R36"/>
  <c r="E36"/>
  <c r="R35"/>
  <c r="E35"/>
  <c r="R34"/>
  <c r="E34"/>
  <c r="R33"/>
  <c r="E33"/>
  <c r="R32"/>
  <c r="E32"/>
  <c r="R31"/>
  <c r="E31"/>
  <c r="R30"/>
  <c r="E30"/>
  <c r="R17"/>
  <c r="U17" s="1"/>
  <c r="E17"/>
  <c r="E28" s="1"/>
  <c r="Q15"/>
  <c r="Q175" s="1"/>
  <c r="P15"/>
  <c r="P175" s="1"/>
  <c r="O15"/>
  <c r="O175" s="1"/>
  <c r="N15"/>
  <c r="N175" s="1"/>
  <c r="M15"/>
  <c r="M175" s="1"/>
  <c r="L15"/>
  <c r="L175" s="1"/>
  <c r="K15"/>
  <c r="K175" s="1"/>
  <c r="J15"/>
  <c r="J175" s="1"/>
  <c r="I15"/>
  <c r="I175" s="1"/>
  <c r="H15"/>
  <c r="H175" s="1"/>
  <c r="G15"/>
  <c r="G175" s="1"/>
  <c r="R10"/>
  <c r="R9"/>
  <c r="R8"/>
  <c r="R7"/>
  <c r="U7" s="1"/>
  <c r="R6"/>
  <c r="R5"/>
  <c r="R4"/>
  <c r="E4"/>
  <c r="E15" s="1"/>
  <c r="F16" s="1"/>
  <c r="O13" i="17"/>
  <c r="M13"/>
  <c r="B13"/>
  <c r="C7" i="3"/>
  <c r="C6"/>
  <c r="E4" i="31" l="1"/>
  <c r="I176" i="22"/>
  <c r="G4" i="31"/>
  <c r="K176" i="22"/>
  <c r="I4" i="31"/>
  <c r="M176" i="22"/>
  <c r="K4" i="31"/>
  <c r="O176" i="22"/>
  <c r="M4" i="31"/>
  <c r="Q176" i="22"/>
  <c r="O4" i="31"/>
  <c r="H176" i="22"/>
  <c r="F4" i="31"/>
  <c r="F13" s="1"/>
  <c r="F14" s="1"/>
  <c r="J176" i="22"/>
  <c r="H4" i="31"/>
  <c r="L176" i="22"/>
  <c r="J4" i="31"/>
  <c r="N176" i="22"/>
  <c r="L4" i="31"/>
  <c r="P176" i="22"/>
  <c r="N4" i="31"/>
  <c r="G176" i="22"/>
  <c r="R175"/>
  <c r="F278" i="9"/>
  <c r="E278"/>
  <c r="H16" i="22"/>
  <c r="G16"/>
  <c r="I16"/>
  <c r="K16"/>
  <c r="M16"/>
  <c r="O16"/>
  <c r="Q16"/>
  <c r="M29"/>
  <c r="K29"/>
  <c r="I29"/>
  <c r="G29"/>
  <c r="N29"/>
  <c r="P29"/>
  <c r="H29"/>
  <c r="Q29"/>
  <c r="J29"/>
  <c r="L29"/>
  <c r="O29"/>
  <c r="F29"/>
  <c r="J16"/>
  <c r="L16"/>
  <c r="N16"/>
  <c r="P16"/>
  <c r="E267" i="9"/>
  <c r="E256"/>
  <c r="F245"/>
  <c r="E234"/>
  <c r="F190"/>
  <c r="E190"/>
  <c r="Q179"/>
  <c r="F179"/>
  <c r="E179"/>
  <c r="E113"/>
  <c r="R41" i="22"/>
  <c r="U36"/>
  <c r="V36" s="1"/>
  <c r="F102" i="9"/>
  <c r="E102"/>
  <c r="E41" i="22"/>
  <c r="E91" i="9"/>
  <c r="S34" i="22"/>
  <c r="V17"/>
  <c r="R28"/>
  <c r="R29" s="1"/>
  <c r="U30"/>
  <c r="V30" s="1"/>
  <c r="U8"/>
  <c r="V8" s="1"/>
  <c r="U4"/>
  <c r="V4" s="1"/>
  <c r="S6"/>
  <c r="V7"/>
  <c r="S10"/>
  <c r="A348" i="9"/>
  <c r="K344"/>
  <c r="J344"/>
  <c r="K333"/>
  <c r="J333"/>
  <c r="K322"/>
  <c r="J322"/>
  <c r="K300"/>
  <c r="J311"/>
  <c r="J300"/>
  <c r="K311"/>
  <c r="K278"/>
  <c r="J278"/>
  <c r="K289"/>
  <c r="K267"/>
  <c r="J289"/>
  <c r="J267"/>
  <c r="K256"/>
  <c r="K234"/>
  <c r="J256"/>
  <c r="J245"/>
  <c r="K245"/>
  <c r="J234"/>
  <c r="K223"/>
  <c r="K201"/>
  <c r="J190"/>
  <c r="K212"/>
  <c r="K190"/>
  <c r="J223"/>
  <c r="J201"/>
  <c r="J212"/>
  <c r="K179"/>
  <c r="J179"/>
  <c r="K168"/>
  <c r="J168"/>
  <c r="K157"/>
  <c r="J157"/>
  <c r="J146"/>
  <c r="K136"/>
  <c r="K146" s="1"/>
  <c r="K135"/>
  <c r="J135"/>
  <c r="K124"/>
  <c r="J124"/>
  <c r="K113"/>
  <c r="J113"/>
  <c r="K102"/>
  <c r="J102"/>
  <c r="K91"/>
  <c r="J91"/>
  <c r="K80"/>
  <c r="J80"/>
  <c r="J69"/>
  <c r="K59"/>
  <c r="K69" s="1"/>
  <c r="K58"/>
  <c r="J58"/>
  <c r="U334"/>
  <c r="U344" s="1"/>
  <c r="T344"/>
  <c r="U323"/>
  <c r="U333" s="1"/>
  <c r="T333"/>
  <c r="T322"/>
  <c r="U312"/>
  <c r="U322" s="1"/>
  <c r="O322"/>
  <c r="P312"/>
  <c r="P322" s="1"/>
  <c r="T311"/>
  <c r="U301"/>
  <c r="U311" s="1"/>
  <c r="O311"/>
  <c r="P301"/>
  <c r="P311" s="1"/>
  <c r="T300"/>
  <c r="U290"/>
  <c r="U300" s="1"/>
  <c r="O300"/>
  <c r="P290"/>
  <c r="P300" s="1"/>
  <c r="T289"/>
  <c r="U279"/>
  <c r="U289" s="1"/>
  <c r="U268"/>
  <c r="U278" s="1"/>
  <c r="T278"/>
  <c r="U257"/>
  <c r="U267" s="1"/>
  <c r="T267"/>
  <c r="U246"/>
  <c r="U256" s="1"/>
  <c r="T256"/>
  <c r="U235"/>
  <c r="U245" s="1"/>
  <c r="T245"/>
  <c r="U224"/>
  <c r="U234" s="1"/>
  <c r="T234"/>
  <c r="U213"/>
  <c r="U223" s="1"/>
  <c r="T223"/>
  <c r="T58"/>
  <c r="U48"/>
  <c r="U58" s="1"/>
  <c r="O25"/>
  <c r="P15"/>
  <c r="P25" s="1"/>
  <c r="V201"/>
  <c r="Q201"/>
  <c r="V190"/>
  <c r="Q190"/>
  <c r="P179"/>
  <c r="P69"/>
  <c r="P47"/>
  <c r="P36"/>
  <c r="O47"/>
  <c r="T69"/>
  <c r="O344"/>
  <c r="P334"/>
  <c r="P344" s="1"/>
  <c r="O333"/>
  <c r="P323"/>
  <c r="P333" s="1"/>
  <c r="P279"/>
  <c r="P289" s="1"/>
  <c r="O289"/>
  <c r="O278"/>
  <c r="P268"/>
  <c r="P278" s="1"/>
  <c r="O267"/>
  <c r="P257"/>
  <c r="P267" s="1"/>
  <c r="O256"/>
  <c r="P246"/>
  <c r="P256" s="1"/>
  <c r="O245"/>
  <c r="P235"/>
  <c r="P245" s="1"/>
  <c r="O234"/>
  <c r="P224"/>
  <c r="P234" s="1"/>
  <c r="O223"/>
  <c r="P213"/>
  <c r="P223" s="1"/>
  <c r="O58"/>
  <c r="P48"/>
  <c r="P58" s="1"/>
  <c r="T25"/>
  <c r="U15"/>
  <c r="U25" s="1"/>
  <c r="U202"/>
  <c r="U212" s="1"/>
  <c r="T212"/>
  <c r="O212"/>
  <c r="P202"/>
  <c r="P212" s="1"/>
  <c r="T201"/>
  <c r="U191"/>
  <c r="U201" s="1"/>
  <c r="O201"/>
  <c r="P191"/>
  <c r="P201" s="1"/>
  <c r="T190"/>
  <c r="U180"/>
  <c r="U190" s="1"/>
  <c r="O190"/>
  <c r="P180"/>
  <c r="P190" s="1"/>
  <c r="V322"/>
  <c r="Q322"/>
  <c r="V311"/>
  <c r="Q311"/>
  <c r="V300"/>
  <c r="Q300"/>
  <c r="U69"/>
  <c r="U47"/>
  <c r="U36"/>
  <c r="O179"/>
  <c r="T36"/>
  <c r="O69"/>
  <c r="T47"/>
  <c r="O36"/>
  <c r="J47"/>
  <c r="J36"/>
  <c r="E36"/>
  <c r="L25"/>
  <c r="S33" i="22"/>
  <c r="S31"/>
  <c r="S5"/>
  <c r="S7"/>
  <c r="S9"/>
  <c r="S30"/>
  <c r="S32"/>
  <c r="U33"/>
  <c r="V33" s="1"/>
  <c r="S35"/>
  <c r="S37"/>
  <c r="S4"/>
  <c r="S8"/>
  <c r="R15"/>
  <c r="S17"/>
  <c r="S36"/>
  <c r="H32" i="1"/>
  <c r="H33"/>
  <c r="H34"/>
  <c r="H35"/>
  <c r="H36"/>
  <c r="I36"/>
  <c r="H37"/>
  <c r="H38"/>
  <c r="H39"/>
  <c r="H40"/>
  <c r="H41"/>
  <c r="I41"/>
  <c r="H42"/>
  <c r="F32"/>
  <c r="I32" s="1"/>
  <c r="F33"/>
  <c r="I33" s="1"/>
  <c r="F34"/>
  <c r="I34" s="1"/>
  <c r="F35"/>
  <c r="I35" s="1"/>
  <c r="F36"/>
  <c r="F37"/>
  <c r="I37" s="1"/>
  <c r="R176" i="22" l="1"/>
  <c r="P5" i="31" s="1"/>
  <c r="E5"/>
  <c r="N5"/>
  <c r="L5"/>
  <c r="J5"/>
  <c r="H5"/>
  <c r="F5"/>
  <c r="O5"/>
  <c r="M5"/>
  <c r="K5"/>
  <c r="I5"/>
  <c r="G5"/>
  <c r="P4"/>
  <c r="R16" i="22"/>
  <c r="AE3"/>
  <c r="AG3"/>
  <c r="AI3"/>
  <c r="AD3"/>
  <c r="AF3"/>
  <c r="AH3"/>
  <c r="AJ3"/>
  <c r="AC3"/>
  <c r="O42"/>
  <c r="P42"/>
  <c r="Q42"/>
  <c r="F42"/>
  <c r="K42"/>
  <c r="L42"/>
  <c r="M42"/>
  <c r="N42"/>
  <c r="G42"/>
  <c r="H42"/>
  <c r="I42"/>
  <c r="J42"/>
  <c r="R42"/>
  <c r="Q43" i="16"/>
  <c r="U41"/>
  <c r="U42"/>
  <c r="I42"/>
  <c r="C41"/>
  <c r="C42"/>
  <c r="D18" i="3"/>
  <c r="D19"/>
  <c r="H14" i="4"/>
  <c r="F14"/>
  <c r="I14" s="1"/>
  <c r="H23" i="7"/>
  <c r="F23"/>
  <c r="I23" s="1"/>
  <c r="J20" i="31" l="1"/>
  <c r="F20"/>
  <c r="I20"/>
  <c r="E20"/>
  <c r="C20"/>
  <c r="H20"/>
  <c r="D20"/>
  <c r="G20"/>
  <c r="E38" i="16"/>
  <c r="C40"/>
  <c r="P8" i="17"/>
  <c r="CJ17"/>
  <c r="CJ18"/>
  <c r="CJ19"/>
  <c r="CJ20"/>
  <c r="CJ21"/>
  <c r="CJ22"/>
  <c r="CJ23"/>
  <c r="CJ24"/>
  <c r="CJ25"/>
  <c r="CJ26"/>
  <c r="CJ27"/>
  <c r="CJ28"/>
  <c r="CJ29"/>
  <c r="CJ30"/>
  <c r="CJ31"/>
  <c r="CJ32"/>
  <c r="CJ33"/>
  <c r="BL9"/>
  <c r="BL10"/>
  <c r="BL11"/>
  <c r="BL12"/>
  <c r="BL13"/>
  <c r="BL14"/>
  <c r="BL15"/>
  <c r="BL16"/>
  <c r="BL17"/>
  <c r="BL18"/>
  <c r="BL19"/>
  <c r="BL20"/>
  <c r="BL21"/>
  <c r="BL22"/>
  <c r="BL23"/>
  <c r="BL24"/>
  <c r="BL25"/>
  <c r="BL26"/>
  <c r="BL27"/>
  <c r="BL28"/>
  <c r="BL29"/>
  <c r="BL30"/>
  <c r="BL31"/>
  <c r="BL32"/>
  <c r="AN9"/>
  <c r="AN10"/>
  <c r="AN11"/>
  <c r="AN12"/>
  <c r="AN13"/>
  <c r="AN14"/>
  <c r="AN17"/>
  <c r="AN18"/>
  <c r="AN19"/>
  <c r="AN20"/>
  <c r="AN21"/>
  <c r="AN22"/>
  <c r="AN23"/>
  <c r="AN24"/>
  <c r="AN25"/>
  <c r="AN26"/>
  <c r="AN27"/>
  <c r="AN28"/>
  <c r="AN29"/>
  <c r="AN30"/>
  <c r="AN31"/>
  <c r="AN32"/>
  <c r="AN33"/>
  <c r="AN34"/>
  <c r="AN35"/>
  <c r="P12"/>
  <c r="P13"/>
  <c r="P14"/>
  <c r="P15"/>
  <c r="P16"/>
  <c r="P17"/>
  <c r="P18"/>
  <c r="P19"/>
  <c r="P20"/>
  <c r="P21"/>
  <c r="P22"/>
  <c r="P23"/>
  <c r="P24"/>
  <c r="P25"/>
  <c r="P26"/>
  <c r="P27"/>
  <c r="P28"/>
  <c r="P29"/>
  <c r="P30"/>
  <c r="P31"/>
  <c r="P32"/>
  <c r="P33"/>
  <c r="P34"/>
  <c r="P35"/>
  <c r="P36"/>
  <c r="AN16" l="1"/>
  <c r="AN15"/>
  <c r="P11"/>
  <c r="P10"/>
  <c r="P9"/>
  <c r="F34" i="7" l="1"/>
  <c r="I34" s="1"/>
  <c r="H34"/>
  <c r="F35"/>
  <c r="I35" s="1"/>
  <c r="H35"/>
  <c r="H29" i="3"/>
  <c r="D27"/>
  <c r="F27"/>
  <c r="H27"/>
  <c r="D28"/>
  <c r="F28"/>
  <c r="H28"/>
  <c r="D29"/>
  <c r="F29"/>
  <c r="F27" i="7"/>
  <c r="H27"/>
  <c r="I27" l="1"/>
  <c r="F14"/>
  <c r="H14"/>
  <c r="I14" l="1"/>
  <c r="H11" i="1" l="1"/>
  <c r="F11"/>
  <c r="I11" s="1"/>
  <c r="D24" i="3" l="1"/>
  <c r="D15" l="1"/>
  <c r="H13" i="7" l="1"/>
  <c r="F13"/>
  <c r="I13" s="1"/>
  <c r="H12"/>
  <c r="F12"/>
  <c r="I12" s="1"/>
  <c r="H11"/>
  <c r="F11"/>
  <c r="I11" s="1"/>
  <c r="H10"/>
  <c r="F10"/>
  <c r="I10" s="1"/>
  <c r="F10" i="1"/>
  <c r="H10"/>
  <c r="I10" l="1"/>
  <c r="D17" i="3"/>
  <c r="D6" l="1"/>
  <c r="F6"/>
  <c r="H6"/>
  <c r="D7"/>
  <c r="F7"/>
  <c r="H7"/>
  <c r="D8"/>
  <c r="F8"/>
  <c r="H8"/>
  <c r="D9"/>
  <c r="F9"/>
  <c r="H9"/>
  <c r="D10"/>
  <c r="F10"/>
  <c r="H10"/>
  <c r="AB31" i="2" l="1"/>
  <c r="AC31" s="1"/>
  <c r="AB32"/>
  <c r="AC32" s="1"/>
  <c r="AB33"/>
  <c r="AC33" s="1"/>
  <c r="AB32" i="12"/>
  <c r="AC32" s="1"/>
  <c r="AB33"/>
  <c r="AC33" s="1"/>
  <c r="AB34"/>
  <c r="AC34"/>
  <c r="AB5"/>
  <c r="AB6"/>
  <c r="AB7"/>
  <c r="AB8"/>
  <c r="AB9"/>
  <c r="AB10"/>
  <c r="AB11"/>
  <c r="AB12"/>
  <c r="AB13"/>
  <c r="AB14"/>
  <c r="AB15"/>
  <c r="AB16"/>
  <c r="AB17"/>
  <c r="AB18"/>
  <c r="AB19"/>
  <c r="AB20"/>
  <c r="AB21"/>
  <c r="AB22"/>
  <c r="AB23"/>
  <c r="AB24"/>
  <c r="AB25"/>
  <c r="AB26"/>
  <c r="AB27"/>
  <c r="AB28"/>
  <c r="AB29"/>
  <c r="AB30"/>
  <c r="AB31"/>
  <c r="AB4"/>
  <c r="H24" i="7" l="1"/>
  <c r="F24"/>
  <c r="I24" s="1"/>
  <c r="H24" i="1" l="1"/>
  <c r="F24"/>
  <c r="I24" s="1"/>
  <c r="D14" i="3" l="1"/>
  <c r="F14"/>
  <c r="F15"/>
  <c r="D16"/>
  <c r="F16"/>
  <c r="H18" i="7" l="1"/>
  <c r="F18"/>
  <c r="I18" s="1"/>
  <c r="H15"/>
  <c r="F15"/>
  <c r="I15" s="1"/>
  <c r="F29"/>
  <c r="F30"/>
  <c r="F31"/>
  <c r="F32"/>
  <c r="F33"/>
  <c r="F36"/>
  <c r="F37"/>
  <c r="F38"/>
  <c r="F42"/>
  <c r="F43"/>
  <c r="F44"/>
  <c r="F45"/>
  <c r="F46"/>
  <c r="F47"/>
  <c r="F48"/>
  <c r="F49"/>
  <c r="F50"/>
  <c r="F51"/>
  <c r="F52"/>
  <c r="F53"/>
  <c r="F54"/>
  <c r="F55"/>
  <c r="F56"/>
  <c r="F57"/>
  <c r="F58"/>
  <c r="F59"/>
  <c r="F60"/>
  <c r="F61"/>
  <c r="F62"/>
  <c r="F63"/>
  <c r="F64"/>
  <c r="F65"/>
  <c r="F66"/>
  <c r="F67"/>
  <c r="F68"/>
  <c r="F69"/>
  <c r="F70"/>
  <c r="F71"/>
  <c r="F72"/>
  <c r="F73"/>
  <c r="F74"/>
  <c r="F75"/>
  <c r="F76"/>
  <c r="F77"/>
  <c r="F78"/>
  <c r="F79"/>
  <c r="F80"/>
  <c r="F81"/>
  <c r="F82"/>
  <c r="F83"/>
  <c r="F84"/>
  <c r="F85"/>
  <c r="F86"/>
  <c r="F87"/>
  <c r="F88"/>
  <c r="F89"/>
  <c r="F90"/>
  <c r="F91"/>
  <c r="F92"/>
  <c r="F93"/>
  <c r="F94"/>
  <c r="F95"/>
  <c r="F96"/>
  <c r="F97"/>
  <c r="F98"/>
  <c r="F99"/>
  <c r="F100"/>
  <c r="F101"/>
  <c r="F102"/>
  <c r="F103"/>
  <c r="F104"/>
  <c r="F105"/>
  <c r="F106"/>
  <c r="F107"/>
  <c r="F108"/>
  <c r="F109"/>
  <c r="F110"/>
  <c r="F111"/>
  <c r="F112"/>
  <c r="F113"/>
  <c r="F114"/>
  <c r="F115"/>
  <c r="F116"/>
  <c r="F117"/>
  <c r="F118"/>
  <c r="F119"/>
  <c r="F120"/>
  <c r="F121"/>
  <c r="F122"/>
  <c r="F123"/>
  <c r="F124"/>
  <c r="F125"/>
  <c r="F126"/>
  <c r="F127"/>
  <c r="F128"/>
  <c r="F129"/>
  <c r="F130"/>
  <c r="F131"/>
  <c r="F132"/>
  <c r="F133"/>
  <c r="F134"/>
  <c r="F135"/>
  <c r="F136"/>
  <c r="F137"/>
  <c r="F138"/>
  <c r="F139"/>
  <c r="F140"/>
  <c r="F141"/>
  <c r="F142"/>
  <c r="F143"/>
  <c r="F144"/>
  <c r="F145"/>
  <c r="F146"/>
  <c r="F147"/>
  <c r="F148"/>
  <c r="F149"/>
  <c r="F150"/>
  <c r="F151"/>
  <c r="F152"/>
  <c r="F153"/>
  <c r="F154"/>
  <c r="F155"/>
  <c r="F156"/>
  <c r="F157"/>
  <c r="F158"/>
  <c r="F159"/>
  <c r="F160"/>
  <c r="F161"/>
  <c r="F162"/>
  <c r="F163"/>
  <c r="F164"/>
  <c r="F165"/>
  <c r="F166"/>
  <c r="F167"/>
  <c r="F168"/>
  <c r="F169"/>
  <c r="F170"/>
  <c r="F171"/>
  <c r="F172"/>
  <c r="F28"/>
  <c r="F4" i="3"/>
  <c r="F5"/>
  <c r="F11"/>
  <c r="F12"/>
  <c r="F13"/>
  <c r="F17"/>
  <c r="F18"/>
  <c r="F19"/>
  <c r="F20"/>
  <c r="F21"/>
  <c r="F22"/>
  <c r="F23"/>
  <c r="F24"/>
  <c r="F25"/>
  <c r="F26"/>
  <c r="F30"/>
  <c r="F31"/>
  <c r="F32"/>
  <c r="F33"/>
  <c r="F34"/>
  <c r="F35"/>
  <c r="F36"/>
  <c r="F37"/>
  <c r="F38"/>
  <c r="F39"/>
  <c r="F40"/>
  <c r="F41"/>
  <c r="F42"/>
  <c r="F43"/>
  <c r="F44"/>
  <c r="F45"/>
  <c r="F46"/>
  <c r="F47"/>
  <c r="F48"/>
  <c r="F49"/>
  <c r="F50"/>
  <c r="F51"/>
  <c r="F52"/>
  <c r="F53"/>
  <c r="F54"/>
  <c r="F55"/>
  <c r="F56"/>
  <c r="F57"/>
  <c r="F58"/>
  <c r="F59"/>
  <c r="F60"/>
  <c r="F61"/>
  <c r="F62"/>
  <c r="F63"/>
  <c r="F64"/>
  <c r="F65"/>
  <c r="F66"/>
  <c r="F67"/>
  <c r="F68"/>
  <c r="F69"/>
  <c r="F70"/>
  <c r="F71"/>
  <c r="F72"/>
  <c r="F73"/>
  <c r="F74"/>
  <c r="F75"/>
  <c r="F76"/>
  <c r="F77"/>
  <c r="F78"/>
  <c r="F79"/>
  <c r="F80"/>
  <c r="F81"/>
  <c r="F82"/>
  <c r="F83"/>
  <c r="F84"/>
  <c r="F85"/>
  <c r="F86"/>
  <c r="F87"/>
  <c r="F88"/>
  <c r="F89"/>
  <c r="F90"/>
  <c r="F91"/>
  <c r="F92"/>
  <c r="F93"/>
  <c r="F94"/>
  <c r="F95"/>
  <c r="F96"/>
  <c r="F97"/>
  <c r="F98"/>
  <c r="F99"/>
  <c r="F100"/>
  <c r="F101"/>
  <c r="F102"/>
  <c r="F103"/>
  <c r="F104"/>
  <c r="F105"/>
  <c r="F106"/>
  <c r="F107"/>
  <c r="F108"/>
  <c r="F109"/>
  <c r="F110"/>
  <c r="F111"/>
  <c r="F112"/>
  <c r="F113"/>
  <c r="F114"/>
  <c r="F115"/>
  <c r="F116"/>
  <c r="F117"/>
  <c r="F3"/>
  <c r="B48" i="16" l="1"/>
  <c r="F19" i="7" l="1"/>
  <c r="F20"/>
  <c r="F21"/>
  <c r="F22"/>
  <c r="F25"/>
  <c r="F26"/>
  <c r="F22" i="1"/>
  <c r="I22" s="1"/>
  <c r="H22"/>
  <c r="F23"/>
  <c r="I23" s="1"/>
  <c r="H23"/>
  <c r="H18"/>
  <c r="H19"/>
  <c r="H20"/>
  <c r="H21"/>
  <c r="H25"/>
  <c r="H26"/>
  <c r="H27"/>
  <c r="H28"/>
  <c r="H29"/>
  <c r="H30"/>
  <c r="H31"/>
  <c r="F21"/>
  <c r="I21" s="1"/>
  <c r="AC13" i="7" l="1"/>
  <c r="AC14"/>
  <c r="D30" i="3" l="1"/>
  <c r="H30"/>
  <c r="D31"/>
  <c r="H31"/>
  <c r="D32"/>
  <c r="H32"/>
  <c r="D33"/>
  <c r="H33"/>
  <c r="D34"/>
  <c r="H34"/>
  <c r="D35"/>
  <c r="H35"/>
  <c r="D36"/>
  <c r="H36"/>
  <c r="D37"/>
  <c r="H37"/>
  <c r="D38"/>
  <c r="H38"/>
  <c r="D39"/>
  <c r="H39"/>
  <c r="D40"/>
  <c r="H40"/>
  <c r="D41"/>
  <c r="H41"/>
  <c r="D42"/>
  <c r="H42"/>
  <c r="D43"/>
  <c r="H43"/>
  <c r="D44"/>
  <c r="H44"/>
  <c r="D45"/>
  <c r="H45"/>
  <c r="D46"/>
  <c r="H46"/>
  <c r="D47"/>
  <c r="H47"/>
  <c r="D48"/>
  <c r="H48"/>
  <c r="D49"/>
  <c r="H49"/>
  <c r="H43" i="7"/>
  <c r="AC34"/>
  <c r="AC35"/>
  <c r="AC36"/>
  <c r="AC37"/>
  <c r="H36"/>
  <c r="H37"/>
  <c r="I37"/>
  <c r="AC23"/>
  <c r="AC24"/>
  <c r="AC25"/>
  <c r="AC27"/>
  <c r="AC28"/>
  <c r="H25"/>
  <c r="I26"/>
  <c r="H26"/>
  <c r="AC18" i="1"/>
  <c r="AC17"/>
  <c r="AC19"/>
  <c r="F17"/>
  <c r="H17"/>
  <c r="F18"/>
  <c r="I18" s="1"/>
  <c r="AC12" i="7"/>
  <c r="AC20"/>
  <c r="AC21"/>
  <c r="O41" i="16"/>
  <c r="I41"/>
  <c r="D50" i="3"/>
  <c r="I17" i="1" l="1"/>
  <c r="I25" i="7"/>
  <c r="I36"/>
  <c r="I43"/>
  <c r="AC38"/>
  <c r="AC33"/>
  <c r="AC32"/>
  <c r="AC31"/>
  <c r="AC30"/>
  <c r="AC29"/>
  <c r="AC26"/>
  <c r="AC20" i="1"/>
  <c r="AC22" i="7"/>
  <c r="D13" i="3"/>
  <c r="D12"/>
  <c r="D11"/>
  <c r="F12" i="1" l="1"/>
  <c r="F13"/>
  <c r="F14"/>
  <c r="F15"/>
  <c r="F16"/>
  <c r="F19"/>
  <c r="I32" i="7" l="1"/>
  <c r="H32"/>
  <c r="AC15" i="1"/>
  <c r="AC16"/>
  <c r="AC21"/>
  <c r="AC22"/>
  <c r="AC23"/>
  <c r="AC24"/>
  <c r="AC25"/>
  <c r="AC26"/>
  <c r="H15"/>
  <c r="I15" s="1"/>
  <c r="H33" i="7" l="1"/>
  <c r="AB11" i="6" l="1"/>
  <c r="AB12"/>
  <c r="AB13"/>
  <c r="AC10"/>
  <c r="D25" i="3"/>
  <c r="D26"/>
  <c r="D23"/>
  <c r="H44" i="7" l="1"/>
  <c r="I44"/>
  <c r="I16" i="1"/>
  <c r="H16"/>
  <c r="I19"/>
  <c r="F20"/>
  <c r="I20" l="1"/>
  <c r="H52" i="3" l="1"/>
  <c r="D52"/>
  <c r="H51"/>
  <c r="D51"/>
  <c r="H50"/>
  <c r="AI39" i="16" l="1"/>
  <c r="AH38"/>
  <c r="AI38" s="1"/>
  <c r="AG7"/>
  <c r="AG8"/>
  <c r="AG9"/>
  <c r="AG10"/>
  <c r="AG11"/>
  <c r="AG12"/>
  <c r="AG13"/>
  <c r="AG14"/>
  <c r="AG15"/>
  <c r="AG16"/>
  <c r="AG17"/>
  <c r="AG18"/>
  <c r="AG19"/>
  <c r="AG20"/>
  <c r="AG21"/>
  <c r="AG22"/>
  <c r="AG23"/>
  <c r="AG24"/>
  <c r="AG25"/>
  <c r="AG26"/>
  <c r="AG27"/>
  <c r="AG28"/>
  <c r="AG29"/>
  <c r="AG30"/>
  <c r="AG31"/>
  <c r="AG32"/>
  <c r="AG33"/>
  <c r="AG34"/>
  <c r="AG35"/>
  <c r="AG36"/>
  <c r="AG6"/>
  <c r="AF7"/>
  <c r="AF8"/>
  <c r="AF9"/>
  <c r="AF10"/>
  <c r="AF11"/>
  <c r="AF12"/>
  <c r="AF13"/>
  <c r="AF14"/>
  <c r="AF15"/>
  <c r="AF16"/>
  <c r="AF17"/>
  <c r="AF18"/>
  <c r="AF19"/>
  <c r="AF20"/>
  <c r="AF21"/>
  <c r="AF22"/>
  <c r="AF23"/>
  <c r="AF24"/>
  <c r="AF25"/>
  <c r="AF26"/>
  <c r="AF27"/>
  <c r="AF28"/>
  <c r="AF29"/>
  <c r="AF30"/>
  <c r="AF31"/>
  <c r="AF32"/>
  <c r="AF33"/>
  <c r="AF34"/>
  <c r="AF35"/>
  <c r="AF36"/>
  <c r="AF6"/>
  <c r="AF38" l="1"/>
  <c r="AG38"/>
  <c r="I31" i="7"/>
  <c r="AC11" l="1"/>
  <c r="H19"/>
  <c r="I19" s="1"/>
  <c r="O42" i="16" l="1"/>
  <c r="H53" i="7"/>
  <c r="H52"/>
  <c r="H51"/>
  <c r="H50"/>
  <c r="H49"/>
  <c r="H48"/>
  <c r="H47"/>
  <c r="H46"/>
  <c r="H45"/>
  <c r="H42"/>
  <c r="H38"/>
  <c r="H31"/>
  <c r="H30"/>
  <c r="H29"/>
  <c r="H28"/>
  <c r="H22"/>
  <c r="H21"/>
  <c r="I21" s="1"/>
  <c r="H20"/>
  <c r="I20" s="1"/>
  <c r="I22" l="1"/>
  <c r="I28"/>
  <c r="I29"/>
  <c r="I30"/>
  <c r="I33"/>
  <c r="I38"/>
  <c r="I42"/>
  <c r="I45"/>
  <c r="I46"/>
  <c r="I47"/>
  <c r="I48"/>
  <c r="I49"/>
  <c r="I50"/>
  <c r="I51"/>
  <c r="I52"/>
  <c r="I53"/>
  <c r="H66" l="1"/>
  <c r="AC65"/>
  <c r="AC66"/>
  <c r="AC67"/>
  <c r="I66" l="1"/>
  <c r="D21" i="3" l="1"/>
  <c r="D20"/>
  <c r="H54" i="7" l="1"/>
  <c r="H55"/>
  <c r="I55" s="1"/>
  <c r="H56"/>
  <c r="I56" s="1"/>
  <c r="H57"/>
  <c r="H58"/>
  <c r="I58" s="1"/>
  <c r="H59"/>
  <c r="H60"/>
  <c r="H61"/>
  <c r="H62"/>
  <c r="H63"/>
  <c r="H64"/>
  <c r="H65"/>
  <c r="H67"/>
  <c r="H68"/>
  <c r="H69"/>
  <c r="H70"/>
  <c r="H71"/>
  <c r="H72"/>
  <c r="H73"/>
  <c r="H74"/>
  <c r="I74"/>
  <c r="H75"/>
  <c r="H76"/>
  <c r="H77"/>
  <c r="H78"/>
  <c r="H79"/>
  <c r="H80"/>
  <c r="H81"/>
  <c r="H82"/>
  <c r="I82" s="1"/>
  <c r="H83"/>
  <c r="I83" s="1"/>
  <c r="H84"/>
  <c r="I84" s="1"/>
  <c r="H85"/>
  <c r="H86"/>
  <c r="H87"/>
  <c r="H88"/>
  <c r="H89"/>
  <c r="AC39"/>
  <c r="AC40"/>
  <c r="AC41"/>
  <c r="AC42"/>
  <c r="AC43"/>
  <c r="AC44"/>
  <c r="I65" l="1"/>
  <c r="I62"/>
  <c r="I86"/>
  <c r="I70"/>
  <c r="I81"/>
  <c r="I80"/>
  <c r="I79"/>
  <c r="I89"/>
  <c r="I88"/>
  <c r="I87"/>
  <c r="I85"/>
  <c r="I78"/>
  <c r="I77"/>
  <c r="I76"/>
  <c r="I75"/>
  <c r="I72"/>
  <c r="I71"/>
  <c r="I68"/>
  <c r="I67"/>
  <c r="I64"/>
  <c r="I63"/>
  <c r="I61"/>
  <c r="I60"/>
  <c r="I59"/>
  <c r="I57"/>
  <c r="I54"/>
  <c r="I73"/>
  <c r="I69"/>
  <c r="AC68" l="1"/>
  <c r="AC69"/>
  <c r="AC70"/>
  <c r="AC71"/>
  <c r="AC72"/>
  <c r="AC73"/>
  <c r="AC74"/>
  <c r="AC75"/>
  <c r="AC76"/>
  <c r="AC77"/>
  <c r="AC78"/>
  <c r="AC79"/>
  <c r="AC61"/>
  <c r="AC62"/>
  <c r="AC63"/>
  <c r="AC64"/>
  <c r="AC56"/>
  <c r="AC57"/>
  <c r="AC29" i="1"/>
  <c r="AC30"/>
  <c r="F25" l="1"/>
  <c r="I25" s="1"/>
  <c r="AC10" i="7" l="1"/>
  <c r="AC13" i="1"/>
  <c r="AC14"/>
  <c r="I13"/>
  <c r="H13"/>
  <c r="F26" l="1"/>
  <c r="F27"/>
  <c r="F28"/>
  <c r="F29"/>
  <c r="F30"/>
  <c r="F31"/>
  <c r="F38"/>
  <c r="I38" s="1"/>
  <c r="F39"/>
  <c r="I39" s="1"/>
  <c r="F40"/>
  <c r="I40" s="1"/>
  <c r="F41"/>
  <c r="F42"/>
  <c r="I42" s="1"/>
  <c r="F43"/>
  <c r="F44"/>
  <c r="F45"/>
  <c r="F46"/>
  <c r="F47"/>
  <c r="F48"/>
  <c r="F49"/>
  <c r="F50"/>
  <c r="F51"/>
  <c r="F52"/>
  <c r="F53"/>
  <c r="F54"/>
  <c r="F55"/>
  <c r="F56"/>
  <c r="F57"/>
  <c r="F58"/>
  <c r="F59"/>
  <c r="F60"/>
  <c r="F61"/>
  <c r="F62"/>
  <c r="F63"/>
  <c r="F64"/>
  <c r="F65"/>
  <c r="F66"/>
  <c r="F67"/>
  <c r="F68"/>
  <c r="F69"/>
  <c r="F70"/>
  <c r="F71"/>
  <c r="F72"/>
  <c r="F73"/>
  <c r="F74"/>
  <c r="F75"/>
  <c r="F76"/>
  <c r="F77"/>
  <c r="F78"/>
  <c r="F79"/>
  <c r="F80"/>
  <c r="F81"/>
  <c r="F82"/>
  <c r="F83"/>
  <c r="F84"/>
  <c r="F85"/>
  <c r="F86"/>
  <c r="F87"/>
  <c r="F88"/>
  <c r="F89"/>
  <c r="F90"/>
  <c r="F91"/>
  <c r="F92"/>
  <c r="F93"/>
  <c r="F94"/>
  <c r="F95"/>
  <c r="F96"/>
  <c r="F97"/>
  <c r="F98"/>
  <c r="F99"/>
  <c r="F100"/>
  <c r="F101"/>
  <c r="F102"/>
  <c r="F103"/>
  <c r="F104"/>
  <c r="F105"/>
  <c r="F106"/>
  <c r="F107"/>
  <c r="F108"/>
  <c r="F109"/>
  <c r="F110"/>
  <c r="F111"/>
  <c r="F112"/>
  <c r="F113"/>
  <c r="F114"/>
  <c r="F115"/>
  <c r="F116"/>
  <c r="F117"/>
  <c r="F118"/>
  <c r="F119"/>
  <c r="F120"/>
  <c r="F121"/>
  <c r="F122"/>
  <c r="F123"/>
  <c r="F124"/>
  <c r="F125"/>
  <c r="F126"/>
  <c r="F127"/>
  <c r="F128"/>
  <c r="F129"/>
  <c r="F130"/>
  <c r="F131"/>
  <c r="F132"/>
  <c r="F133"/>
  <c r="F134"/>
  <c r="F135"/>
  <c r="F136"/>
  <c r="F137"/>
  <c r="F138"/>
  <c r="F139"/>
  <c r="F140"/>
  <c r="F141"/>
  <c r="F142"/>
  <c r="F143"/>
  <c r="AC93" i="7" l="1"/>
  <c r="AC94"/>
  <c r="AC95"/>
  <c r="AC96"/>
  <c r="AC97"/>
  <c r="AC98"/>
  <c r="H94"/>
  <c r="AC55"/>
  <c r="AC58"/>
  <c r="AC59"/>
  <c r="AC60"/>
  <c r="AC53"/>
  <c r="AC54"/>
  <c r="L4" i="3"/>
  <c r="L5"/>
  <c r="L6"/>
  <c r="L7"/>
  <c r="L8"/>
  <c r="L9"/>
  <c r="L10"/>
  <c r="L11"/>
  <c r="L12"/>
  <c r="L13"/>
  <c r="L14"/>
  <c r="L15"/>
  <c r="L16"/>
  <c r="L17"/>
  <c r="L18"/>
  <c r="L19"/>
  <c r="L20"/>
  <c r="L21"/>
  <c r="L22"/>
  <c r="L23"/>
  <c r="L24"/>
  <c r="L25"/>
  <c r="L26"/>
  <c r="L27"/>
  <c r="L28"/>
  <c r="L29"/>
  <c r="L30"/>
  <c r="L31"/>
  <c r="L32"/>
  <c r="L33"/>
  <c r="L34"/>
  <c r="L35"/>
  <c r="L36"/>
  <c r="L37"/>
  <c r="L38"/>
  <c r="L39"/>
  <c r="L40"/>
  <c r="L41"/>
  <c r="L42"/>
  <c r="L43"/>
  <c r="L44"/>
  <c r="L45"/>
  <c r="L46"/>
  <c r="L47"/>
  <c r="L48"/>
  <c r="L49"/>
  <c r="L50"/>
  <c r="L51"/>
  <c r="L52"/>
  <c r="L53"/>
  <c r="L54"/>
  <c r="L55"/>
  <c r="L56"/>
  <c r="L57"/>
  <c r="L58"/>
  <c r="L59"/>
  <c r="L60"/>
  <c r="L61"/>
  <c r="L62"/>
  <c r="L63"/>
  <c r="L64"/>
  <c r="L65"/>
  <c r="L66"/>
  <c r="L67"/>
  <c r="L68"/>
  <c r="L69"/>
  <c r="L70"/>
  <c r="L71"/>
  <c r="L72"/>
  <c r="L73"/>
  <c r="L74"/>
  <c r="L75"/>
  <c r="L76"/>
  <c r="L77"/>
  <c r="L78"/>
  <c r="L79"/>
  <c r="L80"/>
  <c r="L81"/>
  <c r="L82"/>
  <c r="L83"/>
  <c r="L84"/>
  <c r="L85"/>
  <c r="L86"/>
  <c r="L87"/>
  <c r="L88"/>
  <c r="L89"/>
  <c r="L90"/>
  <c r="L91"/>
  <c r="L92"/>
  <c r="L3"/>
  <c r="I94" i="7" l="1"/>
  <c r="E10" i="14"/>
  <c r="E11"/>
  <c r="E12"/>
  <c r="E13"/>
  <c r="E14"/>
  <c r="E15"/>
  <c r="E16"/>
  <c r="E17"/>
  <c r="E18"/>
  <c r="E19"/>
  <c r="E20"/>
  <c r="E21"/>
  <c r="E22"/>
  <c r="E23"/>
  <c r="E24"/>
  <c r="E25"/>
  <c r="E26"/>
  <c r="E27"/>
  <c r="E28"/>
  <c r="E29"/>
  <c r="E30"/>
  <c r="E31"/>
  <c r="E32"/>
  <c r="E33"/>
  <c r="E34"/>
  <c r="E35"/>
  <c r="E36"/>
  <c r="E37"/>
  <c r="E38"/>
  <c r="E39"/>
  <c r="E40"/>
  <c r="E41"/>
  <c r="E42"/>
  <c r="E43"/>
  <c r="E44"/>
  <c r="E45"/>
  <c r="E46"/>
  <c r="E47"/>
  <c r="E48"/>
  <c r="E49"/>
  <c r="E50"/>
  <c r="E51"/>
  <c r="E52"/>
  <c r="E53"/>
  <c r="E54"/>
  <c r="E55"/>
  <c r="E56"/>
  <c r="E57"/>
  <c r="E58"/>
  <c r="E59"/>
  <c r="E60"/>
  <c r="E61"/>
  <c r="E62"/>
  <c r="E63"/>
  <c r="E64"/>
  <c r="E65"/>
  <c r="E66"/>
  <c r="E67"/>
  <c r="E68"/>
  <c r="E69"/>
  <c r="E70"/>
  <c r="E71"/>
  <c r="E72"/>
  <c r="E73"/>
  <c r="E74"/>
  <c r="E75"/>
  <c r="E76"/>
  <c r="E77"/>
  <c r="E78"/>
  <c r="E79"/>
  <c r="E80"/>
  <c r="E81"/>
  <c r="E82"/>
  <c r="E83"/>
  <c r="E84"/>
  <c r="E85"/>
  <c r="E86"/>
  <c r="E87"/>
  <c r="E88"/>
  <c r="E89"/>
  <c r="E90"/>
  <c r="E91"/>
  <c r="E92"/>
  <c r="E93"/>
  <c r="E94"/>
  <c r="E95"/>
  <c r="E96"/>
  <c r="E97"/>
  <c r="E98"/>
  <c r="E99"/>
  <c r="E100"/>
  <c r="E101"/>
  <c r="E102"/>
  <c r="E103"/>
  <c r="E104"/>
  <c r="E105"/>
  <c r="E106"/>
  <c r="E107"/>
  <c r="E108"/>
  <c r="E109"/>
  <c r="E110"/>
  <c r="E111"/>
  <c r="E112"/>
  <c r="E113"/>
  <c r="E114"/>
  <c r="E115"/>
  <c r="E9"/>
  <c r="AC49" i="7"/>
  <c r="AC50"/>
  <c r="AC51"/>
  <c r="AC52"/>
  <c r="C38" i="16" l="1"/>
  <c r="I31" i="1" l="1"/>
  <c r="I30"/>
  <c r="I29"/>
  <c r="I28"/>
  <c r="I27"/>
  <c r="I26"/>
  <c r="H14"/>
  <c r="I14" s="1"/>
  <c r="H12"/>
  <c r="I12" l="1"/>
  <c r="AB32" i="6" l="1"/>
  <c r="AC32" s="1"/>
  <c r="AB33"/>
  <c r="AC33" s="1"/>
  <c r="G39" i="16" l="1"/>
  <c r="AA40" l="1"/>
  <c r="A7" i="17" l="1"/>
  <c r="CS7" s="1"/>
  <c r="A4" i="9"/>
  <c r="A6" i="16" s="1"/>
  <c r="Y7" i="17" l="1"/>
  <c r="BU7"/>
  <c r="AW7"/>
  <c r="J40" i="3" l="1"/>
  <c r="CS2" i="17" l="1"/>
  <c r="DQ2"/>
  <c r="BU2"/>
  <c r="AW2"/>
  <c r="Y2"/>
  <c r="AC88" i="7" l="1"/>
  <c r="AC87"/>
  <c r="AC14" i="4" l="1"/>
  <c r="AS35" i="17" l="1"/>
  <c r="AS36"/>
  <c r="AS37"/>
  <c r="AB5" i="15" l="1"/>
  <c r="AB6"/>
  <c r="AB7"/>
  <c r="AB8"/>
  <c r="AB9"/>
  <c r="AB10"/>
  <c r="AB11"/>
  <c r="AB12"/>
  <c r="AB13"/>
  <c r="AB14"/>
  <c r="AB15"/>
  <c r="AB16"/>
  <c r="AB17"/>
  <c r="AB18"/>
  <c r="AB19"/>
  <c r="AB20"/>
  <c r="AB21"/>
  <c r="AB22"/>
  <c r="AB23"/>
  <c r="AB24"/>
  <c r="AB25"/>
  <c r="AB26"/>
  <c r="AB27"/>
  <c r="AB28"/>
  <c r="AB29"/>
  <c r="AB30"/>
  <c r="AB31"/>
  <c r="AB32"/>
  <c r="AB4"/>
  <c r="AB5" i="6"/>
  <c r="AB6"/>
  <c r="AB7"/>
  <c r="AB8"/>
  <c r="AB9"/>
  <c r="AB14"/>
  <c r="AB15"/>
  <c r="AB16"/>
  <c r="AB17"/>
  <c r="AB18"/>
  <c r="AB19"/>
  <c r="AB20"/>
  <c r="AB21"/>
  <c r="AB22"/>
  <c r="AB23"/>
  <c r="AB24"/>
  <c r="AB25"/>
  <c r="AB26"/>
  <c r="AB27"/>
  <c r="AB28"/>
  <c r="AB29"/>
  <c r="AB30"/>
  <c r="AB31"/>
  <c r="AB4"/>
  <c r="AB5" i="2"/>
  <c r="AB6"/>
  <c r="AB7"/>
  <c r="AB8"/>
  <c r="AB9"/>
  <c r="AB10"/>
  <c r="AB11"/>
  <c r="AB12"/>
  <c r="AB13"/>
  <c r="AB14"/>
  <c r="AB15"/>
  <c r="AB16"/>
  <c r="AB17"/>
  <c r="AB18"/>
  <c r="AB19"/>
  <c r="AB20"/>
  <c r="AB21"/>
  <c r="AB22"/>
  <c r="AB23"/>
  <c r="AB24"/>
  <c r="AB25"/>
  <c r="AB26"/>
  <c r="AB27"/>
  <c r="AB28"/>
  <c r="AB29"/>
  <c r="AB30"/>
  <c r="AB4"/>
  <c r="AB5" i="8"/>
  <c r="AB6"/>
  <c r="AB7"/>
  <c r="AB8"/>
  <c r="AB9"/>
  <c r="AB10"/>
  <c r="AB11"/>
  <c r="AB12"/>
  <c r="AB13"/>
  <c r="AB14"/>
  <c r="AB15"/>
  <c r="AB16"/>
  <c r="AB17"/>
  <c r="AB18"/>
  <c r="AB19"/>
  <c r="AB20"/>
  <c r="AB21"/>
  <c r="AB22"/>
  <c r="AB23"/>
  <c r="AB24"/>
  <c r="AB25"/>
  <c r="AB26"/>
  <c r="AB27"/>
  <c r="AB28"/>
  <c r="AB29"/>
  <c r="AB30"/>
  <c r="AB31"/>
  <c r="AB32"/>
  <c r="AB33"/>
  <c r="AB4"/>
  <c r="EF8" i="17" l="1"/>
  <c r="EG8"/>
  <c r="EH8"/>
  <c r="EF9"/>
  <c r="EG9"/>
  <c r="EH9"/>
  <c r="EF10"/>
  <c r="EG10"/>
  <c r="EH10"/>
  <c r="EF11"/>
  <c r="EG11"/>
  <c r="EH11"/>
  <c r="EF12"/>
  <c r="EG12"/>
  <c r="EH12"/>
  <c r="EF13"/>
  <c r="EG13"/>
  <c r="EH13"/>
  <c r="EF14"/>
  <c r="EG14"/>
  <c r="EH14"/>
  <c r="EF15"/>
  <c r="EG15"/>
  <c r="EH15"/>
  <c r="EF16"/>
  <c r="EG16"/>
  <c r="EH16"/>
  <c r="EF17"/>
  <c r="EG17"/>
  <c r="EH17"/>
  <c r="EF18"/>
  <c r="EG18"/>
  <c r="EH18"/>
  <c r="EF19"/>
  <c r="EG19"/>
  <c r="EH19"/>
  <c r="EF20"/>
  <c r="EG20"/>
  <c r="EH20"/>
  <c r="EF21"/>
  <c r="EG21"/>
  <c r="EH21"/>
  <c r="EF22"/>
  <c r="EG22"/>
  <c r="EH22"/>
  <c r="EF23"/>
  <c r="EG23"/>
  <c r="EH23"/>
  <c r="EF24"/>
  <c r="EG24"/>
  <c r="EH24"/>
  <c r="EF25"/>
  <c r="EG25"/>
  <c r="EH25"/>
  <c r="EF26"/>
  <c r="EG26"/>
  <c r="EH26"/>
  <c r="EF27"/>
  <c r="EG27"/>
  <c r="EH27"/>
  <c r="EF28"/>
  <c r="EG28"/>
  <c r="EH28"/>
  <c r="EF29"/>
  <c r="EG29"/>
  <c r="EH29"/>
  <c r="EF30"/>
  <c r="EG30"/>
  <c r="EH30"/>
  <c r="EF31"/>
  <c r="EG31"/>
  <c r="EH31"/>
  <c r="EF32"/>
  <c r="EG32"/>
  <c r="EH32"/>
  <c r="EF33"/>
  <c r="EG33"/>
  <c r="EH33"/>
  <c r="EF34"/>
  <c r="EG34"/>
  <c r="EH34"/>
  <c r="EF35"/>
  <c r="EG35"/>
  <c r="EH35"/>
  <c r="EF36"/>
  <c r="EG36"/>
  <c r="EH36"/>
  <c r="EF37"/>
  <c r="EG37"/>
  <c r="EH37"/>
  <c r="EH7"/>
  <c r="EG7"/>
  <c r="EF7"/>
  <c r="DQ8"/>
  <c r="DR8"/>
  <c r="DS8"/>
  <c r="DT8"/>
  <c r="DU8"/>
  <c r="DV8"/>
  <c r="DW8"/>
  <c r="DX8"/>
  <c r="DY8"/>
  <c r="DZ8"/>
  <c r="EA8"/>
  <c r="EB8"/>
  <c r="EC8"/>
  <c r="ED8"/>
  <c r="DQ9"/>
  <c r="DR9"/>
  <c r="DS9"/>
  <c r="DT9"/>
  <c r="DU9"/>
  <c r="DV9"/>
  <c r="DW9"/>
  <c r="DX9"/>
  <c r="DY9"/>
  <c r="DZ9"/>
  <c r="EA9"/>
  <c r="EB9"/>
  <c r="EC9"/>
  <c r="ED9"/>
  <c r="DQ10"/>
  <c r="DR10"/>
  <c r="DS10"/>
  <c r="DT10"/>
  <c r="DU10"/>
  <c r="DV10"/>
  <c r="DW10"/>
  <c r="DX10"/>
  <c r="DY10"/>
  <c r="DZ10"/>
  <c r="EA10"/>
  <c r="EB10"/>
  <c r="EC10"/>
  <c r="ED10"/>
  <c r="DQ11"/>
  <c r="DR11"/>
  <c r="DS11"/>
  <c r="DT11"/>
  <c r="DU11"/>
  <c r="DV11"/>
  <c r="DW11"/>
  <c r="DX11"/>
  <c r="DY11"/>
  <c r="DZ11"/>
  <c r="EA11"/>
  <c r="EB11"/>
  <c r="EC11"/>
  <c r="ED11"/>
  <c r="DQ12"/>
  <c r="DR12"/>
  <c r="DS12"/>
  <c r="DT12"/>
  <c r="DU12"/>
  <c r="DV12"/>
  <c r="DW12"/>
  <c r="DX12"/>
  <c r="DY12"/>
  <c r="DZ12"/>
  <c r="EA12"/>
  <c r="EB12"/>
  <c r="EC12"/>
  <c r="ED12"/>
  <c r="DQ13"/>
  <c r="DR13"/>
  <c r="DS13"/>
  <c r="DT13"/>
  <c r="DU13"/>
  <c r="DV13"/>
  <c r="DW13"/>
  <c r="DX13"/>
  <c r="DY13"/>
  <c r="DZ13"/>
  <c r="EA13"/>
  <c r="EB13"/>
  <c r="EC13"/>
  <c r="ED13"/>
  <c r="DQ14"/>
  <c r="DR14"/>
  <c r="DS14"/>
  <c r="DT14"/>
  <c r="DU14"/>
  <c r="DV14"/>
  <c r="DW14"/>
  <c r="DX14"/>
  <c r="DY14"/>
  <c r="DZ14"/>
  <c r="EA14"/>
  <c r="EB14"/>
  <c r="EC14"/>
  <c r="ED14"/>
  <c r="DQ15"/>
  <c r="DR15"/>
  <c r="DS15"/>
  <c r="DT15"/>
  <c r="DU15"/>
  <c r="DV15"/>
  <c r="DW15"/>
  <c r="DX15"/>
  <c r="DY15"/>
  <c r="DZ15"/>
  <c r="EA15"/>
  <c r="EB15"/>
  <c r="EC15"/>
  <c r="ED15"/>
  <c r="DQ16"/>
  <c r="DR16"/>
  <c r="DS16"/>
  <c r="DT16"/>
  <c r="DU16"/>
  <c r="DV16"/>
  <c r="DW16"/>
  <c r="DX16"/>
  <c r="DY16"/>
  <c r="DZ16"/>
  <c r="EA16"/>
  <c r="EB16"/>
  <c r="EC16"/>
  <c r="ED16"/>
  <c r="DQ17"/>
  <c r="DR17"/>
  <c r="DS17"/>
  <c r="DT17"/>
  <c r="DU17"/>
  <c r="DV17"/>
  <c r="DW17"/>
  <c r="DX17"/>
  <c r="DY17"/>
  <c r="DZ17"/>
  <c r="EA17"/>
  <c r="EB17"/>
  <c r="EC17"/>
  <c r="ED17"/>
  <c r="DQ18"/>
  <c r="DR18"/>
  <c r="DS18"/>
  <c r="DT18"/>
  <c r="DU18"/>
  <c r="DV18"/>
  <c r="DW18"/>
  <c r="DX18"/>
  <c r="DY18"/>
  <c r="DZ18"/>
  <c r="EA18"/>
  <c r="EB18"/>
  <c r="EC18"/>
  <c r="ED18"/>
  <c r="DQ19"/>
  <c r="DR19"/>
  <c r="DS19"/>
  <c r="DT19"/>
  <c r="DU19"/>
  <c r="DV19"/>
  <c r="DW19"/>
  <c r="DX19"/>
  <c r="DY19"/>
  <c r="DZ19"/>
  <c r="EA19"/>
  <c r="EB19"/>
  <c r="EC19"/>
  <c r="ED19"/>
  <c r="DQ20"/>
  <c r="DR20"/>
  <c r="DS20"/>
  <c r="DT20"/>
  <c r="DU20"/>
  <c r="DV20"/>
  <c r="DW20"/>
  <c r="DX20"/>
  <c r="DY20"/>
  <c r="DZ20"/>
  <c r="EA20"/>
  <c r="EB20"/>
  <c r="EC20"/>
  <c r="ED20"/>
  <c r="DQ21"/>
  <c r="DR21"/>
  <c r="DS21"/>
  <c r="DT21"/>
  <c r="DU21"/>
  <c r="DV21"/>
  <c r="DW21"/>
  <c r="DX21"/>
  <c r="DY21"/>
  <c r="DZ21"/>
  <c r="EA21"/>
  <c r="EB21"/>
  <c r="EC21"/>
  <c r="ED21"/>
  <c r="DQ22"/>
  <c r="DR22"/>
  <c r="DS22"/>
  <c r="DT22"/>
  <c r="DU22"/>
  <c r="DV22"/>
  <c r="DW22"/>
  <c r="DX22"/>
  <c r="DY22"/>
  <c r="DZ22"/>
  <c r="EA22"/>
  <c r="EB22"/>
  <c r="EC22"/>
  <c r="ED22"/>
  <c r="DQ23"/>
  <c r="DR23"/>
  <c r="DS23"/>
  <c r="DT23"/>
  <c r="DU23"/>
  <c r="DV23"/>
  <c r="DW23"/>
  <c r="DX23"/>
  <c r="DY23"/>
  <c r="DZ23"/>
  <c r="EA23"/>
  <c r="EB23"/>
  <c r="EC23"/>
  <c r="ED23"/>
  <c r="DQ24"/>
  <c r="DR24"/>
  <c r="DS24"/>
  <c r="DT24"/>
  <c r="DU24"/>
  <c r="DV24"/>
  <c r="DW24"/>
  <c r="DX24"/>
  <c r="DY24"/>
  <c r="DZ24"/>
  <c r="EA24"/>
  <c r="EB24"/>
  <c r="EC24"/>
  <c r="ED24"/>
  <c r="DQ25"/>
  <c r="DR25"/>
  <c r="DS25"/>
  <c r="DT25"/>
  <c r="DU25"/>
  <c r="DV25"/>
  <c r="DW25"/>
  <c r="DX25"/>
  <c r="DY25"/>
  <c r="DZ25"/>
  <c r="EA25"/>
  <c r="EB25"/>
  <c r="EC25"/>
  <c r="ED25"/>
  <c r="DQ26"/>
  <c r="DR26"/>
  <c r="DS26"/>
  <c r="DT26"/>
  <c r="DU26"/>
  <c r="DV26"/>
  <c r="DW26"/>
  <c r="DX26"/>
  <c r="DY26"/>
  <c r="DZ26"/>
  <c r="EA26"/>
  <c r="EB26"/>
  <c r="EC26"/>
  <c r="ED26"/>
  <c r="DQ27"/>
  <c r="DR27"/>
  <c r="DS27"/>
  <c r="DT27"/>
  <c r="DU27"/>
  <c r="DV27"/>
  <c r="DW27"/>
  <c r="DX27"/>
  <c r="DY27"/>
  <c r="DZ27"/>
  <c r="EA27"/>
  <c r="EB27"/>
  <c r="EC27"/>
  <c r="ED27"/>
  <c r="DQ28"/>
  <c r="DR28"/>
  <c r="DS28"/>
  <c r="DT28"/>
  <c r="DU28"/>
  <c r="DV28"/>
  <c r="DW28"/>
  <c r="DX28"/>
  <c r="DY28"/>
  <c r="DZ28"/>
  <c r="EA28"/>
  <c r="EB28"/>
  <c r="EC28"/>
  <c r="ED28"/>
  <c r="DQ29"/>
  <c r="DR29"/>
  <c r="DS29"/>
  <c r="DT29"/>
  <c r="DU29"/>
  <c r="DV29"/>
  <c r="DW29"/>
  <c r="DX29"/>
  <c r="DY29"/>
  <c r="DZ29"/>
  <c r="EA29"/>
  <c r="EB29"/>
  <c r="EC29"/>
  <c r="ED29"/>
  <c r="DQ30"/>
  <c r="DR30"/>
  <c r="DS30"/>
  <c r="DT30"/>
  <c r="DU30"/>
  <c r="DV30"/>
  <c r="DW30"/>
  <c r="DX30"/>
  <c r="DY30"/>
  <c r="DZ30"/>
  <c r="EA30"/>
  <c r="EB30"/>
  <c r="EC30"/>
  <c r="ED30"/>
  <c r="DQ31"/>
  <c r="DR31"/>
  <c r="DS31"/>
  <c r="DT31"/>
  <c r="DU31"/>
  <c r="DV31"/>
  <c r="DW31"/>
  <c r="DX31"/>
  <c r="DY31"/>
  <c r="DZ31"/>
  <c r="EA31"/>
  <c r="EB31"/>
  <c r="EC31"/>
  <c r="ED31"/>
  <c r="DQ32"/>
  <c r="DR32"/>
  <c r="DS32"/>
  <c r="DT32"/>
  <c r="DU32"/>
  <c r="DV32"/>
  <c r="DW32"/>
  <c r="DX32"/>
  <c r="DY32"/>
  <c r="DZ32"/>
  <c r="EA32"/>
  <c r="EB32"/>
  <c r="EC32"/>
  <c r="ED32"/>
  <c r="DQ33"/>
  <c r="DR33"/>
  <c r="DS33"/>
  <c r="DT33"/>
  <c r="DU33"/>
  <c r="DV33"/>
  <c r="DW33"/>
  <c r="DX33"/>
  <c r="DY33"/>
  <c r="DZ33"/>
  <c r="EA33"/>
  <c r="EB33"/>
  <c r="EC33"/>
  <c r="ED33"/>
  <c r="DQ34"/>
  <c r="DR34"/>
  <c r="DS34"/>
  <c r="DT34"/>
  <c r="DU34"/>
  <c r="DV34"/>
  <c r="DW34"/>
  <c r="DX34"/>
  <c r="DY34"/>
  <c r="DZ34"/>
  <c r="EA34"/>
  <c r="EB34"/>
  <c r="EC34"/>
  <c r="ED34"/>
  <c r="DQ35"/>
  <c r="DR35"/>
  <c r="DS35"/>
  <c r="DT35"/>
  <c r="DU35"/>
  <c r="DV35"/>
  <c r="DW35"/>
  <c r="DX35"/>
  <c r="DY35"/>
  <c r="DZ35"/>
  <c r="EA35"/>
  <c r="EB35"/>
  <c r="EC35"/>
  <c r="ED35"/>
  <c r="DQ36"/>
  <c r="DR36"/>
  <c r="DS36"/>
  <c r="DT36"/>
  <c r="DU36"/>
  <c r="DV36"/>
  <c r="DW36"/>
  <c r="DX36"/>
  <c r="DY36"/>
  <c r="DZ36"/>
  <c r="EA36"/>
  <c r="EB36"/>
  <c r="EC36"/>
  <c r="ED36"/>
  <c r="DQ37"/>
  <c r="DR37"/>
  <c r="DS37"/>
  <c r="DT37"/>
  <c r="DU37"/>
  <c r="DV37"/>
  <c r="DW37"/>
  <c r="DX37"/>
  <c r="DY37"/>
  <c r="DZ37"/>
  <c r="EA37"/>
  <c r="EB37"/>
  <c r="EC37"/>
  <c r="ED37"/>
  <c r="DR7"/>
  <c r="DS7"/>
  <c r="DT7"/>
  <c r="DU7"/>
  <c r="DV7"/>
  <c r="DW7"/>
  <c r="DX7"/>
  <c r="DY7"/>
  <c r="DZ7"/>
  <c r="EA7"/>
  <c r="EB7"/>
  <c r="EC7"/>
  <c r="ED7"/>
  <c r="DQ7"/>
  <c r="EG41"/>
  <c r="EE40"/>
  <c r="EE39"/>
  <c r="EI39" s="1"/>
  <c r="EL38"/>
  <c r="EE38"/>
  <c r="EK38" s="1"/>
  <c r="EE8"/>
  <c r="EI8" s="1"/>
  <c r="EE10" l="1"/>
  <c r="EI10" s="1"/>
  <c r="EE21"/>
  <c r="EI21" s="1"/>
  <c r="EE12"/>
  <c r="EI12" s="1"/>
  <c r="EE14"/>
  <c r="EI14" s="1"/>
  <c r="EE30"/>
  <c r="EI30" s="1"/>
  <c r="EE25"/>
  <c r="EI25" s="1"/>
  <c r="EE37"/>
  <c r="EI37" s="1"/>
  <c r="DQ41"/>
  <c r="DU41"/>
  <c r="EE13"/>
  <c r="EI13" s="1"/>
  <c r="EE32"/>
  <c r="EI32" s="1"/>
  <c r="EE28"/>
  <c r="EI28" s="1"/>
  <c r="EE23"/>
  <c r="EI23" s="1"/>
  <c r="EF41"/>
  <c r="EE9"/>
  <c r="EI9" s="1"/>
  <c r="DR41"/>
  <c r="EE11"/>
  <c r="EI11" s="1"/>
  <c r="DW41"/>
  <c r="EE15"/>
  <c r="EI15" s="1"/>
  <c r="DY41"/>
  <c r="EI38"/>
  <c r="EE34"/>
  <c r="EI34" s="1"/>
  <c r="EE31"/>
  <c r="EI31" s="1"/>
  <c r="EE29"/>
  <c r="EI29" s="1"/>
  <c r="EE27"/>
  <c r="EI27" s="1"/>
  <c r="EE24"/>
  <c r="EI24" s="1"/>
  <c r="EE33"/>
  <c r="EI33" s="1"/>
  <c r="EE35"/>
  <c r="EI35" s="1"/>
  <c r="EE22"/>
  <c r="EI22" s="1"/>
  <c r="EE19"/>
  <c r="EI19" s="1"/>
  <c r="DV41"/>
  <c r="EB41"/>
  <c r="EC41"/>
  <c r="DX41"/>
  <c r="EE18"/>
  <c r="EI18" s="1"/>
  <c r="DT41"/>
  <c r="EE17"/>
  <c r="EI17" s="1"/>
  <c r="DS41"/>
  <c r="ED41"/>
  <c r="DZ41"/>
  <c r="EE16"/>
  <c r="EI16" s="1"/>
  <c r="EE20"/>
  <c r="EI20" s="1"/>
  <c r="EE7"/>
  <c r="EI7" s="1"/>
  <c r="EE36"/>
  <c r="EA41"/>
  <c r="EE26"/>
  <c r="EI26" s="1"/>
  <c r="EI36" l="1"/>
  <c r="EI41" s="1"/>
  <c r="EE41"/>
  <c r="AN7" l="1"/>
  <c r="BC41"/>
  <c r="BD41"/>
  <c r="CY41"/>
  <c r="CZ41"/>
  <c r="CA41"/>
  <c r="CB41"/>
  <c r="AO41"/>
  <c r="AE41"/>
  <c r="AF41"/>
  <c r="G41"/>
  <c r="H41"/>
  <c r="DH40"/>
  <c r="DH39"/>
  <c r="DH38"/>
  <c r="DH37"/>
  <c r="DH36"/>
  <c r="DH35"/>
  <c r="DH34"/>
  <c r="DH33"/>
  <c r="DH32"/>
  <c r="DH31"/>
  <c r="DH30"/>
  <c r="DH29"/>
  <c r="DH28"/>
  <c r="DH27"/>
  <c r="DH26"/>
  <c r="DH25"/>
  <c r="DH24"/>
  <c r="DH23"/>
  <c r="DH22"/>
  <c r="DH21"/>
  <c r="DH20"/>
  <c r="DH19"/>
  <c r="DH18"/>
  <c r="DH17"/>
  <c r="DH16"/>
  <c r="DH15"/>
  <c r="DH14"/>
  <c r="DH13"/>
  <c r="DH12"/>
  <c r="DH11"/>
  <c r="DH10"/>
  <c r="DH9"/>
  <c r="DH8"/>
  <c r="DH7"/>
  <c r="CJ40"/>
  <c r="CJ39"/>
  <c r="CJ38"/>
  <c r="CJ37"/>
  <c r="CJ36"/>
  <c r="CJ35"/>
  <c r="CJ34"/>
  <c r="CN27"/>
  <c r="CJ16"/>
  <c r="CJ15"/>
  <c r="CJ14"/>
  <c r="CJ13"/>
  <c r="CJ12"/>
  <c r="CJ11"/>
  <c r="CJ10"/>
  <c r="CJ9"/>
  <c r="CJ8"/>
  <c r="CJ7"/>
  <c r="BL40"/>
  <c r="BL39"/>
  <c r="BL38"/>
  <c r="BL37"/>
  <c r="BL36"/>
  <c r="BL35"/>
  <c r="BP35" s="1"/>
  <c r="BL34"/>
  <c r="BP34" s="1"/>
  <c r="BL33"/>
  <c r="BP33" s="1"/>
  <c r="BP31"/>
  <c r="BP29"/>
  <c r="BP20"/>
  <c r="BP19"/>
  <c r="BP18"/>
  <c r="BP10"/>
  <c r="BL8"/>
  <c r="BL7"/>
  <c r="AN40"/>
  <c r="AN39"/>
  <c r="AN38"/>
  <c r="AN37"/>
  <c r="AN36"/>
  <c r="AR35"/>
  <c r="AN8"/>
  <c r="AR8" s="1"/>
  <c r="AR7"/>
  <c r="T16"/>
  <c r="P37"/>
  <c r="DJ41"/>
  <c r="DI41"/>
  <c r="DG41"/>
  <c r="DF41"/>
  <c r="DE41"/>
  <c r="DD41"/>
  <c r="DC41"/>
  <c r="DB41"/>
  <c r="DA41"/>
  <c r="CX41"/>
  <c r="CW41"/>
  <c r="CV41"/>
  <c r="CU41"/>
  <c r="CT41"/>
  <c r="DL39"/>
  <c r="DO38"/>
  <c r="DL38"/>
  <c r="DN38"/>
  <c r="DM37"/>
  <c r="DN37" s="1"/>
  <c r="DL37"/>
  <c r="DN36"/>
  <c r="DM36"/>
  <c r="DO36" s="1"/>
  <c r="DL36"/>
  <c r="DM35"/>
  <c r="DN35" s="1"/>
  <c r="DL35"/>
  <c r="DM34"/>
  <c r="DO34" s="1"/>
  <c r="DL34"/>
  <c r="DM33"/>
  <c r="DN33" s="1"/>
  <c r="DL33"/>
  <c r="DM32"/>
  <c r="DO32" s="1"/>
  <c r="DL32"/>
  <c r="DM31"/>
  <c r="DN31" s="1"/>
  <c r="DL31"/>
  <c r="DM30"/>
  <c r="DO30" s="1"/>
  <c r="DL30"/>
  <c r="DM29"/>
  <c r="DN29" s="1"/>
  <c r="DL29"/>
  <c r="DM28"/>
  <c r="DO28" s="1"/>
  <c r="DL28"/>
  <c r="DM27"/>
  <c r="DN27" s="1"/>
  <c r="DL27"/>
  <c r="DM26"/>
  <c r="DO26" s="1"/>
  <c r="DL26"/>
  <c r="DM25"/>
  <c r="DN25" s="1"/>
  <c r="DL25"/>
  <c r="DM24"/>
  <c r="DO24" s="1"/>
  <c r="DL24"/>
  <c r="DM23"/>
  <c r="DN23" s="1"/>
  <c r="DL23"/>
  <c r="DM22"/>
  <c r="DO22" s="1"/>
  <c r="DL22"/>
  <c r="DM21"/>
  <c r="DN21" s="1"/>
  <c r="DL21"/>
  <c r="DN20"/>
  <c r="DM20"/>
  <c r="DO20" s="1"/>
  <c r="DL20"/>
  <c r="DM19"/>
  <c r="DN19" s="1"/>
  <c r="DL19"/>
  <c r="DM18"/>
  <c r="DO18" s="1"/>
  <c r="DL18"/>
  <c r="DM17"/>
  <c r="DN17" s="1"/>
  <c r="DL17"/>
  <c r="DM16"/>
  <c r="DO16" s="1"/>
  <c r="DL16"/>
  <c r="DM15"/>
  <c r="DN15" s="1"/>
  <c r="DL15"/>
  <c r="DM14"/>
  <c r="DO14" s="1"/>
  <c r="DL14"/>
  <c r="DM13"/>
  <c r="DN13" s="1"/>
  <c r="DL13"/>
  <c r="DM12"/>
  <c r="DO12" s="1"/>
  <c r="DL12"/>
  <c r="DM11"/>
  <c r="DN11" s="1"/>
  <c r="DL11"/>
  <c r="DM10"/>
  <c r="DO10" s="1"/>
  <c r="DL10"/>
  <c r="DM9"/>
  <c r="DN9" s="1"/>
  <c r="DL9"/>
  <c r="DM8"/>
  <c r="DO8" s="1"/>
  <c r="DL8"/>
  <c r="CS8"/>
  <c r="CS9" s="1"/>
  <c r="CS10" s="1"/>
  <c r="CS11" s="1"/>
  <c r="CS12" s="1"/>
  <c r="CS13" s="1"/>
  <c r="CS14" s="1"/>
  <c r="CS15" s="1"/>
  <c r="CS16" s="1"/>
  <c r="CS17" s="1"/>
  <c r="CS18" s="1"/>
  <c r="CS19" s="1"/>
  <c r="CS20" s="1"/>
  <c r="CS21" s="1"/>
  <c r="CS22" s="1"/>
  <c r="CS23" s="1"/>
  <c r="CS24" s="1"/>
  <c r="CS25" s="1"/>
  <c r="CS26" s="1"/>
  <c r="CS27" s="1"/>
  <c r="CS28" s="1"/>
  <c r="CS29" s="1"/>
  <c r="CS30" s="1"/>
  <c r="CS31" s="1"/>
  <c r="CS32" s="1"/>
  <c r="CS33" s="1"/>
  <c r="CS34" s="1"/>
  <c r="CS35" s="1"/>
  <c r="CS36" s="1"/>
  <c r="CS37" s="1"/>
  <c r="DM7"/>
  <c r="DN7" s="1"/>
  <c r="DL7"/>
  <c r="DL41" s="1"/>
  <c r="CO35"/>
  <c r="CP35" s="1"/>
  <c r="CO36"/>
  <c r="CP36" s="1"/>
  <c r="CO37"/>
  <c r="CP37" s="1"/>
  <c r="CL41"/>
  <c r="CK41"/>
  <c r="CI41"/>
  <c r="CH41"/>
  <c r="CG41"/>
  <c r="CF41"/>
  <c r="CE41"/>
  <c r="CD41"/>
  <c r="CC41"/>
  <c r="BZ41"/>
  <c r="BY41"/>
  <c r="BX41"/>
  <c r="BW41"/>
  <c r="BV41"/>
  <c r="CN39"/>
  <c r="CQ38"/>
  <c r="CN38"/>
  <c r="CP38"/>
  <c r="CN37"/>
  <c r="CQ36"/>
  <c r="CN36"/>
  <c r="CN35"/>
  <c r="CN34"/>
  <c r="CN33"/>
  <c r="CN32"/>
  <c r="CN31"/>
  <c r="CN30"/>
  <c r="CN29"/>
  <c r="CN28"/>
  <c r="CN26"/>
  <c r="CN25"/>
  <c r="CN24"/>
  <c r="CN23"/>
  <c r="CN22"/>
  <c r="CN21"/>
  <c r="CN20"/>
  <c r="CN19"/>
  <c r="CN18"/>
  <c r="CN17"/>
  <c r="CN16"/>
  <c r="CN15"/>
  <c r="CN14"/>
  <c r="CN13"/>
  <c r="CN12"/>
  <c r="CN11"/>
  <c r="CN10"/>
  <c r="CN9"/>
  <c r="CN8"/>
  <c r="BU8"/>
  <c r="BU9" s="1"/>
  <c r="BU10" s="1"/>
  <c r="BU11" s="1"/>
  <c r="BU12" s="1"/>
  <c r="BU13" s="1"/>
  <c r="BU14" s="1"/>
  <c r="BU15" s="1"/>
  <c r="BU16" s="1"/>
  <c r="BU17" s="1"/>
  <c r="BU18" s="1"/>
  <c r="BU19" s="1"/>
  <c r="BU20" s="1"/>
  <c r="BU21" s="1"/>
  <c r="BU22" s="1"/>
  <c r="BU23" s="1"/>
  <c r="BU24" s="1"/>
  <c r="BU25" s="1"/>
  <c r="BU26" s="1"/>
  <c r="BU27" s="1"/>
  <c r="BU28" s="1"/>
  <c r="BU29" s="1"/>
  <c r="BU30" s="1"/>
  <c r="BU31" s="1"/>
  <c r="BU32" s="1"/>
  <c r="BU33" s="1"/>
  <c r="BU34" s="1"/>
  <c r="BU35" s="1"/>
  <c r="BU36" s="1"/>
  <c r="BU37" s="1"/>
  <c r="CN7"/>
  <c r="BQ35"/>
  <c r="BQ36"/>
  <c r="BS36" s="1"/>
  <c r="BQ37"/>
  <c r="BM41"/>
  <c r="BK41"/>
  <c r="BJ41"/>
  <c r="BI41"/>
  <c r="BH41"/>
  <c r="BG41"/>
  <c r="BF41"/>
  <c r="BE41"/>
  <c r="BB41"/>
  <c r="BA41"/>
  <c r="AZ41"/>
  <c r="AY41"/>
  <c r="AX41"/>
  <c r="BP39"/>
  <c r="BS38"/>
  <c r="BP38"/>
  <c r="BR38"/>
  <c r="BP37"/>
  <c r="BR36"/>
  <c r="BP36"/>
  <c r="BR35"/>
  <c r="BP32"/>
  <c r="BP30"/>
  <c r="BP28"/>
  <c r="BP27"/>
  <c r="BP26"/>
  <c r="BP25"/>
  <c r="BP24"/>
  <c r="BP23"/>
  <c r="BP22"/>
  <c r="BP21"/>
  <c r="BP16"/>
  <c r="BP15"/>
  <c r="BP13"/>
  <c r="BP12"/>
  <c r="BP11"/>
  <c r="BP9"/>
  <c r="BP8"/>
  <c r="AW8"/>
  <c r="AW9" s="1"/>
  <c r="AW10" s="1"/>
  <c r="AW11" s="1"/>
  <c r="AW12" s="1"/>
  <c r="AW13" s="1"/>
  <c r="AW14" s="1"/>
  <c r="AW15" s="1"/>
  <c r="AW16" s="1"/>
  <c r="AW17" s="1"/>
  <c r="AW18" s="1"/>
  <c r="AW19" s="1"/>
  <c r="AW20" s="1"/>
  <c r="AW21" s="1"/>
  <c r="AW22" s="1"/>
  <c r="AW23" s="1"/>
  <c r="AW24" s="1"/>
  <c r="AW25" s="1"/>
  <c r="AW26" s="1"/>
  <c r="AW27" s="1"/>
  <c r="AW28" s="1"/>
  <c r="AW29" s="1"/>
  <c r="AW30" s="1"/>
  <c r="AW31" s="1"/>
  <c r="AW32" s="1"/>
  <c r="AW33" s="1"/>
  <c r="AW34" s="1"/>
  <c r="AW35" s="1"/>
  <c r="AW36" s="1"/>
  <c r="AW37" s="1"/>
  <c r="BP7"/>
  <c r="AP41"/>
  <c r="AM41"/>
  <c r="AL41"/>
  <c r="AK41"/>
  <c r="AJ41"/>
  <c r="AI41"/>
  <c r="AH41"/>
  <c r="AG41"/>
  <c r="AD41"/>
  <c r="AC41"/>
  <c r="AB41"/>
  <c r="AA41"/>
  <c r="Z41"/>
  <c r="AR39"/>
  <c r="AU38"/>
  <c r="AR38"/>
  <c r="AT38"/>
  <c r="AT37"/>
  <c r="AR37"/>
  <c r="AU36"/>
  <c r="AR36"/>
  <c r="AT35"/>
  <c r="AR34"/>
  <c r="AR33"/>
  <c r="AR32"/>
  <c r="AR31"/>
  <c r="AR30"/>
  <c r="AR29"/>
  <c r="AR28"/>
  <c r="AR27"/>
  <c r="AR26"/>
  <c r="AR25"/>
  <c r="AR24"/>
  <c r="AR23"/>
  <c r="AR22"/>
  <c r="AR21"/>
  <c r="AR20"/>
  <c r="AR19"/>
  <c r="AR18"/>
  <c r="AR16"/>
  <c r="AR15"/>
  <c r="AR14"/>
  <c r="AR13"/>
  <c r="AR12"/>
  <c r="AR11"/>
  <c r="AR10"/>
  <c r="AR9"/>
  <c r="Y8"/>
  <c r="Y9" s="1"/>
  <c r="Y10" s="1"/>
  <c r="Y11" s="1"/>
  <c r="Y12" s="1"/>
  <c r="Y13" s="1"/>
  <c r="Y14" s="1"/>
  <c r="Y15" s="1"/>
  <c r="Y16" s="1"/>
  <c r="Y17" s="1"/>
  <c r="Y18" s="1"/>
  <c r="Y19" s="1"/>
  <c r="Y20" s="1"/>
  <c r="Y21" s="1"/>
  <c r="Y22" s="1"/>
  <c r="Y23" s="1"/>
  <c r="Y24" s="1"/>
  <c r="Y25" s="1"/>
  <c r="Y26" s="1"/>
  <c r="Y27" s="1"/>
  <c r="Y28" s="1"/>
  <c r="Y29" s="1"/>
  <c r="Y30" s="1"/>
  <c r="Y31" s="1"/>
  <c r="Y32" s="1"/>
  <c r="Y33" s="1"/>
  <c r="Y34" s="1"/>
  <c r="Y35" s="1"/>
  <c r="Y36" s="1"/>
  <c r="Y37" s="1"/>
  <c r="DN28" l="1"/>
  <c r="CN41"/>
  <c r="DL43"/>
  <c r="DL44" s="1"/>
  <c r="DL45" s="1"/>
  <c r="BR37"/>
  <c r="BP14"/>
  <c r="DN8"/>
  <c r="DN24"/>
  <c r="DN32"/>
  <c r="DN18"/>
  <c r="AR17"/>
  <c r="AR41" s="1"/>
  <c r="BP17"/>
  <c r="BN41"/>
  <c r="BP41"/>
  <c r="DN30"/>
  <c r="P7"/>
  <c r="T7" s="1"/>
  <c r="AT36"/>
  <c r="DN34"/>
  <c r="DO7"/>
  <c r="DO9"/>
  <c r="DN10"/>
  <c r="DO11"/>
  <c r="DN12"/>
  <c r="DO13"/>
  <c r="DN14"/>
  <c r="DO15"/>
  <c r="DN16"/>
  <c r="DO17"/>
  <c r="DO19"/>
  <c r="DO21"/>
  <c r="DN22"/>
  <c r="DO23"/>
  <c r="DO25"/>
  <c r="DN26"/>
  <c r="DO27"/>
  <c r="DO29"/>
  <c r="DO31"/>
  <c r="DO33"/>
  <c r="DO35"/>
  <c r="DO37"/>
  <c r="DH41"/>
  <c r="DM41"/>
  <c r="CQ35"/>
  <c r="CQ37"/>
  <c r="CJ41"/>
  <c r="BS35"/>
  <c r="BS37"/>
  <c r="BL41"/>
  <c r="AU35"/>
  <c r="AU37"/>
  <c r="AN41"/>
  <c r="A8"/>
  <c r="A9" s="1"/>
  <c r="A10" s="1"/>
  <c r="A11" s="1"/>
  <c r="A12" s="1"/>
  <c r="A13" s="1"/>
  <c r="A14" s="1"/>
  <c r="A15" s="1"/>
  <c r="A16" s="1"/>
  <c r="A17" s="1"/>
  <c r="A18" s="1"/>
  <c r="A19" s="1"/>
  <c r="A20" s="1"/>
  <c r="A21" s="1"/>
  <c r="A22" s="1"/>
  <c r="A23" s="1"/>
  <c r="A24" s="1"/>
  <c r="A25" s="1"/>
  <c r="A26" s="1"/>
  <c r="A27" s="1"/>
  <c r="A28" s="1"/>
  <c r="A29" s="1"/>
  <c r="A30" s="1"/>
  <c r="A31" s="1"/>
  <c r="A32" s="1"/>
  <c r="A33" s="1"/>
  <c r="A34" s="1"/>
  <c r="A35" s="1"/>
  <c r="A36" s="1"/>
  <c r="A37" s="1"/>
  <c r="R41"/>
  <c r="I41"/>
  <c r="C41"/>
  <c r="P40"/>
  <c r="P39"/>
  <c r="T39" s="1"/>
  <c r="W38"/>
  <c r="P38"/>
  <c r="V38" s="1"/>
  <c r="T36"/>
  <c r="T31"/>
  <c r="T30"/>
  <c r="T29"/>
  <c r="T23"/>
  <c r="T22"/>
  <c r="T21"/>
  <c r="T15"/>
  <c r="T13"/>
  <c r="M41"/>
  <c r="B41"/>
  <c r="T11"/>
  <c r="O41"/>
  <c r="N41"/>
  <c r="L41"/>
  <c r="K41"/>
  <c r="J41"/>
  <c r="F41"/>
  <c r="E41"/>
  <c r="D41"/>
  <c r="T8"/>
  <c r="T38" l="1"/>
  <c r="CN43"/>
  <c r="CN44" s="1"/>
  <c r="CN45" s="1"/>
  <c r="BP43"/>
  <c r="BP44" s="1"/>
  <c r="BP45" s="1"/>
  <c r="DO41"/>
  <c r="CV43"/>
  <c r="CX43"/>
  <c r="CZ43"/>
  <c r="DB43"/>
  <c r="DD43"/>
  <c r="DF43"/>
  <c r="DH43"/>
  <c r="DJ43"/>
  <c r="CT43"/>
  <c r="CU43"/>
  <c r="CW43"/>
  <c r="CY43"/>
  <c r="DA43"/>
  <c r="DC43"/>
  <c r="DE43"/>
  <c r="DG43"/>
  <c r="DI43"/>
  <c r="DK43"/>
  <c r="AR43"/>
  <c r="AR44" s="1"/>
  <c r="AR45" s="1"/>
  <c r="DN41"/>
  <c r="DN43" s="1"/>
  <c r="T19"/>
  <c r="T35"/>
  <c r="T37"/>
  <c r="T25"/>
  <c r="Q41"/>
  <c r="T9"/>
  <c r="T14"/>
  <c r="T17"/>
  <c r="T18"/>
  <c r="T20"/>
  <c r="T24"/>
  <c r="T26"/>
  <c r="T27"/>
  <c r="T28"/>
  <c r="T32"/>
  <c r="T33"/>
  <c r="T34"/>
  <c r="AC38" i="16"/>
  <c r="AB38"/>
  <c r="AA38"/>
  <c r="AA43" s="1"/>
  <c r="AE36"/>
  <c r="AE35"/>
  <c r="AE34"/>
  <c r="AE33"/>
  <c r="AE32"/>
  <c r="AE31"/>
  <c r="AE30"/>
  <c r="AE29"/>
  <c r="AE28"/>
  <c r="AE27"/>
  <c r="AE26"/>
  <c r="AE25"/>
  <c r="AE24"/>
  <c r="AE23"/>
  <c r="AE22"/>
  <c r="AE21"/>
  <c r="AE20"/>
  <c r="AE19"/>
  <c r="AE18"/>
  <c r="AE17"/>
  <c r="AE16"/>
  <c r="AE15"/>
  <c r="AE14"/>
  <c r="AE13"/>
  <c r="AE12"/>
  <c r="AE11"/>
  <c r="AE10"/>
  <c r="AE9"/>
  <c r="AE8"/>
  <c r="AE7"/>
  <c r="AE6"/>
  <c r="W38"/>
  <c r="V38"/>
  <c r="U38"/>
  <c r="Y36"/>
  <c r="Y35"/>
  <c r="Y34"/>
  <c r="Y33"/>
  <c r="Y32"/>
  <c r="Y31"/>
  <c r="Y30"/>
  <c r="Y29"/>
  <c r="Y28"/>
  <c r="Y27"/>
  <c r="Y26"/>
  <c r="Y25"/>
  <c r="Y24"/>
  <c r="Y23"/>
  <c r="Y22"/>
  <c r="Y21"/>
  <c r="Y20"/>
  <c r="Y19"/>
  <c r="Y18"/>
  <c r="Y17"/>
  <c r="Y16"/>
  <c r="Y15"/>
  <c r="Y14"/>
  <c r="Y13"/>
  <c r="Y12"/>
  <c r="Y11"/>
  <c r="Y10"/>
  <c r="Y9"/>
  <c r="Y8"/>
  <c r="Y7"/>
  <c r="Y6"/>
  <c r="Q38"/>
  <c r="P38"/>
  <c r="O38"/>
  <c r="S36"/>
  <c r="S35"/>
  <c r="S34"/>
  <c r="S33"/>
  <c r="S32"/>
  <c r="S31"/>
  <c r="S30"/>
  <c r="S29"/>
  <c r="S28"/>
  <c r="S27"/>
  <c r="S26"/>
  <c r="S25"/>
  <c r="S24"/>
  <c r="S23"/>
  <c r="S22"/>
  <c r="S21"/>
  <c r="S20"/>
  <c r="S19"/>
  <c r="S18"/>
  <c r="S17"/>
  <c r="S16"/>
  <c r="S15"/>
  <c r="S14"/>
  <c r="S13"/>
  <c r="S12"/>
  <c r="S11"/>
  <c r="S10"/>
  <c r="S9"/>
  <c r="S8"/>
  <c r="S7"/>
  <c r="S6"/>
  <c r="K38"/>
  <c r="J38"/>
  <c r="I38"/>
  <c r="M36"/>
  <c r="M35"/>
  <c r="M34"/>
  <c r="M33"/>
  <c r="M32"/>
  <c r="M31"/>
  <c r="M30"/>
  <c r="M29"/>
  <c r="M28"/>
  <c r="M27"/>
  <c r="M26"/>
  <c r="M25"/>
  <c r="M24"/>
  <c r="M23"/>
  <c r="M22"/>
  <c r="M21"/>
  <c r="M20"/>
  <c r="M19"/>
  <c r="M18"/>
  <c r="M17"/>
  <c r="M16"/>
  <c r="M15"/>
  <c r="M14"/>
  <c r="M13"/>
  <c r="M12"/>
  <c r="M11"/>
  <c r="M10"/>
  <c r="M9"/>
  <c r="M8"/>
  <c r="M7"/>
  <c r="M6"/>
  <c r="G7"/>
  <c r="G8"/>
  <c r="G9"/>
  <c r="G10"/>
  <c r="G11"/>
  <c r="G12"/>
  <c r="G13"/>
  <c r="G14"/>
  <c r="G15"/>
  <c r="G16"/>
  <c r="G17"/>
  <c r="G18"/>
  <c r="G19"/>
  <c r="G20"/>
  <c r="G21"/>
  <c r="G22"/>
  <c r="G23"/>
  <c r="G24"/>
  <c r="G25"/>
  <c r="G26"/>
  <c r="G27"/>
  <c r="G28"/>
  <c r="G29"/>
  <c r="G30"/>
  <c r="G31"/>
  <c r="G32"/>
  <c r="G33"/>
  <c r="G34"/>
  <c r="G35"/>
  <c r="G36"/>
  <c r="G6"/>
  <c r="AE38" l="1"/>
  <c r="I40"/>
  <c r="J40" s="1"/>
  <c r="V39"/>
  <c r="U40"/>
  <c r="U43" s="1"/>
  <c r="P39"/>
  <c r="G38"/>
  <c r="G40" s="1"/>
  <c r="Y38"/>
  <c r="M38"/>
  <c r="DO3" i="17"/>
  <c r="T10"/>
  <c r="P41"/>
  <c r="T12"/>
  <c r="S38" i="16"/>
  <c r="O40" l="1"/>
  <c r="T41" i="17"/>
  <c r="AC34" i="8"/>
  <c r="U37" i="17" s="1"/>
  <c r="EJ37" l="1"/>
  <c r="W37"/>
  <c r="V37"/>
  <c r="T43"/>
  <c r="U24" i="10"/>
  <c r="O24" s="1"/>
  <c r="M24"/>
  <c r="G24" s="1"/>
  <c r="E24"/>
  <c r="W23" s="1"/>
  <c r="U23"/>
  <c r="O23"/>
  <c r="M23"/>
  <c r="G23" s="1"/>
  <c r="E23"/>
  <c r="AD18" s="1"/>
  <c r="AC18"/>
  <c r="V18" s="1"/>
  <c r="U18"/>
  <c r="N18" s="1"/>
  <c r="M18"/>
  <c r="F18" s="1"/>
  <c r="E18"/>
  <c r="AD17" s="1"/>
  <c r="AC17"/>
  <c r="V17" s="1"/>
  <c r="U17"/>
  <c r="N17"/>
  <c r="M17"/>
  <c r="F17" s="1"/>
  <c r="E17"/>
  <c r="AC13"/>
  <c r="U13"/>
  <c r="M13"/>
  <c r="F13" s="1"/>
  <c r="E13" s="1"/>
  <c r="AD12" s="1"/>
  <c r="AC12"/>
  <c r="V12" s="1"/>
  <c r="U12"/>
  <c r="N12"/>
  <c r="M12"/>
  <c r="F12"/>
  <c r="E12"/>
  <c r="AD11" s="1"/>
  <c r="AC11"/>
  <c r="V11" s="1"/>
  <c r="U11"/>
  <c r="N11"/>
  <c r="M11"/>
  <c r="G11" s="1"/>
  <c r="F11" s="1"/>
  <c r="E11"/>
  <c r="G10"/>
  <c r="G9" s="1"/>
  <c r="G8"/>
  <c r="AD7"/>
  <c r="W7" s="1"/>
  <c r="V7" s="1"/>
  <c r="O7" s="1"/>
  <c r="N7" s="1"/>
  <c r="G7" s="1"/>
  <c r="F7" s="1"/>
  <c r="AD6"/>
  <c r="V6"/>
  <c r="N6"/>
  <c r="F6"/>
  <c r="AD5"/>
  <c r="V5"/>
  <c r="N5"/>
  <c r="F5"/>
  <c r="EL37" i="17" l="1"/>
  <c r="EK37"/>
  <c r="EI43"/>
  <c r="T44"/>
  <c r="AO345" i="9"/>
  <c r="AN345"/>
  <c r="EI44" i="17" l="1"/>
  <c r="T45"/>
  <c r="AU334" i="9"/>
  <c r="AS334"/>
  <c r="AR334"/>
  <c r="Z36" i="16"/>
  <c r="AD36" s="1"/>
  <c r="AM334" i="9"/>
  <c r="AI334"/>
  <c r="AU323"/>
  <c r="AB334" l="1"/>
  <c r="AD334"/>
  <c r="AK334"/>
  <c r="AA334"/>
  <c r="AC334"/>
  <c r="AH334"/>
  <c r="AJ334"/>
  <c r="AL334"/>
  <c r="Z334"/>
  <c r="AG334"/>
  <c r="AF334"/>
  <c r="Z34" i="16"/>
  <c r="AD34" s="1"/>
  <c r="AL312" i="9"/>
  <c r="AK312"/>
  <c r="AH312"/>
  <c r="Z33" i="16"/>
  <c r="AD33" s="1"/>
  <c r="AM301" i="9"/>
  <c r="AJ301"/>
  <c r="Z32" i="16"/>
  <c r="AD32" s="1"/>
  <c r="AM290" i="9"/>
  <c r="AJ290"/>
  <c r="AI290"/>
  <c r="Z31" i="16"/>
  <c r="AD31" s="1"/>
  <c r="AM279" i="9"/>
  <c r="AJ279"/>
  <c r="Z30" i="16"/>
  <c r="AD30" s="1"/>
  <c r="AJ268" i="9"/>
  <c r="AI268"/>
  <c r="Z29" i="16"/>
  <c r="AD29" s="1"/>
  <c r="AM257" i="9"/>
  <c r="Z28" i="16"/>
  <c r="AD28" s="1"/>
  <c r="Z27"/>
  <c r="AD27" s="1"/>
  <c r="AM235" i="9"/>
  <c r="Z26" i="16"/>
  <c r="AL224" i="9"/>
  <c r="AK224"/>
  <c r="Z25" i="16"/>
  <c r="AD25" s="1"/>
  <c r="Z24"/>
  <c r="AD24" s="1"/>
  <c r="Z23"/>
  <c r="AD23" s="1"/>
  <c r="Z22"/>
  <c r="AD22" s="1"/>
  <c r="Z21"/>
  <c r="AD21" s="1"/>
  <c r="AL169" i="9"/>
  <c r="Z20" i="16"/>
  <c r="AD20" s="1"/>
  <c r="Z19"/>
  <c r="AD19" s="1"/>
  <c r="Z18"/>
  <c r="AD18" s="1"/>
  <c r="Z17"/>
  <c r="AD17" s="1"/>
  <c r="AM125" i="9"/>
  <c r="Z16" i="16"/>
  <c r="AD16" s="1"/>
  <c r="AM114" i="9"/>
  <c r="Z15" i="16"/>
  <c r="AD15" s="1"/>
  <c r="AM103" i="9"/>
  <c r="Z14" i="16"/>
  <c r="AD14" s="1"/>
  <c r="AJ92" i="9"/>
  <c r="Z13" i="16"/>
  <c r="AD13" s="1"/>
  <c r="Z12"/>
  <c r="AD12" s="1"/>
  <c r="AM70" i="9"/>
  <c r="Z11" i="16"/>
  <c r="AD11" s="1"/>
  <c r="Z10"/>
  <c r="AD10" s="1"/>
  <c r="Z9"/>
  <c r="AD9" s="1"/>
  <c r="AM37" i="9"/>
  <c r="Z8" i="16"/>
  <c r="AD8" s="1"/>
  <c r="Z7"/>
  <c r="AD7" s="1"/>
  <c r="AM15" i="9"/>
  <c r="A15"/>
  <c r="X4"/>
  <c r="S4"/>
  <c r="N4"/>
  <c r="N6" i="16" s="1"/>
  <c r="I4" i="9"/>
  <c r="G118" i="3"/>
  <c r="E118"/>
  <c r="C118"/>
  <c r="J117"/>
  <c r="H117"/>
  <c r="D117"/>
  <c r="J116"/>
  <c r="H116"/>
  <c r="D116"/>
  <c r="J115"/>
  <c r="H115"/>
  <c r="D115"/>
  <c r="J114"/>
  <c r="H114"/>
  <c r="D114"/>
  <c r="J113"/>
  <c r="H113"/>
  <c r="D113"/>
  <c r="J112"/>
  <c r="H112"/>
  <c r="D112"/>
  <c r="J111"/>
  <c r="H111"/>
  <c r="D111"/>
  <c r="J110"/>
  <c r="H110"/>
  <c r="D110"/>
  <c r="J109"/>
  <c r="H109"/>
  <c r="D109"/>
  <c r="J108"/>
  <c r="H108"/>
  <c r="D108"/>
  <c r="J107"/>
  <c r="H107"/>
  <c r="D107"/>
  <c r="J106"/>
  <c r="H106"/>
  <c r="D106"/>
  <c r="J105"/>
  <c r="H105"/>
  <c r="D105"/>
  <c r="J104"/>
  <c r="H104"/>
  <c r="D104"/>
  <c r="J103"/>
  <c r="H103"/>
  <c r="D103"/>
  <c r="J102"/>
  <c r="H102"/>
  <c r="D102"/>
  <c r="J101"/>
  <c r="H101"/>
  <c r="D101"/>
  <c r="J100"/>
  <c r="H100"/>
  <c r="D100"/>
  <c r="J99"/>
  <c r="H99"/>
  <c r="D99"/>
  <c r="J98"/>
  <c r="H98"/>
  <c r="D98"/>
  <c r="J97"/>
  <c r="H97"/>
  <c r="D97"/>
  <c r="J96"/>
  <c r="H96"/>
  <c r="D96"/>
  <c r="J95"/>
  <c r="H95"/>
  <c r="D95"/>
  <c r="J94"/>
  <c r="H94"/>
  <c r="D94"/>
  <c r="J93"/>
  <c r="H93"/>
  <c r="D93"/>
  <c r="J92"/>
  <c r="H92"/>
  <c r="D92"/>
  <c r="J91"/>
  <c r="H91"/>
  <c r="D91"/>
  <c r="J90"/>
  <c r="H90"/>
  <c r="D90"/>
  <c r="J89"/>
  <c r="H89"/>
  <c r="D89"/>
  <c r="J88"/>
  <c r="H88"/>
  <c r="D88"/>
  <c r="J87"/>
  <c r="H87"/>
  <c r="D87"/>
  <c r="J86"/>
  <c r="H86"/>
  <c r="D86"/>
  <c r="J85"/>
  <c r="H85"/>
  <c r="D85"/>
  <c r="J84"/>
  <c r="H84"/>
  <c r="D84"/>
  <c r="J83"/>
  <c r="H83"/>
  <c r="D83"/>
  <c r="J82"/>
  <c r="H82"/>
  <c r="D82"/>
  <c r="J81"/>
  <c r="H81"/>
  <c r="D81"/>
  <c r="J80"/>
  <c r="H80"/>
  <c r="D80"/>
  <c r="J79"/>
  <c r="H79"/>
  <c r="D79"/>
  <c r="J78"/>
  <c r="H78"/>
  <c r="D78"/>
  <c r="J77"/>
  <c r="H77"/>
  <c r="D77"/>
  <c r="J76"/>
  <c r="H76"/>
  <c r="D76"/>
  <c r="J75"/>
  <c r="H75"/>
  <c r="D75"/>
  <c r="J74"/>
  <c r="H74"/>
  <c r="D74"/>
  <c r="J73"/>
  <c r="H73"/>
  <c r="D73"/>
  <c r="J72"/>
  <c r="H72"/>
  <c r="D72"/>
  <c r="J71"/>
  <c r="H71"/>
  <c r="D71"/>
  <c r="J70"/>
  <c r="H70"/>
  <c r="D70"/>
  <c r="J69"/>
  <c r="H69"/>
  <c r="D69"/>
  <c r="J68"/>
  <c r="H68"/>
  <c r="D68"/>
  <c r="J67"/>
  <c r="H67"/>
  <c r="D67"/>
  <c r="J66"/>
  <c r="H66"/>
  <c r="D66"/>
  <c r="J65"/>
  <c r="H65"/>
  <c r="D65"/>
  <c r="J64"/>
  <c r="H64"/>
  <c r="D64"/>
  <c r="J63"/>
  <c r="H63"/>
  <c r="D63"/>
  <c r="J62"/>
  <c r="H62"/>
  <c r="D62"/>
  <c r="J61"/>
  <c r="H61"/>
  <c r="D61"/>
  <c r="J60"/>
  <c r="H60"/>
  <c r="D60"/>
  <c r="J59"/>
  <c r="H59"/>
  <c r="D59"/>
  <c r="J58"/>
  <c r="H58"/>
  <c r="D58"/>
  <c r="J57"/>
  <c r="H57"/>
  <c r="D57"/>
  <c r="J56"/>
  <c r="H56"/>
  <c r="D56"/>
  <c r="J55"/>
  <c r="H55"/>
  <c r="D55"/>
  <c r="J54"/>
  <c r="H54"/>
  <c r="D54"/>
  <c r="J53"/>
  <c r="H53"/>
  <c r="D53"/>
  <c r="J52"/>
  <c r="J51"/>
  <c r="J50"/>
  <c r="J49"/>
  <c r="J48"/>
  <c r="J47"/>
  <c r="J46"/>
  <c r="J45"/>
  <c r="J44"/>
  <c r="J43"/>
  <c r="J42"/>
  <c r="J41"/>
  <c r="J39"/>
  <c r="J38"/>
  <c r="J37"/>
  <c r="J36"/>
  <c r="J35"/>
  <c r="J34"/>
  <c r="J33"/>
  <c r="J32"/>
  <c r="J31"/>
  <c r="J30"/>
  <c r="J29"/>
  <c r="J28"/>
  <c r="J27"/>
  <c r="J26"/>
  <c r="H26"/>
  <c r="J25"/>
  <c r="H25"/>
  <c r="J24"/>
  <c r="H24"/>
  <c r="J23"/>
  <c r="H23"/>
  <c r="J22"/>
  <c r="H22"/>
  <c r="D22"/>
  <c r="J21"/>
  <c r="H21"/>
  <c r="J20"/>
  <c r="H20"/>
  <c r="J19"/>
  <c r="H19"/>
  <c r="J18"/>
  <c r="H18"/>
  <c r="J17"/>
  <c r="H17"/>
  <c r="J16"/>
  <c r="H16"/>
  <c r="J15"/>
  <c r="H15"/>
  <c r="J14"/>
  <c r="H14"/>
  <c r="J13"/>
  <c r="H13"/>
  <c r="J12"/>
  <c r="H12"/>
  <c r="J11"/>
  <c r="H11"/>
  <c r="J10"/>
  <c r="J9"/>
  <c r="J8"/>
  <c r="J7"/>
  <c r="J6"/>
  <c r="J5"/>
  <c r="H5"/>
  <c r="D5"/>
  <c r="J4"/>
  <c r="H4"/>
  <c r="D4"/>
  <c r="N3"/>
  <c r="R3" s="1"/>
  <c r="J3"/>
  <c r="H3"/>
  <c r="D3"/>
  <c r="AM4" i="9" l="1"/>
  <c r="AJ103"/>
  <c r="AM92"/>
  <c r="AJ257"/>
  <c r="AI246"/>
  <c r="AL59"/>
  <c r="AK246"/>
  <c r="AI4"/>
  <c r="AM136"/>
  <c r="AJ235"/>
  <c r="AJ26"/>
  <c r="AJ15"/>
  <c r="AI15"/>
  <c r="AJ136"/>
  <c r="AI125"/>
  <c r="AI224"/>
  <c r="AJ48"/>
  <c r="AK59"/>
  <c r="AM147"/>
  <c r="AL246"/>
  <c r="AJ70"/>
  <c r="AM268"/>
  <c r="AF279"/>
  <c r="AJ81"/>
  <c r="AH59"/>
  <c r="AM81"/>
  <c r="AI70"/>
  <c r="AI92"/>
  <c r="AK213"/>
  <c r="AI279"/>
  <c r="AF257"/>
  <c r="AI48"/>
  <c r="AI37"/>
  <c r="T4"/>
  <c r="AF103"/>
  <c r="H118" i="3"/>
  <c r="AG169" i="9"/>
  <c r="A7" i="16"/>
  <c r="AI301" i="9"/>
  <c r="AI81"/>
  <c r="J4"/>
  <c r="AI114"/>
  <c r="AI136"/>
  <c r="X8" i="16"/>
  <c r="R9"/>
  <c r="X7"/>
  <c r="R8"/>
  <c r="X9"/>
  <c r="AF125" i="9"/>
  <c r="AG147"/>
  <c r="AI323"/>
  <c r="AH323"/>
  <c r="AM323"/>
  <c r="AC323"/>
  <c r="AL323"/>
  <c r="AK4"/>
  <c r="AK15"/>
  <c r="AH26"/>
  <c r="AL26"/>
  <c r="AH48"/>
  <c r="L4"/>
  <c r="L14" s="1"/>
  <c r="O4"/>
  <c r="V4"/>
  <c r="V14" s="1"/>
  <c r="AH15"/>
  <c r="AL15"/>
  <c r="AI26"/>
  <c r="AK26"/>
  <c r="AM26"/>
  <c r="AH37"/>
  <c r="AJ37"/>
  <c r="AL37"/>
  <c r="AK48"/>
  <c r="AM48"/>
  <c r="AJ59"/>
  <c r="AK70"/>
  <c r="AH81"/>
  <c r="AL81"/>
  <c r="AH114"/>
  <c r="AL114"/>
  <c r="AH136"/>
  <c r="AL136"/>
  <c r="AL147"/>
  <c r="AL158"/>
  <c r="AJ213"/>
  <c r="AM224"/>
  <c r="AL235"/>
  <c r="AM246"/>
  <c r="AL257"/>
  <c r="AK268"/>
  <c r="AH279"/>
  <c r="AL279"/>
  <c r="AK290"/>
  <c r="AH301"/>
  <c r="AL301"/>
  <c r="AB312"/>
  <c r="AJ312"/>
  <c r="AA323"/>
  <c r="R6" i="16"/>
  <c r="Z6"/>
  <c r="AD6" s="1"/>
  <c r="X346" i="9"/>
  <c r="R7" i="16"/>
  <c r="AF81" i="9"/>
  <c r="AI103"/>
  <c r="AI147"/>
  <c r="AD26" i="16"/>
  <c r="AK323" i="9"/>
  <c r="AB323"/>
  <c r="AJ323"/>
  <c r="Z35" i="16"/>
  <c r="AD35" s="1"/>
  <c r="AD323" i="9"/>
  <c r="Q4"/>
  <c r="Q14" s="1"/>
  <c r="AK37"/>
  <c r="AL48"/>
  <c r="AI59"/>
  <c r="AM59"/>
  <c r="AH70"/>
  <c r="AL70"/>
  <c r="AK81"/>
  <c r="AH92"/>
  <c r="AL92"/>
  <c r="AL103"/>
  <c r="AH125"/>
  <c r="AL125"/>
  <c r="AM180"/>
  <c r="AJ224"/>
  <c r="AK235"/>
  <c r="AJ246"/>
  <c r="AK257"/>
  <c r="AH268"/>
  <c r="AL268"/>
  <c r="AK279"/>
  <c r="AH290"/>
  <c r="AL290"/>
  <c r="AK301"/>
  <c r="AA312"/>
  <c r="AC312"/>
  <c r="AI312"/>
  <c r="AM312"/>
  <c r="AH103"/>
  <c r="AJ147"/>
  <c r="AK92"/>
  <c r="AK103"/>
  <c r="AK136"/>
  <c r="AH235"/>
  <c r="AH257"/>
  <c r="AH224"/>
  <c r="AI235"/>
  <c r="AH246"/>
  <c r="AI257"/>
  <c r="AG70"/>
  <c r="AG92"/>
  <c r="AG114"/>
  <c r="AF158"/>
  <c r="AG246"/>
  <c r="AG268"/>
  <c r="AG290"/>
  <c r="AF235"/>
  <c r="AF70"/>
  <c r="AG81"/>
  <c r="AF92"/>
  <c r="AG103"/>
  <c r="AF114"/>
  <c r="AG125"/>
  <c r="AF147"/>
  <c r="AG158"/>
  <c r="AF169"/>
  <c r="AF246"/>
  <c r="AG257"/>
  <c r="AF268"/>
  <c r="AG279"/>
  <c r="AF290"/>
  <c r="AI213"/>
  <c r="D118" i="3"/>
  <c r="AG213" i="9"/>
  <c r="AF202"/>
  <c r="AH213"/>
  <c r="AG180"/>
  <c r="AF180"/>
  <c r="AG191"/>
  <c r="AF136"/>
  <c r="AG136"/>
  <c r="AJ125"/>
  <c r="AK125"/>
  <c r="AJ114"/>
  <c r="AK114"/>
  <c r="AG312"/>
  <c r="AF301"/>
  <c r="AG301"/>
  <c r="AM158"/>
  <c r="AM169"/>
  <c r="AL180"/>
  <c r="AM191"/>
  <c r="AL202"/>
  <c r="AL213"/>
  <c r="AL191"/>
  <c r="AM202"/>
  <c r="AM213"/>
  <c r="AJ158"/>
  <c r="AJ169"/>
  <c r="AJ180"/>
  <c r="AK191"/>
  <c r="AJ202"/>
  <c r="AK147"/>
  <c r="AK158"/>
  <c r="AK169"/>
  <c r="AK180"/>
  <c r="AJ191"/>
  <c r="AK202"/>
  <c r="AI169"/>
  <c r="AI180"/>
  <c r="AI191"/>
  <c r="AI202"/>
  <c r="AH147"/>
  <c r="AI158"/>
  <c r="AH158" s="1"/>
  <c r="AH169"/>
  <c r="AH180"/>
  <c r="AH191"/>
  <c r="AH202"/>
  <c r="AG202"/>
  <c r="AF213"/>
  <c r="AG224"/>
  <c r="AF224" s="1"/>
  <c r="AF191"/>
  <c r="AG235"/>
  <c r="U3" i="3"/>
  <c r="O3"/>
  <c r="X3"/>
  <c r="F118"/>
  <c r="AG323" i="9"/>
  <c r="AF323"/>
  <c r="AF312"/>
  <c r="T14" l="1"/>
  <c r="U4"/>
  <c r="O14"/>
  <c r="P4"/>
  <c r="J14"/>
  <c r="K4"/>
  <c r="L9" i="16"/>
  <c r="L7"/>
  <c r="L6"/>
  <c r="L8"/>
  <c r="A8"/>
  <c r="Z38"/>
  <c r="X6"/>
  <c r="AD38"/>
  <c r="A9"/>
  <c r="AM345" i="9"/>
  <c r="AK345"/>
  <c r="AI345"/>
  <c r="A7" i="5"/>
  <c r="A2"/>
  <c r="O43" s="1"/>
  <c r="AB151" i="15"/>
  <c r="V150"/>
  <c r="U150"/>
  <c r="T150"/>
  <c r="S150"/>
  <c r="R150"/>
  <c r="Q150"/>
  <c r="P150"/>
  <c r="O150"/>
  <c r="N150"/>
  <c r="M150"/>
  <c r="L150"/>
  <c r="K150"/>
  <c r="J150"/>
  <c r="I150"/>
  <c r="H150"/>
  <c r="G150"/>
  <c r="F150"/>
  <c r="E150"/>
  <c r="D150"/>
  <c r="C150"/>
  <c r="B150"/>
  <c r="V149"/>
  <c r="U149"/>
  <c r="T149"/>
  <c r="S149"/>
  <c r="R149"/>
  <c r="Q149"/>
  <c r="P149"/>
  <c r="O149"/>
  <c r="N149"/>
  <c r="M149"/>
  <c r="L149"/>
  <c r="K149"/>
  <c r="J149"/>
  <c r="I149"/>
  <c r="H149"/>
  <c r="G149"/>
  <c r="F149"/>
  <c r="E149"/>
  <c r="D149"/>
  <c r="C149"/>
  <c r="B149"/>
  <c r="V148"/>
  <c r="U148"/>
  <c r="T148"/>
  <c r="S148"/>
  <c r="R148"/>
  <c r="Q148"/>
  <c r="P148"/>
  <c r="O148"/>
  <c r="N148"/>
  <c r="M148"/>
  <c r="L148"/>
  <c r="K148"/>
  <c r="J148"/>
  <c r="I148"/>
  <c r="H148"/>
  <c r="G148"/>
  <c r="F148"/>
  <c r="E148"/>
  <c r="D148"/>
  <c r="C148"/>
  <c r="B148"/>
  <c r="V147"/>
  <c r="U147"/>
  <c r="T147"/>
  <c r="S147"/>
  <c r="R147"/>
  <c r="Q147"/>
  <c r="P147"/>
  <c r="O147"/>
  <c r="N147"/>
  <c r="M147"/>
  <c r="L147"/>
  <c r="K147"/>
  <c r="J147"/>
  <c r="I147"/>
  <c r="H147"/>
  <c r="G147"/>
  <c r="F147"/>
  <c r="E147"/>
  <c r="D147"/>
  <c r="C147"/>
  <c r="B147"/>
  <c r="V146"/>
  <c r="U146"/>
  <c r="T146"/>
  <c r="S146"/>
  <c r="R146"/>
  <c r="Q146"/>
  <c r="P146"/>
  <c r="O146"/>
  <c r="N146"/>
  <c r="M146"/>
  <c r="L146"/>
  <c r="K146"/>
  <c r="J146"/>
  <c r="I146"/>
  <c r="H146"/>
  <c r="G146"/>
  <c r="F146"/>
  <c r="E146"/>
  <c r="D146"/>
  <c r="C146"/>
  <c r="B146"/>
  <c r="V145"/>
  <c r="U145"/>
  <c r="T145"/>
  <c r="S145"/>
  <c r="R145"/>
  <c r="Q145"/>
  <c r="P145"/>
  <c r="O145"/>
  <c r="N145"/>
  <c r="M145"/>
  <c r="L145"/>
  <c r="K145"/>
  <c r="J145"/>
  <c r="I145"/>
  <c r="H145"/>
  <c r="G145"/>
  <c r="F145"/>
  <c r="E145"/>
  <c r="D145"/>
  <c r="C145"/>
  <c r="B145"/>
  <c r="V144"/>
  <c r="U144"/>
  <c r="T144"/>
  <c r="S144"/>
  <c r="R144"/>
  <c r="Q144"/>
  <c r="P144"/>
  <c r="O144"/>
  <c r="N144"/>
  <c r="M144"/>
  <c r="L144"/>
  <c r="K144"/>
  <c r="J144"/>
  <c r="I144"/>
  <c r="H144"/>
  <c r="G144"/>
  <c r="F144"/>
  <c r="E144"/>
  <c r="D144"/>
  <c r="C144"/>
  <c r="B144"/>
  <c r="V143"/>
  <c r="U143"/>
  <c r="T143"/>
  <c r="S143"/>
  <c r="R143"/>
  <c r="Q143"/>
  <c r="P143"/>
  <c r="O143"/>
  <c r="N143"/>
  <c r="M143"/>
  <c r="L143"/>
  <c r="K143"/>
  <c r="J143"/>
  <c r="I143"/>
  <c r="H143"/>
  <c r="G143"/>
  <c r="F143"/>
  <c r="E143"/>
  <c r="D143"/>
  <c r="C143"/>
  <c r="B143"/>
  <c r="V142"/>
  <c r="U142"/>
  <c r="T142"/>
  <c r="S142"/>
  <c r="R142"/>
  <c r="Q142"/>
  <c r="P142"/>
  <c r="O142"/>
  <c r="N142"/>
  <c r="M142"/>
  <c r="L142"/>
  <c r="K142"/>
  <c r="J142"/>
  <c r="I142"/>
  <c r="H142"/>
  <c r="G142"/>
  <c r="F142"/>
  <c r="E142"/>
  <c r="D142"/>
  <c r="C142"/>
  <c r="B142"/>
  <c r="V141"/>
  <c r="U141"/>
  <c r="T141"/>
  <c r="S141"/>
  <c r="R141"/>
  <c r="Q141"/>
  <c r="P141"/>
  <c r="O141"/>
  <c r="N141"/>
  <c r="M141"/>
  <c r="L141"/>
  <c r="K141"/>
  <c r="J141"/>
  <c r="I141"/>
  <c r="H141"/>
  <c r="G141"/>
  <c r="F141"/>
  <c r="E141"/>
  <c r="D141"/>
  <c r="C141"/>
  <c r="B141"/>
  <c r="V140"/>
  <c r="U140"/>
  <c r="T140"/>
  <c r="S140"/>
  <c r="R140"/>
  <c r="Q140"/>
  <c r="P140"/>
  <c r="O140"/>
  <c r="N140"/>
  <c r="M140"/>
  <c r="L140"/>
  <c r="K140"/>
  <c r="J140"/>
  <c r="I140"/>
  <c r="H140"/>
  <c r="G140"/>
  <c r="F140"/>
  <c r="E140"/>
  <c r="D140"/>
  <c r="C140"/>
  <c r="B140"/>
  <c r="V139"/>
  <c r="U139"/>
  <c r="T139"/>
  <c r="S139"/>
  <c r="R139"/>
  <c r="Q139"/>
  <c r="P139"/>
  <c r="O139"/>
  <c r="N139"/>
  <c r="M139"/>
  <c r="L139"/>
  <c r="K139"/>
  <c r="J139"/>
  <c r="I139"/>
  <c r="H139"/>
  <c r="G139"/>
  <c r="F139"/>
  <c r="E139"/>
  <c r="D139"/>
  <c r="C139"/>
  <c r="B139"/>
  <c r="V138"/>
  <c r="U138"/>
  <c r="T138"/>
  <c r="S138"/>
  <c r="R138"/>
  <c r="Q138"/>
  <c r="P138"/>
  <c r="O138"/>
  <c r="N138"/>
  <c r="M138"/>
  <c r="L138"/>
  <c r="K138"/>
  <c r="J138"/>
  <c r="I138"/>
  <c r="H138"/>
  <c r="G138"/>
  <c r="F138"/>
  <c r="E138"/>
  <c r="D138"/>
  <c r="C138"/>
  <c r="B138"/>
  <c r="V137"/>
  <c r="U137"/>
  <c r="T137"/>
  <c r="S137"/>
  <c r="R137"/>
  <c r="Q137"/>
  <c r="P137"/>
  <c r="O137"/>
  <c r="N137"/>
  <c r="M137"/>
  <c r="L137"/>
  <c r="K137"/>
  <c r="J137"/>
  <c r="I137"/>
  <c r="H137"/>
  <c r="G137"/>
  <c r="F137"/>
  <c r="E137"/>
  <c r="D137"/>
  <c r="C137"/>
  <c r="B137"/>
  <c r="V136"/>
  <c r="U136"/>
  <c r="T136"/>
  <c r="S136"/>
  <c r="R136"/>
  <c r="Q136"/>
  <c r="P136"/>
  <c r="O136"/>
  <c r="N136"/>
  <c r="M136"/>
  <c r="L136"/>
  <c r="K136"/>
  <c r="J136"/>
  <c r="I136"/>
  <c r="H136"/>
  <c r="G136"/>
  <c r="F136"/>
  <c r="E136"/>
  <c r="D136"/>
  <c r="C136"/>
  <c r="B136"/>
  <c r="V135"/>
  <c r="U135"/>
  <c r="T135"/>
  <c r="S135"/>
  <c r="R135"/>
  <c r="Q135"/>
  <c r="P135"/>
  <c r="O135"/>
  <c r="N135"/>
  <c r="M135"/>
  <c r="L135"/>
  <c r="K135"/>
  <c r="J135"/>
  <c r="I135"/>
  <c r="H135"/>
  <c r="G135"/>
  <c r="F135"/>
  <c r="E135"/>
  <c r="D135"/>
  <c r="C135"/>
  <c r="B135"/>
  <c r="V134"/>
  <c r="U134"/>
  <c r="T134"/>
  <c r="S134"/>
  <c r="R134"/>
  <c r="Q134"/>
  <c r="P134"/>
  <c r="O134"/>
  <c r="N134"/>
  <c r="M134"/>
  <c r="L134"/>
  <c r="K134"/>
  <c r="J134"/>
  <c r="I134"/>
  <c r="H134"/>
  <c r="G134"/>
  <c r="F134"/>
  <c r="E134"/>
  <c r="D134"/>
  <c r="C134"/>
  <c r="B134"/>
  <c r="V133"/>
  <c r="U133"/>
  <c r="T133"/>
  <c r="S133"/>
  <c r="R133"/>
  <c r="Q133"/>
  <c r="P133"/>
  <c r="O133"/>
  <c r="N133"/>
  <c r="M133"/>
  <c r="L133"/>
  <c r="K133"/>
  <c r="J133"/>
  <c r="I133"/>
  <c r="H133"/>
  <c r="G133"/>
  <c r="F133"/>
  <c r="E133"/>
  <c r="D133"/>
  <c r="C133"/>
  <c r="B133"/>
  <c r="V132"/>
  <c r="U132"/>
  <c r="T132"/>
  <c r="S132"/>
  <c r="R132"/>
  <c r="Q132"/>
  <c r="P132"/>
  <c r="O132"/>
  <c r="N132"/>
  <c r="M132"/>
  <c r="L132"/>
  <c r="K132"/>
  <c r="J132"/>
  <c r="I132"/>
  <c r="H132"/>
  <c r="G132"/>
  <c r="F132"/>
  <c r="E132"/>
  <c r="D132"/>
  <c r="C132"/>
  <c r="B132"/>
  <c r="V131"/>
  <c r="U131"/>
  <c r="T131"/>
  <c r="S131"/>
  <c r="R131"/>
  <c r="Q131"/>
  <c r="P131"/>
  <c r="O131"/>
  <c r="N131"/>
  <c r="M131"/>
  <c r="L131"/>
  <c r="K131"/>
  <c r="J131"/>
  <c r="I131"/>
  <c r="H131"/>
  <c r="G131"/>
  <c r="F131"/>
  <c r="E131"/>
  <c r="D131"/>
  <c r="C131"/>
  <c r="B131"/>
  <c r="V130"/>
  <c r="U130"/>
  <c r="T130"/>
  <c r="S130"/>
  <c r="R130"/>
  <c r="Q130"/>
  <c r="P130"/>
  <c r="O130"/>
  <c r="N130"/>
  <c r="M130"/>
  <c r="L130"/>
  <c r="K130"/>
  <c r="J130"/>
  <c r="I130"/>
  <c r="H130"/>
  <c r="G130"/>
  <c r="F130"/>
  <c r="E130"/>
  <c r="D130"/>
  <c r="C130"/>
  <c r="B130"/>
  <c r="V129"/>
  <c r="U129"/>
  <c r="T129"/>
  <c r="S129"/>
  <c r="R129"/>
  <c r="Q129"/>
  <c r="P129"/>
  <c r="O129"/>
  <c r="N129"/>
  <c r="M129"/>
  <c r="L129"/>
  <c r="K129"/>
  <c r="J129"/>
  <c r="I129"/>
  <c r="H129"/>
  <c r="G129"/>
  <c r="F129"/>
  <c r="E129"/>
  <c r="D129"/>
  <c r="C129"/>
  <c r="B129"/>
  <c r="V128"/>
  <c r="U128"/>
  <c r="T128"/>
  <c r="S128"/>
  <c r="R128"/>
  <c r="Q128"/>
  <c r="P128"/>
  <c r="O128"/>
  <c r="N128"/>
  <c r="M128"/>
  <c r="L128"/>
  <c r="K128"/>
  <c r="J128"/>
  <c r="I128"/>
  <c r="H128"/>
  <c r="G128"/>
  <c r="F128"/>
  <c r="E128"/>
  <c r="D128"/>
  <c r="C128"/>
  <c r="B128"/>
  <c r="V127"/>
  <c r="U127"/>
  <c r="T127"/>
  <c r="S127"/>
  <c r="R127"/>
  <c r="Q127"/>
  <c r="P127"/>
  <c r="O127"/>
  <c r="N127"/>
  <c r="M127"/>
  <c r="L127"/>
  <c r="K127"/>
  <c r="J127"/>
  <c r="I127"/>
  <c r="H127"/>
  <c r="G127"/>
  <c r="F127"/>
  <c r="E127"/>
  <c r="D127"/>
  <c r="C127"/>
  <c r="B127"/>
  <c r="V126"/>
  <c r="U126"/>
  <c r="T126"/>
  <c r="S126"/>
  <c r="R126"/>
  <c r="Q126"/>
  <c r="P126"/>
  <c r="O126"/>
  <c r="N126"/>
  <c r="M126"/>
  <c r="L126"/>
  <c r="K126"/>
  <c r="J126"/>
  <c r="I126"/>
  <c r="H126"/>
  <c r="G126"/>
  <c r="F126"/>
  <c r="E126"/>
  <c r="D126"/>
  <c r="C126"/>
  <c r="B126"/>
  <c r="V125"/>
  <c r="U125"/>
  <c r="T125"/>
  <c r="S125"/>
  <c r="R125"/>
  <c r="Q125"/>
  <c r="P125"/>
  <c r="O125"/>
  <c r="N125"/>
  <c r="M125"/>
  <c r="L125"/>
  <c r="K125"/>
  <c r="J125"/>
  <c r="I125"/>
  <c r="H125"/>
  <c r="G125"/>
  <c r="F125"/>
  <c r="E125"/>
  <c r="D125"/>
  <c r="C125"/>
  <c r="B125"/>
  <c r="V124"/>
  <c r="U124"/>
  <c r="T124"/>
  <c r="S124"/>
  <c r="R124"/>
  <c r="Q124"/>
  <c r="P124"/>
  <c r="O124"/>
  <c r="N124"/>
  <c r="M124"/>
  <c r="L124"/>
  <c r="K124"/>
  <c r="J124"/>
  <c r="I124"/>
  <c r="H124"/>
  <c r="G124"/>
  <c r="F124"/>
  <c r="E124"/>
  <c r="D124"/>
  <c r="C124"/>
  <c r="B124"/>
  <c r="V123"/>
  <c r="U123"/>
  <c r="T123"/>
  <c r="S123"/>
  <c r="R123"/>
  <c r="Q123"/>
  <c r="P123"/>
  <c r="O123"/>
  <c r="N123"/>
  <c r="M123"/>
  <c r="L123"/>
  <c r="K123"/>
  <c r="J123"/>
  <c r="I123"/>
  <c r="H123"/>
  <c r="G123"/>
  <c r="F123"/>
  <c r="E123"/>
  <c r="D123"/>
  <c r="C123"/>
  <c r="B123"/>
  <c r="V122"/>
  <c r="U122"/>
  <c r="T122"/>
  <c r="S122"/>
  <c r="R122"/>
  <c r="Q122"/>
  <c r="P122"/>
  <c r="O122"/>
  <c r="N122"/>
  <c r="M122"/>
  <c r="L122"/>
  <c r="K122"/>
  <c r="J122"/>
  <c r="I122"/>
  <c r="H122"/>
  <c r="G122"/>
  <c r="F122"/>
  <c r="E122"/>
  <c r="D122"/>
  <c r="C122"/>
  <c r="B122"/>
  <c r="V121"/>
  <c r="U121"/>
  <c r="T121"/>
  <c r="S121"/>
  <c r="R121"/>
  <c r="Q121"/>
  <c r="P121"/>
  <c r="O121"/>
  <c r="N121"/>
  <c r="M121"/>
  <c r="L121"/>
  <c r="K121"/>
  <c r="J121"/>
  <c r="I121"/>
  <c r="H121"/>
  <c r="G121"/>
  <c r="F121"/>
  <c r="E121"/>
  <c r="D121"/>
  <c r="C121"/>
  <c r="B121"/>
  <c r="V120"/>
  <c r="U120"/>
  <c r="T120"/>
  <c r="S120"/>
  <c r="R120"/>
  <c r="Q120"/>
  <c r="P120"/>
  <c r="O120"/>
  <c r="N120"/>
  <c r="M120"/>
  <c r="L120"/>
  <c r="K120"/>
  <c r="J120"/>
  <c r="I120"/>
  <c r="H120"/>
  <c r="G120"/>
  <c r="F120"/>
  <c r="E120"/>
  <c r="D120"/>
  <c r="C120"/>
  <c r="B120"/>
  <c r="V119"/>
  <c r="U119"/>
  <c r="T119"/>
  <c r="S119"/>
  <c r="R119"/>
  <c r="Q119"/>
  <c r="P119"/>
  <c r="O119"/>
  <c r="N119"/>
  <c r="M119"/>
  <c r="L119"/>
  <c r="K119"/>
  <c r="J119"/>
  <c r="I119"/>
  <c r="H119"/>
  <c r="G119"/>
  <c r="F119"/>
  <c r="E119"/>
  <c r="D119"/>
  <c r="C119"/>
  <c r="B119"/>
  <c r="V118"/>
  <c r="U118"/>
  <c r="T118"/>
  <c r="S118"/>
  <c r="R118"/>
  <c r="Q118"/>
  <c r="P118"/>
  <c r="O118"/>
  <c r="N118"/>
  <c r="M118"/>
  <c r="L118"/>
  <c r="K118"/>
  <c r="J118"/>
  <c r="I118"/>
  <c r="H118"/>
  <c r="G118"/>
  <c r="F118"/>
  <c r="E118"/>
  <c r="D118"/>
  <c r="C118"/>
  <c r="B118"/>
  <c r="V117"/>
  <c r="U117"/>
  <c r="T117"/>
  <c r="S117"/>
  <c r="R117"/>
  <c r="Q117"/>
  <c r="P117"/>
  <c r="O117"/>
  <c r="N117"/>
  <c r="M117"/>
  <c r="L117"/>
  <c r="K117"/>
  <c r="J117"/>
  <c r="I117"/>
  <c r="H117"/>
  <c r="G117"/>
  <c r="F117"/>
  <c r="E117"/>
  <c r="D117"/>
  <c r="C117"/>
  <c r="B117"/>
  <c r="V116"/>
  <c r="U116"/>
  <c r="T116"/>
  <c r="S116"/>
  <c r="R116"/>
  <c r="Q116"/>
  <c r="P116"/>
  <c r="O116"/>
  <c r="N116"/>
  <c r="M116"/>
  <c r="L116"/>
  <c r="K116"/>
  <c r="J116"/>
  <c r="I116"/>
  <c r="H116"/>
  <c r="G116"/>
  <c r="F116"/>
  <c r="E116"/>
  <c r="D116"/>
  <c r="C116"/>
  <c r="B116"/>
  <c r="V115"/>
  <c r="U115"/>
  <c r="T115"/>
  <c r="S115"/>
  <c r="R115"/>
  <c r="Q115"/>
  <c r="P115"/>
  <c r="O115"/>
  <c r="N115"/>
  <c r="M115"/>
  <c r="L115"/>
  <c r="K115"/>
  <c r="J115"/>
  <c r="I115"/>
  <c r="H115"/>
  <c r="G115"/>
  <c r="F115"/>
  <c r="E115"/>
  <c r="D115"/>
  <c r="C115"/>
  <c r="B115"/>
  <c r="V114"/>
  <c r="U114"/>
  <c r="T114"/>
  <c r="S114"/>
  <c r="R114"/>
  <c r="Q114"/>
  <c r="P114"/>
  <c r="O114"/>
  <c r="N114"/>
  <c r="M114"/>
  <c r="L114"/>
  <c r="K114"/>
  <c r="J114"/>
  <c r="I114"/>
  <c r="H114"/>
  <c r="G114"/>
  <c r="F114"/>
  <c r="E114"/>
  <c r="D114"/>
  <c r="C114"/>
  <c r="B114"/>
  <c r="V113"/>
  <c r="U113"/>
  <c r="T113"/>
  <c r="S113"/>
  <c r="R113"/>
  <c r="Q113"/>
  <c r="P113"/>
  <c r="O113"/>
  <c r="N113"/>
  <c r="M113"/>
  <c r="L113"/>
  <c r="K113"/>
  <c r="J113"/>
  <c r="I113"/>
  <c r="H113"/>
  <c r="G113"/>
  <c r="F113"/>
  <c r="E113"/>
  <c r="D113"/>
  <c r="C113"/>
  <c r="B113"/>
  <c r="V112"/>
  <c r="U112"/>
  <c r="T112"/>
  <c r="S112"/>
  <c r="R112"/>
  <c r="Q112"/>
  <c r="P112"/>
  <c r="O112"/>
  <c r="N112"/>
  <c r="M112"/>
  <c r="L112"/>
  <c r="K112"/>
  <c r="J112"/>
  <c r="I112"/>
  <c r="H112"/>
  <c r="G112"/>
  <c r="F112"/>
  <c r="E112"/>
  <c r="D112"/>
  <c r="C112"/>
  <c r="B112"/>
  <c r="V111"/>
  <c r="U111"/>
  <c r="T111"/>
  <c r="S111"/>
  <c r="R111"/>
  <c r="Q111"/>
  <c r="P111"/>
  <c r="O111"/>
  <c r="N111"/>
  <c r="M111"/>
  <c r="L111"/>
  <c r="K111"/>
  <c r="J111"/>
  <c r="I111"/>
  <c r="H111"/>
  <c r="G111"/>
  <c r="F111"/>
  <c r="E111"/>
  <c r="D111"/>
  <c r="C111"/>
  <c r="B111"/>
  <c r="V110"/>
  <c r="U110"/>
  <c r="T110"/>
  <c r="S110"/>
  <c r="R110"/>
  <c r="Q110"/>
  <c r="P110"/>
  <c r="O110"/>
  <c r="N110"/>
  <c r="M110"/>
  <c r="L110"/>
  <c r="K110"/>
  <c r="J110"/>
  <c r="I110"/>
  <c r="H110"/>
  <c r="G110"/>
  <c r="F110"/>
  <c r="E110"/>
  <c r="D110"/>
  <c r="C110"/>
  <c r="B110"/>
  <c r="V109"/>
  <c r="U109"/>
  <c r="T109"/>
  <c r="S109"/>
  <c r="R109"/>
  <c r="Q109"/>
  <c r="P109"/>
  <c r="O109"/>
  <c r="N109"/>
  <c r="M109"/>
  <c r="L109"/>
  <c r="K109"/>
  <c r="J109"/>
  <c r="I109"/>
  <c r="H109"/>
  <c r="G109"/>
  <c r="F109"/>
  <c r="E109"/>
  <c r="D109"/>
  <c r="C109"/>
  <c r="B109"/>
  <c r="V108"/>
  <c r="U108"/>
  <c r="T108"/>
  <c r="S108"/>
  <c r="R108"/>
  <c r="Q108"/>
  <c r="P108"/>
  <c r="O108"/>
  <c r="N108"/>
  <c r="M108"/>
  <c r="L108"/>
  <c r="K108"/>
  <c r="J108"/>
  <c r="I108"/>
  <c r="H108"/>
  <c r="G108"/>
  <c r="F108"/>
  <c r="E108"/>
  <c r="D108"/>
  <c r="C108"/>
  <c r="B108"/>
  <c r="V107"/>
  <c r="U107"/>
  <c r="T107"/>
  <c r="S107"/>
  <c r="R107"/>
  <c r="Q107"/>
  <c r="P107"/>
  <c r="O107"/>
  <c r="N107"/>
  <c r="M107"/>
  <c r="L107"/>
  <c r="K107"/>
  <c r="J107"/>
  <c r="I107"/>
  <c r="H107"/>
  <c r="G107"/>
  <c r="F107"/>
  <c r="E107"/>
  <c r="D107"/>
  <c r="C107"/>
  <c r="B107"/>
  <c r="V106"/>
  <c r="U106"/>
  <c r="T106"/>
  <c r="S106"/>
  <c r="R106"/>
  <c r="Q106"/>
  <c r="P106"/>
  <c r="O106"/>
  <c r="N106"/>
  <c r="M106"/>
  <c r="L106"/>
  <c r="K106"/>
  <c r="J106"/>
  <c r="I106"/>
  <c r="H106"/>
  <c r="G106"/>
  <c r="F106"/>
  <c r="E106"/>
  <c r="D106"/>
  <c r="C106"/>
  <c r="B106"/>
  <c r="V105"/>
  <c r="U105"/>
  <c r="T105"/>
  <c r="S105"/>
  <c r="R105"/>
  <c r="Q105"/>
  <c r="P105"/>
  <c r="O105"/>
  <c r="N105"/>
  <c r="M105"/>
  <c r="L105"/>
  <c r="K105"/>
  <c r="J105"/>
  <c r="I105"/>
  <c r="H105"/>
  <c r="G105"/>
  <c r="F105"/>
  <c r="E105"/>
  <c r="D105"/>
  <c r="C105"/>
  <c r="B105"/>
  <c r="V104"/>
  <c r="U104"/>
  <c r="T104"/>
  <c r="S104"/>
  <c r="R104"/>
  <c r="Q104"/>
  <c r="P104"/>
  <c r="O104"/>
  <c r="N104"/>
  <c r="M104"/>
  <c r="L104"/>
  <c r="K104"/>
  <c r="J104"/>
  <c r="I104"/>
  <c r="H104"/>
  <c r="G104"/>
  <c r="F104"/>
  <c r="E104"/>
  <c r="D104"/>
  <c r="C104"/>
  <c r="B104"/>
  <c r="V103"/>
  <c r="U103"/>
  <c r="T103"/>
  <c r="S103"/>
  <c r="R103"/>
  <c r="Q103"/>
  <c r="P103"/>
  <c r="O103"/>
  <c r="N103"/>
  <c r="M103"/>
  <c r="L103"/>
  <c r="K103"/>
  <c r="J103"/>
  <c r="I103"/>
  <c r="H103"/>
  <c r="G103"/>
  <c r="F103"/>
  <c r="E103"/>
  <c r="D103"/>
  <c r="C103"/>
  <c r="B103"/>
  <c r="V102"/>
  <c r="U102"/>
  <c r="T102"/>
  <c r="S102"/>
  <c r="R102"/>
  <c r="Q102"/>
  <c r="P102"/>
  <c r="O102"/>
  <c r="N102"/>
  <c r="M102"/>
  <c r="L102"/>
  <c r="K102"/>
  <c r="J102"/>
  <c r="I102"/>
  <c r="H102"/>
  <c r="G102"/>
  <c r="F102"/>
  <c r="E102"/>
  <c r="D102"/>
  <c r="C102"/>
  <c r="B102"/>
  <c r="V101"/>
  <c r="U101"/>
  <c r="T101"/>
  <c r="S101"/>
  <c r="R101"/>
  <c r="Q101"/>
  <c r="P101"/>
  <c r="O101"/>
  <c r="N101"/>
  <c r="M101"/>
  <c r="L101"/>
  <c r="K101"/>
  <c r="J101"/>
  <c r="I101"/>
  <c r="H101"/>
  <c r="G101"/>
  <c r="F101"/>
  <c r="E101"/>
  <c r="D101"/>
  <c r="C101"/>
  <c r="B101"/>
  <c r="V100"/>
  <c r="U100"/>
  <c r="T100"/>
  <c r="S100"/>
  <c r="R100"/>
  <c r="Q100"/>
  <c r="P100"/>
  <c r="O100"/>
  <c r="N100"/>
  <c r="M100"/>
  <c r="L100"/>
  <c r="K100"/>
  <c r="J100"/>
  <c r="I100"/>
  <c r="H100"/>
  <c r="G100"/>
  <c r="F100"/>
  <c r="E100"/>
  <c r="D100"/>
  <c r="C100"/>
  <c r="B100"/>
  <c r="V99"/>
  <c r="U99"/>
  <c r="T99"/>
  <c r="S99"/>
  <c r="R99"/>
  <c r="Q99"/>
  <c r="P99"/>
  <c r="O99"/>
  <c r="N99"/>
  <c r="M99"/>
  <c r="L99"/>
  <c r="K99"/>
  <c r="J99"/>
  <c r="I99"/>
  <c r="H99"/>
  <c r="G99"/>
  <c r="F99"/>
  <c r="E99"/>
  <c r="D99"/>
  <c r="C99"/>
  <c r="B99"/>
  <c r="V98"/>
  <c r="U98"/>
  <c r="T98"/>
  <c r="S98"/>
  <c r="R98"/>
  <c r="Q98"/>
  <c r="P98"/>
  <c r="O98"/>
  <c r="N98"/>
  <c r="M98"/>
  <c r="L98"/>
  <c r="K98"/>
  <c r="J98"/>
  <c r="I98"/>
  <c r="H98"/>
  <c r="G98"/>
  <c r="F98"/>
  <c r="E98"/>
  <c r="D98"/>
  <c r="C98"/>
  <c r="B98"/>
  <c r="V97"/>
  <c r="U97"/>
  <c r="T97"/>
  <c r="S97"/>
  <c r="R97"/>
  <c r="Q97"/>
  <c r="P97"/>
  <c r="O97"/>
  <c r="N97"/>
  <c r="M97"/>
  <c r="L97"/>
  <c r="K97"/>
  <c r="J97"/>
  <c r="I97"/>
  <c r="H97"/>
  <c r="G97"/>
  <c r="F97"/>
  <c r="E97"/>
  <c r="D97"/>
  <c r="C97"/>
  <c r="B97"/>
  <c r="V96"/>
  <c r="U96"/>
  <c r="T96"/>
  <c r="S96"/>
  <c r="R96"/>
  <c r="Q96"/>
  <c r="P96"/>
  <c r="O96"/>
  <c r="N96"/>
  <c r="M96"/>
  <c r="L96"/>
  <c r="K96"/>
  <c r="J96"/>
  <c r="I96"/>
  <c r="H96"/>
  <c r="G96"/>
  <c r="F96"/>
  <c r="E96"/>
  <c r="D96"/>
  <c r="C96"/>
  <c r="B96"/>
  <c r="V95"/>
  <c r="U95"/>
  <c r="T95"/>
  <c r="S95"/>
  <c r="R95"/>
  <c r="Q95"/>
  <c r="P95"/>
  <c r="O95"/>
  <c r="N95"/>
  <c r="M95"/>
  <c r="L95"/>
  <c r="K95"/>
  <c r="J95"/>
  <c r="I95"/>
  <c r="H95"/>
  <c r="G95"/>
  <c r="F95"/>
  <c r="E95"/>
  <c r="D95"/>
  <c r="C95"/>
  <c r="B95"/>
  <c r="V94"/>
  <c r="U94"/>
  <c r="T94"/>
  <c r="S94"/>
  <c r="R94"/>
  <c r="Q94"/>
  <c r="P94"/>
  <c r="O94"/>
  <c r="N94"/>
  <c r="M94"/>
  <c r="L94"/>
  <c r="K94"/>
  <c r="J94"/>
  <c r="I94"/>
  <c r="H94"/>
  <c r="G94"/>
  <c r="F94"/>
  <c r="E94"/>
  <c r="D94"/>
  <c r="C94"/>
  <c r="B94"/>
  <c r="V93"/>
  <c r="U93"/>
  <c r="T93"/>
  <c r="S93"/>
  <c r="R93"/>
  <c r="Q93"/>
  <c r="P93"/>
  <c r="O93"/>
  <c r="N93"/>
  <c r="M93"/>
  <c r="L93"/>
  <c r="K93"/>
  <c r="J93"/>
  <c r="I93"/>
  <c r="H93"/>
  <c r="G93"/>
  <c r="F93"/>
  <c r="E93"/>
  <c r="D93"/>
  <c r="C93"/>
  <c r="B93"/>
  <c r="V92"/>
  <c r="U92"/>
  <c r="T92"/>
  <c r="S92"/>
  <c r="R92"/>
  <c r="Q92"/>
  <c r="P92"/>
  <c r="O92"/>
  <c r="N92"/>
  <c r="M92"/>
  <c r="L92"/>
  <c r="K92"/>
  <c r="J92"/>
  <c r="I92"/>
  <c r="H92"/>
  <c r="G92"/>
  <c r="F92"/>
  <c r="E92"/>
  <c r="D92"/>
  <c r="C92"/>
  <c r="B92"/>
  <c r="V91"/>
  <c r="U91"/>
  <c r="T91"/>
  <c r="S91"/>
  <c r="R91"/>
  <c r="Q91"/>
  <c r="P91"/>
  <c r="O91"/>
  <c r="N91"/>
  <c r="M91"/>
  <c r="L91"/>
  <c r="K91"/>
  <c r="J91"/>
  <c r="I91"/>
  <c r="H91"/>
  <c r="G91"/>
  <c r="F91"/>
  <c r="E91"/>
  <c r="D91"/>
  <c r="C91"/>
  <c r="B91"/>
  <c r="V90"/>
  <c r="U90"/>
  <c r="T90"/>
  <c r="S90"/>
  <c r="R90"/>
  <c r="Q90"/>
  <c r="P90"/>
  <c r="O90"/>
  <c r="N90"/>
  <c r="M90"/>
  <c r="L90"/>
  <c r="K90"/>
  <c r="J90"/>
  <c r="I90"/>
  <c r="H90"/>
  <c r="G90"/>
  <c r="F90"/>
  <c r="E90"/>
  <c r="D90"/>
  <c r="C90"/>
  <c r="B90"/>
  <c r="V89"/>
  <c r="U89"/>
  <c r="T89"/>
  <c r="S89"/>
  <c r="R89"/>
  <c r="Q89"/>
  <c r="P89"/>
  <c r="O89"/>
  <c r="N89"/>
  <c r="M89"/>
  <c r="L89"/>
  <c r="K89"/>
  <c r="J89"/>
  <c r="I89"/>
  <c r="H89"/>
  <c r="G89"/>
  <c r="F89"/>
  <c r="E89"/>
  <c r="D89"/>
  <c r="C89"/>
  <c r="B89"/>
  <c r="V88"/>
  <c r="U88"/>
  <c r="T88"/>
  <c r="S88"/>
  <c r="R88"/>
  <c r="Q88"/>
  <c r="P88"/>
  <c r="O88"/>
  <c r="N88"/>
  <c r="M88"/>
  <c r="L88"/>
  <c r="K88"/>
  <c r="J88"/>
  <c r="I88"/>
  <c r="H88"/>
  <c r="G88"/>
  <c r="F88"/>
  <c r="E88"/>
  <c r="D88"/>
  <c r="C88"/>
  <c r="B88"/>
  <c r="V87"/>
  <c r="U87"/>
  <c r="T87"/>
  <c r="S87"/>
  <c r="R87"/>
  <c r="Q87"/>
  <c r="P87"/>
  <c r="O87"/>
  <c r="N87"/>
  <c r="M87"/>
  <c r="L87"/>
  <c r="K87"/>
  <c r="J87"/>
  <c r="I87"/>
  <c r="H87"/>
  <c r="G87"/>
  <c r="F87"/>
  <c r="E87"/>
  <c r="D87"/>
  <c r="C87"/>
  <c r="B87"/>
  <c r="V86"/>
  <c r="U86"/>
  <c r="T86"/>
  <c r="S86"/>
  <c r="R86"/>
  <c r="Q86"/>
  <c r="P86"/>
  <c r="O86"/>
  <c r="N86"/>
  <c r="M86"/>
  <c r="L86"/>
  <c r="K86"/>
  <c r="J86"/>
  <c r="I86"/>
  <c r="H86"/>
  <c r="G86"/>
  <c r="F86"/>
  <c r="E86"/>
  <c r="D86"/>
  <c r="C86"/>
  <c r="B86"/>
  <c r="V85"/>
  <c r="U85"/>
  <c r="T85"/>
  <c r="S85"/>
  <c r="R85"/>
  <c r="Q85"/>
  <c r="P85"/>
  <c r="O85"/>
  <c r="N85"/>
  <c r="M85"/>
  <c r="L85"/>
  <c r="K85"/>
  <c r="J85"/>
  <c r="I85"/>
  <c r="H85"/>
  <c r="G85"/>
  <c r="F85"/>
  <c r="E85"/>
  <c r="D85"/>
  <c r="C85"/>
  <c r="B85"/>
  <c r="V84"/>
  <c r="U84"/>
  <c r="T84"/>
  <c r="S84"/>
  <c r="R84"/>
  <c r="Q84"/>
  <c r="P84"/>
  <c r="O84"/>
  <c r="N84"/>
  <c r="M84"/>
  <c r="L84"/>
  <c r="K84"/>
  <c r="J84"/>
  <c r="I84"/>
  <c r="H84"/>
  <c r="G84"/>
  <c r="F84"/>
  <c r="E84"/>
  <c r="D84"/>
  <c r="C84"/>
  <c r="B84"/>
  <c r="V83"/>
  <c r="U83"/>
  <c r="T83"/>
  <c r="S83"/>
  <c r="R83"/>
  <c r="Q83"/>
  <c r="P83"/>
  <c r="O83"/>
  <c r="N83"/>
  <c r="M83"/>
  <c r="L83"/>
  <c r="K83"/>
  <c r="J83"/>
  <c r="I83"/>
  <c r="H83"/>
  <c r="G83"/>
  <c r="F83"/>
  <c r="E83"/>
  <c r="D83"/>
  <c r="C83"/>
  <c r="B83"/>
  <c r="V82"/>
  <c r="U82"/>
  <c r="T82"/>
  <c r="S82"/>
  <c r="R82"/>
  <c r="Q82"/>
  <c r="P82"/>
  <c r="O82"/>
  <c r="N82"/>
  <c r="M82"/>
  <c r="L82"/>
  <c r="K82"/>
  <c r="J82"/>
  <c r="I82"/>
  <c r="H82"/>
  <c r="G82"/>
  <c r="F82"/>
  <c r="E82"/>
  <c r="D82"/>
  <c r="C82"/>
  <c r="B82"/>
  <c r="V81"/>
  <c r="U81"/>
  <c r="T81"/>
  <c r="S81"/>
  <c r="R81"/>
  <c r="Q81"/>
  <c r="P81"/>
  <c r="O81"/>
  <c r="N81"/>
  <c r="M81"/>
  <c r="L81"/>
  <c r="K81"/>
  <c r="J81"/>
  <c r="I81"/>
  <c r="H81"/>
  <c r="G81"/>
  <c r="F81"/>
  <c r="E81"/>
  <c r="D81"/>
  <c r="C81"/>
  <c r="B81"/>
  <c r="V80"/>
  <c r="U80"/>
  <c r="T80"/>
  <c r="S80"/>
  <c r="R80"/>
  <c r="Q80"/>
  <c r="P80"/>
  <c r="O80"/>
  <c r="N80"/>
  <c r="M80"/>
  <c r="L80"/>
  <c r="K80"/>
  <c r="J80"/>
  <c r="I80"/>
  <c r="H80"/>
  <c r="G80"/>
  <c r="F80"/>
  <c r="E80"/>
  <c r="D80"/>
  <c r="C80"/>
  <c r="B80"/>
  <c r="V79"/>
  <c r="U79"/>
  <c r="T79"/>
  <c r="S79"/>
  <c r="R79"/>
  <c r="Q79"/>
  <c r="P79"/>
  <c r="O79"/>
  <c r="N79"/>
  <c r="M79"/>
  <c r="L79"/>
  <c r="K79"/>
  <c r="J79"/>
  <c r="I79"/>
  <c r="H79"/>
  <c r="G79"/>
  <c r="F79"/>
  <c r="E79"/>
  <c r="D79"/>
  <c r="C79"/>
  <c r="B79"/>
  <c r="V78"/>
  <c r="U78"/>
  <c r="T78"/>
  <c r="S78"/>
  <c r="R78"/>
  <c r="Q78"/>
  <c r="P78"/>
  <c r="O78"/>
  <c r="N78"/>
  <c r="M78"/>
  <c r="L78"/>
  <c r="K78"/>
  <c r="J78"/>
  <c r="I78"/>
  <c r="H78"/>
  <c r="G78"/>
  <c r="F78"/>
  <c r="E78"/>
  <c r="D78"/>
  <c r="C78"/>
  <c r="B78"/>
  <c r="V77"/>
  <c r="U77"/>
  <c r="T77"/>
  <c r="S77"/>
  <c r="R77"/>
  <c r="Q77"/>
  <c r="P77"/>
  <c r="O77"/>
  <c r="N77"/>
  <c r="M77"/>
  <c r="L77"/>
  <c r="K77"/>
  <c r="J77"/>
  <c r="I77"/>
  <c r="H77"/>
  <c r="G77"/>
  <c r="F77"/>
  <c r="E77"/>
  <c r="D77"/>
  <c r="C77"/>
  <c r="B77"/>
  <c r="V76"/>
  <c r="U76"/>
  <c r="T76"/>
  <c r="S76"/>
  <c r="R76"/>
  <c r="Q76"/>
  <c r="P76"/>
  <c r="O76"/>
  <c r="N76"/>
  <c r="M76"/>
  <c r="L76"/>
  <c r="K76"/>
  <c r="J76"/>
  <c r="I76"/>
  <c r="H76"/>
  <c r="G76"/>
  <c r="F76"/>
  <c r="E76"/>
  <c r="D76"/>
  <c r="C76"/>
  <c r="B76"/>
  <c r="V75"/>
  <c r="U75"/>
  <c r="T75"/>
  <c r="S75"/>
  <c r="R75"/>
  <c r="Q75"/>
  <c r="P75"/>
  <c r="O75"/>
  <c r="N75"/>
  <c r="M75"/>
  <c r="L75"/>
  <c r="K75"/>
  <c r="J75"/>
  <c r="I75"/>
  <c r="H75"/>
  <c r="G75"/>
  <c r="F75"/>
  <c r="E75"/>
  <c r="D75"/>
  <c r="C75"/>
  <c r="B75"/>
  <c r="V74"/>
  <c r="U74"/>
  <c r="T74"/>
  <c r="S74"/>
  <c r="R74"/>
  <c r="Q74"/>
  <c r="P74"/>
  <c r="O74"/>
  <c r="N74"/>
  <c r="M74"/>
  <c r="L74"/>
  <c r="K74"/>
  <c r="J74"/>
  <c r="I74"/>
  <c r="H74"/>
  <c r="G74"/>
  <c r="F74"/>
  <c r="E74"/>
  <c r="D74"/>
  <c r="C74"/>
  <c r="B74"/>
  <c r="V73"/>
  <c r="U73"/>
  <c r="T73"/>
  <c r="S73"/>
  <c r="R73"/>
  <c r="Q73"/>
  <c r="P73"/>
  <c r="O73"/>
  <c r="N73"/>
  <c r="M73"/>
  <c r="L73"/>
  <c r="K73"/>
  <c r="J73"/>
  <c r="I73"/>
  <c r="H73"/>
  <c r="G73"/>
  <c r="F73"/>
  <c r="E73"/>
  <c r="D73"/>
  <c r="C73"/>
  <c r="B73"/>
  <c r="V72"/>
  <c r="U72"/>
  <c r="T72"/>
  <c r="S72"/>
  <c r="R72"/>
  <c r="Q72"/>
  <c r="P72"/>
  <c r="O72"/>
  <c r="N72"/>
  <c r="M72"/>
  <c r="L72"/>
  <c r="K72"/>
  <c r="J72"/>
  <c r="I72"/>
  <c r="H72"/>
  <c r="G72"/>
  <c r="F72"/>
  <c r="E72"/>
  <c r="D72"/>
  <c r="C72"/>
  <c r="B72"/>
  <c r="V71"/>
  <c r="U71"/>
  <c r="T71"/>
  <c r="S71"/>
  <c r="R71"/>
  <c r="Q71"/>
  <c r="P71"/>
  <c r="O71"/>
  <c r="N71"/>
  <c r="M71"/>
  <c r="L71"/>
  <c r="K71"/>
  <c r="J71"/>
  <c r="I71"/>
  <c r="H71"/>
  <c r="G71"/>
  <c r="F71"/>
  <c r="E71"/>
  <c r="D71"/>
  <c r="C71"/>
  <c r="B71"/>
  <c r="V70"/>
  <c r="U70"/>
  <c r="T70"/>
  <c r="S70"/>
  <c r="R70"/>
  <c r="Q70"/>
  <c r="P70"/>
  <c r="O70"/>
  <c r="N70"/>
  <c r="M70"/>
  <c r="L70"/>
  <c r="K70"/>
  <c r="J70"/>
  <c r="I70"/>
  <c r="H70"/>
  <c r="G70"/>
  <c r="F70"/>
  <c r="E70"/>
  <c r="D70"/>
  <c r="C70"/>
  <c r="B70"/>
  <c r="V69"/>
  <c r="U69"/>
  <c r="T69"/>
  <c r="S69"/>
  <c r="R69"/>
  <c r="Q69"/>
  <c r="P69"/>
  <c r="O69"/>
  <c r="N69"/>
  <c r="M69"/>
  <c r="L69"/>
  <c r="K69"/>
  <c r="J69"/>
  <c r="I69"/>
  <c r="H69"/>
  <c r="G69"/>
  <c r="F69"/>
  <c r="E69"/>
  <c r="D69"/>
  <c r="C69"/>
  <c r="B69"/>
  <c r="V68"/>
  <c r="U68"/>
  <c r="T68"/>
  <c r="S68"/>
  <c r="R68"/>
  <c r="Q68"/>
  <c r="P68"/>
  <c r="O68"/>
  <c r="N68"/>
  <c r="M68"/>
  <c r="L68"/>
  <c r="K68"/>
  <c r="J68"/>
  <c r="I68"/>
  <c r="H68"/>
  <c r="G68"/>
  <c r="F68"/>
  <c r="E68"/>
  <c r="D68"/>
  <c r="C68"/>
  <c r="B68"/>
  <c r="V67"/>
  <c r="U67"/>
  <c r="T67"/>
  <c r="S67"/>
  <c r="R67"/>
  <c r="Q67"/>
  <c r="P67"/>
  <c r="O67"/>
  <c r="N67"/>
  <c r="M67"/>
  <c r="L67"/>
  <c r="K67"/>
  <c r="J67"/>
  <c r="I67"/>
  <c r="H67"/>
  <c r="G67"/>
  <c r="F67"/>
  <c r="E67"/>
  <c r="D67"/>
  <c r="C67"/>
  <c r="B67"/>
  <c r="V66"/>
  <c r="U66"/>
  <c r="T66"/>
  <c r="S66"/>
  <c r="R66"/>
  <c r="Q66"/>
  <c r="P66"/>
  <c r="O66"/>
  <c r="N66"/>
  <c r="M66"/>
  <c r="L66"/>
  <c r="K66"/>
  <c r="J66"/>
  <c r="I66"/>
  <c r="H66"/>
  <c r="G66"/>
  <c r="F66"/>
  <c r="E66"/>
  <c r="D66"/>
  <c r="C66"/>
  <c r="B66"/>
  <c r="V65"/>
  <c r="U65"/>
  <c r="T65"/>
  <c r="S65"/>
  <c r="R65"/>
  <c r="Q65"/>
  <c r="P65"/>
  <c r="O65"/>
  <c r="N65"/>
  <c r="M65"/>
  <c r="L65"/>
  <c r="K65"/>
  <c r="J65"/>
  <c r="I65"/>
  <c r="H65"/>
  <c r="G65"/>
  <c r="F65"/>
  <c r="E65"/>
  <c r="D65"/>
  <c r="C65"/>
  <c r="B65"/>
  <c r="V64"/>
  <c r="U64"/>
  <c r="T64"/>
  <c r="S64"/>
  <c r="R64"/>
  <c r="Q64"/>
  <c r="P64"/>
  <c r="O64"/>
  <c r="N64"/>
  <c r="M64"/>
  <c r="L64"/>
  <c r="K64"/>
  <c r="J64"/>
  <c r="I64"/>
  <c r="H64"/>
  <c r="G64"/>
  <c r="F64"/>
  <c r="E64"/>
  <c r="D64"/>
  <c r="C64"/>
  <c r="B64"/>
  <c r="V63"/>
  <c r="U63"/>
  <c r="T63"/>
  <c r="S63"/>
  <c r="R63"/>
  <c r="Q63"/>
  <c r="P63"/>
  <c r="O63"/>
  <c r="N63"/>
  <c r="M63"/>
  <c r="L63"/>
  <c r="K63"/>
  <c r="J63"/>
  <c r="I63"/>
  <c r="H63"/>
  <c r="G63"/>
  <c r="F63"/>
  <c r="E63"/>
  <c r="D63"/>
  <c r="C63"/>
  <c r="B63"/>
  <c r="V62"/>
  <c r="U62"/>
  <c r="T62"/>
  <c r="S62"/>
  <c r="R62"/>
  <c r="Q62"/>
  <c r="P62"/>
  <c r="O62"/>
  <c r="N62"/>
  <c r="M62"/>
  <c r="L62"/>
  <c r="K62"/>
  <c r="J62"/>
  <c r="I62"/>
  <c r="H62"/>
  <c r="G62"/>
  <c r="F62"/>
  <c r="E62"/>
  <c r="D62"/>
  <c r="C62"/>
  <c r="B62"/>
  <c r="V61"/>
  <c r="U61"/>
  <c r="T61"/>
  <c r="S61"/>
  <c r="R61"/>
  <c r="Q61"/>
  <c r="P61"/>
  <c r="O61"/>
  <c r="N61"/>
  <c r="M61"/>
  <c r="L61"/>
  <c r="K61"/>
  <c r="J61"/>
  <c r="I61"/>
  <c r="H61"/>
  <c r="G61"/>
  <c r="F61"/>
  <c r="E61"/>
  <c r="D61"/>
  <c r="C61"/>
  <c r="B61"/>
  <c r="V60"/>
  <c r="U60"/>
  <c r="T60"/>
  <c r="S60"/>
  <c r="R60"/>
  <c r="Q60"/>
  <c r="P60"/>
  <c r="O60"/>
  <c r="N60"/>
  <c r="M60"/>
  <c r="L60"/>
  <c r="K60"/>
  <c r="J60"/>
  <c r="I60"/>
  <c r="H60"/>
  <c r="G60"/>
  <c r="F60"/>
  <c r="E60"/>
  <c r="D60"/>
  <c r="C60"/>
  <c r="B60"/>
  <c r="V59"/>
  <c r="U59"/>
  <c r="T59"/>
  <c r="S59"/>
  <c r="R59"/>
  <c r="Q59"/>
  <c r="P59"/>
  <c r="O59"/>
  <c r="N59"/>
  <c r="M59"/>
  <c r="L59"/>
  <c r="K59"/>
  <c r="J59"/>
  <c r="I59"/>
  <c r="H59"/>
  <c r="G59"/>
  <c r="F59"/>
  <c r="E59"/>
  <c r="D59"/>
  <c r="C59"/>
  <c r="B59"/>
  <c r="V58"/>
  <c r="U58"/>
  <c r="T58"/>
  <c r="S58"/>
  <c r="R58"/>
  <c r="Q58"/>
  <c r="P58"/>
  <c r="O58"/>
  <c r="N58"/>
  <c r="M58"/>
  <c r="L58"/>
  <c r="K58"/>
  <c r="J58"/>
  <c r="I58"/>
  <c r="H58"/>
  <c r="G58"/>
  <c r="F58"/>
  <c r="E58"/>
  <c r="D58"/>
  <c r="C58"/>
  <c r="B58"/>
  <c r="V57"/>
  <c r="U57"/>
  <c r="T57"/>
  <c r="S57"/>
  <c r="R57"/>
  <c r="Q57"/>
  <c r="P57"/>
  <c r="O57"/>
  <c r="N57"/>
  <c r="M57"/>
  <c r="L57"/>
  <c r="K57"/>
  <c r="J57"/>
  <c r="I57"/>
  <c r="H57"/>
  <c r="G57"/>
  <c r="F57"/>
  <c r="E57"/>
  <c r="D57"/>
  <c r="C57"/>
  <c r="B57"/>
  <c r="V56"/>
  <c r="U56"/>
  <c r="T56"/>
  <c r="S56"/>
  <c r="R56"/>
  <c r="Q56"/>
  <c r="P56"/>
  <c r="O56"/>
  <c r="N56"/>
  <c r="M56"/>
  <c r="L56"/>
  <c r="K56"/>
  <c r="J56"/>
  <c r="I56"/>
  <c r="H56"/>
  <c r="G56"/>
  <c r="F56"/>
  <c r="E56"/>
  <c r="D56"/>
  <c r="C56"/>
  <c r="B56"/>
  <c r="V55"/>
  <c r="U55"/>
  <c r="T55"/>
  <c r="S55"/>
  <c r="R55"/>
  <c r="Q55"/>
  <c r="P55"/>
  <c r="O55"/>
  <c r="N55"/>
  <c r="M55"/>
  <c r="L55"/>
  <c r="K55"/>
  <c r="J55"/>
  <c r="I55"/>
  <c r="H55"/>
  <c r="G55"/>
  <c r="F55"/>
  <c r="E55"/>
  <c r="D55"/>
  <c r="C55"/>
  <c r="B55"/>
  <c r="V54"/>
  <c r="U54"/>
  <c r="T54"/>
  <c r="S54"/>
  <c r="R54"/>
  <c r="Q54"/>
  <c r="P54"/>
  <c r="O54"/>
  <c r="N54"/>
  <c r="M54"/>
  <c r="L54"/>
  <c r="K54"/>
  <c r="J54"/>
  <c r="I54"/>
  <c r="H54"/>
  <c r="G54"/>
  <c r="F54"/>
  <c r="E54"/>
  <c r="D54"/>
  <c r="C54"/>
  <c r="B54"/>
  <c r="V53"/>
  <c r="U53"/>
  <c r="T53"/>
  <c r="S53"/>
  <c r="R53"/>
  <c r="Q53"/>
  <c r="P53"/>
  <c r="O53"/>
  <c r="N53"/>
  <c r="M53"/>
  <c r="L53"/>
  <c r="K53"/>
  <c r="J53"/>
  <c r="I53"/>
  <c r="H53"/>
  <c r="G53"/>
  <c r="F53"/>
  <c r="E53"/>
  <c r="D53"/>
  <c r="C53"/>
  <c r="B53"/>
  <c r="V52"/>
  <c r="U52"/>
  <c r="T52"/>
  <c r="S52"/>
  <c r="R52"/>
  <c r="Q52"/>
  <c r="P52"/>
  <c r="O52"/>
  <c r="N52"/>
  <c r="M52"/>
  <c r="L52"/>
  <c r="K52"/>
  <c r="J52"/>
  <c r="I52"/>
  <c r="H52"/>
  <c r="G52"/>
  <c r="F52"/>
  <c r="E52"/>
  <c r="D52"/>
  <c r="C52"/>
  <c r="B52"/>
  <c r="V51"/>
  <c r="U51"/>
  <c r="T51"/>
  <c r="S51"/>
  <c r="R51"/>
  <c r="Q51"/>
  <c r="P51"/>
  <c r="O51"/>
  <c r="N51"/>
  <c r="M51"/>
  <c r="L51"/>
  <c r="K51"/>
  <c r="J51"/>
  <c r="I51"/>
  <c r="H51"/>
  <c r="G51"/>
  <c r="F51"/>
  <c r="E51"/>
  <c r="D51"/>
  <c r="C51"/>
  <c r="B51"/>
  <c r="V50"/>
  <c r="U50"/>
  <c r="T50"/>
  <c r="S50"/>
  <c r="R50"/>
  <c r="Q50"/>
  <c r="P50"/>
  <c r="O50"/>
  <c r="N50"/>
  <c r="M50"/>
  <c r="L50"/>
  <c r="K50"/>
  <c r="J50"/>
  <c r="I50"/>
  <c r="H50"/>
  <c r="G50"/>
  <c r="F50"/>
  <c r="E50"/>
  <c r="D50"/>
  <c r="C50"/>
  <c r="B50"/>
  <c r="V49"/>
  <c r="U49"/>
  <c r="T49"/>
  <c r="S49"/>
  <c r="R49"/>
  <c r="Q49"/>
  <c r="P49"/>
  <c r="O49"/>
  <c r="N49"/>
  <c r="M49"/>
  <c r="L49"/>
  <c r="K49"/>
  <c r="J49"/>
  <c r="I49"/>
  <c r="H49"/>
  <c r="G49"/>
  <c r="F49"/>
  <c r="E49"/>
  <c r="D49"/>
  <c r="C49"/>
  <c r="B49"/>
  <c r="V48"/>
  <c r="U48"/>
  <c r="T48"/>
  <c r="S48"/>
  <c r="R48"/>
  <c r="Q48"/>
  <c r="P48"/>
  <c r="O48"/>
  <c r="N48"/>
  <c r="M48"/>
  <c r="L48"/>
  <c r="K48"/>
  <c r="J48"/>
  <c r="I48"/>
  <c r="H48"/>
  <c r="G48"/>
  <c r="F48"/>
  <c r="E48"/>
  <c r="D48"/>
  <c r="C48"/>
  <c r="B48"/>
  <c r="V47"/>
  <c r="U47"/>
  <c r="T47"/>
  <c r="S47"/>
  <c r="R47"/>
  <c r="Q47"/>
  <c r="P47"/>
  <c r="O47"/>
  <c r="N47"/>
  <c r="M47"/>
  <c r="L47"/>
  <c r="K47"/>
  <c r="J47"/>
  <c r="I47"/>
  <c r="H47"/>
  <c r="G47"/>
  <c r="F47"/>
  <c r="E47"/>
  <c r="D47"/>
  <c r="C47"/>
  <c r="B47"/>
  <c r="V46"/>
  <c r="U46"/>
  <c r="T46"/>
  <c r="S46"/>
  <c r="R46"/>
  <c r="Q46"/>
  <c r="P46"/>
  <c r="O46"/>
  <c r="N46"/>
  <c r="M46"/>
  <c r="L46"/>
  <c r="K46"/>
  <c r="J46"/>
  <c r="I46"/>
  <c r="H46"/>
  <c r="G46"/>
  <c r="F46"/>
  <c r="E46"/>
  <c r="D46"/>
  <c r="C46"/>
  <c r="B46"/>
  <c r="V45"/>
  <c r="U45"/>
  <c r="T45"/>
  <c r="S45"/>
  <c r="R45"/>
  <c r="Q45"/>
  <c r="P45"/>
  <c r="O45"/>
  <c r="N45"/>
  <c r="M45"/>
  <c r="L45"/>
  <c r="K45"/>
  <c r="J45"/>
  <c r="I45"/>
  <c r="H45"/>
  <c r="G45"/>
  <c r="F45"/>
  <c r="E45"/>
  <c r="D45"/>
  <c r="C45"/>
  <c r="B45"/>
  <c r="V44"/>
  <c r="U44"/>
  <c r="T44"/>
  <c r="S44"/>
  <c r="R44"/>
  <c r="Q44"/>
  <c r="P44"/>
  <c r="O44"/>
  <c r="N44"/>
  <c r="M44"/>
  <c r="L44"/>
  <c r="K44"/>
  <c r="J44"/>
  <c r="I44"/>
  <c r="H44"/>
  <c r="G44"/>
  <c r="F44"/>
  <c r="E44"/>
  <c r="D44"/>
  <c r="C44"/>
  <c r="B44"/>
  <c r="V43"/>
  <c r="U43"/>
  <c r="T43"/>
  <c r="S43"/>
  <c r="R43"/>
  <c r="Q43"/>
  <c r="P43"/>
  <c r="O43"/>
  <c r="N43"/>
  <c r="M43"/>
  <c r="L43"/>
  <c r="K43"/>
  <c r="J43"/>
  <c r="I43"/>
  <c r="H43"/>
  <c r="G43"/>
  <c r="F43"/>
  <c r="E43"/>
  <c r="D43"/>
  <c r="C43"/>
  <c r="B43"/>
  <c r="V42"/>
  <c r="U42"/>
  <c r="T42"/>
  <c r="S42"/>
  <c r="R42"/>
  <c r="Q42"/>
  <c r="P42"/>
  <c r="O42"/>
  <c r="N42"/>
  <c r="M42"/>
  <c r="L42"/>
  <c r="K42"/>
  <c r="J42"/>
  <c r="I42"/>
  <c r="H42"/>
  <c r="G42"/>
  <c r="F42"/>
  <c r="E42"/>
  <c r="D42"/>
  <c r="C42"/>
  <c r="B42"/>
  <c r="V41"/>
  <c r="U41"/>
  <c r="T41"/>
  <c r="S41"/>
  <c r="R41"/>
  <c r="Q41"/>
  <c r="P41"/>
  <c r="O41"/>
  <c r="N41"/>
  <c r="M41"/>
  <c r="L41"/>
  <c r="K41"/>
  <c r="J41"/>
  <c r="I41"/>
  <c r="H41"/>
  <c r="G41"/>
  <c r="F41"/>
  <c r="E41"/>
  <c r="D41"/>
  <c r="C41"/>
  <c r="B41"/>
  <c r="V40"/>
  <c r="U40"/>
  <c r="T40"/>
  <c r="S40"/>
  <c r="R40"/>
  <c r="Q40"/>
  <c r="P40"/>
  <c r="O40"/>
  <c r="N40"/>
  <c r="M40"/>
  <c r="L40"/>
  <c r="K40"/>
  <c r="J40"/>
  <c r="I40"/>
  <c r="H40"/>
  <c r="G40"/>
  <c r="F40"/>
  <c r="E40"/>
  <c r="D40"/>
  <c r="C40"/>
  <c r="B40"/>
  <c r="V39"/>
  <c r="U39"/>
  <c r="T39"/>
  <c r="S39"/>
  <c r="R39"/>
  <c r="Q39"/>
  <c r="P39"/>
  <c r="O39"/>
  <c r="N39"/>
  <c r="M39"/>
  <c r="L39"/>
  <c r="K39"/>
  <c r="J39"/>
  <c r="I39"/>
  <c r="H39"/>
  <c r="G39"/>
  <c r="F39"/>
  <c r="E39"/>
  <c r="D39"/>
  <c r="C39"/>
  <c r="B39"/>
  <c r="V38"/>
  <c r="U38"/>
  <c r="T38"/>
  <c r="S38"/>
  <c r="R38"/>
  <c r="Q38"/>
  <c r="P38"/>
  <c r="O38"/>
  <c r="N38"/>
  <c r="M38"/>
  <c r="L38"/>
  <c r="K38"/>
  <c r="J38"/>
  <c r="I38"/>
  <c r="H38"/>
  <c r="G38"/>
  <c r="F38"/>
  <c r="E38"/>
  <c r="D38"/>
  <c r="C38"/>
  <c r="B38"/>
  <c r="V37"/>
  <c r="U37"/>
  <c r="T37"/>
  <c r="S37"/>
  <c r="R37"/>
  <c r="Q37"/>
  <c r="P37"/>
  <c r="O37"/>
  <c r="N37"/>
  <c r="M37"/>
  <c r="L37"/>
  <c r="K37"/>
  <c r="J37"/>
  <c r="I37"/>
  <c r="H37"/>
  <c r="G37"/>
  <c r="F37"/>
  <c r="E37"/>
  <c r="D37"/>
  <c r="C37"/>
  <c r="B37"/>
  <c r="V36"/>
  <c r="U36"/>
  <c r="T36"/>
  <c r="S36"/>
  <c r="R36"/>
  <c r="Q36"/>
  <c r="P36"/>
  <c r="O36"/>
  <c r="N36"/>
  <c r="M36"/>
  <c r="L36"/>
  <c r="K36"/>
  <c r="J36"/>
  <c r="I36"/>
  <c r="H36"/>
  <c r="G36"/>
  <c r="F36"/>
  <c r="E36"/>
  <c r="D36"/>
  <c r="C36"/>
  <c r="B36"/>
  <c r="V35"/>
  <c r="U35"/>
  <c r="T35"/>
  <c r="S35"/>
  <c r="R35"/>
  <c r="Q35"/>
  <c r="P35"/>
  <c r="O35"/>
  <c r="N35"/>
  <c r="M35"/>
  <c r="L35"/>
  <c r="K35"/>
  <c r="J35"/>
  <c r="I35"/>
  <c r="H35"/>
  <c r="G35"/>
  <c r="F35"/>
  <c r="E35"/>
  <c r="D35"/>
  <c r="C35"/>
  <c r="B35"/>
  <c r="AC32"/>
  <c r="AD312" i="9" s="1"/>
  <c r="AC31" i="15"/>
  <c r="AD301" i="9" s="1"/>
  <c r="AC30" i="15"/>
  <c r="AD290" i="9" s="1"/>
  <c r="AC29" i="15"/>
  <c r="AD279" i="9" s="1"/>
  <c r="U14" l="1"/>
  <c r="U346" s="1"/>
  <c r="AL4"/>
  <c r="AL345" s="1"/>
  <c r="P14"/>
  <c r="P346" s="1"/>
  <c r="AJ4"/>
  <c r="AJ345" s="1"/>
  <c r="K14"/>
  <c r="K346" s="1"/>
  <c r="AH4"/>
  <c r="AH345" s="1"/>
  <c r="W145" i="15"/>
  <c r="X145" s="1"/>
  <c r="Y145" s="1"/>
  <c r="Z148"/>
  <c r="AA148" s="1"/>
  <c r="W149"/>
  <c r="X149" s="1"/>
  <c r="Y149" s="1"/>
  <c r="Z43" i="16"/>
  <c r="Z45"/>
  <c r="AA45" s="1"/>
  <c r="W143" i="15"/>
  <c r="W147"/>
  <c r="X147" s="1"/>
  <c r="Y147" s="1"/>
  <c r="W49"/>
  <c r="W51"/>
  <c r="X51" s="1"/>
  <c r="Y51" s="1"/>
  <c r="W53"/>
  <c r="W55"/>
  <c r="X55" s="1"/>
  <c r="Y55" s="1"/>
  <c r="W57"/>
  <c r="W59"/>
  <c r="X59" s="1"/>
  <c r="Y59" s="1"/>
  <c r="Z60"/>
  <c r="AA60" s="1"/>
  <c r="W61"/>
  <c r="X61" s="1"/>
  <c r="Y61" s="1"/>
  <c r="Z62"/>
  <c r="AA62" s="1"/>
  <c r="W63"/>
  <c r="X63" s="1"/>
  <c r="Y63" s="1"/>
  <c r="Z64"/>
  <c r="AA64" s="1"/>
  <c r="W65"/>
  <c r="X65" s="1"/>
  <c r="Y65" s="1"/>
  <c r="Z66"/>
  <c r="AA66" s="1"/>
  <c r="W67"/>
  <c r="X67" s="1"/>
  <c r="Y67" s="1"/>
  <c r="Z68"/>
  <c r="AA68" s="1"/>
  <c r="W69"/>
  <c r="X69" s="1"/>
  <c r="Y69" s="1"/>
  <c r="Z70"/>
  <c r="AA70" s="1"/>
  <c r="W71"/>
  <c r="X71" s="1"/>
  <c r="Y71" s="1"/>
  <c r="Z72"/>
  <c r="AA72" s="1"/>
  <c r="W73"/>
  <c r="Z74"/>
  <c r="AA74" s="1"/>
  <c r="W75"/>
  <c r="W77"/>
  <c r="W79"/>
  <c r="W81"/>
  <c r="W83"/>
  <c r="X83" s="1"/>
  <c r="Y83" s="1"/>
  <c r="W85"/>
  <c r="W87"/>
  <c r="X87" s="1"/>
  <c r="Y87" s="1"/>
  <c r="Z88"/>
  <c r="AA88" s="1"/>
  <c r="W89"/>
  <c r="Z90"/>
  <c r="AA90" s="1"/>
  <c r="W91"/>
  <c r="X91" s="1"/>
  <c r="Y91" s="1"/>
  <c r="Z92"/>
  <c r="AA92" s="1"/>
  <c r="W93"/>
  <c r="X93" s="1"/>
  <c r="Y93" s="1"/>
  <c r="Z94"/>
  <c r="AA94" s="1"/>
  <c r="W95"/>
  <c r="X95" s="1"/>
  <c r="Y95" s="1"/>
  <c r="Z96"/>
  <c r="AA96" s="1"/>
  <c r="W97"/>
  <c r="X97" s="1"/>
  <c r="Y97" s="1"/>
  <c r="Z98"/>
  <c r="AA98" s="1"/>
  <c r="W99"/>
  <c r="X99" s="1"/>
  <c r="Y99" s="1"/>
  <c r="Z100"/>
  <c r="AA100" s="1"/>
  <c r="W101"/>
  <c r="X101" s="1"/>
  <c r="Y101" s="1"/>
  <c r="W103"/>
  <c r="W105"/>
  <c r="X105" s="1"/>
  <c r="Y105" s="1"/>
  <c r="Z106"/>
  <c r="AA106" s="1"/>
  <c r="W107"/>
  <c r="X107" s="1"/>
  <c r="Y107" s="1"/>
  <c r="W109"/>
  <c r="W111"/>
  <c r="Z112"/>
  <c r="AA112" s="1"/>
  <c r="W113"/>
  <c r="X113" s="1"/>
  <c r="Y113" s="1"/>
  <c r="W115"/>
  <c r="W117"/>
  <c r="X117" s="1"/>
  <c r="Y117" s="1"/>
  <c r="Z118"/>
  <c r="AA118" s="1"/>
  <c r="W119"/>
  <c r="X119" s="1"/>
  <c r="Y119" s="1"/>
  <c r="W121"/>
  <c r="Z122"/>
  <c r="AA122" s="1"/>
  <c r="W123"/>
  <c r="W125"/>
  <c r="X125" s="1"/>
  <c r="Y125" s="1"/>
  <c r="Z126"/>
  <c r="AA126" s="1"/>
  <c r="W127"/>
  <c r="X127" s="1"/>
  <c r="Y127" s="1"/>
  <c r="W129"/>
  <c r="Z130"/>
  <c r="AA130" s="1"/>
  <c r="W131"/>
  <c r="W133"/>
  <c r="X133" s="1"/>
  <c r="Y133" s="1"/>
  <c r="W135"/>
  <c r="W137"/>
  <c r="X137" s="1"/>
  <c r="Y137" s="1"/>
  <c r="W139"/>
  <c r="W141"/>
  <c r="X141" s="1"/>
  <c r="Y141" s="1"/>
  <c r="Z142"/>
  <c r="AA142" s="1"/>
  <c r="W35"/>
  <c r="X35" s="1"/>
  <c r="Y35" s="1"/>
  <c r="W37"/>
  <c r="W39"/>
  <c r="X39" s="1"/>
  <c r="Y39" s="1"/>
  <c r="W41"/>
  <c r="W43"/>
  <c r="X43" s="1"/>
  <c r="Y43" s="1"/>
  <c r="W45"/>
  <c r="W47"/>
  <c r="X47" s="1"/>
  <c r="Y47" s="1"/>
  <c r="W148"/>
  <c r="N4" i="3"/>
  <c r="R4" s="1"/>
  <c r="W150" i="15"/>
  <c r="Z35"/>
  <c r="AA35" s="1"/>
  <c r="W36"/>
  <c r="X36" s="1"/>
  <c r="Y36" s="1"/>
  <c r="Z37"/>
  <c r="AA37" s="1"/>
  <c r="W38"/>
  <c r="X38" s="1"/>
  <c r="Y38" s="1"/>
  <c r="Z39"/>
  <c r="AA39" s="1"/>
  <c r="W40"/>
  <c r="X40" s="1"/>
  <c r="Y40" s="1"/>
  <c r="Z41"/>
  <c r="AA41" s="1"/>
  <c r="W42"/>
  <c r="X42" s="1"/>
  <c r="Y42" s="1"/>
  <c r="Z43"/>
  <c r="AA43" s="1"/>
  <c r="W44"/>
  <c r="X44" s="1"/>
  <c r="Y44" s="1"/>
  <c r="Z45"/>
  <c r="AA45" s="1"/>
  <c r="W46"/>
  <c r="X46" s="1"/>
  <c r="Y46" s="1"/>
  <c r="Z47"/>
  <c r="AA47" s="1"/>
  <c r="W48"/>
  <c r="X48" s="1"/>
  <c r="Y48" s="1"/>
  <c r="Z49"/>
  <c r="AA49" s="1"/>
  <c r="W50"/>
  <c r="X50" s="1"/>
  <c r="Y50" s="1"/>
  <c r="Z51"/>
  <c r="AA51" s="1"/>
  <c r="W52"/>
  <c r="X52" s="1"/>
  <c r="Y52" s="1"/>
  <c r="Z53"/>
  <c r="AA53" s="1"/>
  <c r="W54"/>
  <c r="X54" s="1"/>
  <c r="Y54" s="1"/>
  <c r="Z55"/>
  <c r="AA55" s="1"/>
  <c r="W56"/>
  <c r="X56" s="1"/>
  <c r="Y56" s="1"/>
  <c r="Z57"/>
  <c r="AA57" s="1"/>
  <c r="W58"/>
  <c r="X58" s="1"/>
  <c r="Y58" s="1"/>
  <c r="Z59"/>
  <c r="AA59" s="1"/>
  <c r="W60"/>
  <c r="X60" s="1"/>
  <c r="Y60" s="1"/>
  <c r="Z61"/>
  <c r="AA61" s="1"/>
  <c r="W62"/>
  <c r="X62" s="1"/>
  <c r="Y62" s="1"/>
  <c r="Z63"/>
  <c r="AA63" s="1"/>
  <c r="W64"/>
  <c r="X64" s="1"/>
  <c r="Y64" s="1"/>
  <c r="Z65"/>
  <c r="AA65" s="1"/>
  <c r="W66"/>
  <c r="X66" s="1"/>
  <c r="Y66" s="1"/>
  <c r="Z67"/>
  <c r="AA67" s="1"/>
  <c r="W68"/>
  <c r="X68" s="1"/>
  <c r="Y68" s="1"/>
  <c r="Z69"/>
  <c r="AA69" s="1"/>
  <c r="W70"/>
  <c r="X70" s="1"/>
  <c r="Y70" s="1"/>
  <c r="Z71"/>
  <c r="AA71" s="1"/>
  <c r="W72"/>
  <c r="X72" s="1"/>
  <c r="Y72" s="1"/>
  <c r="Z73"/>
  <c r="AA73" s="1"/>
  <c r="W74"/>
  <c r="X74" s="1"/>
  <c r="Y74" s="1"/>
  <c r="W76"/>
  <c r="W78"/>
  <c r="W80"/>
  <c r="X80" s="1"/>
  <c r="Y80" s="1"/>
  <c r="W82"/>
  <c r="W84"/>
  <c r="X84" s="1"/>
  <c r="Y84" s="1"/>
  <c r="W86"/>
  <c r="Z87"/>
  <c r="AA87" s="1"/>
  <c r="W88"/>
  <c r="X88" s="1"/>
  <c r="Y88" s="1"/>
  <c r="Z89"/>
  <c r="AA89" s="1"/>
  <c r="W90"/>
  <c r="X90" s="1"/>
  <c r="Y90" s="1"/>
  <c r="Z91"/>
  <c r="AA91" s="1"/>
  <c r="W92"/>
  <c r="X92" s="1"/>
  <c r="Y92" s="1"/>
  <c r="Z93"/>
  <c r="AA93" s="1"/>
  <c r="W94"/>
  <c r="X94" s="1"/>
  <c r="Y94" s="1"/>
  <c r="Z95"/>
  <c r="AA95" s="1"/>
  <c r="W96"/>
  <c r="X96" s="1"/>
  <c r="Y96" s="1"/>
  <c r="Z97"/>
  <c r="AA97" s="1"/>
  <c r="W98"/>
  <c r="X98" s="1"/>
  <c r="Y98" s="1"/>
  <c r="Z99"/>
  <c r="AA99" s="1"/>
  <c r="W100"/>
  <c r="X100" s="1"/>
  <c r="Y100" s="1"/>
  <c r="W102"/>
  <c r="X102" s="1"/>
  <c r="Y102" s="1"/>
  <c r="W104"/>
  <c r="W106"/>
  <c r="W108"/>
  <c r="X108" s="1"/>
  <c r="Y108" s="1"/>
  <c r="W110"/>
  <c r="W112"/>
  <c r="X112" s="1"/>
  <c r="Y112" s="1"/>
  <c r="W114"/>
  <c r="X114" s="1"/>
  <c r="Y114" s="1"/>
  <c r="W116"/>
  <c r="X116" s="1"/>
  <c r="Y116" s="1"/>
  <c r="W118"/>
  <c r="X118" s="1"/>
  <c r="Y118" s="1"/>
  <c r="W120"/>
  <c r="X120" s="1"/>
  <c r="Y120" s="1"/>
  <c r="W122"/>
  <c r="X122" s="1"/>
  <c r="Y122" s="1"/>
  <c r="W124"/>
  <c r="X124" s="1"/>
  <c r="Y124" s="1"/>
  <c r="W126"/>
  <c r="X126" s="1"/>
  <c r="Y126" s="1"/>
  <c r="W128"/>
  <c r="X128" s="1"/>
  <c r="Y128" s="1"/>
  <c r="W130"/>
  <c r="X130" s="1"/>
  <c r="Y130" s="1"/>
  <c r="W132"/>
  <c r="X132" s="1"/>
  <c r="Y132" s="1"/>
  <c r="W134"/>
  <c r="X134" s="1"/>
  <c r="Y134" s="1"/>
  <c r="W136"/>
  <c r="X136" s="1"/>
  <c r="Y136" s="1"/>
  <c r="W138"/>
  <c r="X138" s="1"/>
  <c r="Y138" s="1"/>
  <c r="W142"/>
  <c r="X142" s="1"/>
  <c r="Y142" s="1"/>
  <c r="W144"/>
  <c r="W146"/>
  <c r="X146" s="1"/>
  <c r="Y146" s="1"/>
  <c r="A10" i="16"/>
  <c r="A8" i="5"/>
  <c r="Z131" i="15"/>
  <c r="AA131" s="1"/>
  <c r="Z132"/>
  <c r="AA132" s="1"/>
  <c r="Z136"/>
  <c r="AA136" s="1"/>
  <c r="Z36"/>
  <c r="Z38"/>
  <c r="AA38" s="1"/>
  <c r="Z40"/>
  <c r="Z42"/>
  <c r="AA42" s="1"/>
  <c r="Z44"/>
  <c r="Z46"/>
  <c r="AA46" s="1"/>
  <c r="Z48"/>
  <c r="Z50"/>
  <c r="AA50" s="1"/>
  <c r="Z52"/>
  <c r="Z54"/>
  <c r="AA54" s="1"/>
  <c r="Z56"/>
  <c r="Z58"/>
  <c r="AA58" s="1"/>
  <c r="Z76"/>
  <c r="AA76" s="1"/>
  <c r="Z78"/>
  <c r="AA78" s="1"/>
  <c r="X82"/>
  <c r="Y82" s="1"/>
  <c r="X86"/>
  <c r="Y86" s="1"/>
  <c r="X104"/>
  <c r="Y104" s="1"/>
  <c r="X109"/>
  <c r="Y109" s="1"/>
  <c r="X111"/>
  <c r="Y111" s="1"/>
  <c r="X115"/>
  <c r="Y115" s="1"/>
  <c r="X121"/>
  <c r="Y121" s="1"/>
  <c r="X129"/>
  <c r="Y129" s="1"/>
  <c r="X135"/>
  <c r="Y135" s="1"/>
  <c r="X139"/>
  <c r="Y139" s="1"/>
  <c r="Z144"/>
  <c r="AA144" s="1"/>
  <c r="X150"/>
  <c r="Y150" s="1"/>
  <c r="X37"/>
  <c r="Y37" s="1"/>
  <c r="X41"/>
  <c r="Y41" s="1"/>
  <c r="X45"/>
  <c r="Y45" s="1"/>
  <c r="X49"/>
  <c r="Y49" s="1"/>
  <c r="X53"/>
  <c r="Y53" s="1"/>
  <c r="X57"/>
  <c r="Y57" s="1"/>
  <c r="X73"/>
  <c r="Y73" s="1"/>
  <c r="Z75"/>
  <c r="Z77"/>
  <c r="Z79"/>
  <c r="X81"/>
  <c r="Y81" s="1"/>
  <c r="X85"/>
  <c r="Y85" s="1"/>
  <c r="X89"/>
  <c r="Y89" s="1"/>
  <c r="X103"/>
  <c r="Y103" s="1"/>
  <c r="Z104"/>
  <c r="X106"/>
  <c r="Y106" s="1"/>
  <c r="Z108"/>
  <c r="X110"/>
  <c r="Y110" s="1"/>
  <c r="Z114"/>
  <c r="Z115"/>
  <c r="Z116"/>
  <c r="Z120"/>
  <c r="X123"/>
  <c r="Y123" s="1"/>
  <c r="Z124"/>
  <c r="Z128"/>
  <c r="X131"/>
  <c r="Y131" s="1"/>
  <c r="Z134"/>
  <c r="Z138"/>
  <c r="Z140"/>
  <c r="X143"/>
  <c r="Y143" s="1"/>
  <c r="Z146"/>
  <c r="X148"/>
  <c r="Y148" s="1"/>
  <c r="Z150"/>
  <c r="T10" i="16" l="1"/>
  <c r="X10" s="1"/>
  <c r="H10"/>
  <c r="L10" s="1"/>
  <c r="B10"/>
  <c r="N10"/>
  <c r="R10" s="1"/>
  <c r="U4" i="3"/>
  <c r="O4"/>
  <c r="A11" i="16"/>
  <c r="T11" s="1"/>
  <c r="X11" s="1"/>
  <c r="N5" i="3"/>
  <c r="O5" s="1"/>
  <c r="A9" i="5"/>
  <c r="AA56" i="15"/>
  <c r="AA52"/>
  <c r="AA48"/>
  <c r="AA44"/>
  <c r="AA40"/>
  <c r="AA36"/>
  <c r="AA146"/>
  <c r="AA140"/>
  <c r="AA138"/>
  <c r="AA134"/>
  <c r="AA128"/>
  <c r="AA124"/>
  <c r="AA120"/>
  <c r="AA116"/>
  <c r="AA115"/>
  <c r="AA114"/>
  <c r="AA108"/>
  <c r="AA104"/>
  <c r="AA79"/>
  <c r="AA77"/>
  <c r="AA75"/>
  <c r="AC28"/>
  <c r="AD268" i="9" s="1"/>
  <c r="H11" i="16" l="1"/>
  <c r="N11"/>
  <c r="B11"/>
  <c r="D19" i="7" s="1"/>
  <c r="A12" i="16"/>
  <c r="T12" s="1"/>
  <c r="X12" s="1"/>
  <c r="X5" i="3"/>
  <c r="R5"/>
  <c r="U5"/>
  <c r="N6"/>
  <c r="A10" i="5"/>
  <c r="AC27" i="15"/>
  <c r="AD257" i="9" s="1"/>
  <c r="AC26" i="15"/>
  <c r="AD246" i="9" s="1"/>
  <c r="AC25" i="15"/>
  <c r="AD235" i="9" s="1"/>
  <c r="AC24" i="15"/>
  <c r="AD224" i="9" s="1"/>
  <c r="L11" i="16" l="1"/>
  <c r="N12"/>
  <c r="R12" s="1"/>
  <c r="B12"/>
  <c r="H12"/>
  <c r="L12" s="1"/>
  <c r="R11"/>
  <c r="A13"/>
  <c r="T13" s="1"/>
  <c r="X13" s="1"/>
  <c r="X6" i="3"/>
  <c r="R6"/>
  <c r="O6"/>
  <c r="U6"/>
  <c r="N7"/>
  <c r="A11" i="5"/>
  <c r="AC23" i="15"/>
  <c r="AD213" i="9" s="1"/>
  <c r="AC22" i="15"/>
  <c r="AD202" i="9" s="1"/>
  <c r="AC21" i="15"/>
  <c r="AD191" i="9" s="1"/>
  <c r="F12" i="16" l="1"/>
  <c r="D20" i="7"/>
  <c r="H13" i="16"/>
  <c r="L13" s="1"/>
  <c r="N13"/>
  <c r="B13"/>
  <c r="A14"/>
  <c r="T14" s="1"/>
  <c r="X14" s="1"/>
  <c r="X7" i="3"/>
  <c r="O7"/>
  <c r="U7"/>
  <c r="R7"/>
  <c r="N8"/>
  <c r="A12" i="5"/>
  <c r="AC20" i="15"/>
  <c r="AD180" i="9" s="1"/>
  <c r="AC19" i="15"/>
  <c r="AD169" i="9" s="1"/>
  <c r="AC18" i="15"/>
  <c r="AD158" i="9" s="1"/>
  <c r="F13" i="16" l="1"/>
  <c r="D29" i="7"/>
  <c r="N14" i="16"/>
  <c r="R14" s="1"/>
  <c r="B14"/>
  <c r="F14" s="1"/>
  <c r="H14"/>
  <c r="R13"/>
  <c r="A15"/>
  <c r="T15" s="1"/>
  <c r="X8" i="3"/>
  <c r="R8"/>
  <c r="U8"/>
  <c r="O8"/>
  <c r="N9"/>
  <c r="A13" i="5"/>
  <c r="AC17" i="15"/>
  <c r="AD147" i="9" s="1"/>
  <c r="AC16" i="15"/>
  <c r="AD136" i="9" s="1"/>
  <c r="X15" i="16" l="1"/>
  <c r="H15"/>
  <c r="L15" s="1"/>
  <c r="N15"/>
  <c r="B15"/>
  <c r="F15" s="1"/>
  <c r="L14"/>
  <c r="A16"/>
  <c r="T16" s="1"/>
  <c r="X16" s="1"/>
  <c r="X9" i="3"/>
  <c r="R9"/>
  <c r="U9"/>
  <c r="O9"/>
  <c r="N10"/>
  <c r="R10" s="1"/>
  <c r="A14" i="5"/>
  <c r="N16" i="16" l="1"/>
  <c r="R16" s="1"/>
  <c r="B16"/>
  <c r="F16" s="1"/>
  <c r="H16"/>
  <c r="L16" s="1"/>
  <c r="R15"/>
  <c r="A17"/>
  <c r="T17" s="1"/>
  <c r="X17" s="1"/>
  <c r="X10" i="3"/>
  <c r="U10"/>
  <c r="O10"/>
  <c r="N11"/>
  <c r="O11" s="1"/>
  <c r="A15" i="5"/>
  <c r="AC15" i="15"/>
  <c r="AD125" i="9" s="1"/>
  <c r="AC14" i="15"/>
  <c r="AD114" i="9" s="1"/>
  <c r="AC13" i="15"/>
  <c r="AD103" i="9" s="1"/>
  <c r="AC12" i="15"/>
  <c r="AD92" i="9" s="1"/>
  <c r="A12" i="15"/>
  <c r="U12" s="1"/>
  <c r="AC11"/>
  <c r="AD81" i="9" s="1"/>
  <c r="A11" i="15"/>
  <c r="U11" s="1"/>
  <c r="AC10"/>
  <c r="AD70" i="9" s="1"/>
  <c r="A10" i="15"/>
  <c r="V10" s="1"/>
  <c r="AC9"/>
  <c r="AD59" i="9" s="1"/>
  <c r="A9" i="15"/>
  <c r="U9" s="1"/>
  <c r="AC8"/>
  <c r="AD48" i="9" s="1"/>
  <c r="A8" i="15"/>
  <c r="U8" s="1"/>
  <c r="AC7"/>
  <c r="AD37" i="9" s="1"/>
  <c r="A7" i="15"/>
  <c r="U7" s="1"/>
  <c r="AC6"/>
  <c r="AD26" i="9" s="1"/>
  <c r="A6" i="15"/>
  <c r="V6" s="1"/>
  <c r="AC5"/>
  <c r="AD15" i="9" s="1"/>
  <c r="H17" i="16" l="1"/>
  <c r="L17" s="1"/>
  <c r="N17"/>
  <c r="B17"/>
  <c r="F17" s="1"/>
  <c r="A13" i="15"/>
  <c r="U13" s="1"/>
  <c r="F7"/>
  <c r="N7"/>
  <c r="V7"/>
  <c r="F11"/>
  <c r="N11"/>
  <c r="V11"/>
  <c r="B7"/>
  <c r="J7"/>
  <c r="R7"/>
  <c r="B11"/>
  <c r="J11"/>
  <c r="R11"/>
  <c r="A18" i="16"/>
  <c r="T18" s="1"/>
  <c r="X18" s="1"/>
  <c r="X11" i="3"/>
  <c r="R11"/>
  <c r="U11"/>
  <c r="D9" i="15"/>
  <c r="H9"/>
  <c r="L9"/>
  <c r="P9"/>
  <c r="T9"/>
  <c r="D7"/>
  <c r="H7"/>
  <c r="L7"/>
  <c r="P7"/>
  <c r="T7"/>
  <c r="B9"/>
  <c r="F9"/>
  <c r="J9"/>
  <c r="N9"/>
  <c r="R9"/>
  <c r="V9"/>
  <c r="D11"/>
  <c r="H11"/>
  <c r="L11"/>
  <c r="P11"/>
  <c r="T11"/>
  <c r="N12" i="3"/>
  <c r="A16" i="5"/>
  <c r="C6" i="15"/>
  <c r="AD6" s="1"/>
  <c r="AU26" i="9" s="1"/>
  <c r="E6" i="15"/>
  <c r="G6"/>
  <c r="I6"/>
  <c r="K6"/>
  <c r="M6"/>
  <c r="O6"/>
  <c r="Q6"/>
  <c r="S6"/>
  <c r="U6"/>
  <c r="E10"/>
  <c r="G10"/>
  <c r="I10"/>
  <c r="K10"/>
  <c r="M10"/>
  <c r="O10"/>
  <c r="Q10"/>
  <c r="S10"/>
  <c r="U10"/>
  <c r="B6"/>
  <c r="D6"/>
  <c r="F6"/>
  <c r="H6"/>
  <c r="J6"/>
  <c r="L6"/>
  <c r="N6"/>
  <c r="P6"/>
  <c r="R6"/>
  <c r="T6"/>
  <c r="E7"/>
  <c r="G7"/>
  <c r="I7"/>
  <c r="K7"/>
  <c r="M7"/>
  <c r="O7"/>
  <c r="Q7"/>
  <c r="S7"/>
  <c r="B8"/>
  <c r="D8"/>
  <c r="F8"/>
  <c r="H8"/>
  <c r="J8"/>
  <c r="L8"/>
  <c r="N8"/>
  <c r="P8"/>
  <c r="R8"/>
  <c r="T8"/>
  <c r="V8"/>
  <c r="E9"/>
  <c r="G9"/>
  <c r="I9"/>
  <c r="K9"/>
  <c r="M9"/>
  <c r="O9"/>
  <c r="Q9"/>
  <c r="S9"/>
  <c r="B10"/>
  <c r="D10"/>
  <c r="F10"/>
  <c r="H10"/>
  <c r="J10"/>
  <c r="L10"/>
  <c r="N10"/>
  <c r="P10"/>
  <c r="R10"/>
  <c r="T10"/>
  <c r="C11"/>
  <c r="AD11" s="1"/>
  <c r="AU81" i="9" s="1"/>
  <c r="E11" i="15"/>
  <c r="G11"/>
  <c r="I11"/>
  <c r="K11"/>
  <c r="M11"/>
  <c r="O11"/>
  <c r="Q11"/>
  <c r="S11"/>
  <c r="B12"/>
  <c r="D12"/>
  <c r="F12"/>
  <c r="H12"/>
  <c r="J12"/>
  <c r="L12"/>
  <c r="N12"/>
  <c r="P12"/>
  <c r="R12"/>
  <c r="T12"/>
  <c r="V12"/>
  <c r="C8"/>
  <c r="AD8" s="1"/>
  <c r="AU48" i="9" s="1"/>
  <c r="E8" i="15"/>
  <c r="G8"/>
  <c r="I8"/>
  <c r="K8"/>
  <c r="M8"/>
  <c r="O8"/>
  <c r="Q8"/>
  <c r="S8"/>
  <c r="C12"/>
  <c r="AD12" s="1"/>
  <c r="AU92" i="9" s="1"/>
  <c r="E12" i="15"/>
  <c r="G12"/>
  <c r="I12"/>
  <c r="K12"/>
  <c r="M12"/>
  <c r="O12"/>
  <c r="Q12"/>
  <c r="S12"/>
  <c r="AC4"/>
  <c r="N18" i="16" l="1"/>
  <c r="R18" s="1"/>
  <c r="B18"/>
  <c r="F18" s="1"/>
  <c r="H18"/>
  <c r="L18" s="1"/>
  <c r="R17"/>
  <c r="K13" i="15"/>
  <c r="H13"/>
  <c r="S13"/>
  <c r="C13"/>
  <c r="AD13" s="1"/>
  <c r="AU103" i="9" s="1"/>
  <c r="N13" i="15"/>
  <c r="O13"/>
  <c r="G13"/>
  <c r="P13"/>
  <c r="V13"/>
  <c r="F13"/>
  <c r="Q13"/>
  <c r="M13"/>
  <c r="I13"/>
  <c r="E13"/>
  <c r="Z6"/>
  <c r="AA6" s="1"/>
  <c r="T13"/>
  <c r="L13"/>
  <c r="D13"/>
  <c r="R13"/>
  <c r="J13"/>
  <c r="B13"/>
  <c r="Z13" s="1"/>
  <c r="AA13" s="1"/>
  <c r="Z11"/>
  <c r="AA11" s="1"/>
  <c r="AD4" i="9"/>
  <c r="AD345" s="1"/>
  <c r="AC151" i="15"/>
  <c r="A19" i="16"/>
  <c r="T19" s="1"/>
  <c r="X19" s="1"/>
  <c r="N13" i="3"/>
  <c r="A17" i="5"/>
  <c r="A14" i="15"/>
  <c r="X12" i="3"/>
  <c r="R12"/>
  <c r="U12"/>
  <c r="O12"/>
  <c r="W12" i="15"/>
  <c r="W8"/>
  <c r="X8" s="1"/>
  <c r="Y8" s="1"/>
  <c r="Z12"/>
  <c r="AA12" s="1"/>
  <c r="W11"/>
  <c r="X11" s="1"/>
  <c r="Y11" s="1"/>
  <c r="W10"/>
  <c r="W9"/>
  <c r="Z8"/>
  <c r="AA8" s="1"/>
  <c r="W7"/>
  <c r="W6"/>
  <c r="X6" s="1"/>
  <c r="Y6" s="1"/>
  <c r="A5"/>
  <c r="H19" i="16" l="1"/>
  <c r="L19" s="1"/>
  <c r="N19"/>
  <c r="B19"/>
  <c r="F19" s="1"/>
  <c r="W13" i="15"/>
  <c r="A20" i="16"/>
  <c r="T20" s="1"/>
  <c r="X20" s="1"/>
  <c r="U14" i="15"/>
  <c r="B14"/>
  <c r="F14"/>
  <c r="J14"/>
  <c r="N14"/>
  <c r="R14"/>
  <c r="V14"/>
  <c r="G14"/>
  <c r="K14"/>
  <c r="O14"/>
  <c r="S14"/>
  <c r="C14"/>
  <c r="I14"/>
  <c r="M14"/>
  <c r="Q14"/>
  <c r="E14"/>
  <c r="D14"/>
  <c r="H14"/>
  <c r="L14"/>
  <c r="P14"/>
  <c r="T14"/>
  <c r="X13" i="3"/>
  <c r="R13"/>
  <c r="U13"/>
  <c r="O13"/>
  <c r="N14"/>
  <c r="A18" i="5"/>
  <c r="A15" i="15"/>
  <c r="V5"/>
  <c r="R5"/>
  <c r="N5"/>
  <c r="J5"/>
  <c r="F5"/>
  <c r="B5"/>
  <c r="U5"/>
  <c r="S5"/>
  <c r="Q5"/>
  <c r="O5"/>
  <c r="M5"/>
  <c r="K5"/>
  <c r="I5"/>
  <c r="G5"/>
  <c r="E5"/>
  <c r="C5"/>
  <c r="T5"/>
  <c r="P5"/>
  <c r="L5"/>
  <c r="H5"/>
  <c r="D5"/>
  <c r="N20" i="16" l="1"/>
  <c r="R20" s="1"/>
  <c r="B20"/>
  <c r="F20" s="1"/>
  <c r="H20"/>
  <c r="L20" s="1"/>
  <c r="R19"/>
  <c r="A21"/>
  <c r="T21" s="1"/>
  <c r="X21" s="1"/>
  <c r="N15" i="3"/>
  <c r="A19" i="5"/>
  <c r="A16" i="15"/>
  <c r="U15"/>
  <c r="V15"/>
  <c r="R15"/>
  <c r="N15"/>
  <c r="J15"/>
  <c r="F15"/>
  <c r="B15"/>
  <c r="T15"/>
  <c r="P15"/>
  <c r="L15"/>
  <c r="H15"/>
  <c r="D15"/>
  <c r="E15"/>
  <c r="I15"/>
  <c r="M15"/>
  <c r="Q15"/>
  <c r="C15"/>
  <c r="G15"/>
  <c r="K15"/>
  <c r="O15"/>
  <c r="S15"/>
  <c r="X14" i="3"/>
  <c r="O14"/>
  <c r="U14"/>
  <c r="R14"/>
  <c r="AD14" i="15"/>
  <c r="AU114" i="9" s="1"/>
  <c r="Z14" i="15"/>
  <c r="AA14" s="1"/>
  <c r="W14"/>
  <c r="W5"/>
  <c r="X5" s="1"/>
  <c r="Y5" s="1"/>
  <c r="AD5"/>
  <c r="AU15" i="9" s="1"/>
  <c r="Z5" i="15"/>
  <c r="AA5" s="1"/>
  <c r="A4"/>
  <c r="H21" i="16" l="1"/>
  <c r="L21" s="1"/>
  <c r="N21"/>
  <c r="R21" s="1"/>
  <c r="B21"/>
  <c r="F21" s="1"/>
  <c r="U16" i="15"/>
  <c r="T16"/>
  <c r="P16"/>
  <c r="L16"/>
  <c r="H16"/>
  <c r="V16"/>
  <c r="R16"/>
  <c r="N16"/>
  <c r="J16"/>
  <c r="F16"/>
  <c r="B16"/>
  <c r="D16"/>
  <c r="E16"/>
  <c r="I16"/>
  <c r="M16"/>
  <c r="Q16"/>
  <c r="C16"/>
  <c r="G16"/>
  <c r="K16"/>
  <c r="O16"/>
  <c r="S16"/>
  <c r="X15" i="3"/>
  <c r="R15"/>
  <c r="O15"/>
  <c r="U15"/>
  <c r="AD15" i="15"/>
  <c r="AU125" i="9" s="1"/>
  <c r="Z15" i="15"/>
  <c r="AA15" s="1"/>
  <c r="N16" i="3"/>
  <c r="A20" i="5"/>
  <c r="A17" i="15"/>
  <c r="W15"/>
  <c r="T4"/>
  <c r="R4"/>
  <c r="P4"/>
  <c r="N4"/>
  <c r="L4"/>
  <c r="J4"/>
  <c r="H4"/>
  <c r="F4"/>
  <c r="D4"/>
  <c r="V4"/>
  <c r="U4" s="1"/>
  <c r="S4"/>
  <c r="Q4"/>
  <c r="O4"/>
  <c r="M4"/>
  <c r="K4"/>
  <c r="I4"/>
  <c r="G4"/>
  <c r="E4"/>
  <c r="C4"/>
  <c r="B4"/>
  <c r="AB36" i="12"/>
  <c r="AC31"/>
  <c r="AC30"/>
  <c r="AC29"/>
  <c r="AC28"/>
  <c r="AC27"/>
  <c r="AC26"/>
  <c r="AC25"/>
  <c r="AC24"/>
  <c r="AC23"/>
  <c r="AC22"/>
  <c r="AC21"/>
  <c r="AC20"/>
  <c r="AC19"/>
  <c r="AC18"/>
  <c r="AC17"/>
  <c r="A17"/>
  <c r="AC16"/>
  <c r="A16"/>
  <c r="V16" s="1"/>
  <c r="AC15"/>
  <c r="A15"/>
  <c r="U15" s="1"/>
  <c r="AC14"/>
  <c r="A14"/>
  <c r="V14" s="1"/>
  <c r="AC13"/>
  <c r="A13"/>
  <c r="U13" s="1"/>
  <c r="AC12"/>
  <c r="A12"/>
  <c r="V12" s="1"/>
  <c r="AC11"/>
  <c r="U17" l="1"/>
  <c r="D17"/>
  <c r="A22" i="16"/>
  <c r="T22" s="1"/>
  <c r="X22" s="1"/>
  <c r="A23"/>
  <c r="T23" s="1"/>
  <c r="X23" s="1"/>
  <c r="A18" i="12"/>
  <c r="V18" s="1"/>
  <c r="CO16" i="17"/>
  <c r="AC103" i="9"/>
  <c r="CO14" i="17"/>
  <c r="AC81" i="9"/>
  <c r="CO15" i="17"/>
  <c r="AC92" i="9"/>
  <c r="CO17" i="17"/>
  <c r="AC114" i="9"/>
  <c r="CO18" i="17"/>
  <c r="AC125" i="9"/>
  <c r="CO19" i="17"/>
  <c r="AC136" i="9"/>
  <c r="CO20" i="17"/>
  <c r="AC147" i="9"/>
  <c r="CO21" i="17"/>
  <c r="AC158" i="9"/>
  <c r="AC180"/>
  <c r="CO23" i="17"/>
  <c r="CO25"/>
  <c r="AC202" i="9"/>
  <c r="CO27" i="17"/>
  <c r="AC224" i="9"/>
  <c r="CO29" i="17"/>
  <c r="AC246" i="9"/>
  <c r="CO31" i="17"/>
  <c r="AC268" i="9"/>
  <c r="CO33" i="17"/>
  <c r="AC290" i="9"/>
  <c r="CO22" i="17"/>
  <c r="AC169" i="9"/>
  <c r="CO24" i="17"/>
  <c r="AC191" i="9"/>
  <c r="CO26" i="17"/>
  <c r="AC213" i="9"/>
  <c r="CO28" i="17"/>
  <c r="AC235" i="9"/>
  <c r="CO30" i="17"/>
  <c r="AC257" i="9"/>
  <c r="CO32" i="17"/>
  <c r="AC279" i="9"/>
  <c r="CO34" i="17"/>
  <c r="AC301" i="9"/>
  <c r="F17" i="12"/>
  <c r="N17"/>
  <c r="V17"/>
  <c r="B13"/>
  <c r="J13"/>
  <c r="R13"/>
  <c r="B17"/>
  <c r="J17"/>
  <c r="R17"/>
  <c r="F13"/>
  <c r="N13"/>
  <c r="V13"/>
  <c r="N17" i="3"/>
  <c r="A21" i="5"/>
  <c r="A18" i="15"/>
  <c r="AD16"/>
  <c r="AU136" i="9" s="1"/>
  <c r="Z16" i="15"/>
  <c r="AA16" s="1"/>
  <c r="D13" i="12"/>
  <c r="H13"/>
  <c r="L13"/>
  <c r="P13"/>
  <c r="T13"/>
  <c r="B15"/>
  <c r="F15"/>
  <c r="J15"/>
  <c r="N15"/>
  <c r="R15"/>
  <c r="V15"/>
  <c r="H17"/>
  <c r="L17"/>
  <c r="P17"/>
  <c r="T17"/>
  <c r="W16" i="15"/>
  <c r="V17"/>
  <c r="D17"/>
  <c r="F17"/>
  <c r="B17"/>
  <c r="E17"/>
  <c r="I17"/>
  <c r="M17"/>
  <c r="Q17"/>
  <c r="U17"/>
  <c r="J17"/>
  <c r="N17"/>
  <c r="R17"/>
  <c r="C17"/>
  <c r="G17"/>
  <c r="K17"/>
  <c r="O17"/>
  <c r="S17"/>
  <c r="H17"/>
  <c r="L17"/>
  <c r="P17"/>
  <c r="T17"/>
  <c r="X16" i="3"/>
  <c r="O16"/>
  <c r="U16"/>
  <c r="R16"/>
  <c r="D15" i="12"/>
  <c r="H15"/>
  <c r="L15"/>
  <c r="P15"/>
  <c r="T15"/>
  <c r="AD4" i="15"/>
  <c r="AU4" i="9" s="1"/>
  <c r="C12" i="12"/>
  <c r="E12"/>
  <c r="G12"/>
  <c r="I12"/>
  <c r="K12"/>
  <c r="M12"/>
  <c r="O12"/>
  <c r="Q12"/>
  <c r="S12"/>
  <c r="U12"/>
  <c r="E14"/>
  <c r="G14"/>
  <c r="I14"/>
  <c r="K14"/>
  <c r="M14"/>
  <c r="O14"/>
  <c r="Q14"/>
  <c r="S14"/>
  <c r="U14"/>
  <c r="W4" i="15"/>
  <c r="X4" s="1"/>
  <c r="Y4" s="1"/>
  <c r="E16" i="12"/>
  <c r="G16"/>
  <c r="I16"/>
  <c r="K16"/>
  <c r="M16"/>
  <c r="O16"/>
  <c r="Q16"/>
  <c r="S16"/>
  <c r="U16"/>
  <c r="B12"/>
  <c r="D12"/>
  <c r="F12"/>
  <c r="H12"/>
  <c r="J12"/>
  <c r="L12"/>
  <c r="N12"/>
  <c r="P12"/>
  <c r="R12"/>
  <c r="T12"/>
  <c r="C13"/>
  <c r="E13"/>
  <c r="G13"/>
  <c r="I13"/>
  <c r="K13"/>
  <c r="M13"/>
  <c r="O13"/>
  <c r="Q13"/>
  <c r="S13"/>
  <c r="B14"/>
  <c r="D14"/>
  <c r="F14"/>
  <c r="H14"/>
  <c r="J14"/>
  <c r="L14"/>
  <c r="N14"/>
  <c r="P14"/>
  <c r="R14"/>
  <c r="T14"/>
  <c r="C15"/>
  <c r="E15"/>
  <c r="G15"/>
  <c r="I15"/>
  <c r="K15"/>
  <c r="M15"/>
  <c r="O15"/>
  <c r="Q15"/>
  <c r="S15"/>
  <c r="B16"/>
  <c r="D16"/>
  <c r="F16"/>
  <c r="H16"/>
  <c r="J16"/>
  <c r="L16"/>
  <c r="N16"/>
  <c r="P16"/>
  <c r="R16"/>
  <c r="T16"/>
  <c r="E17"/>
  <c r="G17"/>
  <c r="I17"/>
  <c r="K17"/>
  <c r="M17"/>
  <c r="O17"/>
  <c r="Q17"/>
  <c r="S17"/>
  <c r="AA150" i="15"/>
  <c r="A11" i="12"/>
  <c r="U11" s="1"/>
  <c r="AC10"/>
  <c r="A10"/>
  <c r="V10" s="1"/>
  <c r="AC9"/>
  <c r="A9"/>
  <c r="U9" s="1"/>
  <c r="AC8"/>
  <c r="A8"/>
  <c r="V8" s="1"/>
  <c r="AC7"/>
  <c r="A7"/>
  <c r="U7" s="1"/>
  <c r="AC6"/>
  <c r="A6"/>
  <c r="V6" s="1"/>
  <c r="AC5"/>
  <c r="A5"/>
  <c r="U5" s="1"/>
  <c r="AC4"/>
  <c r="A4"/>
  <c r="V4" s="1"/>
  <c r="N22" i="16" l="1"/>
  <c r="R22" s="1"/>
  <c r="B22"/>
  <c r="F22" s="1"/>
  <c r="H22"/>
  <c r="L22" s="1"/>
  <c r="H23"/>
  <c r="L23" s="1"/>
  <c r="N23"/>
  <c r="R23" s="1"/>
  <c r="B23"/>
  <c r="F23" s="1"/>
  <c r="H18" i="12"/>
  <c r="M18"/>
  <c r="P18"/>
  <c r="U18"/>
  <c r="E18"/>
  <c r="B5"/>
  <c r="T18"/>
  <c r="L18"/>
  <c r="D18"/>
  <c r="Q18"/>
  <c r="I18"/>
  <c r="R18"/>
  <c r="N18"/>
  <c r="J18"/>
  <c r="F18"/>
  <c r="B18"/>
  <c r="S18"/>
  <c r="O18"/>
  <c r="K18"/>
  <c r="G18"/>
  <c r="AC36"/>
  <c r="Z12"/>
  <c r="AA12" s="1"/>
  <c r="CQ34" i="17"/>
  <c r="CP34"/>
  <c r="CQ32"/>
  <c r="CP32"/>
  <c r="CP30"/>
  <c r="CQ30"/>
  <c r="CP28"/>
  <c r="CQ28"/>
  <c r="CQ26"/>
  <c r="CP26"/>
  <c r="CQ24"/>
  <c r="CP24"/>
  <c r="CP22"/>
  <c r="CQ22"/>
  <c r="CP33"/>
  <c r="CQ33"/>
  <c r="CP31"/>
  <c r="CQ31"/>
  <c r="CP29"/>
  <c r="CQ29"/>
  <c r="CP27"/>
  <c r="CQ27"/>
  <c r="CP25"/>
  <c r="CQ25"/>
  <c r="CP21"/>
  <c r="CQ21"/>
  <c r="CQ20"/>
  <c r="CP20"/>
  <c r="CP19"/>
  <c r="CQ19"/>
  <c r="CQ18"/>
  <c r="CP18"/>
  <c r="CP17"/>
  <c r="CQ17"/>
  <c r="CP15"/>
  <c r="CQ15"/>
  <c r="CQ14"/>
  <c r="CP14"/>
  <c r="CP16"/>
  <c r="CQ16"/>
  <c r="CO8"/>
  <c r="AC15" i="9"/>
  <c r="CO9" i="17"/>
  <c r="AC26" i="9"/>
  <c r="CO10" i="17"/>
  <c r="AC37" i="9"/>
  <c r="CO11" i="17"/>
  <c r="AC48" i="9"/>
  <c r="CO12" i="17"/>
  <c r="AC59" i="9"/>
  <c r="CO13" i="17"/>
  <c r="AC70" i="9"/>
  <c r="CP23" i="17"/>
  <c r="CQ23"/>
  <c r="CO7"/>
  <c r="AC4" i="9"/>
  <c r="J9" i="12"/>
  <c r="B9"/>
  <c r="R9"/>
  <c r="J5"/>
  <c r="R5"/>
  <c r="F5"/>
  <c r="N5"/>
  <c r="V5"/>
  <c r="F9"/>
  <c r="N9"/>
  <c r="V9"/>
  <c r="U18" i="15"/>
  <c r="V18"/>
  <c r="R18"/>
  <c r="N18"/>
  <c r="J18"/>
  <c r="F18"/>
  <c r="B18"/>
  <c r="T18"/>
  <c r="P18"/>
  <c r="L18"/>
  <c r="H18"/>
  <c r="D18"/>
  <c r="G18"/>
  <c r="K18"/>
  <c r="O18"/>
  <c r="S18"/>
  <c r="E18"/>
  <c r="I18"/>
  <c r="M18"/>
  <c r="Q18"/>
  <c r="X17" i="3"/>
  <c r="R17"/>
  <c r="U17"/>
  <c r="O17"/>
  <c r="D7" i="12"/>
  <c r="D5"/>
  <c r="H5"/>
  <c r="L5"/>
  <c r="P5"/>
  <c r="T5"/>
  <c r="B7"/>
  <c r="F7"/>
  <c r="J7"/>
  <c r="N7"/>
  <c r="R7"/>
  <c r="V7"/>
  <c r="D9"/>
  <c r="H9"/>
  <c r="L9"/>
  <c r="P9"/>
  <c r="T9"/>
  <c r="B11"/>
  <c r="F11"/>
  <c r="J11"/>
  <c r="N11"/>
  <c r="R11"/>
  <c r="V11"/>
  <c r="AD17" i="15"/>
  <c r="AU147" i="9" s="1"/>
  <c r="Z17" i="15"/>
  <c r="AA17" s="1"/>
  <c r="N18" i="3"/>
  <c r="A22" i="5"/>
  <c r="A19" i="15"/>
  <c r="A19" i="12"/>
  <c r="H7"/>
  <c r="L7"/>
  <c r="P7"/>
  <c r="T7"/>
  <c r="D11"/>
  <c r="H11"/>
  <c r="L11"/>
  <c r="P11"/>
  <c r="T11"/>
  <c r="W17" i="15"/>
  <c r="Y12" i="3"/>
  <c r="Z12" s="1"/>
  <c r="AD13" i="12"/>
  <c r="AT103" i="9" s="1"/>
  <c r="C4" i="12"/>
  <c r="E4"/>
  <c r="G4"/>
  <c r="I4"/>
  <c r="K4"/>
  <c r="M4"/>
  <c r="O4"/>
  <c r="Q4"/>
  <c r="S4"/>
  <c r="U4"/>
  <c r="E8"/>
  <c r="G8"/>
  <c r="I8"/>
  <c r="K8"/>
  <c r="M8"/>
  <c r="O8"/>
  <c r="Q8"/>
  <c r="S8"/>
  <c r="U8"/>
  <c r="W15"/>
  <c r="Z13"/>
  <c r="AA13" s="1"/>
  <c r="W14"/>
  <c r="W12"/>
  <c r="Y14" i="3"/>
  <c r="Z14" s="1"/>
  <c r="AD15" i="12"/>
  <c r="AT125" i="9" s="1"/>
  <c r="Y11" i="3"/>
  <c r="Z11" s="1"/>
  <c r="AD12" i="12"/>
  <c r="AT92" i="9" s="1"/>
  <c r="C6" i="12"/>
  <c r="E6"/>
  <c r="G6"/>
  <c r="I6"/>
  <c r="K6"/>
  <c r="M6"/>
  <c r="O6"/>
  <c r="Q6"/>
  <c r="S6"/>
  <c r="U6"/>
  <c r="E10"/>
  <c r="G10"/>
  <c r="I10"/>
  <c r="K10"/>
  <c r="M10"/>
  <c r="O10"/>
  <c r="Q10"/>
  <c r="S10"/>
  <c r="U10"/>
  <c r="B4"/>
  <c r="D4"/>
  <c r="F4"/>
  <c r="H4"/>
  <c r="J4"/>
  <c r="L4"/>
  <c r="N4"/>
  <c r="P4"/>
  <c r="R4"/>
  <c r="T4"/>
  <c r="C5"/>
  <c r="E5"/>
  <c r="G5"/>
  <c r="I5"/>
  <c r="K5"/>
  <c r="M5"/>
  <c r="O5"/>
  <c r="Q5"/>
  <c r="S5"/>
  <c r="B6"/>
  <c r="D6"/>
  <c r="F6"/>
  <c r="H6"/>
  <c r="J6"/>
  <c r="L6"/>
  <c r="N6"/>
  <c r="P6"/>
  <c r="R6"/>
  <c r="T6"/>
  <c r="C7"/>
  <c r="E7"/>
  <c r="G7"/>
  <c r="I7"/>
  <c r="K7"/>
  <c r="M7"/>
  <c r="O7"/>
  <c r="Q7"/>
  <c r="S7"/>
  <c r="B8"/>
  <c r="D8"/>
  <c r="F8"/>
  <c r="H8"/>
  <c r="J8"/>
  <c r="L8"/>
  <c r="N8"/>
  <c r="P8"/>
  <c r="R8"/>
  <c r="T8"/>
  <c r="C9"/>
  <c r="E9"/>
  <c r="G9"/>
  <c r="I9"/>
  <c r="K9"/>
  <c r="M9"/>
  <c r="O9"/>
  <c r="Q9"/>
  <c r="S9"/>
  <c r="B10"/>
  <c r="D10"/>
  <c r="F10"/>
  <c r="H10"/>
  <c r="J10"/>
  <c r="L10"/>
  <c r="N10"/>
  <c r="P10"/>
  <c r="R10"/>
  <c r="T10"/>
  <c r="E11"/>
  <c r="G11"/>
  <c r="I11"/>
  <c r="K11"/>
  <c r="M11"/>
  <c r="O11"/>
  <c r="Q11"/>
  <c r="S11"/>
  <c r="W17"/>
  <c r="W13"/>
  <c r="W16"/>
  <c r="Z15"/>
  <c r="AA15" s="1"/>
  <c r="AB36" i="6"/>
  <c r="V35"/>
  <c r="U35"/>
  <c r="T35"/>
  <c r="S35"/>
  <c r="R35"/>
  <c r="Q35"/>
  <c r="P35"/>
  <c r="O35"/>
  <c r="N35"/>
  <c r="M35"/>
  <c r="L35"/>
  <c r="K35"/>
  <c r="J35"/>
  <c r="I35"/>
  <c r="H35"/>
  <c r="G35"/>
  <c r="F35"/>
  <c r="E35"/>
  <c r="D35"/>
  <c r="C35"/>
  <c r="B35"/>
  <c r="AC31"/>
  <c r="AC30"/>
  <c r="AC29"/>
  <c r="AC28"/>
  <c r="AC27"/>
  <c r="AC26"/>
  <c r="AC25"/>
  <c r="AC24"/>
  <c r="AC23"/>
  <c r="AC22"/>
  <c r="AC21"/>
  <c r="AC20"/>
  <c r="AC19"/>
  <c r="A20" l="1"/>
  <c r="V20" s="1"/>
  <c r="W18" i="12"/>
  <c r="Z6"/>
  <c r="AA6" s="1"/>
  <c r="AC345" i="9"/>
  <c r="Z7" i="12"/>
  <c r="AA7" s="1"/>
  <c r="A25" i="16"/>
  <c r="T25" s="1"/>
  <c r="X25" s="1"/>
  <c r="A24"/>
  <c r="T24" s="1"/>
  <c r="X24" s="1"/>
  <c r="CP13" i="17"/>
  <c r="CQ13"/>
  <c r="CQ12"/>
  <c r="CP12"/>
  <c r="CP11"/>
  <c r="CQ11"/>
  <c r="CP10"/>
  <c r="CQ10"/>
  <c r="CP9"/>
  <c r="CQ9"/>
  <c r="CP8"/>
  <c r="CQ8"/>
  <c r="CP7"/>
  <c r="CQ7"/>
  <c r="CO41"/>
  <c r="AB180" i="9"/>
  <c r="BQ23" i="17"/>
  <c r="BQ27"/>
  <c r="AB224" i="9"/>
  <c r="BQ29" i="17"/>
  <c r="AB246" i="9"/>
  <c r="BQ31" i="17"/>
  <c r="AB268" i="9"/>
  <c r="AB191"/>
  <c r="BQ24" i="17"/>
  <c r="BQ26"/>
  <c r="AB213" i="9"/>
  <c r="BQ28" i="17"/>
  <c r="AB235" i="9"/>
  <c r="BQ30" i="17"/>
  <c r="AB257" i="9"/>
  <c r="BQ32" i="17"/>
  <c r="AB279" i="9"/>
  <c r="BQ34" i="17"/>
  <c r="AB301" i="9"/>
  <c r="AB169"/>
  <c r="BQ22" i="17"/>
  <c r="AB202" i="9"/>
  <c r="BQ25" i="17"/>
  <c r="BQ33"/>
  <c r="AB290" i="9"/>
  <c r="U19" i="12"/>
  <c r="T19"/>
  <c r="P19"/>
  <c r="L19"/>
  <c r="H19"/>
  <c r="D19"/>
  <c r="V19"/>
  <c r="R19"/>
  <c r="N19"/>
  <c r="J19"/>
  <c r="F19"/>
  <c r="B19"/>
  <c r="G19"/>
  <c r="K19"/>
  <c r="O19"/>
  <c r="S19"/>
  <c r="E19"/>
  <c r="I19"/>
  <c r="M19"/>
  <c r="Q19"/>
  <c r="N19" i="3"/>
  <c r="A23" i="5"/>
  <c r="A20" i="15"/>
  <c r="A20" i="12"/>
  <c r="W18" i="15"/>
  <c r="V19"/>
  <c r="C19"/>
  <c r="G19"/>
  <c r="K19"/>
  <c r="O19"/>
  <c r="S19"/>
  <c r="D19"/>
  <c r="H19"/>
  <c r="L19"/>
  <c r="P19"/>
  <c r="T19"/>
  <c r="E19"/>
  <c r="I19"/>
  <c r="M19"/>
  <c r="Q19"/>
  <c r="U19"/>
  <c r="B19"/>
  <c r="F19"/>
  <c r="J19"/>
  <c r="N19"/>
  <c r="R19"/>
  <c r="X18" i="3"/>
  <c r="R18"/>
  <c r="U18"/>
  <c r="O18"/>
  <c r="W35" i="6"/>
  <c r="X35" s="1"/>
  <c r="Y35" s="1"/>
  <c r="Y8" i="3"/>
  <c r="Z8" s="1"/>
  <c r="AD9" i="12"/>
  <c r="AT59" i="9" s="1"/>
  <c r="Y4" i="3"/>
  <c r="X4" s="1"/>
  <c r="Z4" s="1"/>
  <c r="AD5" i="12"/>
  <c r="AT15" i="9" s="1"/>
  <c r="Y3" i="3"/>
  <c r="Z3" s="1"/>
  <c r="AD4" i="12"/>
  <c r="AT4" i="9" s="1"/>
  <c r="G20" i="6"/>
  <c r="U20"/>
  <c r="W11" i="12"/>
  <c r="W7"/>
  <c r="W6"/>
  <c r="Z5"/>
  <c r="AA5" s="1"/>
  <c r="W8"/>
  <c r="Y6" i="3"/>
  <c r="Z6" s="1"/>
  <c r="AD7" i="12"/>
  <c r="AT37" i="9" s="1"/>
  <c r="Y5" i="3"/>
  <c r="Z5" s="1"/>
  <c r="AD6" i="12"/>
  <c r="AT26" i="9" s="1"/>
  <c r="W4" i="12"/>
  <c r="Q20" i="6"/>
  <c r="H20"/>
  <c r="P20"/>
  <c r="W9" i="12"/>
  <c r="W5"/>
  <c r="W10"/>
  <c r="Z9"/>
  <c r="AA9" s="1"/>
  <c r="A19" i="6"/>
  <c r="U19" s="1"/>
  <c r="AC18"/>
  <c r="A18"/>
  <c r="U18" s="1"/>
  <c r="AC17"/>
  <c r="A17"/>
  <c r="U17" s="1"/>
  <c r="AC16"/>
  <c r="A16"/>
  <c r="U16" s="1"/>
  <c r="AC15"/>
  <c r="A15"/>
  <c r="U15" s="1"/>
  <c r="AC14"/>
  <c r="A14"/>
  <c r="U14" s="1"/>
  <c r="AC13"/>
  <c r="A13"/>
  <c r="U13" s="1"/>
  <c r="AC12"/>
  <c r="A12"/>
  <c r="U12" s="1"/>
  <c r="AC11"/>
  <c r="A11"/>
  <c r="U11" s="1"/>
  <c r="A10"/>
  <c r="U10" s="1"/>
  <c r="AC9"/>
  <c r="A9"/>
  <c r="U9" s="1"/>
  <c r="AC8"/>
  <c r="A8"/>
  <c r="U8" s="1"/>
  <c r="AC7"/>
  <c r="A7"/>
  <c r="U7" s="1"/>
  <c r="AC6"/>
  <c r="A6"/>
  <c r="U6" s="1"/>
  <c r="AC5"/>
  <c r="A5"/>
  <c r="U5" s="1"/>
  <c r="AC4"/>
  <c r="A4"/>
  <c r="T4" s="1"/>
  <c r="AB36" i="8"/>
  <c r="V35"/>
  <c r="U35"/>
  <c r="T35"/>
  <c r="S35"/>
  <c r="R35"/>
  <c r="Q35"/>
  <c r="P35"/>
  <c r="O35"/>
  <c r="N35"/>
  <c r="M35"/>
  <c r="L35"/>
  <c r="K35"/>
  <c r="J35"/>
  <c r="I35"/>
  <c r="H35"/>
  <c r="G35"/>
  <c r="F35"/>
  <c r="E35"/>
  <c r="D35"/>
  <c r="C35"/>
  <c r="B35"/>
  <c r="AC33"/>
  <c r="AC32"/>
  <c r="AG31"/>
  <c r="AF31"/>
  <c r="AC31"/>
  <c r="N24" i="16" l="1"/>
  <c r="R24" s="1"/>
  <c r="B24"/>
  <c r="F24" s="1"/>
  <c r="H24"/>
  <c r="L24" s="1"/>
  <c r="H25"/>
  <c r="L25" s="1"/>
  <c r="N25"/>
  <c r="R25" s="1"/>
  <c r="B25"/>
  <c r="F25" s="1"/>
  <c r="T20" i="6"/>
  <c r="L20"/>
  <c r="D20"/>
  <c r="I20"/>
  <c r="O20"/>
  <c r="R20"/>
  <c r="N20"/>
  <c r="J20"/>
  <c r="F20"/>
  <c r="B20"/>
  <c r="M20"/>
  <c r="E20"/>
  <c r="S20"/>
  <c r="K20"/>
  <c r="B18"/>
  <c r="R18"/>
  <c r="CQ41" i="17"/>
  <c r="BX43"/>
  <c r="BZ43"/>
  <c r="CB43"/>
  <c r="CD43"/>
  <c r="CF43"/>
  <c r="CH43"/>
  <c r="CJ43"/>
  <c r="CL43"/>
  <c r="BV43"/>
  <c r="BW43"/>
  <c r="BY43"/>
  <c r="CA43"/>
  <c r="CC43"/>
  <c r="CE43"/>
  <c r="CG43"/>
  <c r="CI43"/>
  <c r="CK43"/>
  <c r="CM43"/>
  <c r="CP41"/>
  <c r="BR33"/>
  <c r="BS33"/>
  <c r="BS34"/>
  <c r="BR34"/>
  <c r="BS32"/>
  <c r="BR32"/>
  <c r="BS30"/>
  <c r="BR30"/>
  <c r="BR28"/>
  <c r="BS28"/>
  <c r="BS26"/>
  <c r="BR26"/>
  <c r="BR31"/>
  <c r="BS31"/>
  <c r="BR29"/>
  <c r="BS29"/>
  <c r="BS27"/>
  <c r="BR27"/>
  <c r="BQ8"/>
  <c r="AB15" i="9"/>
  <c r="BQ9" i="17"/>
  <c r="AB26" i="9"/>
  <c r="BQ10" i="17"/>
  <c r="AB37" i="9"/>
  <c r="BQ11" i="17"/>
  <c r="AB48" i="9"/>
  <c r="BQ12" i="17"/>
  <c r="AB59" i="9"/>
  <c r="BQ13" i="17"/>
  <c r="AB70" i="9"/>
  <c r="BQ14" i="17"/>
  <c r="AB81" i="9"/>
  <c r="BQ15" i="17"/>
  <c r="AB92" i="9"/>
  <c r="BQ16" i="17"/>
  <c r="AB103" i="9"/>
  <c r="BQ19" i="17"/>
  <c r="AB136" i="9"/>
  <c r="BQ20" i="17"/>
  <c r="AB147" i="9"/>
  <c r="AB158"/>
  <c r="BQ21" i="17"/>
  <c r="BR25"/>
  <c r="BS25"/>
  <c r="BS22"/>
  <c r="BR22"/>
  <c r="BS24"/>
  <c r="BR24"/>
  <c r="BS23"/>
  <c r="BR23"/>
  <c r="BQ7"/>
  <c r="AB4" i="9"/>
  <c r="Z323"/>
  <c r="U36" i="17"/>
  <c r="U34"/>
  <c r="Z301" i="9"/>
  <c r="Z312"/>
  <c r="U35" i="17"/>
  <c r="BQ18"/>
  <c r="AB125" i="9"/>
  <c r="BQ17" i="17"/>
  <c r="AB114" i="9"/>
  <c r="B14" i="6"/>
  <c r="R14"/>
  <c r="J18"/>
  <c r="J14"/>
  <c r="B6"/>
  <c r="J6"/>
  <c r="R6"/>
  <c r="B10"/>
  <c r="J10"/>
  <c r="R10"/>
  <c r="F6"/>
  <c r="N6"/>
  <c r="V6"/>
  <c r="F10"/>
  <c r="N10"/>
  <c r="V10"/>
  <c r="F14"/>
  <c r="N14"/>
  <c r="V14"/>
  <c r="F18"/>
  <c r="N18"/>
  <c r="V18"/>
  <c r="A26" i="16"/>
  <c r="T26" s="1"/>
  <c r="X26" s="1"/>
  <c r="U20" i="15"/>
  <c r="T20"/>
  <c r="P20"/>
  <c r="L20"/>
  <c r="H20"/>
  <c r="D20"/>
  <c r="V20"/>
  <c r="R20"/>
  <c r="N20"/>
  <c r="J20"/>
  <c r="F20"/>
  <c r="B20"/>
  <c r="E20"/>
  <c r="I20"/>
  <c r="M20"/>
  <c r="Q20"/>
  <c r="C20"/>
  <c r="G20"/>
  <c r="K20"/>
  <c r="O20"/>
  <c r="S20"/>
  <c r="X19" i="3"/>
  <c r="R19"/>
  <c r="U19"/>
  <c r="O19"/>
  <c r="B4" i="6"/>
  <c r="F4"/>
  <c r="J4"/>
  <c r="N4"/>
  <c r="R4"/>
  <c r="V4"/>
  <c r="D6"/>
  <c r="H6"/>
  <c r="L6"/>
  <c r="P6"/>
  <c r="T6"/>
  <c r="B8"/>
  <c r="F8"/>
  <c r="J8"/>
  <c r="N8"/>
  <c r="R8"/>
  <c r="V8"/>
  <c r="D10"/>
  <c r="H10"/>
  <c r="L10"/>
  <c r="P10"/>
  <c r="T10"/>
  <c r="B12"/>
  <c r="F12"/>
  <c r="J12"/>
  <c r="N12"/>
  <c r="R12"/>
  <c r="V12"/>
  <c r="D14"/>
  <c r="H14"/>
  <c r="L14"/>
  <c r="P14"/>
  <c r="T14"/>
  <c r="B16"/>
  <c r="F16"/>
  <c r="J16"/>
  <c r="N16"/>
  <c r="R16"/>
  <c r="V16"/>
  <c r="D18"/>
  <c r="H18"/>
  <c r="L18"/>
  <c r="P18"/>
  <c r="T18"/>
  <c r="W19" i="12"/>
  <c r="AD19" i="15"/>
  <c r="AU169" i="9" s="1"/>
  <c r="Z19" i="15"/>
  <c r="AA19" s="1"/>
  <c r="V20" i="12"/>
  <c r="E20"/>
  <c r="I20"/>
  <c r="M20"/>
  <c r="Q20"/>
  <c r="U20"/>
  <c r="F20"/>
  <c r="J20"/>
  <c r="N20"/>
  <c r="R20"/>
  <c r="C20"/>
  <c r="G20"/>
  <c r="K20"/>
  <c r="O20"/>
  <c r="S20"/>
  <c r="D20"/>
  <c r="H20"/>
  <c r="L20"/>
  <c r="P20"/>
  <c r="T20"/>
  <c r="N20" i="3"/>
  <c r="A24" i="5"/>
  <c r="A21" i="15"/>
  <c r="A21" i="12"/>
  <c r="A21" i="6"/>
  <c r="D4"/>
  <c r="H4"/>
  <c r="L4"/>
  <c r="P4"/>
  <c r="D8"/>
  <c r="H8"/>
  <c r="L8"/>
  <c r="P8"/>
  <c r="T8"/>
  <c r="D12"/>
  <c r="H12"/>
  <c r="L12"/>
  <c r="P12"/>
  <c r="T12"/>
  <c r="D16"/>
  <c r="H16"/>
  <c r="L16"/>
  <c r="P16"/>
  <c r="T16"/>
  <c r="W19" i="15"/>
  <c r="X19" s="1"/>
  <c r="Y19" s="1"/>
  <c r="W35" i="8"/>
  <c r="C4" i="6"/>
  <c r="E4"/>
  <c r="G4"/>
  <c r="I4"/>
  <c r="K4"/>
  <c r="M4"/>
  <c r="O4"/>
  <c r="Q4"/>
  <c r="S4"/>
  <c r="U4"/>
  <c r="B5"/>
  <c r="D5"/>
  <c r="F5"/>
  <c r="H5"/>
  <c r="J5"/>
  <c r="L5"/>
  <c r="N5"/>
  <c r="P5"/>
  <c r="R5"/>
  <c r="T5"/>
  <c r="V5"/>
  <c r="E6"/>
  <c r="G6"/>
  <c r="I6"/>
  <c r="K6"/>
  <c r="M6"/>
  <c r="O6"/>
  <c r="Q6"/>
  <c r="S6"/>
  <c r="B7"/>
  <c r="D7"/>
  <c r="F7"/>
  <c r="H7"/>
  <c r="J7"/>
  <c r="L7"/>
  <c r="N7"/>
  <c r="P7"/>
  <c r="R7"/>
  <c r="T7"/>
  <c r="V7"/>
  <c r="E8"/>
  <c r="G8"/>
  <c r="I8"/>
  <c r="K8"/>
  <c r="M8"/>
  <c r="O8"/>
  <c r="Q8"/>
  <c r="S8"/>
  <c r="B9"/>
  <c r="D9"/>
  <c r="F9"/>
  <c r="H9"/>
  <c r="J9"/>
  <c r="L9"/>
  <c r="N9"/>
  <c r="P9"/>
  <c r="R9"/>
  <c r="T9"/>
  <c r="V9"/>
  <c r="E10"/>
  <c r="G10"/>
  <c r="I10"/>
  <c r="K10"/>
  <c r="M10"/>
  <c r="O10"/>
  <c r="Q10"/>
  <c r="S10"/>
  <c r="B11"/>
  <c r="D11"/>
  <c r="F11"/>
  <c r="H11"/>
  <c r="J11"/>
  <c r="L11"/>
  <c r="N11"/>
  <c r="P11"/>
  <c r="R11"/>
  <c r="T11"/>
  <c r="V11"/>
  <c r="E12"/>
  <c r="G12"/>
  <c r="I12"/>
  <c r="K12"/>
  <c r="M12"/>
  <c r="O12"/>
  <c r="Q12"/>
  <c r="S12"/>
  <c r="B13"/>
  <c r="D13"/>
  <c r="F13"/>
  <c r="H13"/>
  <c r="J13"/>
  <c r="L13"/>
  <c r="N13"/>
  <c r="P13"/>
  <c r="R13"/>
  <c r="T13"/>
  <c r="V13"/>
  <c r="E14"/>
  <c r="G14"/>
  <c r="I14"/>
  <c r="K14"/>
  <c r="M14"/>
  <c r="O14"/>
  <c r="Q14"/>
  <c r="S14"/>
  <c r="B15"/>
  <c r="D15"/>
  <c r="F15"/>
  <c r="H15"/>
  <c r="J15"/>
  <c r="L15"/>
  <c r="N15"/>
  <c r="P15"/>
  <c r="R15"/>
  <c r="T15"/>
  <c r="V15"/>
  <c r="E16"/>
  <c r="G16"/>
  <c r="I16"/>
  <c r="K16"/>
  <c r="M16"/>
  <c r="O16"/>
  <c r="Q16"/>
  <c r="S16"/>
  <c r="B17"/>
  <c r="D17"/>
  <c r="F17"/>
  <c r="H17"/>
  <c r="J17"/>
  <c r="L17"/>
  <c r="N17"/>
  <c r="P17"/>
  <c r="R17"/>
  <c r="T17"/>
  <c r="V17"/>
  <c r="E18"/>
  <c r="G18"/>
  <c r="I18"/>
  <c r="K18"/>
  <c r="M18"/>
  <c r="O18"/>
  <c r="Q18"/>
  <c r="S18"/>
  <c r="D19"/>
  <c r="F19"/>
  <c r="H19"/>
  <c r="J19"/>
  <c r="L19"/>
  <c r="N19"/>
  <c r="P19"/>
  <c r="R19"/>
  <c r="T19"/>
  <c r="V19"/>
  <c r="E5"/>
  <c r="G5"/>
  <c r="I5"/>
  <c r="K5"/>
  <c r="M5"/>
  <c r="O5"/>
  <c r="Q5"/>
  <c r="S5"/>
  <c r="E7"/>
  <c r="G7"/>
  <c r="I7"/>
  <c r="K7"/>
  <c r="M7"/>
  <c r="O7"/>
  <c r="Q7"/>
  <c r="S7"/>
  <c r="E9"/>
  <c r="G9"/>
  <c r="I9"/>
  <c r="K9"/>
  <c r="M9"/>
  <c r="O9"/>
  <c r="Q9"/>
  <c r="S9"/>
  <c r="E11"/>
  <c r="G11"/>
  <c r="I11"/>
  <c r="K11"/>
  <c r="M11"/>
  <c r="O11"/>
  <c r="Q11"/>
  <c r="S11"/>
  <c r="E13"/>
  <c r="G13"/>
  <c r="I13"/>
  <c r="K13"/>
  <c r="M13"/>
  <c r="O13"/>
  <c r="Q13"/>
  <c r="S13"/>
  <c r="E15"/>
  <c r="G15"/>
  <c r="I15"/>
  <c r="K15"/>
  <c r="M15"/>
  <c r="O15"/>
  <c r="Q15"/>
  <c r="S15"/>
  <c r="E17"/>
  <c r="G17"/>
  <c r="I17"/>
  <c r="K17"/>
  <c r="M17"/>
  <c r="O17"/>
  <c r="Q17"/>
  <c r="S17"/>
  <c r="E19"/>
  <c r="G19"/>
  <c r="I19"/>
  <c r="K19"/>
  <c r="M19"/>
  <c r="O19"/>
  <c r="Q19"/>
  <c r="S19"/>
  <c r="AG30" i="8"/>
  <c r="AF30"/>
  <c r="AC30"/>
  <c r="AG29"/>
  <c r="AF29"/>
  <c r="AC29"/>
  <c r="AG28"/>
  <c r="AF28"/>
  <c r="AC28"/>
  <c r="AG27"/>
  <c r="AF27"/>
  <c r="AC27"/>
  <c r="AG26"/>
  <c r="AF26"/>
  <c r="AC26"/>
  <c r="AG25"/>
  <c r="AF25"/>
  <c r="AC25"/>
  <c r="AG24"/>
  <c r="AF24"/>
  <c r="AC24"/>
  <c r="AG23"/>
  <c r="AF23"/>
  <c r="AC23"/>
  <c r="AG22"/>
  <c r="AF22"/>
  <c r="AC22"/>
  <c r="A22"/>
  <c r="AG21"/>
  <c r="AF21"/>
  <c r="AC21"/>
  <c r="A21"/>
  <c r="AG20"/>
  <c r="AF20"/>
  <c r="AC20"/>
  <c r="A20"/>
  <c r="AG19"/>
  <c r="AF19"/>
  <c r="AC19"/>
  <c r="N26" i="16" l="1"/>
  <c r="R26" s="1"/>
  <c r="B26"/>
  <c r="F26" s="1"/>
  <c r="H26"/>
  <c r="L26" s="1"/>
  <c r="W20" i="6"/>
  <c r="C20" i="8"/>
  <c r="AD20" s="1"/>
  <c r="E20"/>
  <c r="G20"/>
  <c r="I20"/>
  <c r="K20"/>
  <c r="M20"/>
  <c r="O20"/>
  <c r="Q20"/>
  <c r="S20"/>
  <c r="U20"/>
  <c r="D20"/>
  <c r="F20"/>
  <c r="H20"/>
  <c r="J20"/>
  <c r="L20"/>
  <c r="N20"/>
  <c r="P20"/>
  <c r="R20"/>
  <c r="T20"/>
  <c r="V20"/>
  <c r="C21"/>
  <c r="E21"/>
  <c r="G21"/>
  <c r="I21"/>
  <c r="K21"/>
  <c r="M21"/>
  <c r="O21"/>
  <c r="Q21"/>
  <c r="S21"/>
  <c r="U21"/>
  <c r="D21"/>
  <c r="F21"/>
  <c r="H21"/>
  <c r="J21"/>
  <c r="L21"/>
  <c r="N21"/>
  <c r="P21"/>
  <c r="R21"/>
  <c r="T21"/>
  <c r="V21"/>
  <c r="C22"/>
  <c r="E22"/>
  <c r="G22"/>
  <c r="I22"/>
  <c r="K22"/>
  <c r="M22"/>
  <c r="O22"/>
  <c r="Q22"/>
  <c r="S22"/>
  <c r="U22"/>
  <c r="D22"/>
  <c r="F22"/>
  <c r="H22"/>
  <c r="J22"/>
  <c r="L22"/>
  <c r="N22"/>
  <c r="P22"/>
  <c r="R22"/>
  <c r="T22"/>
  <c r="V22"/>
  <c r="B20"/>
  <c r="B21"/>
  <c r="B22"/>
  <c r="CP43" i="17"/>
  <c r="CQ3"/>
  <c r="BS20"/>
  <c r="BR20"/>
  <c r="BR19"/>
  <c r="BS19"/>
  <c r="BR16"/>
  <c r="BS16"/>
  <c r="BR15"/>
  <c r="BS15"/>
  <c r="BS14"/>
  <c r="BR14"/>
  <c r="BR13"/>
  <c r="BS13"/>
  <c r="BS12"/>
  <c r="BR12"/>
  <c r="BR11"/>
  <c r="BS11"/>
  <c r="BS10"/>
  <c r="BR10"/>
  <c r="BR9"/>
  <c r="BS9"/>
  <c r="BS8"/>
  <c r="BR8"/>
  <c r="BR21"/>
  <c r="BS21"/>
  <c r="AB345" i="9"/>
  <c r="BR7" i="17"/>
  <c r="BS7"/>
  <c r="U22"/>
  <c r="Z169" i="9"/>
  <c r="U23" i="17"/>
  <c r="Z180" i="9"/>
  <c r="U24" i="17"/>
  <c r="Z191" i="9"/>
  <c r="Z202"/>
  <c r="U25" i="17"/>
  <c r="U29"/>
  <c r="Z246" i="9"/>
  <c r="Z213"/>
  <c r="U26" i="17"/>
  <c r="Z235" i="9"/>
  <c r="U28" i="17"/>
  <c r="U30"/>
  <c r="Z257" i="9"/>
  <c r="U32" i="17"/>
  <c r="Z279" i="9"/>
  <c r="V34" i="17"/>
  <c r="W34"/>
  <c r="Z224" i="9"/>
  <c r="U27" i="17"/>
  <c r="U31"/>
  <c r="Z268" i="9"/>
  <c r="U33" i="17"/>
  <c r="Z290" i="9"/>
  <c r="EJ35" i="17"/>
  <c r="W35"/>
  <c r="V35"/>
  <c r="EJ36"/>
  <c r="EK36" s="1"/>
  <c r="W36"/>
  <c r="V36"/>
  <c r="BS18"/>
  <c r="BR18"/>
  <c r="BR17"/>
  <c r="BS17"/>
  <c r="BQ41"/>
  <c r="A27" i="16"/>
  <c r="T27" s="1"/>
  <c r="X27" s="1"/>
  <c r="U21" i="12"/>
  <c r="V21"/>
  <c r="R21"/>
  <c r="N21"/>
  <c r="J21"/>
  <c r="F21"/>
  <c r="B21"/>
  <c r="T21"/>
  <c r="P21"/>
  <c r="L21"/>
  <c r="H21"/>
  <c r="D21"/>
  <c r="G21"/>
  <c r="K21"/>
  <c r="O21"/>
  <c r="S21"/>
  <c r="E21"/>
  <c r="I21"/>
  <c r="M21"/>
  <c r="Q21"/>
  <c r="N21" i="3"/>
  <c r="U21" s="1"/>
  <c r="A25" i="5"/>
  <c r="A22" i="15"/>
  <c r="A22" i="12"/>
  <c r="A22" i="6"/>
  <c r="U21"/>
  <c r="T21"/>
  <c r="P21"/>
  <c r="L21"/>
  <c r="H21"/>
  <c r="D21"/>
  <c r="V21"/>
  <c r="R21"/>
  <c r="N21"/>
  <c r="J21"/>
  <c r="F21"/>
  <c r="E21"/>
  <c r="I21"/>
  <c r="M21"/>
  <c r="Q21"/>
  <c r="C21"/>
  <c r="G21"/>
  <c r="K21"/>
  <c r="O21"/>
  <c r="S21"/>
  <c r="V21" i="15"/>
  <c r="E21"/>
  <c r="I21"/>
  <c r="M21"/>
  <c r="Q21"/>
  <c r="U21"/>
  <c r="B21"/>
  <c r="F21"/>
  <c r="J21"/>
  <c r="N21"/>
  <c r="R21"/>
  <c r="C21"/>
  <c r="AD21" s="1"/>
  <c r="AU191" i="9" s="1"/>
  <c r="G21" i="15"/>
  <c r="K21"/>
  <c r="O21"/>
  <c r="S21"/>
  <c r="D21"/>
  <c r="H21"/>
  <c r="L21"/>
  <c r="P21"/>
  <c r="T21"/>
  <c r="X20" i="3"/>
  <c r="R20"/>
  <c r="U20"/>
  <c r="O20"/>
  <c r="AD20" i="12"/>
  <c r="AT180" i="9" s="1"/>
  <c r="Y19" i="3"/>
  <c r="Z19" s="1"/>
  <c r="AD20" i="15"/>
  <c r="AU180" i="9" s="1"/>
  <c r="Z20" i="15"/>
  <c r="AA20" s="1"/>
  <c r="W20"/>
  <c r="W20" i="12"/>
  <c r="V3" i="3"/>
  <c r="W3" s="1"/>
  <c r="AD4" i="6"/>
  <c r="AS4" i="9" s="1"/>
  <c r="W18" i="6"/>
  <c r="W16"/>
  <c r="W14"/>
  <c r="W12"/>
  <c r="W10"/>
  <c r="W8"/>
  <c r="W6"/>
  <c r="W4"/>
  <c r="W19"/>
  <c r="W17"/>
  <c r="W15"/>
  <c r="W13"/>
  <c r="W11"/>
  <c r="W9"/>
  <c r="W7"/>
  <c r="W5"/>
  <c r="A19" i="8"/>
  <c r="AG18"/>
  <c r="AF18"/>
  <c r="AC18"/>
  <c r="A18"/>
  <c r="AG17"/>
  <c r="AF17"/>
  <c r="AC17"/>
  <c r="A17"/>
  <c r="AG16"/>
  <c r="AF16"/>
  <c r="AC16"/>
  <c r="A16"/>
  <c r="L16" s="1"/>
  <c r="AG15"/>
  <c r="AF15"/>
  <c r="AC15"/>
  <c r="A15"/>
  <c r="AG14"/>
  <c r="AF14"/>
  <c r="AC14"/>
  <c r="Z114" i="9" s="1"/>
  <c r="A14" i="8"/>
  <c r="AG13"/>
  <c r="AF13"/>
  <c r="AC13"/>
  <c r="H27" i="16" l="1"/>
  <c r="L27" s="1"/>
  <c r="N27"/>
  <c r="R27" s="1"/>
  <c r="B27"/>
  <c r="F27" s="1"/>
  <c r="C14" i="8"/>
  <c r="E14"/>
  <c r="G14"/>
  <c r="I14"/>
  <c r="K14"/>
  <c r="M14"/>
  <c r="O14"/>
  <c r="Q14"/>
  <c r="S14"/>
  <c r="U14"/>
  <c r="F14"/>
  <c r="H14"/>
  <c r="J14"/>
  <c r="L14"/>
  <c r="N14"/>
  <c r="P14"/>
  <c r="R14"/>
  <c r="T14"/>
  <c r="V14"/>
  <c r="C15"/>
  <c r="S14" i="3" s="1"/>
  <c r="E15" i="8"/>
  <c r="G15"/>
  <c r="I15"/>
  <c r="K15"/>
  <c r="M15"/>
  <c r="O15"/>
  <c r="Q15"/>
  <c r="S15"/>
  <c r="U15"/>
  <c r="D15"/>
  <c r="F15"/>
  <c r="H15"/>
  <c r="J15"/>
  <c r="L15"/>
  <c r="N15"/>
  <c r="P15"/>
  <c r="R15"/>
  <c r="T15"/>
  <c r="V15"/>
  <c r="C16"/>
  <c r="S15" i="3" s="1"/>
  <c r="E16" i="8"/>
  <c r="G16"/>
  <c r="I16"/>
  <c r="K16"/>
  <c r="M16"/>
  <c r="O16"/>
  <c r="Q16"/>
  <c r="S16"/>
  <c r="U16"/>
  <c r="D16"/>
  <c r="F16"/>
  <c r="H16"/>
  <c r="J16"/>
  <c r="N16"/>
  <c r="P16"/>
  <c r="R16"/>
  <c r="T16"/>
  <c r="V16"/>
  <c r="C17"/>
  <c r="E17"/>
  <c r="G17"/>
  <c r="I17"/>
  <c r="K17"/>
  <c r="M17"/>
  <c r="O17"/>
  <c r="Q17"/>
  <c r="S17"/>
  <c r="U17"/>
  <c r="D17"/>
  <c r="F17"/>
  <c r="H17"/>
  <c r="J17"/>
  <c r="L17"/>
  <c r="N17"/>
  <c r="P17"/>
  <c r="R17"/>
  <c r="T17"/>
  <c r="V17"/>
  <c r="C18"/>
  <c r="E18"/>
  <c r="G18"/>
  <c r="I18"/>
  <c r="K18"/>
  <c r="M18"/>
  <c r="O18"/>
  <c r="Q18"/>
  <c r="S18"/>
  <c r="U18"/>
  <c r="D18"/>
  <c r="F18"/>
  <c r="H18"/>
  <c r="J18"/>
  <c r="L18"/>
  <c r="N18"/>
  <c r="P18"/>
  <c r="R18"/>
  <c r="T18"/>
  <c r="V18"/>
  <c r="C19"/>
  <c r="E19"/>
  <c r="G19"/>
  <c r="I19"/>
  <c r="K19"/>
  <c r="M19"/>
  <c r="O19"/>
  <c r="Q19"/>
  <c r="S19"/>
  <c r="U19"/>
  <c r="D19"/>
  <c r="F19"/>
  <c r="H19"/>
  <c r="J19"/>
  <c r="L19"/>
  <c r="N19"/>
  <c r="P19"/>
  <c r="R19"/>
  <c r="T19"/>
  <c r="V19"/>
  <c r="B14"/>
  <c r="B15"/>
  <c r="B16"/>
  <c r="B17"/>
  <c r="B18"/>
  <c r="B19"/>
  <c r="AY43" i="17"/>
  <c r="BA43"/>
  <c r="BC43"/>
  <c r="BE43"/>
  <c r="BG43"/>
  <c r="BI43"/>
  <c r="BK43"/>
  <c r="BM43"/>
  <c r="BO43"/>
  <c r="AZ43"/>
  <c r="BB43"/>
  <c r="BD43"/>
  <c r="BF43"/>
  <c r="BH43"/>
  <c r="BJ43"/>
  <c r="BL43"/>
  <c r="BN43"/>
  <c r="AX43"/>
  <c r="EL36"/>
  <c r="V27"/>
  <c r="W27"/>
  <c r="V32"/>
  <c r="W32"/>
  <c r="W30"/>
  <c r="V30"/>
  <c r="W29"/>
  <c r="V29"/>
  <c r="V24"/>
  <c r="W24"/>
  <c r="W23"/>
  <c r="V23"/>
  <c r="W22"/>
  <c r="V22"/>
  <c r="U16"/>
  <c r="Z103" i="9"/>
  <c r="U17" i="17"/>
  <c r="U18"/>
  <c r="Z125" i="9"/>
  <c r="U20" i="17"/>
  <c r="Z147" i="9"/>
  <c r="U21" i="17"/>
  <c r="Z158" i="9"/>
  <c r="EL35" i="17"/>
  <c r="EK35"/>
  <c r="V33"/>
  <c r="W33"/>
  <c r="W31"/>
  <c r="V31"/>
  <c r="V28"/>
  <c r="W28"/>
  <c r="W26"/>
  <c r="V26"/>
  <c r="V25"/>
  <c r="W25"/>
  <c r="BS41"/>
  <c r="BR41"/>
  <c r="U19"/>
  <c r="Z136" i="9"/>
  <c r="A28" i="16"/>
  <c r="T28" s="1"/>
  <c r="X28" s="1"/>
  <c r="V22" i="12"/>
  <c r="E22"/>
  <c r="I22"/>
  <c r="M22"/>
  <c r="Q22"/>
  <c r="U22"/>
  <c r="D22"/>
  <c r="H22"/>
  <c r="L22"/>
  <c r="P22"/>
  <c r="T22"/>
  <c r="G22"/>
  <c r="K22"/>
  <c r="O22"/>
  <c r="S22"/>
  <c r="B22"/>
  <c r="F22"/>
  <c r="J22"/>
  <c r="N22"/>
  <c r="R22"/>
  <c r="N22" i="3"/>
  <c r="A26" i="5"/>
  <c r="A23" i="15"/>
  <c r="A23" i="12"/>
  <c r="A23" i="6"/>
  <c r="A23" i="8"/>
  <c r="Z21" i="15"/>
  <c r="AA21" s="1"/>
  <c r="W21"/>
  <c r="AD21" i="6"/>
  <c r="AS191" i="9" s="1"/>
  <c r="V20" i="3"/>
  <c r="W20" s="1"/>
  <c r="V22" i="6"/>
  <c r="E22"/>
  <c r="I22"/>
  <c r="M22"/>
  <c r="Q22"/>
  <c r="U22"/>
  <c r="D22"/>
  <c r="H22"/>
  <c r="L22"/>
  <c r="P22"/>
  <c r="T22"/>
  <c r="G22"/>
  <c r="K22"/>
  <c r="O22"/>
  <c r="S22"/>
  <c r="F22"/>
  <c r="J22"/>
  <c r="N22"/>
  <c r="R22"/>
  <c r="U22" i="15"/>
  <c r="V22"/>
  <c r="R22"/>
  <c r="N22"/>
  <c r="J22"/>
  <c r="F22"/>
  <c r="T22"/>
  <c r="P22"/>
  <c r="L22"/>
  <c r="H22"/>
  <c r="D22"/>
  <c r="B22"/>
  <c r="C22"/>
  <c r="G22"/>
  <c r="K22"/>
  <c r="O22"/>
  <c r="S22"/>
  <c r="E22"/>
  <c r="I22"/>
  <c r="M22"/>
  <c r="Q22"/>
  <c r="X21" i="3"/>
  <c r="R21"/>
  <c r="O21"/>
  <c r="W21" i="6"/>
  <c r="W21" i="12"/>
  <c r="W20" i="8"/>
  <c r="W21"/>
  <c r="W22"/>
  <c r="A13"/>
  <c r="AG12"/>
  <c r="AF12"/>
  <c r="AC12"/>
  <c r="A12"/>
  <c r="AG11"/>
  <c r="AF11"/>
  <c r="AC11"/>
  <c r="A11"/>
  <c r="AG10"/>
  <c r="AF10"/>
  <c r="AC10"/>
  <c r="A10"/>
  <c r="AG9"/>
  <c r="AF9"/>
  <c r="N28" i="16" l="1"/>
  <c r="R28" s="1"/>
  <c r="B28"/>
  <c r="F28" s="1"/>
  <c r="H28"/>
  <c r="L28" s="1"/>
  <c r="B23" i="8"/>
  <c r="C23"/>
  <c r="E23"/>
  <c r="G23"/>
  <c r="I23"/>
  <c r="K23"/>
  <c r="M23"/>
  <c r="O23"/>
  <c r="Q23"/>
  <c r="S23"/>
  <c r="U23"/>
  <c r="D23"/>
  <c r="F23"/>
  <c r="H23"/>
  <c r="J23"/>
  <c r="L23"/>
  <c r="N23"/>
  <c r="P23"/>
  <c r="R23"/>
  <c r="T23"/>
  <c r="V23"/>
  <c r="C10"/>
  <c r="E10"/>
  <c r="G10"/>
  <c r="I10"/>
  <c r="K10"/>
  <c r="M10"/>
  <c r="O10"/>
  <c r="Q10"/>
  <c r="S10"/>
  <c r="U10"/>
  <c r="D10"/>
  <c r="F10"/>
  <c r="H10"/>
  <c r="J10"/>
  <c r="L10"/>
  <c r="N10"/>
  <c r="P10"/>
  <c r="R10"/>
  <c r="T10"/>
  <c r="V10"/>
  <c r="C11"/>
  <c r="E11"/>
  <c r="G11"/>
  <c r="I11"/>
  <c r="K11"/>
  <c r="M11"/>
  <c r="O11"/>
  <c r="Q11"/>
  <c r="S11"/>
  <c r="U11"/>
  <c r="D11"/>
  <c r="F11"/>
  <c r="H11"/>
  <c r="J11"/>
  <c r="L11"/>
  <c r="N11"/>
  <c r="P11"/>
  <c r="R11"/>
  <c r="T11"/>
  <c r="V11"/>
  <c r="C12"/>
  <c r="E12"/>
  <c r="G12"/>
  <c r="I12"/>
  <c r="K12"/>
  <c r="M12"/>
  <c r="O12"/>
  <c r="Q12"/>
  <c r="S12"/>
  <c r="U12"/>
  <c r="F12"/>
  <c r="H12"/>
  <c r="J12"/>
  <c r="L12"/>
  <c r="N12"/>
  <c r="P12"/>
  <c r="R12"/>
  <c r="T12"/>
  <c r="V12"/>
  <c r="C13"/>
  <c r="E13"/>
  <c r="G13"/>
  <c r="I13"/>
  <c r="K13"/>
  <c r="M13"/>
  <c r="O13"/>
  <c r="Q13"/>
  <c r="S13"/>
  <c r="U13"/>
  <c r="F13"/>
  <c r="H13"/>
  <c r="J13"/>
  <c r="L13"/>
  <c r="N13"/>
  <c r="P13"/>
  <c r="R13"/>
  <c r="T13"/>
  <c r="V13"/>
  <c r="B10"/>
  <c r="B11"/>
  <c r="B12"/>
  <c r="B13"/>
  <c r="BR43" i="17"/>
  <c r="U13"/>
  <c r="Z70" i="9"/>
  <c r="U14" i="17"/>
  <c r="Z81" i="9"/>
  <c r="U15" i="17"/>
  <c r="Z92" i="9"/>
  <c r="W21" i="17"/>
  <c r="V21"/>
  <c r="V20"/>
  <c r="W20"/>
  <c r="V18"/>
  <c r="W18"/>
  <c r="V17"/>
  <c r="W17"/>
  <c r="V16"/>
  <c r="W16"/>
  <c r="V19"/>
  <c r="W19"/>
  <c r="A29" i="16"/>
  <c r="T29" s="1"/>
  <c r="X29" s="1"/>
  <c r="W22" i="6"/>
  <c r="U23" i="12"/>
  <c r="T23"/>
  <c r="P23"/>
  <c r="L23"/>
  <c r="H23"/>
  <c r="D23"/>
  <c r="V23"/>
  <c r="R23"/>
  <c r="N23"/>
  <c r="J23"/>
  <c r="F23"/>
  <c r="B23"/>
  <c r="E23"/>
  <c r="I23"/>
  <c r="M23"/>
  <c r="Q23"/>
  <c r="G23"/>
  <c r="K23"/>
  <c r="O23"/>
  <c r="S23"/>
  <c r="N23" i="3"/>
  <c r="A27" i="5"/>
  <c r="A24" i="15"/>
  <c r="A24" i="12"/>
  <c r="A24" i="6"/>
  <c r="A24" i="8"/>
  <c r="W22" i="15"/>
  <c r="AD22"/>
  <c r="AU202" i="9" s="1"/>
  <c r="Z22" i="15"/>
  <c r="AA22" s="1"/>
  <c r="U23" i="6"/>
  <c r="V23"/>
  <c r="R23"/>
  <c r="N23"/>
  <c r="J23"/>
  <c r="F23"/>
  <c r="B23"/>
  <c r="T23"/>
  <c r="P23"/>
  <c r="L23"/>
  <c r="H23"/>
  <c r="D23"/>
  <c r="E23"/>
  <c r="I23"/>
  <c r="M23"/>
  <c r="Q23"/>
  <c r="G23"/>
  <c r="K23"/>
  <c r="O23"/>
  <c r="S23"/>
  <c r="V23" i="15"/>
  <c r="G23"/>
  <c r="K23"/>
  <c r="O23"/>
  <c r="S23"/>
  <c r="D23"/>
  <c r="H23"/>
  <c r="L23"/>
  <c r="P23"/>
  <c r="T23"/>
  <c r="E23"/>
  <c r="I23"/>
  <c r="M23"/>
  <c r="Q23"/>
  <c r="U23"/>
  <c r="B23"/>
  <c r="F23"/>
  <c r="J23"/>
  <c r="N23"/>
  <c r="R23"/>
  <c r="X22" i="3"/>
  <c r="O22"/>
  <c r="U22"/>
  <c r="R22"/>
  <c r="W22" i="12"/>
  <c r="W19" i="8"/>
  <c r="W18"/>
  <c r="W17"/>
  <c r="W16"/>
  <c r="W15"/>
  <c r="W14"/>
  <c r="AC9"/>
  <c r="A9"/>
  <c r="AG8"/>
  <c r="AF8"/>
  <c r="AC8"/>
  <c r="A8"/>
  <c r="AG7"/>
  <c r="AF7"/>
  <c r="AC7"/>
  <c r="A7"/>
  <c r="AG6"/>
  <c r="AF6"/>
  <c r="AC6"/>
  <c r="A6"/>
  <c r="AG5"/>
  <c r="AF5"/>
  <c r="AC5"/>
  <c r="U8" i="17" s="1"/>
  <c r="A5" i="8"/>
  <c r="AF4"/>
  <c r="AC4"/>
  <c r="AD35" s="1"/>
  <c r="A4"/>
  <c r="AB36" i="2"/>
  <c r="V35"/>
  <c r="U35"/>
  <c r="T35"/>
  <c r="S35"/>
  <c r="R35"/>
  <c r="Q35"/>
  <c r="P35"/>
  <c r="O35"/>
  <c r="N35"/>
  <c r="M35"/>
  <c r="L35"/>
  <c r="K35"/>
  <c r="J35"/>
  <c r="I35"/>
  <c r="H35"/>
  <c r="G35"/>
  <c r="F35"/>
  <c r="E35"/>
  <c r="D35"/>
  <c r="C35"/>
  <c r="B35"/>
  <c r="AG31"/>
  <c r="AF31"/>
  <c r="AG30"/>
  <c r="AF30"/>
  <c r="AC30"/>
  <c r="AG29"/>
  <c r="AF29"/>
  <c r="AC29"/>
  <c r="AG28"/>
  <c r="AF28"/>
  <c r="AC28"/>
  <c r="AG27"/>
  <c r="AF27"/>
  <c r="AC27"/>
  <c r="AG26"/>
  <c r="AF26"/>
  <c r="AC26"/>
  <c r="AG25"/>
  <c r="AF25"/>
  <c r="AC25"/>
  <c r="AG24"/>
  <c r="AF24"/>
  <c r="AC24"/>
  <c r="A24"/>
  <c r="V24" s="1"/>
  <c r="AG23"/>
  <c r="AF23"/>
  <c r="AC23"/>
  <c r="H29" i="16" l="1"/>
  <c r="L29" s="1"/>
  <c r="N29"/>
  <c r="R29" s="1"/>
  <c r="B29"/>
  <c r="F29" s="1"/>
  <c r="A25" i="2"/>
  <c r="U25" s="1"/>
  <c r="Z35"/>
  <c r="AA35" s="1"/>
  <c r="D5" i="8"/>
  <c r="F5"/>
  <c r="H5"/>
  <c r="J5"/>
  <c r="L5"/>
  <c r="N5"/>
  <c r="P5"/>
  <c r="R5"/>
  <c r="T5"/>
  <c r="V5"/>
  <c r="E5"/>
  <c r="G5"/>
  <c r="I5"/>
  <c r="K5"/>
  <c r="M5"/>
  <c r="O5"/>
  <c r="Q5"/>
  <c r="S5"/>
  <c r="U5"/>
  <c r="C5"/>
  <c r="E6"/>
  <c r="G6"/>
  <c r="I6"/>
  <c r="K6"/>
  <c r="M6"/>
  <c r="O6"/>
  <c r="Q6"/>
  <c r="S6"/>
  <c r="U6"/>
  <c r="D6"/>
  <c r="F6"/>
  <c r="H6"/>
  <c r="J6"/>
  <c r="L6"/>
  <c r="N6"/>
  <c r="P6"/>
  <c r="R6"/>
  <c r="T6"/>
  <c r="V6"/>
  <c r="C6"/>
  <c r="D7"/>
  <c r="F7"/>
  <c r="H7"/>
  <c r="J7"/>
  <c r="L7"/>
  <c r="N7"/>
  <c r="P7"/>
  <c r="R7"/>
  <c r="T7"/>
  <c r="V7"/>
  <c r="E7"/>
  <c r="G7"/>
  <c r="I7"/>
  <c r="K7"/>
  <c r="M7"/>
  <c r="O7"/>
  <c r="Q7"/>
  <c r="S7"/>
  <c r="U7"/>
  <c r="C7"/>
  <c r="E8"/>
  <c r="G8"/>
  <c r="I8"/>
  <c r="K8"/>
  <c r="M8"/>
  <c r="O8"/>
  <c r="Q8"/>
  <c r="S8"/>
  <c r="U8"/>
  <c r="D8"/>
  <c r="F8"/>
  <c r="H8"/>
  <c r="J8"/>
  <c r="L8"/>
  <c r="N8"/>
  <c r="P8"/>
  <c r="R8"/>
  <c r="T8"/>
  <c r="V8"/>
  <c r="C8"/>
  <c r="C9"/>
  <c r="AD9" s="1"/>
  <c r="E9"/>
  <c r="G9"/>
  <c r="I9"/>
  <c r="K9"/>
  <c r="M9"/>
  <c r="O9"/>
  <c r="Q9"/>
  <c r="S9"/>
  <c r="U9"/>
  <c r="D9"/>
  <c r="F9"/>
  <c r="H9"/>
  <c r="J9"/>
  <c r="L9"/>
  <c r="N9"/>
  <c r="P9"/>
  <c r="R9"/>
  <c r="T9"/>
  <c r="V9"/>
  <c r="B24"/>
  <c r="C24"/>
  <c r="E24"/>
  <c r="G24"/>
  <c r="I24"/>
  <c r="K24"/>
  <c r="M24"/>
  <c r="O24"/>
  <c r="Q24"/>
  <c r="S24"/>
  <c r="U24"/>
  <c r="D24"/>
  <c r="F24"/>
  <c r="H24"/>
  <c r="J24"/>
  <c r="L24"/>
  <c r="N24"/>
  <c r="P24"/>
  <c r="R24"/>
  <c r="T24"/>
  <c r="V24"/>
  <c r="D4"/>
  <c r="F4"/>
  <c r="H4"/>
  <c r="J4"/>
  <c r="L4"/>
  <c r="N4"/>
  <c r="P4"/>
  <c r="R4"/>
  <c r="T4"/>
  <c r="V4"/>
  <c r="E4"/>
  <c r="G4"/>
  <c r="I4"/>
  <c r="K4"/>
  <c r="M4"/>
  <c r="O4"/>
  <c r="Q4"/>
  <c r="S4"/>
  <c r="U4"/>
  <c r="C4"/>
  <c r="AG4"/>
  <c r="AC36"/>
  <c r="AA213" i="9"/>
  <c r="AS26" i="17"/>
  <c r="AA224" i="9"/>
  <c r="AS27" i="17"/>
  <c r="AA235" i="9"/>
  <c r="AS28" i="17"/>
  <c r="AA257" i="9"/>
  <c r="AS30" i="17"/>
  <c r="AA279" i="9"/>
  <c r="AS32" i="17"/>
  <c r="AS34"/>
  <c r="AA301" i="9"/>
  <c r="AA246"/>
  <c r="AS29" i="17"/>
  <c r="AA268" i="9"/>
  <c r="AS31" i="17"/>
  <c r="AA290" i="9"/>
  <c r="AS33" i="17"/>
  <c r="W8"/>
  <c r="V8"/>
  <c r="U9"/>
  <c r="U10"/>
  <c r="U11"/>
  <c r="U12"/>
  <c r="W15"/>
  <c r="V15"/>
  <c r="V14"/>
  <c r="W14"/>
  <c r="W13"/>
  <c r="V13"/>
  <c r="U7"/>
  <c r="J25" i="2"/>
  <c r="F25"/>
  <c r="V25"/>
  <c r="A30" i="16"/>
  <c r="T30" s="1"/>
  <c r="X30" s="1"/>
  <c r="V24" i="12"/>
  <c r="E24"/>
  <c r="I24"/>
  <c r="M24"/>
  <c r="Q24"/>
  <c r="U24"/>
  <c r="B24"/>
  <c r="F24"/>
  <c r="J24"/>
  <c r="N24"/>
  <c r="R24"/>
  <c r="G24"/>
  <c r="K24"/>
  <c r="O24"/>
  <c r="S24"/>
  <c r="D24"/>
  <c r="H24"/>
  <c r="L24"/>
  <c r="P24"/>
  <c r="T24"/>
  <c r="N24" i="3"/>
  <c r="A28" i="5"/>
  <c r="A25" i="15"/>
  <c r="A25" i="12"/>
  <c r="A25" i="6"/>
  <c r="A25" i="8"/>
  <c r="W23" i="15"/>
  <c r="W23" i="6"/>
  <c r="W23" i="12"/>
  <c r="W23" i="8"/>
  <c r="V24" i="6"/>
  <c r="G24"/>
  <c r="K24"/>
  <c r="O24"/>
  <c r="S24"/>
  <c r="B24"/>
  <c r="F24"/>
  <c r="J24"/>
  <c r="N24"/>
  <c r="R24"/>
  <c r="E24"/>
  <c r="I24"/>
  <c r="M24"/>
  <c r="Q24"/>
  <c r="U24"/>
  <c r="D24"/>
  <c r="H24"/>
  <c r="L24"/>
  <c r="P24"/>
  <c r="T24"/>
  <c r="S24" i="15"/>
  <c r="O24"/>
  <c r="K24"/>
  <c r="G24"/>
  <c r="C24"/>
  <c r="AD24" s="1"/>
  <c r="AU224" i="9" s="1"/>
  <c r="T24" i="15"/>
  <c r="P24"/>
  <c r="L24"/>
  <c r="H24"/>
  <c r="D24"/>
  <c r="U24"/>
  <c r="Q24"/>
  <c r="M24"/>
  <c r="I24"/>
  <c r="E24"/>
  <c r="V24"/>
  <c r="R24"/>
  <c r="N24"/>
  <c r="J24"/>
  <c r="F24"/>
  <c r="B24"/>
  <c r="Z24" s="1"/>
  <c r="AA24" s="1"/>
  <c r="U23" i="3"/>
  <c r="X23"/>
  <c r="O23"/>
  <c r="R23"/>
  <c r="D25" i="2"/>
  <c r="L25"/>
  <c r="T25"/>
  <c r="C24"/>
  <c r="E24"/>
  <c r="G24"/>
  <c r="I24"/>
  <c r="K24"/>
  <c r="M24"/>
  <c r="O24"/>
  <c r="Q24"/>
  <c r="S24"/>
  <c r="U24"/>
  <c r="B24"/>
  <c r="D24"/>
  <c r="F24"/>
  <c r="H24"/>
  <c r="J24"/>
  <c r="L24"/>
  <c r="N24"/>
  <c r="P24"/>
  <c r="R24"/>
  <c r="T24"/>
  <c r="C25"/>
  <c r="G25"/>
  <c r="K25"/>
  <c r="O25"/>
  <c r="S25"/>
  <c r="W35"/>
  <c r="X35" s="1"/>
  <c r="Y35" s="1"/>
  <c r="W13" i="8"/>
  <c r="W11"/>
  <c r="W10"/>
  <c r="W12"/>
  <c r="A23" i="2"/>
  <c r="V23" s="1"/>
  <c r="V25" i="5" s="1"/>
  <c r="AG22" i="2"/>
  <c r="AF22"/>
  <c r="AC22"/>
  <c r="A22"/>
  <c r="U22" s="1"/>
  <c r="U24" i="5" s="1"/>
  <c r="AG21" i="2"/>
  <c r="AF21"/>
  <c r="AC21"/>
  <c r="A21"/>
  <c r="V21" s="1"/>
  <c r="V23" i="5" s="1"/>
  <c r="AG20" i="2"/>
  <c r="AF20"/>
  <c r="AC20"/>
  <c r="A20"/>
  <c r="U20" s="1"/>
  <c r="U22" i="5" s="1"/>
  <c r="AG19" i="2"/>
  <c r="AF19"/>
  <c r="AC19"/>
  <c r="A19"/>
  <c r="V19" s="1"/>
  <c r="V21" i="5" s="1"/>
  <c r="AG18" i="2"/>
  <c r="AF18"/>
  <c r="AC18"/>
  <c r="A18"/>
  <c r="U18" s="1"/>
  <c r="AG17"/>
  <c r="AF17"/>
  <c r="AC17"/>
  <c r="A17"/>
  <c r="U17" s="1"/>
  <c r="U19" i="5" s="1"/>
  <c r="AG16" i="2"/>
  <c r="AF16"/>
  <c r="AC16"/>
  <c r="A16"/>
  <c r="U16" s="1"/>
  <c r="U18" i="5" s="1"/>
  <c r="AG15" i="2"/>
  <c r="AF15"/>
  <c r="AC15"/>
  <c r="A15"/>
  <c r="U15" s="1"/>
  <c r="U17" i="5" s="1"/>
  <c r="AG14" i="2"/>
  <c r="AF14"/>
  <c r="AC14"/>
  <c r="A14"/>
  <c r="U14" s="1"/>
  <c r="U16" i="5" s="1"/>
  <c r="AG13" i="2"/>
  <c r="AF13"/>
  <c r="AC13"/>
  <c r="A13"/>
  <c r="U13" s="1"/>
  <c r="U15" i="5" s="1"/>
  <c r="AG12" i="2"/>
  <c r="AF12"/>
  <c r="AC12"/>
  <c r="A12"/>
  <c r="U12" s="1"/>
  <c r="U14" i="5" s="1"/>
  <c r="AG11" i="2"/>
  <c r="AF11"/>
  <c r="AC11"/>
  <c r="A11"/>
  <c r="U11" s="1"/>
  <c r="U13" i="5" s="1"/>
  <c r="AG10" i="2"/>
  <c r="AF10"/>
  <c r="AC10"/>
  <c r="A10"/>
  <c r="U10" s="1"/>
  <c r="AG9"/>
  <c r="AF9"/>
  <c r="AC9"/>
  <c r="A9"/>
  <c r="U9" s="1"/>
  <c r="AG8"/>
  <c r="AF8"/>
  <c r="AC8"/>
  <c r="AA48" i="9" s="1"/>
  <c r="A8" i="2"/>
  <c r="U8" s="1"/>
  <c r="AG7"/>
  <c r="AF7"/>
  <c r="AC7"/>
  <c r="A7"/>
  <c r="U7" s="1"/>
  <c r="AG6"/>
  <c r="AF6"/>
  <c r="AC6"/>
  <c r="A6"/>
  <c r="U6" s="1"/>
  <c r="AG5"/>
  <c r="AF5"/>
  <c r="AC5"/>
  <c r="A5"/>
  <c r="V5" s="1"/>
  <c r="AG4"/>
  <c r="AF4"/>
  <c r="AC4"/>
  <c r="A4"/>
  <c r="E129" i="14"/>
  <c r="D121" s="1"/>
  <c r="H120"/>
  <c r="D120"/>
  <c r="D119"/>
  <c r="AA116"/>
  <c r="Z116"/>
  <c r="Y116"/>
  <c r="X116"/>
  <c r="W116"/>
  <c r="V116"/>
  <c r="U116"/>
  <c r="T116"/>
  <c r="S116"/>
  <c r="R116"/>
  <c r="Q116"/>
  <c r="P116"/>
  <c r="O116"/>
  <c r="N116"/>
  <c r="M116"/>
  <c r="L116"/>
  <c r="K116"/>
  <c r="J116"/>
  <c r="I116"/>
  <c r="G116"/>
  <c r="F116"/>
  <c r="E116"/>
  <c r="D116"/>
  <c r="C116"/>
  <c r="AB115"/>
  <c r="H115" s="1"/>
  <c r="G115"/>
  <c r="AB114"/>
  <c r="H114" s="1"/>
  <c r="G114"/>
  <c r="AB113"/>
  <c r="H113" s="1"/>
  <c r="G113"/>
  <c r="AB112"/>
  <c r="H112" s="1"/>
  <c r="G112"/>
  <c r="AB111"/>
  <c r="H111" s="1"/>
  <c r="G111"/>
  <c r="AB110"/>
  <c r="H110" s="1"/>
  <c r="G110"/>
  <c r="AB109"/>
  <c r="H109" s="1"/>
  <c r="G109"/>
  <c r="AB108"/>
  <c r="H108" s="1"/>
  <c r="G108"/>
  <c r="AB107"/>
  <c r="H107" s="1"/>
  <c r="G107"/>
  <c r="AB106"/>
  <c r="H106" s="1"/>
  <c r="G106"/>
  <c r="AB105"/>
  <c r="H105" s="1"/>
  <c r="G105"/>
  <c r="AB104"/>
  <c r="H104" s="1"/>
  <c r="G104"/>
  <c r="AB103"/>
  <c r="H103" s="1"/>
  <c r="G103"/>
  <c r="AB102"/>
  <c r="H102" s="1"/>
  <c r="G102"/>
  <c r="AB101"/>
  <c r="H101" s="1"/>
  <c r="G101"/>
  <c r="AB100"/>
  <c r="H100" s="1"/>
  <c r="G100"/>
  <c r="AB99"/>
  <c r="H99" s="1"/>
  <c r="G99"/>
  <c r="AB98"/>
  <c r="H98" s="1"/>
  <c r="G98"/>
  <c r="AB97"/>
  <c r="H97" s="1"/>
  <c r="G97"/>
  <c r="AB96"/>
  <c r="H96" s="1"/>
  <c r="G96"/>
  <c r="AB95"/>
  <c r="H95" s="1"/>
  <c r="G95"/>
  <c r="AB94"/>
  <c r="H94" s="1"/>
  <c r="G94"/>
  <c r="AB93"/>
  <c r="H93" s="1"/>
  <c r="G93"/>
  <c r="AB92"/>
  <c r="H92" s="1"/>
  <c r="G92"/>
  <c r="AB91"/>
  <c r="H91" s="1"/>
  <c r="G91"/>
  <c r="AB90"/>
  <c r="H90" s="1"/>
  <c r="G90"/>
  <c r="AB89"/>
  <c r="H89" s="1"/>
  <c r="G89"/>
  <c r="AB88"/>
  <c r="H88" s="1"/>
  <c r="G88"/>
  <c r="AB87"/>
  <c r="H87" s="1"/>
  <c r="G87"/>
  <c r="AB86"/>
  <c r="H86" s="1"/>
  <c r="G86"/>
  <c r="AB85"/>
  <c r="H85" s="1"/>
  <c r="G85"/>
  <c r="AB84"/>
  <c r="H84" s="1"/>
  <c r="G84"/>
  <c r="AB83"/>
  <c r="H83" s="1"/>
  <c r="G83"/>
  <c r="AB82"/>
  <c r="H82" s="1"/>
  <c r="G82"/>
  <c r="AB81"/>
  <c r="H81" s="1"/>
  <c r="G81"/>
  <c r="AB80"/>
  <c r="H80" s="1"/>
  <c r="G80"/>
  <c r="AB79"/>
  <c r="H79" s="1"/>
  <c r="G79"/>
  <c r="AB78"/>
  <c r="H78" s="1"/>
  <c r="G78"/>
  <c r="AB77"/>
  <c r="H77" s="1"/>
  <c r="G77"/>
  <c r="AB76"/>
  <c r="H76" s="1"/>
  <c r="G76"/>
  <c r="AB75"/>
  <c r="H75" s="1"/>
  <c r="G75"/>
  <c r="AB74"/>
  <c r="H74" s="1"/>
  <c r="G74"/>
  <c r="AB73"/>
  <c r="H73" s="1"/>
  <c r="G73"/>
  <c r="AB72"/>
  <c r="H72" s="1"/>
  <c r="G72"/>
  <c r="AB71"/>
  <c r="H71" s="1"/>
  <c r="G71"/>
  <c r="AB70"/>
  <c r="H70" s="1"/>
  <c r="G70"/>
  <c r="AB69"/>
  <c r="H69" s="1"/>
  <c r="G69"/>
  <c r="AB68"/>
  <c r="H68" s="1"/>
  <c r="G68"/>
  <c r="AB67"/>
  <c r="H67" s="1"/>
  <c r="G67"/>
  <c r="AB66"/>
  <c r="H66" s="1"/>
  <c r="G66"/>
  <c r="AB65"/>
  <c r="H65" s="1"/>
  <c r="G65"/>
  <c r="AB64"/>
  <c r="H64" s="1"/>
  <c r="G64"/>
  <c r="AB63"/>
  <c r="H63" s="1"/>
  <c r="G63"/>
  <c r="AB62"/>
  <c r="H62" s="1"/>
  <c r="G62"/>
  <c r="AB61"/>
  <c r="H61" s="1"/>
  <c r="G61"/>
  <c r="AB60"/>
  <c r="H60" s="1"/>
  <c r="G60"/>
  <c r="AB59"/>
  <c r="H59" s="1"/>
  <c r="G59"/>
  <c r="AB58"/>
  <c r="H58" s="1"/>
  <c r="G58"/>
  <c r="AB57"/>
  <c r="H57" s="1"/>
  <c r="G57"/>
  <c r="AB56"/>
  <c r="H56" s="1"/>
  <c r="G56"/>
  <c r="AB55"/>
  <c r="H55" s="1"/>
  <c r="G55"/>
  <c r="AB54"/>
  <c r="H54" s="1"/>
  <c r="G54"/>
  <c r="AB53"/>
  <c r="H53" s="1"/>
  <c r="G53"/>
  <c r="AB52"/>
  <c r="H52" s="1"/>
  <c r="G52"/>
  <c r="AB51"/>
  <c r="H51" s="1"/>
  <c r="G51"/>
  <c r="AB50"/>
  <c r="H50" s="1"/>
  <c r="G50"/>
  <c r="AB49"/>
  <c r="H49" s="1"/>
  <c r="G49"/>
  <c r="AB48"/>
  <c r="H48" s="1"/>
  <c r="G48"/>
  <c r="AB47"/>
  <c r="H47" s="1"/>
  <c r="G47"/>
  <c r="AB46"/>
  <c r="H46" s="1"/>
  <c r="G46"/>
  <c r="AB45"/>
  <c r="H45" s="1"/>
  <c r="G45"/>
  <c r="AB44"/>
  <c r="H44" s="1"/>
  <c r="G44"/>
  <c r="AB43"/>
  <c r="H43" s="1"/>
  <c r="G43"/>
  <c r="AB42"/>
  <c r="H42" s="1"/>
  <c r="G42"/>
  <c r="AB41"/>
  <c r="H41" s="1"/>
  <c r="G41"/>
  <c r="AB40"/>
  <c r="H40" s="1"/>
  <c r="G40"/>
  <c r="AB39"/>
  <c r="H39" s="1"/>
  <c r="G39"/>
  <c r="AB38"/>
  <c r="H38" s="1"/>
  <c r="G38"/>
  <c r="AB37"/>
  <c r="H37" s="1"/>
  <c r="G37"/>
  <c r="AB36"/>
  <c r="H36" s="1"/>
  <c r="G36"/>
  <c r="AB35"/>
  <c r="H35" s="1"/>
  <c r="G35"/>
  <c r="AB34"/>
  <c r="H34" s="1"/>
  <c r="G34"/>
  <c r="AB33"/>
  <c r="H33" s="1"/>
  <c r="G33"/>
  <c r="AB32"/>
  <c r="H32" s="1"/>
  <c r="G32"/>
  <c r="AB31"/>
  <c r="H31" s="1"/>
  <c r="G31"/>
  <c r="AB30"/>
  <c r="H30" s="1"/>
  <c r="G30"/>
  <c r="AB29"/>
  <c r="H29" s="1"/>
  <c r="G29"/>
  <c r="AB28"/>
  <c r="H28" s="1"/>
  <c r="G28"/>
  <c r="AB27"/>
  <c r="H27" s="1"/>
  <c r="G27"/>
  <c r="AB26"/>
  <c r="H26" s="1"/>
  <c r="G26"/>
  <c r="AB25"/>
  <c r="H25" s="1"/>
  <c r="G25"/>
  <c r="AB24"/>
  <c r="H24" s="1"/>
  <c r="G24"/>
  <c r="AB23"/>
  <c r="H23" s="1"/>
  <c r="G23"/>
  <c r="AB22"/>
  <c r="H22" s="1"/>
  <c r="G22"/>
  <c r="AB21"/>
  <c r="H21" s="1"/>
  <c r="G21"/>
  <c r="AB20"/>
  <c r="H20" s="1"/>
  <c r="G20"/>
  <c r="AB19"/>
  <c r="H19" s="1"/>
  <c r="G19"/>
  <c r="AB18"/>
  <c r="H18" s="1"/>
  <c r="G18"/>
  <c r="AB17"/>
  <c r="H17" s="1"/>
  <c r="G17"/>
  <c r="AB16"/>
  <c r="H16" s="1"/>
  <c r="G16"/>
  <c r="AB15"/>
  <c r="H15" s="1"/>
  <c r="G15"/>
  <c r="AB14"/>
  <c r="H14" s="1"/>
  <c r="G14"/>
  <c r="AB13"/>
  <c r="H13" s="1"/>
  <c r="G13"/>
  <c r="AB12"/>
  <c r="H12" s="1"/>
  <c r="G12"/>
  <c r="AB11"/>
  <c r="H11" s="1"/>
  <c r="G11"/>
  <c r="AB10"/>
  <c r="H10" s="1"/>
  <c r="C9" i="15" s="1"/>
  <c r="G10" i="14"/>
  <c r="H9"/>
  <c r="G9"/>
  <c r="AB4"/>
  <c r="A3"/>
  <c r="E129" i="11"/>
  <c r="D121"/>
  <c r="H120"/>
  <c r="D120"/>
  <c r="D119"/>
  <c r="AA116"/>
  <c r="Z116"/>
  <c r="Y116"/>
  <c r="X116"/>
  <c r="W116"/>
  <c r="V116"/>
  <c r="U116"/>
  <c r="T116"/>
  <c r="S116"/>
  <c r="R116"/>
  <c r="Q116"/>
  <c r="P116"/>
  <c r="O116"/>
  <c r="N116"/>
  <c r="M116"/>
  <c r="L116"/>
  <c r="K116"/>
  <c r="J116"/>
  <c r="I116"/>
  <c r="F116"/>
  <c r="D116"/>
  <c r="AB115"/>
  <c r="H115"/>
  <c r="G115"/>
  <c r="E115"/>
  <c r="AB114"/>
  <c r="H114"/>
  <c r="G114"/>
  <c r="E114"/>
  <c r="AB113"/>
  <c r="H113"/>
  <c r="G113"/>
  <c r="E113"/>
  <c r="AB112"/>
  <c r="H112"/>
  <c r="G112"/>
  <c r="E112"/>
  <c r="AB111"/>
  <c r="H111"/>
  <c r="G111"/>
  <c r="E111"/>
  <c r="AB110"/>
  <c r="H110"/>
  <c r="G110"/>
  <c r="E110"/>
  <c r="AB109"/>
  <c r="H109"/>
  <c r="G109"/>
  <c r="E109"/>
  <c r="AB108"/>
  <c r="H108"/>
  <c r="G108"/>
  <c r="E108"/>
  <c r="AB107"/>
  <c r="H107"/>
  <c r="G107"/>
  <c r="E107"/>
  <c r="AB106"/>
  <c r="H106"/>
  <c r="G106"/>
  <c r="E106"/>
  <c r="AB105"/>
  <c r="H105"/>
  <c r="G105"/>
  <c r="E105"/>
  <c r="AB104"/>
  <c r="H104"/>
  <c r="G104"/>
  <c r="E104"/>
  <c r="AB103"/>
  <c r="H103"/>
  <c r="G103"/>
  <c r="E103"/>
  <c r="AB102"/>
  <c r="H102"/>
  <c r="G102"/>
  <c r="E102"/>
  <c r="AB101"/>
  <c r="H101"/>
  <c r="G101"/>
  <c r="E101"/>
  <c r="AB100"/>
  <c r="H100"/>
  <c r="G100"/>
  <c r="E100"/>
  <c r="AB99"/>
  <c r="H99"/>
  <c r="G99"/>
  <c r="E99"/>
  <c r="AB98"/>
  <c r="H98"/>
  <c r="G98"/>
  <c r="E98"/>
  <c r="AB97"/>
  <c r="H97"/>
  <c r="G97"/>
  <c r="E97"/>
  <c r="AB96"/>
  <c r="H96"/>
  <c r="G96"/>
  <c r="E96"/>
  <c r="AB95"/>
  <c r="H95"/>
  <c r="G95"/>
  <c r="E95"/>
  <c r="AB94"/>
  <c r="H94"/>
  <c r="G94"/>
  <c r="E94"/>
  <c r="AB93"/>
  <c r="H93"/>
  <c r="G93"/>
  <c r="E93"/>
  <c r="AB92"/>
  <c r="H92"/>
  <c r="G92"/>
  <c r="E92"/>
  <c r="AB91"/>
  <c r="H91"/>
  <c r="G91"/>
  <c r="E91"/>
  <c r="AB90"/>
  <c r="H90"/>
  <c r="G90"/>
  <c r="E90"/>
  <c r="AB89"/>
  <c r="H89"/>
  <c r="G89"/>
  <c r="E89"/>
  <c r="AB88"/>
  <c r="H88"/>
  <c r="G88"/>
  <c r="E88"/>
  <c r="AB87"/>
  <c r="H87"/>
  <c r="G87"/>
  <c r="E87"/>
  <c r="AB86"/>
  <c r="H86"/>
  <c r="G86"/>
  <c r="E86"/>
  <c r="AB85"/>
  <c r="H85"/>
  <c r="G85"/>
  <c r="E85"/>
  <c r="AB84"/>
  <c r="H84"/>
  <c r="G84"/>
  <c r="E84"/>
  <c r="AB83"/>
  <c r="H83"/>
  <c r="G83"/>
  <c r="E83"/>
  <c r="AB82"/>
  <c r="H82"/>
  <c r="G82"/>
  <c r="E82"/>
  <c r="AB81"/>
  <c r="H81"/>
  <c r="G81"/>
  <c r="E81"/>
  <c r="AB80"/>
  <c r="H80"/>
  <c r="G80"/>
  <c r="E80"/>
  <c r="AB79"/>
  <c r="H79"/>
  <c r="G79"/>
  <c r="E79"/>
  <c r="AB78"/>
  <c r="H78"/>
  <c r="G78"/>
  <c r="E78"/>
  <c r="AB77"/>
  <c r="H77"/>
  <c r="G77"/>
  <c r="E77"/>
  <c r="AB76"/>
  <c r="H76"/>
  <c r="G76"/>
  <c r="E76"/>
  <c r="AB75"/>
  <c r="H75"/>
  <c r="G75"/>
  <c r="E75"/>
  <c r="AB74"/>
  <c r="H74"/>
  <c r="G74"/>
  <c r="E74"/>
  <c r="AB73"/>
  <c r="H73"/>
  <c r="G73"/>
  <c r="E73"/>
  <c r="AB72"/>
  <c r="H72"/>
  <c r="G72"/>
  <c r="E72"/>
  <c r="AB71"/>
  <c r="H71"/>
  <c r="G71"/>
  <c r="E71"/>
  <c r="AB70"/>
  <c r="H70"/>
  <c r="G70"/>
  <c r="E70"/>
  <c r="AB69"/>
  <c r="H69"/>
  <c r="G69"/>
  <c r="E69"/>
  <c r="AB68"/>
  <c r="H68"/>
  <c r="G68"/>
  <c r="E68"/>
  <c r="AB67"/>
  <c r="H67"/>
  <c r="G67"/>
  <c r="E67"/>
  <c r="AB66"/>
  <c r="H66"/>
  <c r="G66"/>
  <c r="E66"/>
  <c r="AB65"/>
  <c r="H65"/>
  <c r="G65"/>
  <c r="E65"/>
  <c r="AB64"/>
  <c r="H64"/>
  <c r="G64"/>
  <c r="E64"/>
  <c r="AB63"/>
  <c r="H63"/>
  <c r="G63"/>
  <c r="E63"/>
  <c r="AB62"/>
  <c r="H62"/>
  <c r="G62"/>
  <c r="E62"/>
  <c r="AB61"/>
  <c r="H61"/>
  <c r="G61"/>
  <c r="E61"/>
  <c r="AB60"/>
  <c r="H60"/>
  <c r="G60"/>
  <c r="E60"/>
  <c r="AB59"/>
  <c r="H59"/>
  <c r="G59"/>
  <c r="E59"/>
  <c r="AB58"/>
  <c r="H58"/>
  <c r="G58"/>
  <c r="E58"/>
  <c r="AB57"/>
  <c r="H57"/>
  <c r="G57"/>
  <c r="E57"/>
  <c r="AB56"/>
  <c r="H56"/>
  <c r="G56"/>
  <c r="E56"/>
  <c r="AB55"/>
  <c r="H55"/>
  <c r="G55"/>
  <c r="E55"/>
  <c r="AB54"/>
  <c r="H54"/>
  <c r="G54"/>
  <c r="E54"/>
  <c r="AB53"/>
  <c r="H53"/>
  <c r="G53"/>
  <c r="E53"/>
  <c r="AB52"/>
  <c r="H52"/>
  <c r="G52"/>
  <c r="E52"/>
  <c r="AB51"/>
  <c r="H51"/>
  <c r="G51"/>
  <c r="E51"/>
  <c r="AB50"/>
  <c r="H50"/>
  <c r="G50"/>
  <c r="E50"/>
  <c r="AB49"/>
  <c r="H49"/>
  <c r="G49"/>
  <c r="E49"/>
  <c r="AB48"/>
  <c r="H48"/>
  <c r="G48"/>
  <c r="E48"/>
  <c r="AB47"/>
  <c r="H47"/>
  <c r="G47"/>
  <c r="E47"/>
  <c r="AB46"/>
  <c r="H46"/>
  <c r="G46"/>
  <c r="E46"/>
  <c r="AB45"/>
  <c r="H45"/>
  <c r="G45"/>
  <c r="E45"/>
  <c r="AB44"/>
  <c r="H44"/>
  <c r="G44"/>
  <c r="E44"/>
  <c r="AB43"/>
  <c r="H43"/>
  <c r="G43"/>
  <c r="E43"/>
  <c r="AB42"/>
  <c r="H42"/>
  <c r="G42"/>
  <c r="E42"/>
  <c r="AB41"/>
  <c r="H41"/>
  <c r="G41"/>
  <c r="E41"/>
  <c r="AB40"/>
  <c r="H40"/>
  <c r="G40"/>
  <c r="E40"/>
  <c r="AB39"/>
  <c r="H39"/>
  <c r="G39"/>
  <c r="E39"/>
  <c r="AB38"/>
  <c r="H38"/>
  <c r="G38"/>
  <c r="E38"/>
  <c r="AB37"/>
  <c r="H37"/>
  <c r="G37"/>
  <c r="E37"/>
  <c r="AB36"/>
  <c r="H36"/>
  <c r="G36"/>
  <c r="E36"/>
  <c r="AB35"/>
  <c r="H35"/>
  <c r="G35"/>
  <c r="E35"/>
  <c r="AB34"/>
  <c r="H34"/>
  <c r="G34"/>
  <c r="E34"/>
  <c r="AB33"/>
  <c r="H33"/>
  <c r="G33"/>
  <c r="E33"/>
  <c r="AB32"/>
  <c r="H32"/>
  <c r="G32"/>
  <c r="E32"/>
  <c r="AB31"/>
  <c r="H31"/>
  <c r="G31"/>
  <c r="E31"/>
  <c r="AB30"/>
  <c r="H30"/>
  <c r="G30"/>
  <c r="E30"/>
  <c r="AB29"/>
  <c r="H29"/>
  <c r="G29"/>
  <c r="E29"/>
  <c r="AB28"/>
  <c r="H28"/>
  <c r="G28"/>
  <c r="E28"/>
  <c r="AB27"/>
  <c r="H27"/>
  <c r="G27"/>
  <c r="E27"/>
  <c r="AB26"/>
  <c r="H26"/>
  <c r="G26"/>
  <c r="E26"/>
  <c r="AB25"/>
  <c r="H25"/>
  <c r="G25"/>
  <c r="E25"/>
  <c r="AB24"/>
  <c r="H24"/>
  <c r="G24"/>
  <c r="E24"/>
  <c r="AB23"/>
  <c r="H23"/>
  <c r="G23"/>
  <c r="E23"/>
  <c r="AB22"/>
  <c r="H22"/>
  <c r="G22"/>
  <c r="E22"/>
  <c r="AB21"/>
  <c r="H21"/>
  <c r="G21"/>
  <c r="E21"/>
  <c r="AB20"/>
  <c r="H20"/>
  <c r="G20"/>
  <c r="E20"/>
  <c r="AB19"/>
  <c r="H19"/>
  <c r="G19"/>
  <c r="E19"/>
  <c r="AB18"/>
  <c r="H18"/>
  <c r="G18"/>
  <c r="E18"/>
  <c r="AB17"/>
  <c r="H17"/>
  <c r="G17"/>
  <c r="E17"/>
  <c r="AB16"/>
  <c r="G16"/>
  <c r="E16"/>
  <c r="H16" s="1"/>
  <c r="AB15"/>
  <c r="G15"/>
  <c r="E15"/>
  <c r="H15" s="1"/>
  <c r="AB14"/>
  <c r="G14"/>
  <c r="E14"/>
  <c r="H14" s="1"/>
  <c r="AB13"/>
  <c r="G13"/>
  <c r="E13"/>
  <c r="H13" s="1"/>
  <c r="AB12"/>
  <c r="G12"/>
  <c r="E12"/>
  <c r="H12" s="1"/>
  <c r="C18" i="12" s="1"/>
  <c r="AB11" i="11"/>
  <c r="G11"/>
  <c r="E11"/>
  <c r="H11" s="1"/>
  <c r="C16" i="12" s="1"/>
  <c r="AB10" i="11"/>
  <c r="G10"/>
  <c r="G116" s="1"/>
  <c r="E10"/>
  <c r="B20" i="12"/>
  <c r="AB4" i="11"/>
  <c r="A3"/>
  <c r="F130" i="4"/>
  <c r="I121"/>
  <c r="E121"/>
  <c r="E120"/>
  <c r="E122" s="1"/>
  <c r="AB117"/>
  <c r="AA117"/>
  <c r="Z117"/>
  <c r="Y117"/>
  <c r="X117"/>
  <c r="W117"/>
  <c r="V117"/>
  <c r="U117"/>
  <c r="T117"/>
  <c r="S117"/>
  <c r="R117"/>
  <c r="Q117"/>
  <c r="P117"/>
  <c r="O117"/>
  <c r="N117"/>
  <c r="M117"/>
  <c r="L117"/>
  <c r="K117"/>
  <c r="J117"/>
  <c r="H117"/>
  <c r="G117"/>
  <c r="E117"/>
  <c r="AC116"/>
  <c r="I116"/>
  <c r="H116"/>
  <c r="F116"/>
  <c r="AC115"/>
  <c r="I115"/>
  <c r="H115"/>
  <c r="F115"/>
  <c r="AC114"/>
  <c r="I114"/>
  <c r="H114"/>
  <c r="F114"/>
  <c r="AC113"/>
  <c r="I113"/>
  <c r="H113"/>
  <c r="F113"/>
  <c r="AC112"/>
  <c r="I112"/>
  <c r="H112"/>
  <c r="F112"/>
  <c r="AC111"/>
  <c r="I111"/>
  <c r="H111"/>
  <c r="F111"/>
  <c r="AC110"/>
  <c r="I110"/>
  <c r="H110"/>
  <c r="F110"/>
  <c r="AC109"/>
  <c r="I109"/>
  <c r="H109"/>
  <c r="F109"/>
  <c r="AC108"/>
  <c r="I108"/>
  <c r="H108"/>
  <c r="F108"/>
  <c r="AC107"/>
  <c r="I107"/>
  <c r="H107"/>
  <c r="F107"/>
  <c r="AC106"/>
  <c r="I106"/>
  <c r="H106"/>
  <c r="F106"/>
  <c r="AC105"/>
  <c r="I105"/>
  <c r="H105"/>
  <c r="F105"/>
  <c r="AC104"/>
  <c r="I104"/>
  <c r="H104"/>
  <c r="F104"/>
  <c r="AC103"/>
  <c r="I103"/>
  <c r="H103"/>
  <c r="F103"/>
  <c r="AC102"/>
  <c r="I102"/>
  <c r="H102"/>
  <c r="F102"/>
  <c r="AC101"/>
  <c r="I101"/>
  <c r="H101"/>
  <c r="F101"/>
  <c r="AC100"/>
  <c r="I100"/>
  <c r="H100"/>
  <c r="F100"/>
  <c r="AC99"/>
  <c r="I99"/>
  <c r="H99"/>
  <c r="F99"/>
  <c r="AC98"/>
  <c r="I98"/>
  <c r="H98"/>
  <c r="F98"/>
  <c r="AC97"/>
  <c r="I97"/>
  <c r="H97"/>
  <c r="F97"/>
  <c r="AC96"/>
  <c r="I96"/>
  <c r="H96"/>
  <c r="F96"/>
  <c r="AC95"/>
  <c r="I95"/>
  <c r="H95"/>
  <c r="F95"/>
  <c r="AC94"/>
  <c r="I94"/>
  <c r="H94"/>
  <c r="F94"/>
  <c r="AC93"/>
  <c r="I93"/>
  <c r="H93"/>
  <c r="F93"/>
  <c r="AC92"/>
  <c r="I92"/>
  <c r="H92"/>
  <c r="F92"/>
  <c r="AC91"/>
  <c r="I91"/>
  <c r="H91"/>
  <c r="F91"/>
  <c r="AC90"/>
  <c r="I90"/>
  <c r="H90"/>
  <c r="F90"/>
  <c r="AC89"/>
  <c r="I89"/>
  <c r="H89"/>
  <c r="F89"/>
  <c r="AC88"/>
  <c r="I88"/>
  <c r="H88"/>
  <c r="F88"/>
  <c r="AC87"/>
  <c r="I87"/>
  <c r="H87"/>
  <c r="F87"/>
  <c r="AC86"/>
  <c r="I86"/>
  <c r="H86"/>
  <c r="F86"/>
  <c r="AC85"/>
  <c r="I85"/>
  <c r="H85"/>
  <c r="F85"/>
  <c r="AC84"/>
  <c r="I84"/>
  <c r="H84"/>
  <c r="F84"/>
  <c r="AC83"/>
  <c r="I83"/>
  <c r="H83"/>
  <c r="F83"/>
  <c r="AC82"/>
  <c r="I82"/>
  <c r="H82"/>
  <c r="F82"/>
  <c r="AC81"/>
  <c r="I81"/>
  <c r="H81"/>
  <c r="F81"/>
  <c r="AC80"/>
  <c r="I80"/>
  <c r="H80"/>
  <c r="F80"/>
  <c r="AC79"/>
  <c r="I79"/>
  <c r="H79"/>
  <c r="F79"/>
  <c r="AC78"/>
  <c r="I78"/>
  <c r="H78"/>
  <c r="F78"/>
  <c r="AC77"/>
  <c r="I77"/>
  <c r="H77"/>
  <c r="F77"/>
  <c r="AC76"/>
  <c r="I76"/>
  <c r="H76"/>
  <c r="F76"/>
  <c r="AC75"/>
  <c r="I75"/>
  <c r="H75"/>
  <c r="F75"/>
  <c r="AC74"/>
  <c r="I74"/>
  <c r="H74"/>
  <c r="F74"/>
  <c r="AC73"/>
  <c r="I73"/>
  <c r="H73"/>
  <c r="F73"/>
  <c r="AC72"/>
  <c r="I72"/>
  <c r="H72"/>
  <c r="F72"/>
  <c r="AC71"/>
  <c r="I71"/>
  <c r="H71"/>
  <c r="F71"/>
  <c r="AC70"/>
  <c r="I70"/>
  <c r="H70"/>
  <c r="F70"/>
  <c r="AC69"/>
  <c r="I69"/>
  <c r="H69"/>
  <c r="F69"/>
  <c r="AC68"/>
  <c r="I68"/>
  <c r="H68"/>
  <c r="F68"/>
  <c r="AC67"/>
  <c r="I67"/>
  <c r="H67"/>
  <c r="F67"/>
  <c r="AC66"/>
  <c r="I66"/>
  <c r="H66"/>
  <c r="F66"/>
  <c r="AC65"/>
  <c r="I65"/>
  <c r="H65"/>
  <c r="F65"/>
  <c r="AC64"/>
  <c r="I64"/>
  <c r="H64"/>
  <c r="F64"/>
  <c r="AC63"/>
  <c r="I63"/>
  <c r="H63"/>
  <c r="F63"/>
  <c r="AC62"/>
  <c r="I62"/>
  <c r="H62"/>
  <c r="F62"/>
  <c r="AC61"/>
  <c r="I61"/>
  <c r="H61"/>
  <c r="F61"/>
  <c r="AC60"/>
  <c r="I60"/>
  <c r="H60"/>
  <c r="F60"/>
  <c r="AC59"/>
  <c r="I59"/>
  <c r="H59"/>
  <c r="F59"/>
  <c r="AC58"/>
  <c r="I58"/>
  <c r="H58"/>
  <c r="F58"/>
  <c r="AC57"/>
  <c r="I57"/>
  <c r="H57"/>
  <c r="F57"/>
  <c r="AC56"/>
  <c r="I56"/>
  <c r="H56"/>
  <c r="F56"/>
  <c r="AC55"/>
  <c r="I55"/>
  <c r="H55"/>
  <c r="F55"/>
  <c r="AC54"/>
  <c r="I54"/>
  <c r="H54"/>
  <c r="F54"/>
  <c r="AC53"/>
  <c r="I53"/>
  <c r="H53"/>
  <c r="F53"/>
  <c r="AC52"/>
  <c r="I52"/>
  <c r="H52"/>
  <c r="F52"/>
  <c r="AC51"/>
  <c r="I51"/>
  <c r="H51"/>
  <c r="F51"/>
  <c r="AC50"/>
  <c r="I50"/>
  <c r="H50"/>
  <c r="F50"/>
  <c r="AC49"/>
  <c r="I49"/>
  <c r="H49"/>
  <c r="F49"/>
  <c r="AC48"/>
  <c r="I48"/>
  <c r="H48"/>
  <c r="F48"/>
  <c r="AC47"/>
  <c r="I47"/>
  <c r="H47"/>
  <c r="F47"/>
  <c r="AC46"/>
  <c r="I46" s="1"/>
  <c r="H46"/>
  <c r="F46"/>
  <c r="AC45"/>
  <c r="I45"/>
  <c r="H45"/>
  <c r="F45"/>
  <c r="AC44"/>
  <c r="I44"/>
  <c r="H44"/>
  <c r="F44"/>
  <c r="AC43"/>
  <c r="I43"/>
  <c r="H43"/>
  <c r="F43"/>
  <c r="AC42"/>
  <c r="I42" s="1"/>
  <c r="H42"/>
  <c r="F42"/>
  <c r="AC41"/>
  <c r="I41"/>
  <c r="H41"/>
  <c r="F41"/>
  <c r="AC40"/>
  <c r="I40"/>
  <c r="H40"/>
  <c r="F40"/>
  <c r="AC39"/>
  <c r="I39"/>
  <c r="H39"/>
  <c r="F39"/>
  <c r="AC38"/>
  <c r="I38"/>
  <c r="H38"/>
  <c r="F38"/>
  <c r="AC37"/>
  <c r="I37"/>
  <c r="H37"/>
  <c r="F37"/>
  <c r="AC36"/>
  <c r="I36" s="1"/>
  <c r="H36"/>
  <c r="F36"/>
  <c r="AC35"/>
  <c r="I35"/>
  <c r="H35"/>
  <c r="F35"/>
  <c r="AC34"/>
  <c r="I34" s="1"/>
  <c r="H34"/>
  <c r="F34"/>
  <c r="AC33"/>
  <c r="I33" s="1"/>
  <c r="H33"/>
  <c r="F33"/>
  <c r="AC32"/>
  <c r="I32" s="1"/>
  <c r="H32"/>
  <c r="F32"/>
  <c r="AC31"/>
  <c r="I31" s="1"/>
  <c r="H31"/>
  <c r="F31"/>
  <c r="AC30"/>
  <c r="I30"/>
  <c r="H30"/>
  <c r="F30"/>
  <c r="AC29"/>
  <c r="I29"/>
  <c r="H29"/>
  <c r="F29"/>
  <c r="AC28"/>
  <c r="I28"/>
  <c r="H28"/>
  <c r="F28"/>
  <c r="AC27"/>
  <c r="I27"/>
  <c r="H27"/>
  <c r="F27"/>
  <c r="AC26"/>
  <c r="I26"/>
  <c r="H26"/>
  <c r="F26"/>
  <c r="AC25"/>
  <c r="I25" s="1"/>
  <c r="H25"/>
  <c r="F25"/>
  <c r="AC24"/>
  <c r="I24"/>
  <c r="H24"/>
  <c r="F24"/>
  <c r="AC23"/>
  <c r="I23" s="1"/>
  <c r="H23"/>
  <c r="F23"/>
  <c r="AC22"/>
  <c r="I22"/>
  <c r="H22"/>
  <c r="F22"/>
  <c r="AC21"/>
  <c r="H21"/>
  <c r="F21"/>
  <c r="I21" s="1"/>
  <c r="AC20"/>
  <c r="H20"/>
  <c r="F20"/>
  <c r="I20" s="1"/>
  <c r="AC19"/>
  <c r="H19"/>
  <c r="F19"/>
  <c r="I19" s="1"/>
  <c r="AC18"/>
  <c r="H18"/>
  <c r="F18"/>
  <c r="I18" s="1"/>
  <c r="AC17"/>
  <c r="H17"/>
  <c r="F17"/>
  <c r="I17" s="1"/>
  <c r="B22" i="6"/>
  <c r="AC16" i="4"/>
  <c r="H16"/>
  <c r="F16"/>
  <c r="I16" s="1"/>
  <c r="AC15"/>
  <c r="H15"/>
  <c r="F15"/>
  <c r="AC13"/>
  <c r="H13"/>
  <c r="F13"/>
  <c r="I13" s="1"/>
  <c r="C24" i="6" s="1"/>
  <c r="AC12" i="4"/>
  <c r="H12"/>
  <c r="F12"/>
  <c r="I12" s="1"/>
  <c r="B21" i="6"/>
  <c r="AC11" i="4"/>
  <c r="H11"/>
  <c r="F11"/>
  <c r="I11" s="1"/>
  <c r="AC10"/>
  <c r="H10"/>
  <c r="F10" s="1"/>
  <c r="B19" i="6"/>
  <c r="AC4" i="4"/>
  <c r="A3"/>
  <c r="F175" i="7"/>
  <c r="E175"/>
  <c r="AB173"/>
  <c r="AA173"/>
  <c r="Z173"/>
  <c r="W173"/>
  <c r="V173"/>
  <c r="U173"/>
  <c r="T173"/>
  <c r="S173"/>
  <c r="R173"/>
  <c r="Q173"/>
  <c r="P173"/>
  <c r="O173"/>
  <c r="N173"/>
  <c r="M173"/>
  <c r="L173"/>
  <c r="K173"/>
  <c r="J173"/>
  <c r="G173"/>
  <c r="E173"/>
  <c r="AC172"/>
  <c r="H172"/>
  <c r="AC171"/>
  <c r="H171"/>
  <c r="I171" s="1"/>
  <c r="AC170"/>
  <c r="H170"/>
  <c r="AC169"/>
  <c r="H169"/>
  <c r="I169" s="1"/>
  <c r="AC168"/>
  <c r="H168"/>
  <c r="AC167"/>
  <c r="H167"/>
  <c r="I167"/>
  <c r="AC166"/>
  <c r="H166"/>
  <c r="AC165"/>
  <c r="H165"/>
  <c r="I165" s="1"/>
  <c r="AC164"/>
  <c r="H164"/>
  <c r="AC163"/>
  <c r="H163"/>
  <c r="I163"/>
  <c r="AC162"/>
  <c r="H162"/>
  <c r="AC161"/>
  <c r="H161"/>
  <c r="I161" s="1"/>
  <c r="AC160"/>
  <c r="H160"/>
  <c r="AC159"/>
  <c r="H159"/>
  <c r="AC158"/>
  <c r="H158"/>
  <c r="AC157"/>
  <c r="H157"/>
  <c r="AC156"/>
  <c r="H156"/>
  <c r="AC155"/>
  <c r="H155"/>
  <c r="AC154"/>
  <c r="H154"/>
  <c r="AC153"/>
  <c r="H153"/>
  <c r="AC152"/>
  <c r="H152"/>
  <c r="AC151"/>
  <c r="H151"/>
  <c r="AC150"/>
  <c r="H150"/>
  <c r="AC149"/>
  <c r="H149"/>
  <c r="AC148"/>
  <c r="H148"/>
  <c r="AC147"/>
  <c r="H147"/>
  <c r="AC146"/>
  <c r="H146"/>
  <c r="AC145"/>
  <c r="H145"/>
  <c r="AC144"/>
  <c r="H144"/>
  <c r="AC143"/>
  <c r="H143"/>
  <c r="AC142"/>
  <c r="H142"/>
  <c r="AC141"/>
  <c r="H141"/>
  <c r="AC140"/>
  <c r="H140"/>
  <c r="AC139"/>
  <c r="H139"/>
  <c r="AC138"/>
  <c r="H138"/>
  <c r="AC137"/>
  <c r="H137"/>
  <c r="AC136"/>
  <c r="H136"/>
  <c r="AC135"/>
  <c r="H135"/>
  <c r="AC134"/>
  <c r="H134"/>
  <c r="AC133"/>
  <c r="H133"/>
  <c r="AC132"/>
  <c r="H132"/>
  <c r="AC131"/>
  <c r="H131"/>
  <c r="AC130"/>
  <c r="H130"/>
  <c r="AC129"/>
  <c r="H129"/>
  <c r="AC128"/>
  <c r="H128"/>
  <c r="AC127"/>
  <c r="H127"/>
  <c r="AC126"/>
  <c r="H126"/>
  <c r="AC125"/>
  <c r="H125"/>
  <c r="AC124"/>
  <c r="H124"/>
  <c r="AC123"/>
  <c r="H123"/>
  <c r="AC122"/>
  <c r="H122"/>
  <c r="AC121"/>
  <c r="H121"/>
  <c r="AC120"/>
  <c r="H120"/>
  <c r="AC119"/>
  <c r="H119"/>
  <c r="AC118"/>
  <c r="H118"/>
  <c r="AC117"/>
  <c r="H117"/>
  <c r="AC116"/>
  <c r="H116"/>
  <c r="AC115"/>
  <c r="H115"/>
  <c r="AC114"/>
  <c r="H114"/>
  <c r="AC113"/>
  <c r="H113"/>
  <c r="AC112"/>
  <c r="H112"/>
  <c r="AC111"/>
  <c r="H111"/>
  <c r="AC110"/>
  <c r="H110"/>
  <c r="AC109"/>
  <c r="H109"/>
  <c r="AC108"/>
  <c r="H108"/>
  <c r="AC107"/>
  <c r="H107"/>
  <c r="AC106"/>
  <c r="H106"/>
  <c r="AC105"/>
  <c r="H105"/>
  <c r="AC104"/>
  <c r="H104"/>
  <c r="AC103"/>
  <c r="H103"/>
  <c r="AC102"/>
  <c r="H102"/>
  <c r="AC101"/>
  <c r="H101"/>
  <c r="AC100"/>
  <c r="H100"/>
  <c r="AC99"/>
  <c r="H99"/>
  <c r="H98"/>
  <c r="H97"/>
  <c r="H96"/>
  <c r="H95"/>
  <c r="H93"/>
  <c r="AC92"/>
  <c r="H92"/>
  <c r="AC91"/>
  <c r="H91"/>
  <c r="AC90"/>
  <c r="H90"/>
  <c r="AC89"/>
  <c r="AC86"/>
  <c r="AC85"/>
  <c r="AC84"/>
  <c r="AC83"/>
  <c r="AC82"/>
  <c r="AC81"/>
  <c r="AC80"/>
  <c r="AC48"/>
  <c r="AC47"/>
  <c r="AC46"/>
  <c r="AC45"/>
  <c r="AC4"/>
  <c r="I4"/>
  <c r="A3"/>
  <c r="F146" i="1"/>
  <c r="E146"/>
  <c r="AB144"/>
  <c r="AA144"/>
  <c r="Z144"/>
  <c r="W144"/>
  <c r="V144"/>
  <c r="U144"/>
  <c r="T144"/>
  <c r="S144"/>
  <c r="R144"/>
  <c r="Q144"/>
  <c r="P144"/>
  <c r="O144"/>
  <c r="N144"/>
  <c r="M144"/>
  <c r="L144"/>
  <c r="K144"/>
  <c r="J144"/>
  <c r="G144"/>
  <c r="E144"/>
  <c r="AC143"/>
  <c r="H143"/>
  <c r="I143" s="1"/>
  <c r="AC142"/>
  <c r="H142"/>
  <c r="I142" s="1"/>
  <c r="AC141"/>
  <c r="H141"/>
  <c r="I141"/>
  <c r="AC140"/>
  <c r="H140"/>
  <c r="AC139"/>
  <c r="H139"/>
  <c r="I139" s="1"/>
  <c r="AC138"/>
  <c r="H138"/>
  <c r="AC137"/>
  <c r="H137"/>
  <c r="I137" s="1"/>
  <c r="AC136"/>
  <c r="H136"/>
  <c r="AC135"/>
  <c r="H135"/>
  <c r="I135" s="1"/>
  <c r="AC134"/>
  <c r="I134" s="1"/>
  <c r="H134"/>
  <c r="AC133"/>
  <c r="H133"/>
  <c r="I133"/>
  <c r="AC132"/>
  <c r="H132"/>
  <c r="AC131"/>
  <c r="H131"/>
  <c r="I131" s="1"/>
  <c r="AC130"/>
  <c r="H130"/>
  <c r="AC129"/>
  <c r="H129"/>
  <c r="I129" s="1"/>
  <c r="AC128"/>
  <c r="H128"/>
  <c r="AC127"/>
  <c r="H127"/>
  <c r="I127" s="1"/>
  <c r="AC126"/>
  <c r="H126"/>
  <c r="AC125"/>
  <c r="H125"/>
  <c r="I125"/>
  <c r="AC124"/>
  <c r="H124"/>
  <c r="AC123"/>
  <c r="H123"/>
  <c r="I123" s="1"/>
  <c r="AC122"/>
  <c r="H122"/>
  <c r="AC121"/>
  <c r="H121"/>
  <c r="I121" s="1"/>
  <c r="AC120"/>
  <c r="H120"/>
  <c r="AC119"/>
  <c r="H119"/>
  <c r="I119" s="1"/>
  <c r="AC118"/>
  <c r="I118" s="1"/>
  <c r="H118"/>
  <c r="AC117"/>
  <c r="H117"/>
  <c r="I117"/>
  <c r="AC116"/>
  <c r="H116"/>
  <c r="AC115"/>
  <c r="H115"/>
  <c r="I115" s="1"/>
  <c r="AC114"/>
  <c r="H114"/>
  <c r="AC113"/>
  <c r="H113"/>
  <c r="I113" s="1"/>
  <c r="AC112"/>
  <c r="H112"/>
  <c r="AC111"/>
  <c r="H111"/>
  <c r="I111" s="1"/>
  <c r="AC110"/>
  <c r="H110"/>
  <c r="AC109"/>
  <c r="H109"/>
  <c r="I109"/>
  <c r="AC108"/>
  <c r="H108"/>
  <c r="AC107"/>
  <c r="H107"/>
  <c r="I107" s="1"/>
  <c r="AC106"/>
  <c r="H106"/>
  <c r="AC105"/>
  <c r="H105"/>
  <c r="I105" s="1"/>
  <c r="AC104"/>
  <c r="H104"/>
  <c r="AC103"/>
  <c r="H103"/>
  <c r="I103" s="1"/>
  <c r="AC102"/>
  <c r="I102" s="1"/>
  <c r="H102"/>
  <c r="AC101"/>
  <c r="H101"/>
  <c r="I101"/>
  <c r="AC100"/>
  <c r="H100"/>
  <c r="AC99"/>
  <c r="H99"/>
  <c r="I99" s="1"/>
  <c r="AC98"/>
  <c r="H98"/>
  <c r="AC97"/>
  <c r="H97"/>
  <c r="I97" s="1"/>
  <c r="AC96"/>
  <c r="H96"/>
  <c r="AC95"/>
  <c r="H95"/>
  <c r="I95" s="1"/>
  <c r="AC94"/>
  <c r="H94"/>
  <c r="AC93"/>
  <c r="H93"/>
  <c r="I93"/>
  <c r="AC92"/>
  <c r="H92"/>
  <c r="AC91"/>
  <c r="H91"/>
  <c r="I91" s="1"/>
  <c r="AC90"/>
  <c r="H90"/>
  <c r="AC89"/>
  <c r="H89"/>
  <c r="I89" s="1"/>
  <c r="AC88"/>
  <c r="H88"/>
  <c r="AC87"/>
  <c r="H87"/>
  <c r="I87" s="1"/>
  <c r="AC86"/>
  <c r="I86" s="1"/>
  <c r="H86"/>
  <c r="AC85"/>
  <c r="H85"/>
  <c r="I85"/>
  <c r="AC84"/>
  <c r="H84"/>
  <c r="AC83"/>
  <c r="H83"/>
  <c r="I83" s="1"/>
  <c r="AC82"/>
  <c r="H82"/>
  <c r="AC81"/>
  <c r="H81"/>
  <c r="I81" s="1"/>
  <c r="AC80"/>
  <c r="H80"/>
  <c r="AC79"/>
  <c r="H79"/>
  <c r="I79" s="1"/>
  <c r="AC78"/>
  <c r="H78"/>
  <c r="AC77"/>
  <c r="H77"/>
  <c r="AC76"/>
  <c r="H76"/>
  <c r="I76"/>
  <c r="AC75"/>
  <c r="H75"/>
  <c r="I75" s="1"/>
  <c r="AC74"/>
  <c r="H74"/>
  <c r="I74" s="1"/>
  <c r="AC73"/>
  <c r="H73"/>
  <c r="I73" s="1"/>
  <c r="AC72"/>
  <c r="H72"/>
  <c r="I72"/>
  <c r="AC71"/>
  <c r="H71"/>
  <c r="I71" s="1"/>
  <c r="AC70"/>
  <c r="H70"/>
  <c r="I70" s="1"/>
  <c r="AC69"/>
  <c r="H69"/>
  <c r="I69" s="1"/>
  <c r="AC68"/>
  <c r="H68"/>
  <c r="I68"/>
  <c r="AC67"/>
  <c r="H67"/>
  <c r="I67" s="1"/>
  <c r="AC66"/>
  <c r="H66"/>
  <c r="I66" s="1"/>
  <c r="AC65"/>
  <c r="H65"/>
  <c r="I65" s="1"/>
  <c r="AC64"/>
  <c r="H64"/>
  <c r="I64"/>
  <c r="AC63"/>
  <c r="H63"/>
  <c r="I63" s="1"/>
  <c r="AC62"/>
  <c r="H62"/>
  <c r="I62" s="1"/>
  <c r="AC61"/>
  <c r="H61"/>
  <c r="I61" s="1"/>
  <c r="AC60"/>
  <c r="H60"/>
  <c r="I60"/>
  <c r="AC59"/>
  <c r="H59"/>
  <c r="I59" s="1"/>
  <c r="AC58"/>
  <c r="H58"/>
  <c r="I58" s="1"/>
  <c r="AC57"/>
  <c r="H57"/>
  <c r="I57" s="1"/>
  <c r="AC56"/>
  <c r="H56"/>
  <c r="I56"/>
  <c r="AC55"/>
  <c r="H55"/>
  <c r="I55" s="1"/>
  <c r="AC54"/>
  <c r="H54"/>
  <c r="I54" s="1"/>
  <c r="AC53"/>
  <c r="H53"/>
  <c r="I53" s="1"/>
  <c r="AC52"/>
  <c r="H52"/>
  <c r="I52"/>
  <c r="AC51"/>
  <c r="H51"/>
  <c r="I51" s="1"/>
  <c r="AC50"/>
  <c r="H50"/>
  <c r="I50" s="1"/>
  <c r="AC49"/>
  <c r="H49"/>
  <c r="AC48"/>
  <c r="H48"/>
  <c r="I48" s="1"/>
  <c r="AC47"/>
  <c r="H47"/>
  <c r="AC46"/>
  <c r="H46"/>
  <c r="I46"/>
  <c r="AC45"/>
  <c r="H45"/>
  <c r="I45" s="1"/>
  <c r="AC44"/>
  <c r="H44"/>
  <c r="I44" s="1"/>
  <c r="AC43"/>
  <c r="H43"/>
  <c r="AC42"/>
  <c r="AC41"/>
  <c r="AC40"/>
  <c r="AC39"/>
  <c r="H144"/>
  <c r="AC38"/>
  <c r="AC37"/>
  <c r="AC36"/>
  <c r="AC35"/>
  <c r="AC32"/>
  <c r="AC31"/>
  <c r="AC28"/>
  <c r="AC27"/>
  <c r="B22" i="2"/>
  <c r="AC12" i="1"/>
  <c r="AC11"/>
  <c r="AC10"/>
  <c r="D144"/>
  <c r="D145" s="1"/>
  <c r="AC4"/>
  <c r="I4"/>
  <c r="V4" i="2" l="1"/>
  <c r="E4"/>
  <c r="F4"/>
  <c r="N30" i="16"/>
  <c r="R30" s="1"/>
  <c r="B30"/>
  <c r="F30" s="1"/>
  <c r="H30"/>
  <c r="L30" s="1"/>
  <c r="C20" i="6"/>
  <c r="V19" i="3" s="1"/>
  <c r="W19" s="1"/>
  <c r="C7" i="6"/>
  <c r="B20" i="2"/>
  <c r="B22" i="5" s="1"/>
  <c r="C18" i="6"/>
  <c r="Z18" s="1"/>
  <c r="AA18" s="1"/>
  <c r="Q25" i="2"/>
  <c r="M25"/>
  <c r="I25"/>
  <c r="E25"/>
  <c r="P25"/>
  <c r="H25"/>
  <c r="N25"/>
  <c r="R25"/>
  <c r="B25"/>
  <c r="Z25" s="1"/>
  <c r="AA25" s="1"/>
  <c r="S3" i="3"/>
  <c r="U10" i="5"/>
  <c r="Z24" i="2"/>
  <c r="AA24" s="1"/>
  <c r="AD16" i="12"/>
  <c r="AT136" i="9" s="1"/>
  <c r="Z16" i="12"/>
  <c r="AA16" s="1"/>
  <c r="Y15" i="3"/>
  <c r="Z15" s="1"/>
  <c r="X16" i="12"/>
  <c r="Y16" s="1"/>
  <c r="I98" i="1"/>
  <c r="I106"/>
  <c r="I114"/>
  <c r="I138"/>
  <c r="Z20" i="6"/>
  <c r="AA20" s="1"/>
  <c r="I100" i="7"/>
  <c r="Z21" i="6"/>
  <c r="AA21" s="1"/>
  <c r="B25" i="8"/>
  <c r="E25"/>
  <c r="G25"/>
  <c r="I25"/>
  <c r="K25"/>
  <c r="M25"/>
  <c r="O25"/>
  <c r="Q25"/>
  <c r="S25"/>
  <c r="U25"/>
  <c r="D25"/>
  <c r="F25"/>
  <c r="H25"/>
  <c r="J25"/>
  <c r="L25"/>
  <c r="N25"/>
  <c r="P25"/>
  <c r="R25"/>
  <c r="T25"/>
  <c r="V25"/>
  <c r="Z24" i="6"/>
  <c r="AA24" s="1"/>
  <c r="I102" i="7"/>
  <c r="I104"/>
  <c r="I106"/>
  <c r="I108"/>
  <c r="I110"/>
  <c r="I112"/>
  <c r="I114"/>
  <c r="I116"/>
  <c r="I118"/>
  <c r="I120"/>
  <c r="I122"/>
  <c r="I124"/>
  <c r="I126"/>
  <c r="I128"/>
  <c r="I130"/>
  <c r="I132"/>
  <c r="I134"/>
  <c r="I136"/>
  <c r="I138"/>
  <c r="U8" i="5"/>
  <c r="I91" i="7"/>
  <c r="I93"/>
  <c r="I96"/>
  <c r="I98"/>
  <c r="I140"/>
  <c r="I142"/>
  <c r="I144"/>
  <c r="I146"/>
  <c r="I148"/>
  <c r="I150"/>
  <c r="I152"/>
  <c r="I154"/>
  <c r="I156"/>
  <c r="I158"/>
  <c r="I160"/>
  <c r="I162"/>
  <c r="I164"/>
  <c r="I166"/>
  <c r="I168"/>
  <c r="I170"/>
  <c r="I172"/>
  <c r="I49" i="1"/>
  <c r="C23" i="15"/>
  <c r="AD23" s="1"/>
  <c r="AU213" i="9" s="1"/>
  <c r="C7" i="15"/>
  <c r="C10"/>
  <c r="Z10" s="1"/>
  <c r="AA10" s="1"/>
  <c r="C18"/>
  <c r="F117" i="4"/>
  <c r="AB116" i="14"/>
  <c r="Z23" i="15"/>
  <c r="AA23" s="1"/>
  <c r="AD9"/>
  <c r="AU59" i="9" s="1"/>
  <c r="Z9" i="15"/>
  <c r="AA9" s="1"/>
  <c r="X9"/>
  <c r="Y9" s="1"/>
  <c r="AD10"/>
  <c r="AU70" i="9" s="1"/>
  <c r="H116" i="14"/>
  <c r="H173" i="7"/>
  <c r="I90"/>
  <c r="C25" i="8" s="1"/>
  <c r="I92" i="7"/>
  <c r="I95"/>
  <c r="I97"/>
  <c r="I99"/>
  <c r="I101"/>
  <c r="I103"/>
  <c r="I105"/>
  <c r="I107"/>
  <c r="I109"/>
  <c r="I111"/>
  <c r="I113"/>
  <c r="I115"/>
  <c r="I117"/>
  <c r="I119"/>
  <c r="I121"/>
  <c r="I123"/>
  <c r="I125"/>
  <c r="I127"/>
  <c r="I129"/>
  <c r="I131"/>
  <c r="I133"/>
  <c r="I135"/>
  <c r="I137"/>
  <c r="I139"/>
  <c r="I141"/>
  <c r="I143"/>
  <c r="I145"/>
  <c r="I147"/>
  <c r="I149"/>
  <c r="I151"/>
  <c r="I153"/>
  <c r="I155"/>
  <c r="I157"/>
  <c r="I159"/>
  <c r="I78" i="1"/>
  <c r="I82"/>
  <c r="I94"/>
  <c r="I110"/>
  <c r="I126"/>
  <c r="I130"/>
  <c r="I47"/>
  <c r="I77"/>
  <c r="I80"/>
  <c r="I84"/>
  <c r="I88"/>
  <c r="I92"/>
  <c r="I96"/>
  <c r="I100"/>
  <c r="I104"/>
  <c r="I108"/>
  <c r="I112"/>
  <c r="I116"/>
  <c r="I120"/>
  <c r="I124"/>
  <c r="I128"/>
  <c r="I132"/>
  <c r="I136"/>
  <c r="I140"/>
  <c r="I90"/>
  <c r="I122"/>
  <c r="AD18" i="12"/>
  <c r="AT158" i="9" s="1"/>
  <c r="Z18" i="12"/>
  <c r="AA18" s="1"/>
  <c r="Y17" i="3"/>
  <c r="Z17" s="1"/>
  <c r="E116" i="11"/>
  <c r="P26" i="5"/>
  <c r="U26"/>
  <c r="M26"/>
  <c r="I43" i="1"/>
  <c r="H26" i="5"/>
  <c r="AT33" i="17"/>
  <c r="AU33"/>
  <c r="EJ33"/>
  <c r="AT31"/>
  <c r="AU31"/>
  <c r="EJ31"/>
  <c r="AT29"/>
  <c r="AU29"/>
  <c r="EJ29"/>
  <c r="AU34"/>
  <c r="AT34"/>
  <c r="EJ34"/>
  <c r="AA4" i="9"/>
  <c r="AS7" i="17"/>
  <c r="AA15" i="9"/>
  <c r="AS8" i="17"/>
  <c r="AA26" i="9"/>
  <c r="AS9" i="17"/>
  <c r="AA37" i="9"/>
  <c r="AS10" i="17"/>
  <c r="EJ10" s="1"/>
  <c r="AS11"/>
  <c r="EJ11" s="1"/>
  <c r="AA59" i="9"/>
  <c r="AS12" i="17"/>
  <c r="EJ12" s="1"/>
  <c r="AA70" i="9"/>
  <c r="AS13" i="17"/>
  <c r="AA81" i="9"/>
  <c r="AS14" i="17"/>
  <c r="AA92" i="9"/>
  <c r="AS15" i="17"/>
  <c r="AA103" i="9"/>
  <c r="AS16" i="17"/>
  <c r="AA114" i="9"/>
  <c r="AS17" i="17"/>
  <c r="AA125" i="9"/>
  <c r="AS18" i="17"/>
  <c r="AA136" i="9"/>
  <c r="AS19" i="17"/>
  <c r="AA147" i="9"/>
  <c r="AS20" i="17"/>
  <c r="AA158" i="9"/>
  <c r="AS21" i="17"/>
  <c r="AA169" i="9"/>
  <c r="AS22" i="17"/>
  <c r="AA180" i="9"/>
  <c r="AS23" i="17"/>
  <c r="AA191" i="9"/>
  <c r="AS24" i="17"/>
  <c r="AA202" i="9"/>
  <c r="AS25" i="17"/>
  <c r="AT32"/>
  <c r="AU32"/>
  <c r="EJ32"/>
  <c r="AU30"/>
  <c r="AT30"/>
  <c r="EJ30"/>
  <c r="AU28"/>
  <c r="AT28"/>
  <c r="EJ28"/>
  <c r="AT27"/>
  <c r="AU27"/>
  <c r="EJ27"/>
  <c r="AU26"/>
  <c r="AT26"/>
  <c r="EJ26"/>
  <c r="U11" i="5"/>
  <c r="W10" i="17"/>
  <c r="V10"/>
  <c r="EJ9"/>
  <c r="V9"/>
  <c r="W9"/>
  <c r="W12"/>
  <c r="V12"/>
  <c r="W11"/>
  <c r="V11"/>
  <c r="EJ7"/>
  <c r="V7"/>
  <c r="W7"/>
  <c r="U41"/>
  <c r="I10" i="4"/>
  <c r="C13" i="6" s="1"/>
  <c r="N26" i="5"/>
  <c r="J26"/>
  <c r="F26"/>
  <c r="O26"/>
  <c r="K26"/>
  <c r="G26"/>
  <c r="B7" i="2"/>
  <c r="J7"/>
  <c r="J9" i="5" s="1"/>
  <c r="R7" i="2"/>
  <c r="R9" i="5" s="1"/>
  <c r="B9" i="2"/>
  <c r="J9"/>
  <c r="J11" i="5" s="1"/>
  <c r="R9" i="2"/>
  <c r="R11" i="5" s="1"/>
  <c r="B11" i="2"/>
  <c r="B13" i="5" s="1"/>
  <c r="J11" i="2"/>
  <c r="J13" i="5" s="1"/>
  <c r="R11" i="2"/>
  <c r="R13" i="5" s="1"/>
  <c r="B13" i="2"/>
  <c r="B15" i="5" s="1"/>
  <c r="J13" i="2"/>
  <c r="J15" i="5" s="1"/>
  <c r="R13" i="2"/>
  <c r="R15" i="5" s="1"/>
  <c r="B15" i="2"/>
  <c r="B17" i="5" s="1"/>
  <c r="J15" i="2"/>
  <c r="J17" i="5" s="1"/>
  <c r="R15" i="2"/>
  <c r="R17" i="5" s="1"/>
  <c r="B17" i="2"/>
  <c r="B19" i="5" s="1"/>
  <c r="J17" i="2"/>
  <c r="J19" i="5" s="1"/>
  <c r="R17" i="2"/>
  <c r="R19" i="5" s="1"/>
  <c r="V26"/>
  <c r="F7" i="2"/>
  <c r="F9" i="5" s="1"/>
  <c r="N7" i="2"/>
  <c r="N9" i="5" s="1"/>
  <c r="V7" i="2"/>
  <c r="V9" i="5" s="1"/>
  <c r="F9" i="2"/>
  <c r="F11" i="5" s="1"/>
  <c r="N9" i="2"/>
  <c r="N11" i="5" s="1"/>
  <c r="V9" i="2"/>
  <c r="V11" i="5" s="1"/>
  <c r="F11" i="2"/>
  <c r="F13" i="5" s="1"/>
  <c r="N11" i="2"/>
  <c r="N13" i="5" s="1"/>
  <c r="V11" i="2"/>
  <c r="V13" i="5" s="1"/>
  <c r="F13" i="2"/>
  <c r="F15" i="5" s="1"/>
  <c r="N13" i="2"/>
  <c r="N15" i="5" s="1"/>
  <c r="V13" i="2"/>
  <c r="V15" i="5" s="1"/>
  <c r="F15" i="2"/>
  <c r="F17" i="5" s="1"/>
  <c r="N15" i="2"/>
  <c r="N17" i="5" s="1"/>
  <c r="V15" i="2"/>
  <c r="V17" i="5" s="1"/>
  <c r="F17" i="2"/>
  <c r="F19" i="5" s="1"/>
  <c r="N17" i="2"/>
  <c r="N19" i="5" s="1"/>
  <c r="V17" i="2"/>
  <c r="V19" i="5" s="1"/>
  <c r="V7"/>
  <c r="T26"/>
  <c r="L26"/>
  <c r="D26"/>
  <c r="Q26"/>
  <c r="I26"/>
  <c r="B26"/>
  <c r="A31" i="16"/>
  <c r="T31" s="1"/>
  <c r="X31" s="1"/>
  <c r="U25" i="6"/>
  <c r="T25"/>
  <c r="P25"/>
  <c r="L25"/>
  <c r="H25"/>
  <c r="D25"/>
  <c r="V25"/>
  <c r="R25"/>
  <c r="N25"/>
  <c r="J25"/>
  <c r="F25"/>
  <c r="B25"/>
  <c r="C25"/>
  <c r="G25"/>
  <c r="K25"/>
  <c r="O25"/>
  <c r="S25"/>
  <c r="E25"/>
  <c r="I25"/>
  <c r="M25"/>
  <c r="Q25"/>
  <c r="V25" i="15"/>
  <c r="C25"/>
  <c r="G25"/>
  <c r="K25"/>
  <c r="O25"/>
  <c r="S25"/>
  <c r="B25"/>
  <c r="F25"/>
  <c r="J25"/>
  <c r="N25"/>
  <c r="R25"/>
  <c r="E25"/>
  <c r="I25"/>
  <c r="M25"/>
  <c r="Q25"/>
  <c r="U25"/>
  <c r="D25"/>
  <c r="H25"/>
  <c r="L25"/>
  <c r="P25"/>
  <c r="T25"/>
  <c r="X24" i="3"/>
  <c r="R24"/>
  <c r="U24"/>
  <c r="O24"/>
  <c r="W24" i="12"/>
  <c r="D8" i="2"/>
  <c r="D10" i="5" s="1"/>
  <c r="H8" i="2"/>
  <c r="H10" i="5" s="1"/>
  <c r="L8" i="2"/>
  <c r="L10" i="5" s="1"/>
  <c r="P8" i="2"/>
  <c r="P10" i="5" s="1"/>
  <c r="T8" i="2"/>
  <c r="T10" i="5" s="1"/>
  <c r="D12" i="2"/>
  <c r="D14" i="5" s="1"/>
  <c r="H12" i="2"/>
  <c r="H14" i="5" s="1"/>
  <c r="L12" i="2"/>
  <c r="L14" i="5" s="1"/>
  <c r="P12" i="2"/>
  <c r="P14" i="5" s="1"/>
  <c r="T12" i="2"/>
  <c r="T14" i="5" s="1"/>
  <c r="H14" i="2"/>
  <c r="H16" i="5" s="1"/>
  <c r="P14" i="2"/>
  <c r="P16" i="5" s="1"/>
  <c r="B6" i="2"/>
  <c r="F6"/>
  <c r="F8" i="5" s="1"/>
  <c r="J6" i="2"/>
  <c r="J8" i="5" s="1"/>
  <c r="N6" i="2"/>
  <c r="N8" i="5" s="1"/>
  <c r="R6" i="2"/>
  <c r="R8" i="5" s="1"/>
  <c r="V6" i="2"/>
  <c r="V8" i="5" s="1"/>
  <c r="D7" i="2"/>
  <c r="D9" i="5" s="1"/>
  <c r="H7" i="2"/>
  <c r="H9" i="5" s="1"/>
  <c r="L7" i="2"/>
  <c r="L9" i="5" s="1"/>
  <c r="P7" i="2"/>
  <c r="P9" i="5" s="1"/>
  <c r="T7" i="2"/>
  <c r="T9" i="5" s="1"/>
  <c r="B8" i="2"/>
  <c r="F8"/>
  <c r="F10" i="5" s="1"/>
  <c r="J8" i="2"/>
  <c r="J10" i="5" s="1"/>
  <c r="N8" i="2"/>
  <c r="N10" i="5" s="1"/>
  <c r="R8" i="2"/>
  <c r="R10" i="5" s="1"/>
  <c r="V8" i="2"/>
  <c r="V10" i="5" s="1"/>
  <c r="D9" i="2"/>
  <c r="D11" i="5" s="1"/>
  <c r="H9" i="2"/>
  <c r="H11" i="5" s="1"/>
  <c r="L9" i="2"/>
  <c r="L11" i="5" s="1"/>
  <c r="P9" i="2"/>
  <c r="P11" i="5" s="1"/>
  <c r="T9" i="2"/>
  <c r="T11" i="5" s="1"/>
  <c r="B10" i="2"/>
  <c r="B12" i="5" s="1"/>
  <c r="F10" i="2"/>
  <c r="F12" i="5" s="1"/>
  <c r="J10" i="2"/>
  <c r="J12" i="5" s="1"/>
  <c r="N10" i="2"/>
  <c r="N12" i="5" s="1"/>
  <c r="R10" i="2"/>
  <c r="R12" i="5" s="1"/>
  <c r="V10" i="2"/>
  <c r="V12" i="5" s="1"/>
  <c r="D11" i="2"/>
  <c r="D13" i="5" s="1"/>
  <c r="H11" i="2"/>
  <c r="H13" i="5" s="1"/>
  <c r="L11" i="2"/>
  <c r="L13" i="5" s="1"/>
  <c r="P11" i="2"/>
  <c r="P13" i="5" s="1"/>
  <c r="T11" i="2"/>
  <c r="T13" i="5" s="1"/>
  <c r="B12" i="2"/>
  <c r="B14" i="5" s="1"/>
  <c r="F12" i="2"/>
  <c r="F14" i="5" s="1"/>
  <c r="J12" i="2"/>
  <c r="J14" i="5" s="1"/>
  <c r="N12" i="2"/>
  <c r="N14" i="5" s="1"/>
  <c r="R12" i="2"/>
  <c r="R14" i="5" s="1"/>
  <c r="V12" i="2"/>
  <c r="V14" i="5" s="1"/>
  <c r="D13" i="2"/>
  <c r="D15" i="5" s="1"/>
  <c r="H13" i="2"/>
  <c r="H15" i="5" s="1"/>
  <c r="L13" i="2"/>
  <c r="L15" i="5" s="1"/>
  <c r="P13" i="2"/>
  <c r="P15" i="5" s="1"/>
  <c r="T13" i="2"/>
  <c r="T15" i="5" s="1"/>
  <c r="B14" i="2"/>
  <c r="B16" i="5" s="1"/>
  <c r="F14" i="2"/>
  <c r="F16" i="5" s="1"/>
  <c r="J14" i="2"/>
  <c r="J16" i="5" s="1"/>
  <c r="N14" i="2"/>
  <c r="N16" i="5" s="1"/>
  <c r="R14" i="2"/>
  <c r="R16" i="5" s="1"/>
  <c r="V14" i="2"/>
  <c r="V16" i="5" s="1"/>
  <c r="D15" i="2"/>
  <c r="D17" i="5" s="1"/>
  <c r="H15" i="2"/>
  <c r="H17" i="5" s="1"/>
  <c r="L15" i="2"/>
  <c r="L17" i="5" s="1"/>
  <c r="P15" i="2"/>
  <c r="P17" i="5" s="1"/>
  <c r="T15" i="2"/>
  <c r="T17" i="5" s="1"/>
  <c r="B16" i="2"/>
  <c r="B18" i="5" s="1"/>
  <c r="F16" i="2"/>
  <c r="F18" i="5" s="1"/>
  <c r="J16" i="2"/>
  <c r="J18" i="5" s="1"/>
  <c r="N16" i="2"/>
  <c r="N18" i="5" s="1"/>
  <c r="R16" i="2"/>
  <c r="R18" i="5" s="1"/>
  <c r="V16" i="2"/>
  <c r="V18" i="5" s="1"/>
  <c r="D17" i="2"/>
  <c r="D19" i="5" s="1"/>
  <c r="H17" i="2"/>
  <c r="H19" i="5" s="1"/>
  <c r="L17" i="2"/>
  <c r="L19" i="5" s="1"/>
  <c r="P17" i="2"/>
  <c r="P19" i="5" s="1"/>
  <c r="T17" i="2"/>
  <c r="T19" i="5" s="1"/>
  <c r="D18" i="2"/>
  <c r="D20" i="5" s="1"/>
  <c r="H18" i="2"/>
  <c r="H20" i="5" s="1"/>
  <c r="L18" i="2"/>
  <c r="L20" i="5" s="1"/>
  <c r="P18" i="2"/>
  <c r="P20" i="5" s="1"/>
  <c r="T18" i="2"/>
  <c r="T20" i="5" s="1"/>
  <c r="D20" i="2"/>
  <c r="D22" i="5" s="1"/>
  <c r="H20" i="2"/>
  <c r="H22" i="5" s="1"/>
  <c r="L20" i="2"/>
  <c r="L22" i="5" s="1"/>
  <c r="P20" i="2"/>
  <c r="P22" i="5" s="1"/>
  <c r="T20" i="2"/>
  <c r="T22" i="5" s="1"/>
  <c r="D22" i="2"/>
  <c r="D24" i="5" s="1"/>
  <c r="H22" i="2"/>
  <c r="H24" i="5" s="1"/>
  <c r="L22" i="2"/>
  <c r="L24" i="5" s="1"/>
  <c r="P22" i="2"/>
  <c r="P24" i="5" s="1"/>
  <c r="T22" i="2"/>
  <c r="T24" i="5" s="1"/>
  <c r="V23" i="3"/>
  <c r="W23" s="1"/>
  <c r="AD24" i="6"/>
  <c r="AS224" i="9" s="1"/>
  <c r="U25" i="12"/>
  <c r="V25"/>
  <c r="R25"/>
  <c r="N25"/>
  <c r="J25"/>
  <c r="F25"/>
  <c r="B25"/>
  <c r="T25"/>
  <c r="P25"/>
  <c r="L25"/>
  <c r="H25"/>
  <c r="D25"/>
  <c r="C25"/>
  <c r="G25"/>
  <c r="K25"/>
  <c r="O25"/>
  <c r="S25"/>
  <c r="E25"/>
  <c r="I25"/>
  <c r="M25"/>
  <c r="Q25"/>
  <c r="N25" i="3"/>
  <c r="A29" i="5"/>
  <c r="A26" i="15"/>
  <c r="A26" i="12"/>
  <c r="A26" i="6"/>
  <c r="A26" i="8"/>
  <c r="A26" i="2"/>
  <c r="D6"/>
  <c r="D8" i="5" s="1"/>
  <c r="H6" i="2"/>
  <c r="H8" i="5" s="1"/>
  <c r="L6" i="2"/>
  <c r="L8" i="5" s="1"/>
  <c r="P6" i="2"/>
  <c r="P8" i="5" s="1"/>
  <c r="T6" i="2"/>
  <c r="T8" i="5" s="1"/>
  <c r="D10" i="2"/>
  <c r="D12" i="5" s="1"/>
  <c r="H10" i="2"/>
  <c r="H12" i="5" s="1"/>
  <c r="L10" i="2"/>
  <c r="L12" i="5" s="1"/>
  <c r="P10" i="2"/>
  <c r="P12" i="5" s="1"/>
  <c r="T10" i="2"/>
  <c r="T12" i="5" s="1"/>
  <c r="D14" i="2"/>
  <c r="D16" i="5" s="1"/>
  <c r="L14" i="2"/>
  <c r="L16" i="5" s="1"/>
  <c r="T14" i="2"/>
  <c r="T16" i="5" s="1"/>
  <c r="D16" i="2"/>
  <c r="D18" i="5" s="1"/>
  <c r="H16" i="2"/>
  <c r="H18" i="5" s="1"/>
  <c r="L16" i="2"/>
  <c r="L18" i="5" s="1"/>
  <c r="P16" i="2"/>
  <c r="P18" i="5" s="1"/>
  <c r="T16" i="2"/>
  <c r="T18" i="5" s="1"/>
  <c r="F18" i="2"/>
  <c r="F20" i="5" s="1"/>
  <c r="J18" i="2"/>
  <c r="J20" i="5" s="1"/>
  <c r="N18" i="2"/>
  <c r="N20" i="5" s="1"/>
  <c r="R18" i="2"/>
  <c r="R20" i="5" s="1"/>
  <c r="V18" i="2"/>
  <c r="V20" i="5" s="1"/>
  <c r="F20" i="2"/>
  <c r="F22" i="5" s="1"/>
  <c r="J20" i="2"/>
  <c r="J22" i="5" s="1"/>
  <c r="N20" i="2"/>
  <c r="N22" i="5" s="1"/>
  <c r="R20" i="2"/>
  <c r="V20"/>
  <c r="V22" i="5" s="1"/>
  <c r="F22" i="2"/>
  <c r="F24" i="5" s="1"/>
  <c r="J22" i="2"/>
  <c r="J24" i="5" s="1"/>
  <c r="N22" i="2"/>
  <c r="N24" i="5" s="1"/>
  <c r="R22" i="2"/>
  <c r="R24" i="5" s="1"/>
  <c r="V22" i="2"/>
  <c r="V24" i="5" s="1"/>
  <c r="W24" i="15"/>
  <c r="W24" i="6"/>
  <c r="W24" i="8"/>
  <c r="H10" i="11"/>
  <c r="I15" i="4"/>
  <c r="C19" i="6" s="1"/>
  <c r="Z19" s="1"/>
  <c r="AA19" s="1"/>
  <c r="F173" i="7"/>
  <c r="F174" s="1"/>
  <c r="AC173"/>
  <c r="F144" i="1"/>
  <c r="F145" s="1"/>
  <c r="C18" i="2"/>
  <c r="S26" i="5"/>
  <c r="AC144" i="1"/>
  <c r="V6" i="5"/>
  <c r="W4" i="8"/>
  <c r="E26" i="5"/>
  <c r="W24" i="2"/>
  <c r="C4"/>
  <c r="G4"/>
  <c r="I4"/>
  <c r="K4"/>
  <c r="M4"/>
  <c r="O4"/>
  <c r="S4"/>
  <c r="U4"/>
  <c r="C5"/>
  <c r="E5"/>
  <c r="G5"/>
  <c r="G7" i="5" s="1"/>
  <c r="I5" i="2"/>
  <c r="I7" i="5" s="1"/>
  <c r="K5" i="2"/>
  <c r="K7" i="5" s="1"/>
  <c r="M5" i="2"/>
  <c r="M7" i="5" s="1"/>
  <c r="O5" i="2"/>
  <c r="O7" i="5" s="1"/>
  <c r="Q5" i="2"/>
  <c r="Q7" i="5" s="1"/>
  <c r="S5" i="2"/>
  <c r="S7" i="5" s="1"/>
  <c r="U5" i="2"/>
  <c r="U7" i="5" s="1"/>
  <c r="U9"/>
  <c r="B18" i="2"/>
  <c r="B20" i="5" s="1"/>
  <c r="U20"/>
  <c r="C19" i="2"/>
  <c r="E19"/>
  <c r="G19"/>
  <c r="G21" i="5" s="1"/>
  <c r="I19" i="2"/>
  <c r="I21" i="5" s="1"/>
  <c r="K19" i="2"/>
  <c r="K21" i="5" s="1"/>
  <c r="M19" i="2"/>
  <c r="M21" i="5" s="1"/>
  <c r="O19" i="2"/>
  <c r="O21" i="5" s="1"/>
  <c r="Q19" i="2"/>
  <c r="Q21" i="5" s="1"/>
  <c r="S19" i="2"/>
  <c r="S21" i="5" s="1"/>
  <c r="U19" i="2"/>
  <c r="U21" i="5" s="1"/>
  <c r="C21" i="2"/>
  <c r="E21"/>
  <c r="G21"/>
  <c r="G23" i="5" s="1"/>
  <c r="I21" i="2"/>
  <c r="I23" i="5" s="1"/>
  <c r="K21" i="2"/>
  <c r="K23" i="5" s="1"/>
  <c r="M21" i="2"/>
  <c r="M23" i="5" s="1"/>
  <c r="O21" i="2"/>
  <c r="O23" i="5" s="1"/>
  <c r="Q21" i="2"/>
  <c r="Q23" i="5" s="1"/>
  <c r="S21" i="2"/>
  <c r="S23" i="5" s="1"/>
  <c r="U21" i="2"/>
  <c r="U23" i="5" s="1"/>
  <c r="C23" i="2"/>
  <c r="E23"/>
  <c r="G23"/>
  <c r="G25" i="5" s="1"/>
  <c r="I23" i="2"/>
  <c r="I25" i="5" s="1"/>
  <c r="K23" i="2"/>
  <c r="K25" i="5" s="1"/>
  <c r="M23" i="2"/>
  <c r="M25" i="5" s="1"/>
  <c r="O23" i="2"/>
  <c r="O25" i="5" s="1"/>
  <c r="Q23" i="2"/>
  <c r="Q25" i="5" s="1"/>
  <c r="S23" i="2"/>
  <c r="S25" i="5" s="1"/>
  <c r="U23" i="2"/>
  <c r="U25" i="5" s="1"/>
  <c r="W5" i="8"/>
  <c r="Z20" i="12"/>
  <c r="AA20" s="1"/>
  <c r="P24" i="3"/>
  <c r="AD25" i="2"/>
  <c r="AR235" i="9" s="1"/>
  <c r="P23" i="3"/>
  <c r="Q23" s="1"/>
  <c r="AD24" i="2"/>
  <c r="AR224" i="9" s="1"/>
  <c r="Q4" i="2"/>
  <c r="U12" i="5"/>
  <c r="B24"/>
  <c r="D117" i="4"/>
  <c r="C116" i="11"/>
  <c r="B4" i="2"/>
  <c r="D4"/>
  <c r="H4"/>
  <c r="J4"/>
  <c r="L4"/>
  <c r="N4"/>
  <c r="P4"/>
  <c r="R4"/>
  <c r="T4"/>
  <c r="B5"/>
  <c r="D5"/>
  <c r="D7" i="5" s="1"/>
  <c r="F5" i="2"/>
  <c r="F7" i="5" s="1"/>
  <c r="H5" i="2"/>
  <c r="H7" i="5" s="1"/>
  <c r="J5" i="2"/>
  <c r="J7" i="5" s="1"/>
  <c r="L5" i="2"/>
  <c r="L7" i="5" s="1"/>
  <c r="N5" i="2"/>
  <c r="N7" i="5" s="1"/>
  <c r="P5" i="2"/>
  <c r="P7" i="5" s="1"/>
  <c r="R5" i="2"/>
  <c r="R7" i="5" s="1"/>
  <c r="T5" i="2"/>
  <c r="C6"/>
  <c r="E6"/>
  <c r="G6"/>
  <c r="G8" i="5" s="1"/>
  <c r="I6" i="2"/>
  <c r="I8" i="5" s="1"/>
  <c r="K6" i="2"/>
  <c r="K8" i="5" s="1"/>
  <c r="M6" i="2"/>
  <c r="M8" i="5" s="1"/>
  <c r="O6" i="2"/>
  <c r="O8" i="5" s="1"/>
  <c r="Q6" i="2"/>
  <c r="Q8" i="5" s="1"/>
  <c r="S6" i="2"/>
  <c r="S8" i="5" s="1"/>
  <c r="C7" i="2"/>
  <c r="E7"/>
  <c r="G7"/>
  <c r="G9" i="5" s="1"/>
  <c r="I7" i="2"/>
  <c r="I9" i="5" s="1"/>
  <c r="K7" i="2"/>
  <c r="K9" i="5" s="1"/>
  <c r="M7" i="2"/>
  <c r="M9" i="5" s="1"/>
  <c r="O7" i="2"/>
  <c r="O9" i="5" s="1"/>
  <c r="Q7" i="2"/>
  <c r="Q9" i="5" s="1"/>
  <c r="S7" i="2"/>
  <c r="S9" i="5" s="1"/>
  <c r="C8" i="2"/>
  <c r="E8"/>
  <c r="G8"/>
  <c r="G10" i="5" s="1"/>
  <c r="I8" i="2"/>
  <c r="I10" i="5" s="1"/>
  <c r="K8" i="2"/>
  <c r="K10" i="5" s="1"/>
  <c r="M8" i="2"/>
  <c r="M10" i="5" s="1"/>
  <c r="O8" i="2"/>
  <c r="O10" i="5" s="1"/>
  <c r="Q8" i="2"/>
  <c r="Q10" i="5" s="1"/>
  <c r="S8" i="2"/>
  <c r="S10" i="5" s="1"/>
  <c r="C9" i="2"/>
  <c r="E9"/>
  <c r="G9"/>
  <c r="G11" i="5" s="1"/>
  <c r="I9" i="2"/>
  <c r="I11" i="5" s="1"/>
  <c r="K9" i="2"/>
  <c r="K11" i="5" s="1"/>
  <c r="M9" i="2"/>
  <c r="M11" i="5" s="1"/>
  <c r="O9" i="2"/>
  <c r="O11" i="5" s="1"/>
  <c r="Q9" i="2"/>
  <c r="Q11" i="5" s="1"/>
  <c r="S9" i="2"/>
  <c r="S11" i="5" s="1"/>
  <c r="C10" i="2"/>
  <c r="E10"/>
  <c r="G10"/>
  <c r="G12" i="5" s="1"/>
  <c r="I10" i="2"/>
  <c r="I12" i="5" s="1"/>
  <c r="K10" i="2"/>
  <c r="K12" i="5" s="1"/>
  <c r="M10" i="2"/>
  <c r="M12" i="5" s="1"/>
  <c r="O10" i="2"/>
  <c r="O12" i="5" s="1"/>
  <c r="Q10" i="2"/>
  <c r="Q12" i="5" s="1"/>
  <c r="S10" i="2"/>
  <c r="S12" i="5" s="1"/>
  <c r="C11" i="2"/>
  <c r="E11"/>
  <c r="G11"/>
  <c r="G13" i="5" s="1"/>
  <c r="I11" i="2"/>
  <c r="I13" i="5" s="1"/>
  <c r="K11" i="2"/>
  <c r="K13" i="5" s="1"/>
  <c r="M11" i="2"/>
  <c r="M13" i="5" s="1"/>
  <c r="O11" i="2"/>
  <c r="O13" i="5" s="1"/>
  <c r="Q11" i="2"/>
  <c r="Q13" i="5" s="1"/>
  <c r="S11" i="2"/>
  <c r="S13" i="5" s="1"/>
  <c r="C12" i="2"/>
  <c r="E12"/>
  <c r="G12"/>
  <c r="G14" i="5" s="1"/>
  <c r="I12" i="2"/>
  <c r="I14" i="5" s="1"/>
  <c r="K12" i="2"/>
  <c r="K14" i="5" s="1"/>
  <c r="M12" i="2"/>
  <c r="M14" i="5" s="1"/>
  <c r="O12" i="2"/>
  <c r="O14" i="5" s="1"/>
  <c r="Q12" i="2"/>
  <c r="Q14" i="5" s="1"/>
  <c r="S12" i="2"/>
  <c r="S14" i="5" s="1"/>
  <c r="C13" i="2"/>
  <c r="E13"/>
  <c r="G13"/>
  <c r="G15" i="5" s="1"/>
  <c r="I13" i="2"/>
  <c r="I15" i="5" s="1"/>
  <c r="K13" i="2"/>
  <c r="K15" i="5" s="1"/>
  <c r="M13" i="2"/>
  <c r="M15" i="5" s="1"/>
  <c r="O13" i="2"/>
  <c r="O15" i="5" s="1"/>
  <c r="Q13" i="2"/>
  <c r="Q15" i="5" s="1"/>
  <c r="S13" i="2"/>
  <c r="S15" i="5" s="1"/>
  <c r="C14" i="2"/>
  <c r="P13" i="3" s="1"/>
  <c r="E14" i="2"/>
  <c r="G14"/>
  <c r="G16" i="5" s="1"/>
  <c r="I14" i="2"/>
  <c r="I16" i="5" s="1"/>
  <c r="K14" i="2"/>
  <c r="K16" i="5" s="1"/>
  <c r="M14" i="2"/>
  <c r="M16" i="5" s="1"/>
  <c r="O14" i="2"/>
  <c r="O16" i="5" s="1"/>
  <c r="Q14" i="2"/>
  <c r="Q16" i="5" s="1"/>
  <c r="S14" i="2"/>
  <c r="S16" i="5" s="1"/>
  <c r="C15" i="2"/>
  <c r="E15"/>
  <c r="G15"/>
  <c r="G17" i="5" s="1"/>
  <c r="I15" i="2"/>
  <c r="I17" i="5" s="1"/>
  <c r="K15" i="2"/>
  <c r="K17" i="5" s="1"/>
  <c r="M15" i="2"/>
  <c r="M17" i="5" s="1"/>
  <c r="O15" i="2"/>
  <c r="O17" i="5" s="1"/>
  <c r="Q15" i="2"/>
  <c r="Q17" i="5" s="1"/>
  <c r="S15" i="2"/>
  <c r="S17" i="5" s="1"/>
  <c r="C16" i="2"/>
  <c r="E16"/>
  <c r="G16"/>
  <c r="G18" i="5" s="1"/>
  <c r="I16" i="2"/>
  <c r="I18" i="5" s="1"/>
  <c r="K16" i="2"/>
  <c r="K18" i="5" s="1"/>
  <c r="M16" i="2"/>
  <c r="M18" i="5" s="1"/>
  <c r="O16" i="2"/>
  <c r="O18" i="5" s="1"/>
  <c r="Q16" i="2"/>
  <c r="Q18" i="5" s="1"/>
  <c r="S16" i="2"/>
  <c r="S18" i="5" s="1"/>
  <c r="C17" i="2"/>
  <c r="E17"/>
  <c r="G17"/>
  <c r="G19" i="5" s="1"/>
  <c r="I17" i="2"/>
  <c r="I19" i="5" s="1"/>
  <c r="K17" i="2"/>
  <c r="K19" i="5" s="1"/>
  <c r="M17" i="2"/>
  <c r="M19" i="5" s="1"/>
  <c r="O17" i="2"/>
  <c r="O19" i="5" s="1"/>
  <c r="Q17" i="2"/>
  <c r="Q19" i="5" s="1"/>
  <c r="S17" i="2"/>
  <c r="S19" i="5" s="1"/>
  <c r="E18" i="2"/>
  <c r="G18"/>
  <c r="G20" i="5" s="1"/>
  <c r="I18" i="2"/>
  <c r="I20" i="5" s="1"/>
  <c r="K18" i="2"/>
  <c r="K20" i="5" s="1"/>
  <c r="M18" i="2"/>
  <c r="M20" i="5" s="1"/>
  <c r="O18" i="2"/>
  <c r="O20" i="5" s="1"/>
  <c r="Q18" i="2"/>
  <c r="Q20" i="5" s="1"/>
  <c r="S18" i="2"/>
  <c r="S20" i="5" s="1"/>
  <c r="B19" i="2"/>
  <c r="D19"/>
  <c r="D21" i="5" s="1"/>
  <c r="F19" i="2"/>
  <c r="F21" i="5" s="1"/>
  <c r="H19" i="2"/>
  <c r="H21" i="5" s="1"/>
  <c r="J19" i="2"/>
  <c r="J21" i="5" s="1"/>
  <c r="L19" i="2"/>
  <c r="L21" i="5" s="1"/>
  <c r="N19" i="2"/>
  <c r="N21" i="5" s="1"/>
  <c r="P19" i="2"/>
  <c r="P21" i="5" s="1"/>
  <c r="R19" i="2"/>
  <c r="R21" i="5" s="1"/>
  <c r="T19" i="2"/>
  <c r="T21" i="5" s="1"/>
  <c r="C20" i="2"/>
  <c r="E20"/>
  <c r="G20"/>
  <c r="G22" i="5" s="1"/>
  <c r="I20" i="2"/>
  <c r="I22" i="5" s="1"/>
  <c r="K20" i="2"/>
  <c r="K22" i="5" s="1"/>
  <c r="M20" i="2"/>
  <c r="M22" i="5" s="1"/>
  <c r="O20" i="2"/>
  <c r="O22" i="5" s="1"/>
  <c r="Q20" i="2"/>
  <c r="Q22" i="5" s="1"/>
  <c r="S20" i="2"/>
  <c r="S22" i="5" s="1"/>
  <c r="B21" i="2"/>
  <c r="D21"/>
  <c r="D23" i="5" s="1"/>
  <c r="F21" i="2"/>
  <c r="F23" i="5" s="1"/>
  <c r="H21" i="2"/>
  <c r="H23" i="5" s="1"/>
  <c r="J21" i="2"/>
  <c r="J23" i="5" s="1"/>
  <c r="L21" i="2"/>
  <c r="L23" i="5" s="1"/>
  <c r="N21" i="2"/>
  <c r="N23" i="5" s="1"/>
  <c r="P21" i="2"/>
  <c r="P23" i="5" s="1"/>
  <c r="R21" i="2"/>
  <c r="R23" i="5" s="1"/>
  <c r="T21" i="2"/>
  <c r="T23" i="5" s="1"/>
  <c r="C22" i="2"/>
  <c r="C39" s="1"/>
  <c r="E22"/>
  <c r="G22"/>
  <c r="G24" i="5" s="1"/>
  <c r="I22" i="2"/>
  <c r="I24" i="5" s="1"/>
  <c r="K22" i="2"/>
  <c r="K24" i="5" s="1"/>
  <c r="M22" i="2"/>
  <c r="M24" i="5" s="1"/>
  <c r="O22" i="2"/>
  <c r="O24" i="5" s="1"/>
  <c r="Q22" i="2"/>
  <c r="Q24" i="5" s="1"/>
  <c r="S22" i="2"/>
  <c r="S24" i="5" s="1"/>
  <c r="B23" i="2"/>
  <c r="D23"/>
  <c r="D25" i="5" s="1"/>
  <c r="F23" i="2"/>
  <c r="F25" i="5" s="1"/>
  <c r="H23" i="2"/>
  <c r="H25" i="5" s="1"/>
  <c r="J23" i="2"/>
  <c r="J25" i="5" s="1"/>
  <c r="L23" i="2"/>
  <c r="L25" i="5" s="1"/>
  <c r="N23" i="2"/>
  <c r="N25" i="5" s="1"/>
  <c r="P23" i="2"/>
  <c r="P25" i="5" s="1"/>
  <c r="R23" i="2"/>
  <c r="R25" i="5" s="1"/>
  <c r="T23" i="2"/>
  <c r="T25" i="5" s="1"/>
  <c r="W8" i="8"/>
  <c r="W7"/>
  <c r="W6"/>
  <c r="W9"/>
  <c r="R26" i="5"/>
  <c r="D118" i="4" l="1"/>
  <c r="H31" i="16"/>
  <c r="L31" s="1"/>
  <c r="N31"/>
  <c r="R31" s="1"/>
  <c r="B31"/>
  <c r="AD18" i="6"/>
  <c r="AS158" i="9" s="1"/>
  <c r="C19" i="12"/>
  <c r="C24"/>
  <c r="Z7" i="6"/>
  <c r="AA7" s="1"/>
  <c r="V6" i="3"/>
  <c r="W6" s="1"/>
  <c r="AD7" i="6"/>
  <c r="AS37" i="9" s="1"/>
  <c r="AD20" i="6"/>
  <c r="AS180" i="9" s="1"/>
  <c r="V12" i="3"/>
  <c r="W12" s="1"/>
  <c r="Z13" i="6"/>
  <c r="AA13" s="1"/>
  <c r="AD13"/>
  <c r="AS103" i="9" s="1"/>
  <c r="V17" i="3"/>
  <c r="W17" s="1"/>
  <c r="W25" i="2"/>
  <c r="W19"/>
  <c r="C10" i="12"/>
  <c r="Y9" i="3" s="1"/>
  <c r="Z9" s="1"/>
  <c r="C14" i="12"/>
  <c r="C6" i="6"/>
  <c r="V5" i="3" s="1"/>
  <c r="W5" s="1"/>
  <c r="C12" i="6"/>
  <c r="Z10" i="12"/>
  <c r="AA10" s="1"/>
  <c r="C22"/>
  <c r="C21"/>
  <c r="C16" i="6"/>
  <c r="Z16" s="1"/>
  <c r="AA16" s="1"/>
  <c r="C5"/>
  <c r="C17" i="12"/>
  <c r="Z22" i="2"/>
  <c r="AA22" s="1"/>
  <c r="Z20"/>
  <c r="AA20" s="1"/>
  <c r="B25" i="5"/>
  <c r="Z23" i="2"/>
  <c r="AA23" s="1"/>
  <c r="B23" i="5"/>
  <c r="Z21" i="2"/>
  <c r="AA21" s="1"/>
  <c r="B21" i="5"/>
  <c r="Z19" i="2"/>
  <c r="AA19" s="1"/>
  <c r="C9" i="6"/>
  <c r="C11" i="5" s="1"/>
  <c r="C11" i="6"/>
  <c r="Z11" s="1"/>
  <c r="AA11" s="1"/>
  <c r="C8"/>
  <c r="C26" i="8"/>
  <c r="B26"/>
  <c r="D26"/>
  <c r="F26"/>
  <c r="H26"/>
  <c r="J26"/>
  <c r="L26"/>
  <c r="N26"/>
  <c r="P26"/>
  <c r="R26"/>
  <c r="T26"/>
  <c r="V26"/>
  <c r="E26"/>
  <c r="G26"/>
  <c r="I26"/>
  <c r="K26"/>
  <c r="M26"/>
  <c r="O26"/>
  <c r="Q26"/>
  <c r="S26"/>
  <c r="U26"/>
  <c r="Z25" i="6"/>
  <c r="AA25" s="1"/>
  <c r="C10"/>
  <c r="Z10" s="1"/>
  <c r="AA10" s="1"/>
  <c r="AD7" i="15"/>
  <c r="AU37" i="9" s="1"/>
  <c r="Z7" i="15"/>
  <c r="AA7" s="1"/>
  <c r="Z18"/>
  <c r="AA18" s="1"/>
  <c r="AD18"/>
  <c r="AU158" i="9" s="1"/>
  <c r="C17" i="6"/>
  <c r="C23"/>
  <c r="Z23" s="1"/>
  <c r="AA23" s="1"/>
  <c r="S9" i="3"/>
  <c r="T9" s="1"/>
  <c r="AD10" i="8"/>
  <c r="AQ70" i="9" s="1"/>
  <c r="Z10" i="8"/>
  <c r="AA10" s="1"/>
  <c r="C23" i="12"/>
  <c r="C11"/>
  <c r="AQ59" i="9"/>
  <c r="H116" i="11"/>
  <c r="C8" i="12"/>
  <c r="Z25" i="15"/>
  <c r="AA25" s="1"/>
  <c r="V18" i="3"/>
  <c r="W18" s="1"/>
  <c r="AD19" i="6"/>
  <c r="AS169" i="9" s="1"/>
  <c r="I117" i="4"/>
  <c r="R22" i="5"/>
  <c r="S7" i="3"/>
  <c r="T7" s="1"/>
  <c r="AD8" i="8"/>
  <c r="AQ48" i="9" s="1"/>
  <c r="Z18" i="2"/>
  <c r="AA18" s="1"/>
  <c r="AD7" i="8"/>
  <c r="AQ37" i="9" s="1"/>
  <c r="O27" i="5"/>
  <c r="C27"/>
  <c r="Z22" i="8"/>
  <c r="AA22" s="1"/>
  <c r="S23" i="3"/>
  <c r="T23" s="1"/>
  <c r="AD16" i="8"/>
  <c r="AQ136" i="9" s="1"/>
  <c r="S5" i="3"/>
  <c r="T5" s="1"/>
  <c r="Z23" i="8"/>
  <c r="AA23" s="1"/>
  <c r="X14"/>
  <c r="Y14" s="1"/>
  <c r="S6" i="3"/>
  <c r="T6" s="1"/>
  <c r="P19"/>
  <c r="Q19" s="1"/>
  <c r="I144" i="1"/>
  <c r="C14" i="6"/>
  <c r="V13" i="3" s="1"/>
  <c r="W13" s="1"/>
  <c r="C22" i="6"/>
  <c r="AD11" i="8"/>
  <c r="AQ81" i="9" s="1"/>
  <c r="S10" i="3"/>
  <c r="T10" s="1"/>
  <c r="Z11" i="8"/>
  <c r="AA11" s="1"/>
  <c r="AD15"/>
  <c r="AQ125" i="9" s="1"/>
  <c r="Z15" i="8"/>
  <c r="AA15" s="1"/>
  <c r="T14" i="3"/>
  <c r="X15" i="8"/>
  <c r="Y15" s="1"/>
  <c r="Z14"/>
  <c r="AA14" s="1"/>
  <c r="AD14"/>
  <c r="AQ114" i="9" s="1"/>
  <c r="S13" i="3"/>
  <c r="T13" s="1"/>
  <c r="AD4" i="8"/>
  <c r="AQ4" i="9" s="1"/>
  <c r="AA345"/>
  <c r="C15" i="6"/>
  <c r="EK26" i="17"/>
  <c r="EL26"/>
  <c r="EK28"/>
  <c r="EL28"/>
  <c r="EL32"/>
  <c r="EK32"/>
  <c r="EL29"/>
  <c r="EK29"/>
  <c r="EK33"/>
  <c r="EL33"/>
  <c r="EK27"/>
  <c r="EL27"/>
  <c r="EK30"/>
  <c r="EL30"/>
  <c r="AT25"/>
  <c r="AU25"/>
  <c r="EJ25"/>
  <c r="AU24"/>
  <c r="AT24"/>
  <c r="EJ24"/>
  <c r="AT23"/>
  <c r="AU23"/>
  <c r="EJ23"/>
  <c r="AU22"/>
  <c r="AT22"/>
  <c r="EJ22"/>
  <c r="AT21"/>
  <c r="AU21"/>
  <c r="EJ21"/>
  <c r="AU20"/>
  <c r="AT20"/>
  <c r="EJ20"/>
  <c r="AT19"/>
  <c r="AU19"/>
  <c r="EJ19"/>
  <c r="AU18"/>
  <c r="AT18"/>
  <c r="EJ18"/>
  <c r="AT17"/>
  <c r="AU17"/>
  <c r="EJ17"/>
  <c r="AU16"/>
  <c r="AT16"/>
  <c r="EJ16"/>
  <c r="AT15"/>
  <c r="AU15"/>
  <c r="EJ15"/>
  <c r="AU14"/>
  <c r="AT14"/>
  <c r="EJ14"/>
  <c r="AT13"/>
  <c r="AU13"/>
  <c r="EJ13"/>
  <c r="AU12"/>
  <c r="AT12"/>
  <c r="AT11"/>
  <c r="AU11"/>
  <c r="AU10"/>
  <c r="AT10"/>
  <c r="AU9"/>
  <c r="AT9"/>
  <c r="AU8"/>
  <c r="AT8"/>
  <c r="EJ8"/>
  <c r="AT7"/>
  <c r="AU7"/>
  <c r="AS41"/>
  <c r="EL34"/>
  <c r="EK34"/>
  <c r="EL31"/>
  <c r="EK31"/>
  <c r="C26" i="5"/>
  <c r="AD6" i="8"/>
  <c r="AQ26" i="9" s="1"/>
  <c r="EL12" i="17"/>
  <c r="EK12"/>
  <c r="EL10"/>
  <c r="EK10"/>
  <c r="EL11"/>
  <c r="EK11"/>
  <c r="EL9"/>
  <c r="EK9"/>
  <c r="EL7"/>
  <c r="EK7"/>
  <c r="S43"/>
  <c r="R43"/>
  <c r="P43"/>
  <c r="D43"/>
  <c r="C43"/>
  <c r="L43"/>
  <c r="I43"/>
  <c r="F43"/>
  <c r="J43"/>
  <c r="M43"/>
  <c r="Q43"/>
  <c r="G43"/>
  <c r="K43"/>
  <c r="E43"/>
  <c r="B43"/>
  <c r="H43"/>
  <c r="N43"/>
  <c r="O43"/>
  <c r="W41"/>
  <c r="V41"/>
  <c r="X16" i="8"/>
  <c r="Y16" s="1"/>
  <c r="T15" i="3"/>
  <c r="Z16" i="8"/>
  <c r="AA16" s="1"/>
  <c r="T27" i="5"/>
  <c r="L27"/>
  <c r="D27"/>
  <c r="Q27"/>
  <c r="I27"/>
  <c r="G27"/>
  <c r="P27"/>
  <c r="H27"/>
  <c r="M27"/>
  <c r="E27"/>
  <c r="S27"/>
  <c r="K27"/>
  <c r="Q24" i="3"/>
  <c r="A32" i="16"/>
  <c r="T32" s="1"/>
  <c r="X32" s="1"/>
  <c r="U26" i="2"/>
  <c r="D26"/>
  <c r="H26"/>
  <c r="L26"/>
  <c r="P26"/>
  <c r="T26"/>
  <c r="C26"/>
  <c r="G26"/>
  <c r="K26"/>
  <c r="O26"/>
  <c r="S26"/>
  <c r="B26"/>
  <c r="F26"/>
  <c r="J26"/>
  <c r="N26"/>
  <c r="R26"/>
  <c r="V26"/>
  <c r="E26"/>
  <c r="I26"/>
  <c r="M26"/>
  <c r="Q26"/>
  <c r="V26" i="6"/>
  <c r="E26"/>
  <c r="I26"/>
  <c r="M26"/>
  <c r="Q26"/>
  <c r="U26"/>
  <c r="D26"/>
  <c r="H26"/>
  <c r="L26"/>
  <c r="P26"/>
  <c r="T26"/>
  <c r="C26"/>
  <c r="G26"/>
  <c r="K26"/>
  <c r="O26"/>
  <c r="S26"/>
  <c r="B26"/>
  <c r="F26"/>
  <c r="J26"/>
  <c r="N26"/>
  <c r="R26"/>
  <c r="U26" i="15"/>
  <c r="B26"/>
  <c r="D26"/>
  <c r="H26"/>
  <c r="L26"/>
  <c r="P26"/>
  <c r="T26"/>
  <c r="C26"/>
  <c r="G26"/>
  <c r="K26"/>
  <c r="O26"/>
  <c r="S26"/>
  <c r="F26"/>
  <c r="J26"/>
  <c r="N26"/>
  <c r="R26"/>
  <c r="V26"/>
  <c r="E26"/>
  <c r="I26"/>
  <c r="M26"/>
  <c r="Q26"/>
  <c r="U25" i="3"/>
  <c r="O25"/>
  <c r="X25"/>
  <c r="R25"/>
  <c r="AD25" i="15"/>
  <c r="AU235" i="9" s="1"/>
  <c r="AD25" i="6"/>
  <c r="AS235" i="9" s="1"/>
  <c r="V24" i="3"/>
  <c r="W24" s="1"/>
  <c r="W25" i="12"/>
  <c r="R27" i="5"/>
  <c r="J27"/>
  <c r="B27"/>
  <c r="V27"/>
  <c r="W25" i="15"/>
  <c r="X25" s="1"/>
  <c r="Y25" s="1"/>
  <c r="V26" i="12"/>
  <c r="E26"/>
  <c r="I26"/>
  <c r="M26"/>
  <c r="Q26"/>
  <c r="U26"/>
  <c r="D26"/>
  <c r="H26"/>
  <c r="L26"/>
  <c r="P26"/>
  <c r="T26"/>
  <c r="C26"/>
  <c r="G26"/>
  <c r="K26"/>
  <c r="O26"/>
  <c r="S26"/>
  <c r="B26"/>
  <c r="F26"/>
  <c r="J26"/>
  <c r="N26"/>
  <c r="R26"/>
  <c r="N26" i="3"/>
  <c r="A30" i="5"/>
  <c r="A27" i="15"/>
  <c r="A27" i="12"/>
  <c r="A27" i="6"/>
  <c r="A27" i="8"/>
  <c r="A27" i="2"/>
  <c r="AD25" i="12"/>
  <c r="AT235" i="9" s="1"/>
  <c r="Y24" i="3"/>
  <c r="Z24" s="1"/>
  <c r="Z25" i="12"/>
  <c r="AA25" s="1"/>
  <c r="S24" i="3"/>
  <c r="T24" s="1"/>
  <c r="Z25" i="8"/>
  <c r="AA25" s="1"/>
  <c r="AD25"/>
  <c r="AQ235" i="9" s="1"/>
  <c r="U27" i="5"/>
  <c r="W25" i="8"/>
  <c r="N27" i="5"/>
  <c r="F27"/>
  <c r="W25" i="6"/>
  <c r="I173" i="7"/>
  <c r="Z24" i="8"/>
  <c r="AA24" s="1"/>
  <c r="AD24"/>
  <c r="AQ224" i="9" s="1"/>
  <c r="S22" i="3"/>
  <c r="T22" s="1"/>
  <c r="AD23" i="8"/>
  <c r="AD22"/>
  <c r="S21" i="3"/>
  <c r="T21" s="1"/>
  <c r="E24" i="5"/>
  <c r="W22" i="2"/>
  <c r="E22" i="5"/>
  <c r="W20" i="2"/>
  <c r="E20" i="5"/>
  <c r="W18" i="2"/>
  <c r="E19" i="5"/>
  <c r="W17" i="2"/>
  <c r="E18" i="5"/>
  <c r="W16" i="2"/>
  <c r="E17" i="5"/>
  <c r="W15" i="2"/>
  <c r="E16" i="5"/>
  <c r="W14" i="2"/>
  <c r="E15" i="5"/>
  <c r="W13" i="2"/>
  <c r="E14" i="5"/>
  <c r="W12" i="2"/>
  <c r="E13" i="5"/>
  <c r="W11" i="2"/>
  <c r="E12" i="5"/>
  <c r="W10" i="2"/>
  <c r="E11" i="5"/>
  <c r="W9" i="2"/>
  <c r="E10" i="5"/>
  <c r="W8" i="2"/>
  <c r="E9" i="5"/>
  <c r="W7" i="2"/>
  <c r="E8" i="5"/>
  <c r="W6" i="2"/>
  <c r="F6" i="5"/>
  <c r="W4" i="2"/>
  <c r="P22" i="3"/>
  <c r="Q22" s="1"/>
  <c r="AD23" i="2"/>
  <c r="AR213" i="9" s="1"/>
  <c r="E23" i="5"/>
  <c r="W21" i="2"/>
  <c r="P18" i="3"/>
  <c r="Q18" s="1"/>
  <c r="AD19" i="2"/>
  <c r="AR169" i="9" s="1"/>
  <c r="P4" i="3"/>
  <c r="Q4" s="1"/>
  <c r="AD5" i="2"/>
  <c r="AR15" i="9" s="1"/>
  <c r="M6" i="5"/>
  <c r="C6"/>
  <c r="AD4" i="2"/>
  <c r="AR4" i="9" s="1"/>
  <c r="P21" i="3"/>
  <c r="Q21" s="1"/>
  <c r="AD22" i="2"/>
  <c r="AR202" i="9" s="1"/>
  <c r="AD20" i="2"/>
  <c r="AR180" i="9" s="1"/>
  <c r="P17" i="3"/>
  <c r="Q17" s="1"/>
  <c r="C20" i="5"/>
  <c r="AD18" i="2"/>
  <c r="AR158" i="9" s="1"/>
  <c r="P16" i="3"/>
  <c r="Q16" s="1"/>
  <c r="AD17" i="2"/>
  <c r="AR147" i="9" s="1"/>
  <c r="Z17" i="2"/>
  <c r="P15" i="3"/>
  <c r="Q15" s="1"/>
  <c r="AD16" i="2"/>
  <c r="AR136" i="9" s="1"/>
  <c r="Z16" i="2"/>
  <c r="P14" i="3"/>
  <c r="Q14" s="1"/>
  <c r="AD15" i="2"/>
  <c r="AR125" i="9" s="1"/>
  <c r="Z15" i="2"/>
  <c r="Q13" i="3"/>
  <c r="AD14" i="2"/>
  <c r="AR114" i="9" s="1"/>
  <c r="Z14" i="2"/>
  <c r="P12" i="3"/>
  <c r="Q12" s="1"/>
  <c r="Q1" s="1"/>
  <c r="AD13" i="2"/>
  <c r="AR103" i="9" s="1"/>
  <c r="Z13" i="2"/>
  <c r="P11" i="3"/>
  <c r="Q11" s="1"/>
  <c r="AD12" i="2"/>
  <c r="AR92" i="9" s="1"/>
  <c r="Z12" i="2"/>
  <c r="P10" i="3"/>
  <c r="Q10" s="1"/>
  <c r="AD11" i="2"/>
  <c r="AR81" i="9" s="1"/>
  <c r="Z11" i="2"/>
  <c r="P9" i="3"/>
  <c r="Q9" s="1"/>
  <c r="AD10" i="2"/>
  <c r="AR70" i="9" s="1"/>
  <c r="Z10" i="2"/>
  <c r="P8" i="3"/>
  <c r="Q8" s="1"/>
  <c r="AD9" i="2"/>
  <c r="AR59" i="9" s="1"/>
  <c r="Z9" i="2"/>
  <c r="P7" i="3"/>
  <c r="Q7" s="1"/>
  <c r="AD8" i="2"/>
  <c r="AR48" i="9" s="1"/>
  <c r="Z8" i="2"/>
  <c r="P6" i="3"/>
  <c r="Q6" s="1"/>
  <c r="C9" i="5"/>
  <c r="AD7" i="2"/>
  <c r="AR37" i="9" s="1"/>
  <c r="Z7" i="2"/>
  <c r="P5" i="3"/>
  <c r="Q5" s="1"/>
  <c r="Z6" i="2"/>
  <c r="AD6"/>
  <c r="AR26" i="9" s="1"/>
  <c r="T6" i="5"/>
  <c r="P6"/>
  <c r="L6"/>
  <c r="H6"/>
  <c r="Q6"/>
  <c r="E25"/>
  <c r="W23" i="2"/>
  <c r="P20" i="3"/>
  <c r="Q20" s="1"/>
  <c r="AD21" i="2"/>
  <c r="AR191" i="9" s="1"/>
  <c r="E21" i="5"/>
  <c r="E7"/>
  <c r="W5" i="2"/>
  <c r="U6" i="5"/>
  <c r="T7"/>
  <c r="W26"/>
  <c r="C8" l="1"/>
  <c r="N32" i="16"/>
  <c r="R32" s="1"/>
  <c r="B32"/>
  <c r="F32" s="1"/>
  <c r="H32"/>
  <c r="L32" s="1"/>
  <c r="AD19" i="12"/>
  <c r="AT169" i="9" s="1"/>
  <c r="Z19" i="12"/>
  <c r="AA19" s="1"/>
  <c r="AD24"/>
  <c r="AT224" i="9" s="1"/>
  <c r="Y23" i="3"/>
  <c r="Z23" s="1"/>
  <c r="Z24" i="12"/>
  <c r="AA24" s="1"/>
  <c r="Y18" i="3"/>
  <c r="Z18" s="1"/>
  <c r="C10" i="5"/>
  <c r="C18"/>
  <c r="AD10" i="12"/>
  <c r="AT70" i="9" s="1"/>
  <c r="Z14" i="12"/>
  <c r="AA14" s="1"/>
  <c r="AD14"/>
  <c r="AT114" i="9" s="1"/>
  <c r="Y13" i="3"/>
  <c r="Z13" s="1"/>
  <c r="Y21"/>
  <c r="Z21" s="1"/>
  <c r="X6" i="6"/>
  <c r="Y6" s="1"/>
  <c r="Z6"/>
  <c r="AA6" s="1"/>
  <c r="AD12"/>
  <c r="AS92" i="9" s="1"/>
  <c r="Z12" i="6"/>
  <c r="AA12" s="1"/>
  <c r="V11" i="3"/>
  <c r="W11" s="1"/>
  <c r="AD6" i="6"/>
  <c r="AS26" i="9" s="1"/>
  <c r="C24" i="5"/>
  <c r="AD22" i="12"/>
  <c r="AT202" i="9" s="1"/>
  <c r="Z22" i="12"/>
  <c r="AA22" s="1"/>
  <c r="V15" i="3"/>
  <c r="W15" s="1"/>
  <c r="Z21" i="12"/>
  <c r="AA21" s="1"/>
  <c r="AD21"/>
  <c r="AT191" i="9" s="1"/>
  <c r="Y20" i="3"/>
  <c r="Z20" s="1"/>
  <c r="Z5" i="6"/>
  <c r="AA5" s="1"/>
  <c r="AD5"/>
  <c r="AS15" i="9" s="1"/>
  <c r="V4" i="3"/>
  <c r="W4" s="1"/>
  <c r="AD16" i="6"/>
  <c r="AS136" i="9" s="1"/>
  <c r="Z17" i="12"/>
  <c r="AA17" s="1"/>
  <c r="Y16" i="3"/>
  <c r="Z16" s="1"/>
  <c r="AD17" i="12"/>
  <c r="AT147" i="9" s="1"/>
  <c r="V10" i="3"/>
  <c r="W10" s="1"/>
  <c r="Z26" i="2"/>
  <c r="AA26" s="1"/>
  <c r="V8" i="3"/>
  <c r="W8" s="1"/>
  <c r="Z9" i="6"/>
  <c r="AA9" s="1"/>
  <c r="AD9"/>
  <c r="AS59" i="9" s="1"/>
  <c r="W21" i="5"/>
  <c r="Y21" s="1"/>
  <c r="W25"/>
  <c r="Y25" s="1"/>
  <c r="O6"/>
  <c r="K6"/>
  <c r="S6"/>
  <c r="W23"/>
  <c r="Y23" s="1"/>
  <c r="E6"/>
  <c r="W8"/>
  <c r="W9"/>
  <c r="W10"/>
  <c r="W11"/>
  <c r="W12"/>
  <c r="Y12" s="1"/>
  <c r="W13"/>
  <c r="Y13" s="1"/>
  <c r="W14"/>
  <c r="Y14" s="1"/>
  <c r="W15"/>
  <c r="Y15" s="1"/>
  <c r="W16"/>
  <c r="Y16" s="1"/>
  <c r="W17"/>
  <c r="Y17" s="1"/>
  <c r="W18"/>
  <c r="Y18" s="1"/>
  <c r="W19"/>
  <c r="Y19" s="1"/>
  <c r="W20"/>
  <c r="Y20" s="1"/>
  <c r="W24"/>
  <c r="Y24" s="1"/>
  <c r="C12"/>
  <c r="C13"/>
  <c r="C25"/>
  <c r="Z26" i="6"/>
  <c r="AA26" s="1"/>
  <c r="AD11"/>
  <c r="AS81" i="9" s="1"/>
  <c r="Z8" i="6"/>
  <c r="AA8" s="1"/>
  <c r="V7" i="3"/>
  <c r="W7" s="1"/>
  <c r="AD8" i="6"/>
  <c r="AS48" i="9" s="1"/>
  <c r="B27" i="8"/>
  <c r="E27"/>
  <c r="G27"/>
  <c r="I27"/>
  <c r="K27"/>
  <c r="M27"/>
  <c r="O27"/>
  <c r="Q27"/>
  <c r="S27"/>
  <c r="U27"/>
  <c r="D27"/>
  <c r="F27"/>
  <c r="H27"/>
  <c r="J27"/>
  <c r="L27"/>
  <c r="N27"/>
  <c r="P27"/>
  <c r="R27"/>
  <c r="T27"/>
  <c r="V27"/>
  <c r="C27"/>
  <c r="Z22" i="6"/>
  <c r="AA22" s="1"/>
  <c r="Z17"/>
  <c r="AA17" s="1"/>
  <c r="Z15"/>
  <c r="AA15" s="1"/>
  <c r="Z14"/>
  <c r="AA14" s="1"/>
  <c r="C19" i="5"/>
  <c r="AD17" i="6"/>
  <c r="AS147" i="9" s="1"/>
  <c r="V9" i="3"/>
  <c r="W9" s="1"/>
  <c r="AD10" i="6"/>
  <c r="AS70" i="9" s="1"/>
  <c r="C16" i="5"/>
  <c r="AD14" i="6"/>
  <c r="AS114" i="9" s="1"/>
  <c r="V16" i="3"/>
  <c r="W16" s="1"/>
  <c r="Y22"/>
  <c r="Z22" s="1"/>
  <c r="AD23" i="12"/>
  <c r="AT213" i="9" s="1"/>
  <c r="Z23" i="12"/>
  <c r="AA23" s="1"/>
  <c r="V22" i="3"/>
  <c r="W22" s="1"/>
  <c r="AD23" i="6"/>
  <c r="AS213" i="9" s="1"/>
  <c r="X23" i="6"/>
  <c r="Y23" s="1"/>
  <c r="Y10" i="3"/>
  <c r="Z10" s="1"/>
  <c r="AD11" i="12"/>
  <c r="AT81" i="9" s="1"/>
  <c r="Z11" i="12"/>
  <c r="AA11" s="1"/>
  <c r="S8" i="3"/>
  <c r="T8" s="1"/>
  <c r="S19"/>
  <c r="T19" s="1"/>
  <c r="X18" i="8"/>
  <c r="Y18" s="1"/>
  <c r="Z8" i="12"/>
  <c r="AA8" s="1"/>
  <c r="AD8"/>
  <c r="AT48" i="9" s="1"/>
  <c r="Y7" i="3"/>
  <c r="Z7" s="1"/>
  <c r="C15" i="5"/>
  <c r="C22"/>
  <c r="S17" i="3"/>
  <c r="T17" s="1"/>
  <c r="Z18" i="8"/>
  <c r="AA18" s="1"/>
  <c r="AD18"/>
  <c r="AQ158" i="9" s="1"/>
  <c r="G1" i="8"/>
  <c r="W22" i="5"/>
  <c r="Y22" s="1"/>
  <c r="X26"/>
  <c r="Z20" i="8"/>
  <c r="AA20" s="1"/>
  <c r="AQ180" i="9"/>
  <c r="Z17" i="8"/>
  <c r="AA17" s="1"/>
  <c r="X17"/>
  <c r="Y17" s="1"/>
  <c r="S16" i="3"/>
  <c r="T16" s="1"/>
  <c r="AD17" i="8"/>
  <c r="AQ147" i="9" s="1"/>
  <c r="AD21" i="8"/>
  <c r="AQ191" i="9" s="1"/>
  <c r="C14" i="5"/>
  <c r="C17"/>
  <c r="C21"/>
  <c r="AD13" i="8"/>
  <c r="AQ103" i="9" s="1"/>
  <c r="Z13" i="8"/>
  <c r="AA13" s="1"/>
  <c r="X13"/>
  <c r="Y13" s="1"/>
  <c r="S12" i="3"/>
  <c r="T12" s="1"/>
  <c r="U1" s="1"/>
  <c r="S11"/>
  <c r="T11" s="1"/>
  <c r="S20"/>
  <c r="T20" s="1"/>
  <c r="EJ41" i="17"/>
  <c r="EG43" s="1"/>
  <c r="AD22" i="6"/>
  <c r="AS202" i="9" s="1"/>
  <c r="V21" i="3"/>
  <c r="W21" s="1"/>
  <c r="C23" i="5"/>
  <c r="Z21" i="8"/>
  <c r="AA21" s="1"/>
  <c r="S18" i="3"/>
  <c r="T18" s="1"/>
  <c r="Z19" i="8"/>
  <c r="AA19" s="1"/>
  <c r="AD19"/>
  <c r="AQ169" i="9" s="1"/>
  <c r="AD12" i="8"/>
  <c r="AQ92" i="9" s="1"/>
  <c r="Z12" i="8"/>
  <c r="AA12" s="1"/>
  <c r="V14" i="3"/>
  <c r="W14" s="1"/>
  <c r="AD15" i="6"/>
  <c r="AS125" i="9" s="1"/>
  <c r="Z43" i="17"/>
  <c r="AU41"/>
  <c r="AK43"/>
  <c r="AF43"/>
  <c r="AD43"/>
  <c r="AP43"/>
  <c r="AM43"/>
  <c r="AE43"/>
  <c r="AO43"/>
  <c r="AH43"/>
  <c r="AT41"/>
  <c r="AC43"/>
  <c r="AJ43"/>
  <c r="AG43"/>
  <c r="AA43"/>
  <c r="AQ43"/>
  <c r="AI43"/>
  <c r="AL43"/>
  <c r="AB43"/>
  <c r="AN43"/>
  <c r="EK13"/>
  <c r="EL13"/>
  <c r="EK15"/>
  <c r="EL15"/>
  <c r="EL17"/>
  <c r="EK17"/>
  <c r="EK19"/>
  <c r="EL19"/>
  <c r="EK21"/>
  <c r="EL21"/>
  <c r="EL23"/>
  <c r="EK23"/>
  <c r="EK25"/>
  <c r="EL25"/>
  <c r="EK8"/>
  <c r="EL8"/>
  <c r="EK14"/>
  <c r="EL14"/>
  <c r="EK16"/>
  <c r="EL16"/>
  <c r="EK18"/>
  <c r="EL18"/>
  <c r="EL20"/>
  <c r="EK20"/>
  <c r="EL22"/>
  <c r="EK22"/>
  <c r="EK24"/>
  <c r="EL24"/>
  <c r="Y26" i="5"/>
  <c r="V43" i="17"/>
  <c r="W3"/>
  <c r="AD5" i="8"/>
  <c r="AQ15" i="9" s="1"/>
  <c r="S4" i="3"/>
  <c r="T4" s="1"/>
  <c r="C7" i="5"/>
  <c r="AQ213" i="9"/>
  <c r="AQ202"/>
  <c r="W27" i="5"/>
  <c r="X27" s="1"/>
  <c r="A33" i="16"/>
  <c r="T33" s="1"/>
  <c r="X33" s="1"/>
  <c r="U27" i="2"/>
  <c r="V27"/>
  <c r="R27"/>
  <c r="N27"/>
  <c r="J27"/>
  <c r="F27"/>
  <c r="B27"/>
  <c r="P27"/>
  <c r="H27"/>
  <c r="T27"/>
  <c r="L27"/>
  <c r="D27"/>
  <c r="C27"/>
  <c r="G27"/>
  <c r="K27"/>
  <c r="O27"/>
  <c r="S27"/>
  <c r="E27"/>
  <c r="I27"/>
  <c r="M27"/>
  <c r="Q27"/>
  <c r="U27" i="6"/>
  <c r="V27"/>
  <c r="R27"/>
  <c r="N27"/>
  <c r="J27"/>
  <c r="F27"/>
  <c r="B27"/>
  <c r="T27"/>
  <c r="P27"/>
  <c r="L27"/>
  <c r="H27"/>
  <c r="D27"/>
  <c r="E27"/>
  <c r="I27"/>
  <c r="M27"/>
  <c r="Q27"/>
  <c r="C27"/>
  <c r="G27"/>
  <c r="K27"/>
  <c r="O27"/>
  <c r="S27"/>
  <c r="V27" i="15"/>
  <c r="C27"/>
  <c r="AD27" s="1"/>
  <c r="AU257" i="9" s="1"/>
  <c r="G27" i="15"/>
  <c r="K27"/>
  <c r="O27"/>
  <c r="S27"/>
  <c r="D27"/>
  <c r="H27"/>
  <c r="L27"/>
  <c r="P27"/>
  <c r="T27"/>
  <c r="E27"/>
  <c r="I27"/>
  <c r="M27"/>
  <c r="Q27"/>
  <c r="U27"/>
  <c r="B27"/>
  <c r="F27"/>
  <c r="J27"/>
  <c r="N27"/>
  <c r="R27"/>
  <c r="X26" i="3"/>
  <c r="O26"/>
  <c r="U26"/>
  <c r="R26"/>
  <c r="AD26" i="12"/>
  <c r="AT246" i="9" s="1"/>
  <c r="Y25" i="3"/>
  <c r="Z25" s="1"/>
  <c r="AD26" i="6"/>
  <c r="AS246" i="9" s="1"/>
  <c r="V25" i="3"/>
  <c r="W25" s="1"/>
  <c r="V28" i="5"/>
  <c r="C28"/>
  <c r="P25" i="3"/>
  <c r="Q25" s="1"/>
  <c r="AD26" i="2"/>
  <c r="AR246" i="9" s="1"/>
  <c r="W26" i="12"/>
  <c r="W26" i="6"/>
  <c r="Q28" i="5"/>
  <c r="I28"/>
  <c r="N28"/>
  <c r="F28"/>
  <c r="S28"/>
  <c r="K28"/>
  <c r="P28"/>
  <c r="H28"/>
  <c r="U28"/>
  <c r="U27" i="12"/>
  <c r="T27"/>
  <c r="P27"/>
  <c r="L27"/>
  <c r="H27"/>
  <c r="D27"/>
  <c r="V27"/>
  <c r="R27"/>
  <c r="N27"/>
  <c r="J27"/>
  <c r="F27"/>
  <c r="B27"/>
  <c r="E27"/>
  <c r="I27"/>
  <c r="M27"/>
  <c r="Q27"/>
  <c r="C27"/>
  <c r="G27"/>
  <c r="K27"/>
  <c r="O27"/>
  <c r="S27"/>
  <c r="N27" i="3"/>
  <c r="A31" i="5"/>
  <c r="A28" i="15"/>
  <c r="A28" i="12"/>
  <c r="A28" i="6"/>
  <c r="A28" i="8"/>
  <c r="A28" i="2"/>
  <c r="Z26" i="12"/>
  <c r="AA26" s="1"/>
  <c r="W26" i="8"/>
  <c r="AD26"/>
  <c r="AQ246" i="9" s="1"/>
  <c r="S25" i="3"/>
  <c r="T25" s="1"/>
  <c r="Z26" i="8"/>
  <c r="AA26" s="1"/>
  <c r="AD26" i="15"/>
  <c r="AU246" i="9" s="1"/>
  <c r="Z26" i="15"/>
  <c r="AA26" s="1"/>
  <c r="W26" i="2"/>
  <c r="E28" i="5"/>
  <c r="W26" i="15"/>
  <c r="M28" i="5"/>
  <c r="R28"/>
  <c r="J28"/>
  <c r="B28"/>
  <c r="O28"/>
  <c r="G28"/>
  <c r="T28"/>
  <c r="L28"/>
  <c r="D28"/>
  <c r="AA7" i="2"/>
  <c r="AA8"/>
  <c r="AA9"/>
  <c r="AA10"/>
  <c r="AA11"/>
  <c r="AA12"/>
  <c r="AA13"/>
  <c r="AA14"/>
  <c r="AA15"/>
  <c r="AA16"/>
  <c r="AA17"/>
  <c r="G6" i="5"/>
  <c r="I6"/>
  <c r="R6"/>
  <c r="AA6" i="2"/>
  <c r="D6" i="5"/>
  <c r="W7"/>
  <c r="D11" i="31" l="1"/>
  <c r="D10"/>
  <c r="D13" s="1"/>
  <c r="D14" s="1"/>
  <c r="H33" i="16"/>
  <c r="L33" s="1"/>
  <c r="N33"/>
  <c r="R33" s="1"/>
  <c r="B33"/>
  <c r="F33" s="1"/>
  <c r="X21" i="5"/>
  <c r="DW43" i="17"/>
  <c r="EH43"/>
  <c r="B6" i="8"/>
  <c r="B5"/>
  <c r="B7" i="5" s="1"/>
  <c r="DS43" i="17"/>
  <c r="DU43"/>
  <c r="DX43"/>
  <c r="X23" i="5"/>
  <c r="X25"/>
  <c r="X18"/>
  <c r="X14"/>
  <c r="X15"/>
  <c r="X24"/>
  <c r="EE43" i="17"/>
  <c r="DV43"/>
  <c r="EC43"/>
  <c r="DZ43"/>
  <c r="DR43"/>
  <c r="Z27" i="2"/>
  <c r="AA27" s="1"/>
  <c r="X13" i="5"/>
  <c r="X16"/>
  <c r="X20"/>
  <c r="X17"/>
  <c r="X19"/>
  <c r="X12"/>
  <c r="N6"/>
  <c r="J6"/>
  <c r="B9" i="8"/>
  <c r="F11" i="16"/>
  <c r="B28" i="8"/>
  <c r="C28"/>
  <c r="E28"/>
  <c r="G28"/>
  <c r="I28"/>
  <c r="K28"/>
  <c r="M28"/>
  <c r="O28"/>
  <c r="Q28"/>
  <c r="S28"/>
  <c r="U28"/>
  <c r="D28"/>
  <c r="F28"/>
  <c r="H28"/>
  <c r="J28"/>
  <c r="L28"/>
  <c r="N28"/>
  <c r="P28"/>
  <c r="R28"/>
  <c r="T28"/>
  <c r="V28"/>
  <c r="Z27" i="6"/>
  <c r="AA27" s="1"/>
  <c r="B7" i="8"/>
  <c r="B8"/>
  <c r="Z27" i="15"/>
  <c r="AA27" s="1"/>
  <c r="X22" i="5"/>
  <c r="AG59" i="9"/>
  <c r="AF59"/>
  <c r="Z59"/>
  <c r="AF48"/>
  <c r="AG48"/>
  <c r="Z48"/>
  <c r="AF37"/>
  <c r="AG37"/>
  <c r="Z37"/>
  <c r="D4"/>
  <c r="E4" s="1"/>
  <c r="F4" s="1"/>
  <c r="F14" s="1"/>
  <c r="F346" s="1"/>
  <c r="AG26"/>
  <c r="AF26"/>
  <c r="Z26"/>
  <c r="AF15"/>
  <c r="AG15"/>
  <c r="Z15"/>
  <c r="EK41" i="17"/>
  <c r="EA43"/>
  <c r="ED43"/>
  <c r="EF43"/>
  <c r="EL41"/>
  <c r="DY43"/>
  <c r="DQ43"/>
  <c r="DT43"/>
  <c r="EB43"/>
  <c r="AT43"/>
  <c r="AU3"/>
  <c r="Y27" i="5"/>
  <c r="A34" i="16"/>
  <c r="T34" s="1"/>
  <c r="X34" s="1"/>
  <c r="V28" i="12"/>
  <c r="E28"/>
  <c r="I28"/>
  <c r="M28"/>
  <c r="Q28"/>
  <c r="U28"/>
  <c r="B28"/>
  <c r="F28"/>
  <c r="J28"/>
  <c r="N28"/>
  <c r="R28"/>
  <c r="C28"/>
  <c r="G28"/>
  <c r="K28"/>
  <c r="O28"/>
  <c r="S28"/>
  <c r="D28"/>
  <c r="H28"/>
  <c r="L28"/>
  <c r="P28"/>
  <c r="T28"/>
  <c r="N28" i="3"/>
  <c r="A32" i="5"/>
  <c r="A29" i="15"/>
  <c r="A29" i="12"/>
  <c r="A29" i="6"/>
  <c r="A29" i="8"/>
  <c r="A29" i="2"/>
  <c r="Z27" i="12"/>
  <c r="AA27" s="1"/>
  <c r="AD27"/>
  <c r="AT257" i="9" s="1"/>
  <c r="Y26" i="3"/>
  <c r="Z26" s="1"/>
  <c r="W27" i="12"/>
  <c r="AD27" i="8"/>
  <c r="AQ257" i="9" s="1"/>
  <c r="S26" i="3"/>
  <c r="T26" s="1"/>
  <c r="Z27" i="8"/>
  <c r="AA27" s="1"/>
  <c r="AD27" i="6"/>
  <c r="AS257" i="9" s="1"/>
  <c r="V26" i="3"/>
  <c r="W26" s="1"/>
  <c r="M29" i="5"/>
  <c r="E29"/>
  <c r="W27" i="2"/>
  <c r="O29" i="5"/>
  <c r="G29"/>
  <c r="D29"/>
  <c r="T29"/>
  <c r="P29"/>
  <c r="F29"/>
  <c r="N29"/>
  <c r="W28"/>
  <c r="X28" s="1"/>
  <c r="W27" i="8"/>
  <c r="W27" i="15"/>
  <c r="W27" i="6"/>
  <c r="V29" i="5"/>
  <c r="V28" i="2"/>
  <c r="C28"/>
  <c r="G28"/>
  <c r="K28"/>
  <c r="O28"/>
  <c r="S28"/>
  <c r="D28"/>
  <c r="H28"/>
  <c r="L28"/>
  <c r="P28"/>
  <c r="T28"/>
  <c r="E28"/>
  <c r="I28"/>
  <c r="M28"/>
  <c r="Q28"/>
  <c r="U28"/>
  <c r="B28"/>
  <c r="F28"/>
  <c r="J28"/>
  <c r="N28"/>
  <c r="R28"/>
  <c r="V28" i="6"/>
  <c r="C28"/>
  <c r="G28"/>
  <c r="K28"/>
  <c r="O28"/>
  <c r="S28"/>
  <c r="B28"/>
  <c r="F28"/>
  <c r="J28"/>
  <c r="N28"/>
  <c r="R28"/>
  <c r="E28"/>
  <c r="I28"/>
  <c r="M28"/>
  <c r="Q28"/>
  <c r="U28"/>
  <c r="D28"/>
  <c r="H28"/>
  <c r="L28"/>
  <c r="P28"/>
  <c r="T28"/>
  <c r="V28" i="15"/>
  <c r="K28"/>
  <c r="S28"/>
  <c r="C28"/>
  <c r="AD28" s="1"/>
  <c r="AU268" i="9" s="1"/>
  <c r="I28" i="15"/>
  <c r="Q28"/>
  <c r="D28"/>
  <c r="H28"/>
  <c r="L28"/>
  <c r="P28"/>
  <c r="T28"/>
  <c r="E28"/>
  <c r="U28"/>
  <c r="G28"/>
  <c r="M28"/>
  <c r="F28"/>
  <c r="J28"/>
  <c r="N28"/>
  <c r="R28"/>
  <c r="O28"/>
  <c r="B28"/>
  <c r="U27" i="3"/>
  <c r="O27"/>
  <c r="X27"/>
  <c r="R27"/>
  <c r="Q29" i="5"/>
  <c r="I29"/>
  <c r="K29"/>
  <c r="P26" i="3"/>
  <c r="Q26" s="1"/>
  <c r="AD27" i="2"/>
  <c r="AR257" i="9" s="1"/>
  <c r="C29" i="5"/>
  <c r="L29"/>
  <c r="H29"/>
  <c r="B29"/>
  <c r="J29"/>
  <c r="U29"/>
  <c r="S29"/>
  <c r="R29"/>
  <c r="AC36" i="2"/>
  <c r="I11" i="31" l="1"/>
  <c r="I10"/>
  <c r="I13" s="1"/>
  <c r="I14" s="1"/>
  <c r="E11"/>
  <c r="E10"/>
  <c r="E13" s="1"/>
  <c r="E14" s="1"/>
  <c r="G11"/>
  <c r="G10"/>
  <c r="G13" s="1"/>
  <c r="G14" s="1"/>
  <c r="L11"/>
  <c r="L10"/>
  <c r="L13" s="1"/>
  <c r="L14" s="1"/>
  <c r="H11"/>
  <c r="H10"/>
  <c r="H13" s="1"/>
  <c r="H14" s="1"/>
  <c r="O11"/>
  <c r="O10"/>
  <c r="O13" s="1"/>
  <c r="O14" s="1"/>
  <c r="K11"/>
  <c r="K10"/>
  <c r="K13" s="1"/>
  <c r="K14" s="1"/>
  <c r="M11"/>
  <c r="M10"/>
  <c r="M13" s="1"/>
  <c r="M14" s="1"/>
  <c r="N11"/>
  <c r="N10"/>
  <c r="N13" s="1"/>
  <c r="N14" s="1"/>
  <c r="J11"/>
  <c r="J10"/>
  <c r="J13" s="1"/>
  <c r="J14" s="1"/>
  <c r="P11"/>
  <c r="C22"/>
  <c r="C24" s="1"/>
  <c r="I22"/>
  <c r="I24" s="1"/>
  <c r="G22"/>
  <c r="G24" s="1"/>
  <c r="E22"/>
  <c r="E24" s="1"/>
  <c r="J22"/>
  <c r="J24" s="1"/>
  <c r="H22"/>
  <c r="H24" s="1"/>
  <c r="F22"/>
  <c r="F24" s="1"/>
  <c r="D22"/>
  <c r="D24" s="1"/>
  <c r="N34" i="16"/>
  <c r="R34" s="1"/>
  <c r="B34"/>
  <c r="F34" s="1"/>
  <c r="H34"/>
  <c r="L34" s="1"/>
  <c r="W29" i="5"/>
  <c r="X29" s="1"/>
  <c r="B4" i="8"/>
  <c r="Z4" s="1"/>
  <c r="AF4" i="9"/>
  <c r="AF345" s="1"/>
  <c r="W6" i="5"/>
  <c r="Z28" i="2"/>
  <c r="AA28" s="1"/>
  <c r="F7" i="16"/>
  <c r="F8"/>
  <c r="F9"/>
  <c r="F10"/>
  <c r="B29" i="8"/>
  <c r="C29"/>
  <c r="E29"/>
  <c r="G29"/>
  <c r="I29"/>
  <c r="K29"/>
  <c r="M29"/>
  <c r="O29"/>
  <c r="Q29"/>
  <c r="S29"/>
  <c r="U29"/>
  <c r="D29"/>
  <c r="F29"/>
  <c r="H29"/>
  <c r="J29"/>
  <c r="L29"/>
  <c r="N29"/>
  <c r="P29"/>
  <c r="R29"/>
  <c r="T29"/>
  <c r="V29"/>
  <c r="Z28" i="6"/>
  <c r="AA28" s="1"/>
  <c r="Z28" i="15"/>
  <c r="AA28" s="1"/>
  <c r="Z9" i="8"/>
  <c r="AA9" s="1"/>
  <c r="B11" i="5"/>
  <c r="Z8" i="8"/>
  <c r="AA8" s="1"/>
  <c r="B10" i="5"/>
  <c r="X8" i="8"/>
  <c r="Y8" s="1"/>
  <c r="Z5"/>
  <c r="AA5" s="1"/>
  <c r="X5"/>
  <c r="Y5" s="1"/>
  <c r="E14" i="9"/>
  <c r="AG4"/>
  <c r="AG345" s="1"/>
  <c r="Z4"/>
  <c r="Z345" s="1"/>
  <c r="X6" i="8"/>
  <c r="B8" i="5"/>
  <c r="Z6" i="8"/>
  <c r="AA6" s="1"/>
  <c r="B9" i="5"/>
  <c r="Z7" i="8"/>
  <c r="AA7" s="1"/>
  <c r="EK43" i="17"/>
  <c r="Y28" i="5"/>
  <c r="A35" i="16"/>
  <c r="T35" s="1"/>
  <c r="X35" s="1"/>
  <c r="E30" i="5"/>
  <c r="W28" i="2"/>
  <c r="S30" i="5"/>
  <c r="C30"/>
  <c r="P27" i="3"/>
  <c r="Q27" s="1"/>
  <c r="AD28" i="2"/>
  <c r="AR268" i="9" s="1"/>
  <c r="U29" i="12"/>
  <c r="V29"/>
  <c r="R29"/>
  <c r="N29"/>
  <c r="J29"/>
  <c r="F29"/>
  <c r="B29"/>
  <c r="T29"/>
  <c r="P29"/>
  <c r="L29"/>
  <c r="H29"/>
  <c r="D29"/>
  <c r="C29"/>
  <c r="G29"/>
  <c r="K29"/>
  <c r="O29"/>
  <c r="S29"/>
  <c r="E29"/>
  <c r="I29"/>
  <c r="M29"/>
  <c r="Q29"/>
  <c r="N29" i="3"/>
  <c r="A33" i="5"/>
  <c r="A30" i="15"/>
  <c r="A30" i="12"/>
  <c r="A30" i="6"/>
  <c r="A30" i="8"/>
  <c r="A30" i="2"/>
  <c r="Z28" i="12"/>
  <c r="AA28" s="1"/>
  <c r="W28" i="8"/>
  <c r="S27" i="3"/>
  <c r="T27" s="1"/>
  <c r="Z28" i="8"/>
  <c r="AA28" s="1"/>
  <c r="AD28"/>
  <c r="AQ268" i="9" s="1"/>
  <c r="W28" i="15"/>
  <c r="N30" i="5"/>
  <c r="F30"/>
  <c r="U30"/>
  <c r="M30"/>
  <c r="P30"/>
  <c r="H30"/>
  <c r="K30"/>
  <c r="AD28" i="6"/>
  <c r="AS268" i="9" s="1"/>
  <c r="V27" i="3"/>
  <c r="W27" s="1"/>
  <c r="V30" i="5"/>
  <c r="U29" i="2"/>
  <c r="T29"/>
  <c r="P29"/>
  <c r="L29"/>
  <c r="H29"/>
  <c r="D29"/>
  <c r="R29"/>
  <c r="J29"/>
  <c r="B29"/>
  <c r="V29"/>
  <c r="N29"/>
  <c r="F29"/>
  <c r="E29"/>
  <c r="I29"/>
  <c r="M29"/>
  <c r="Q29"/>
  <c r="C29"/>
  <c r="G29"/>
  <c r="K29"/>
  <c r="O29"/>
  <c r="S29"/>
  <c r="U29" i="6"/>
  <c r="T29"/>
  <c r="P29"/>
  <c r="L29"/>
  <c r="H29"/>
  <c r="D29"/>
  <c r="V29"/>
  <c r="R29"/>
  <c r="N29"/>
  <c r="J29"/>
  <c r="F29"/>
  <c r="B29"/>
  <c r="C29"/>
  <c r="G29"/>
  <c r="K29"/>
  <c r="O29"/>
  <c r="S29"/>
  <c r="E29"/>
  <c r="I29"/>
  <c r="M29"/>
  <c r="Q29"/>
  <c r="U29" i="15"/>
  <c r="C29"/>
  <c r="AD29" s="1"/>
  <c r="AU279" i="9" s="1"/>
  <c r="B29" i="15"/>
  <c r="F29"/>
  <c r="J29"/>
  <c r="N29"/>
  <c r="R29"/>
  <c r="V29"/>
  <c r="E29"/>
  <c r="K29"/>
  <c r="O29"/>
  <c r="S29"/>
  <c r="G29"/>
  <c r="D29"/>
  <c r="H29"/>
  <c r="L29"/>
  <c r="P29"/>
  <c r="T29"/>
  <c r="I29"/>
  <c r="M29"/>
  <c r="Q29"/>
  <c r="X28" i="3"/>
  <c r="R28"/>
  <c r="O28"/>
  <c r="U28"/>
  <c r="AD28" i="12"/>
  <c r="AT268" i="9" s="1"/>
  <c r="Y27" i="3"/>
  <c r="Z27" s="1"/>
  <c r="W28" i="6"/>
  <c r="R30" i="5"/>
  <c r="J30"/>
  <c r="B30"/>
  <c r="Q30"/>
  <c r="I30"/>
  <c r="T30"/>
  <c r="L30"/>
  <c r="D30"/>
  <c r="O30"/>
  <c r="G30"/>
  <c r="W28" i="12"/>
  <c r="P13" i="31" l="1"/>
  <c r="P14" s="1"/>
  <c r="P10"/>
  <c r="H35" i="16"/>
  <c r="L35" s="1"/>
  <c r="N35"/>
  <c r="R35" s="1"/>
  <c r="B35"/>
  <c r="F35" s="1"/>
  <c r="G4" i="9"/>
  <c r="G14" s="1"/>
  <c r="Z29" i="2"/>
  <c r="AA29" s="1"/>
  <c r="B30" i="8"/>
  <c r="C30"/>
  <c r="E30"/>
  <c r="G30"/>
  <c r="I30"/>
  <c r="K30"/>
  <c r="M30"/>
  <c r="O30"/>
  <c r="Q30"/>
  <c r="S30"/>
  <c r="D30"/>
  <c r="F30"/>
  <c r="H30"/>
  <c r="J30"/>
  <c r="L30"/>
  <c r="N30"/>
  <c r="P30"/>
  <c r="R30"/>
  <c r="T30"/>
  <c r="U30"/>
  <c r="V30"/>
  <c r="Z29" i="6"/>
  <c r="AA29" s="1"/>
  <c r="Y10" i="5"/>
  <c r="X10"/>
  <c r="Y11"/>
  <c r="X11"/>
  <c r="X9"/>
  <c r="Y9"/>
  <c r="Y8"/>
  <c r="X8"/>
  <c r="F6" i="16"/>
  <c r="Y7" i="5"/>
  <c r="X7"/>
  <c r="D173" i="7"/>
  <c r="Y29" i="5"/>
  <c r="K31"/>
  <c r="C31"/>
  <c r="P28" i="3"/>
  <c r="Q28" s="1"/>
  <c r="AD29" i="2"/>
  <c r="AR279" i="9" s="1"/>
  <c r="E31" i="5"/>
  <c r="W29" i="2"/>
  <c r="B31" i="5"/>
  <c r="R31"/>
  <c r="H31"/>
  <c r="U31"/>
  <c r="V30" i="2"/>
  <c r="C30"/>
  <c r="G30"/>
  <c r="K30"/>
  <c r="O30"/>
  <c r="S30"/>
  <c r="B30"/>
  <c r="F30"/>
  <c r="J30"/>
  <c r="N30"/>
  <c r="R30"/>
  <c r="E30"/>
  <c r="I30"/>
  <c r="M30"/>
  <c r="Q30"/>
  <c r="U30"/>
  <c r="D30"/>
  <c r="H30"/>
  <c r="L30"/>
  <c r="P30"/>
  <c r="T30"/>
  <c r="V30" i="6"/>
  <c r="E30"/>
  <c r="I30"/>
  <c r="M30"/>
  <c r="Q30"/>
  <c r="U30"/>
  <c r="D30"/>
  <c r="H30"/>
  <c r="L30"/>
  <c r="P30"/>
  <c r="T30"/>
  <c r="C30"/>
  <c r="G30"/>
  <c r="K30"/>
  <c r="O30"/>
  <c r="S30"/>
  <c r="B30"/>
  <c r="F30"/>
  <c r="J30"/>
  <c r="N30"/>
  <c r="R30"/>
  <c r="V30" i="15"/>
  <c r="E30"/>
  <c r="I30"/>
  <c r="M30"/>
  <c r="Q30"/>
  <c r="U30"/>
  <c r="B30"/>
  <c r="F30"/>
  <c r="J30"/>
  <c r="N30"/>
  <c r="R30"/>
  <c r="C30"/>
  <c r="AD30" s="1"/>
  <c r="AU290" i="9" s="1"/>
  <c r="G30" i="15"/>
  <c r="K30"/>
  <c r="O30"/>
  <c r="S30"/>
  <c r="D30"/>
  <c r="H30"/>
  <c r="L30"/>
  <c r="P30"/>
  <c r="T30"/>
  <c r="U29" i="3"/>
  <c r="O29"/>
  <c r="X29"/>
  <c r="R29"/>
  <c r="W29" i="15"/>
  <c r="Z29"/>
  <c r="AA29" s="1"/>
  <c r="W29" i="6"/>
  <c r="S31" i="5"/>
  <c r="M31"/>
  <c r="N31"/>
  <c r="P31"/>
  <c r="W29" i="12"/>
  <c r="AD29" i="6"/>
  <c r="AS279" i="9" s="1"/>
  <c r="V28" i="3"/>
  <c r="W28" s="1"/>
  <c r="Q31" i="5"/>
  <c r="I31"/>
  <c r="J31"/>
  <c r="L31"/>
  <c r="V30" i="12"/>
  <c r="E30"/>
  <c r="I30"/>
  <c r="M30"/>
  <c r="Q30"/>
  <c r="U30"/>
  <c r="D30"/>
  <c r="H30"/>
  <c r="L30"/>
  <c r="P30"/>
  <c r="T30"/>
  <c r="C30"/>
  <c r="G30"/>
  <c r="K30"/>
  <c r="O30"/>
  <c r="S30"/>
  <c r="B30"/>
  <c r="F30"/>
  <c r="J30"/>
  <c r="N30"/>
  <c r="R30"/>
  <c r="N30" i="3"/>
  <c r="A34" i="5"/>
  <c r="A31" i="15"/>
  <c r="A31" i="12"/>
  <c r="A31" i="6"/>
  <c r="A31" i="8"/>
  <c r="A31" i="2"/>
  <c r="AD29" i="12"/>
  <c r="AT279" i="9" s="1"/>
  <c r="Z29" i="12"/>
  <c r="AA29" s="1"/>
  <c r="Y28" i="3"/>
  <c r="Z28" s="1"/>
  <c r="S28"/>
  <c r="T28" s="1"/>
  <c r="Z29" i="8"/>
  <c r="AA29" s="1"/>
  <c r="AD29"/>
  <c r="AQ279" i="9" s="1"/>
  <c r="O31" i="5"/>
  <c r="G31"/>
  <c r="F31"/>
  <c r="V31"/>
  <c r="D31"/>
  <c r="T31"/>
  <c r="W29" i="8"/>
  <c r="W30" i="5"/>
  <c r="X30" s="1"/>
  <c r="A32" i="2" l="1"/>
  <c r="A32" i="12"/>
  <c r="D174" i="7"/>
  <c r="Z30" i="2"/>
  <c r="AA30" s="1"/>
  <c r="B31" i="8"/>
  <c r="C31"/>
  <c r="E31"/>
  <c r="G31"/>
  <c r="I31"/>
  <c r="K31"/>
  <c r="M31"/>
  <c r="O31"/>
  <c r="Q31"/>
  <c r="S31"/>
  <c r="U31"/>
  <c r="D31"/>
  <c r="F31"/>
  <c r="H31"/>
  <c r="J31"/>
  <c r="L31"/>
  <c r="N31"/>
  <c r="P31"/>
  <c r="R31"/>
  <c r="T31"/>
  <c r="V31"/>
  <c r="Z30" i="6"/>
  <c r="AA30" s="1"/>
  <c r="A32"/>
  <c r="X4" i="8"/>
  <c r="Y4" s="1"/>
  <c r="AA4"/>
  <c r="B6" i="5"/>
  <c r="A36" i="16"/>
  <c r="T36" s="1"/>
  <c r="Y30" i="5"/>
  <c r="Z30" i="15"/>
  <c r="AA30" s="1"/>
  <c r="U31" i="12"/>
  <c r="T31"/>
  <c r="P31"/>
  <c r="L31"/>
  <c r="H31"/>
  <c r="D31"/>
  <c r="V31"/>
  <c r="R31"/>
  <c r="N31"/>
  <c r="J31"/>
  <c r="F31"/>
  <c r="B31"/>
  <c r="E31"/>
  <c r="I31"/>
  <c r="M31"/>
  <c r="Q31"/>
  <c r="C31"/>
  <c r="G31"/>
  <c r="K31"/>
  <c r="O31"/>
  <c r="S31"/>
  <c r="N31" i="3"/>
  <c r="A35" i="5"/>
  <c r="A32" i="15"/>
  <c r="A32" i="8"/>
  <c r="Z30" i="12"/>
  <c r="AA30" s="1"/>
  <c r="W30" i="8"/>
  <c r="AD30"/>
  <c r="AQ290" i="9" s="1"/>
  <c r="S29" i="3"/>
  <c r="T29" s="1"/>
  <c r="Z30" i="8"/>
  <c r="AA30" s="1"/>
  <c r="AD30" i="6"/>
  <c r="AS290" i="9" s="1"/>
  <c r="V29" i="3"/>
  <c r="W29" s="1"/>
  <c r="T32" i="5"/>
  <c r="D32"/>
  <c r="O32"/>
  <c r="G32"/>
  <c r="W30" i="6"/>
  <c r="L32" i="5"/>
  <c r="Q32"/>
  <c r="I32"/>
  <c r="R32"/>
  <c r="J32"/>
  <c r="B32"/>
  <c r="V32"/>
  <c r="W31"/>
  <c r="X31" s="1"/>
  <c r="U31" i="2"/>
  <c r="V31"/>
  <c r="R31"/>
  <c r="N31"/>
  <c r="J31"/>
  <c r="F31"/>
  <c r="B31"/>
  <c r="T31"/>
  <c r="L31"/>
  <c r="D31"/>
  <c r="P31"/>
  <c r="H31"/>
  <c r="C31"/>
  <c r="G31"/>
  <c r="K31"/>
  <c r="O31"/>
  <c r="S31"/>
  <c r="E31"/>
  <c r="I31"/>
  <c r="M31"/>
  <c r="Q31"/>
  <c r="U31" i="6"/>
  <c r="V31"/>
  <c r="R31"/>
  <c r="N31"/>
  <c r="J31"/>
  <c r="F31"/>
  <c r="B31"/>
  <c r="T31"/>
  <c r="P31"/>
  <c r="L31"/>
  <c r="H31"/>
  <c r="D31"/>
  <c r="E31"/>
  <c r="I31"/>
  <c r="M31"/>
  <c r="Q31"/>
  <c r="C31"/>
  <c r="G31"/>
  <c r="K31"/>
  <c r="O31"/>
  <c r="S31"/>
  <c r="U31" i="15"/>
  <c r="V31"/>
  <c r="R31"/>
  <c r="J31"/>
  <c r="F31"/>
  <c r="T31"/>
  <c r="P31"/>
  <c r="L31"/>
  <c r="H31"/>
  <c r="D31"/>
  <c r="N31"/>
  <c r="B31"/>
  <c r="C31"/>
  <c r="G31"/>
  <c r="K31"/>
  <c r="O31"/>
  <c r="S31"/>
  <c r="E31"/>
  <c r="I31"/>
  <c r="M31"/>
  <c r="Q31"/>
  <c r="X30" i="3"/>
  <c r="O30"/>
  <c r="U30"/>
  <c r="R30"/>
  <c r="AD30" i="12"/>
  <c r="AT290" i="9" s="1"/>
  <c r="Y29" i="3"/>
  <c r="Z29" s="1"/>
  <c r="P32" i="5"/>
  <c r="W30" i="2"/>
  <c r="E32" i="5"/>
  <c r="N32"/>
  <c r="F32"/>
  <c r="C32"/>
  <c r="P29" i="3"/>
  <c r="Q29" s="1"/>
  <c r="AD30" i="2"/>
  <c r="AR290" i="9" s="1"/>
  <c r="W30" i="12"/>
  <c r="W30" i="15"/>
  <c r="H32" i="5"/>
  <c r="U32"/>
  <c r="M32"/>
  <c r="S32"/>
  <c r="K32"/>
  <c r="X36" i="16" l="1"/>
  <c r="X38" s="1"/>
  <c r="T38"/>
  <c r="N36"/>
  <c r="B36"/>
  <c r="H36"/>
  <c r="A33" i="12"/>
  <c r="A33" i="2"/>
  <c r="U32"/>
  <c r="S32"/>
  <c r="Q32"/>
  <c r="O32"/>
  <c r="M32"/>
  <c r="K32"/>
  <c r="I32"/>
  <c r="G32"/>
  <c r="E32"/>
  <c r="C32"/>
  <c r="V32"/>
  <c r="T32"/>
  <c r="R32"/>
  <c r="P32"/>
  <c r="N32"/>
  <c r="L32"/>
  <c r="J32"/>
  <c r="H32"/>
  <c r="F32"/>
  <c r="D32"/>
  <c r="B32"/>
  <c r="U32" i="12"/>
  <c r="S32"/>
  <c r="Q32"/>
  <c r="O32"/>
  <c r="M32"/>
  <c r="K32"/>
  <c r="I32"/>
  <c r="G32"/>
  <c r="E32"/>
  <c r="C32"/>
  <c r="V32"/>
  <c r="T32"/>
  <c r="R32"/>
  <c r="P32"/>
  <c r="N32"/>
  <c r="L32"/>
  <c r="J32"/>
  <c r="H32"/>
  <c r="F32"/>
  <c r="D32"/>
  <c r="B32"/>
  <c r="AD31" i="2"/>
  <c r="AR301" i="9" s="1"/>
  <c r="Z31" i="2"/>
  <c r="AA31" s="1"/>
  <c r="Y6" i="5"/>
  <c r="B32" i="8"/>
  <c r="C32"/>
  <c r="E32"/>
  <c r="G32"/>
  <c r="I32"/>
  <c r="K32"/>
  <c r="M32"/>
  <c r="O32"/>
  <c r="Q32"/>
  <c r="S32"/>
  <c r="U32"/>
  <c r="D32"/>
  <c r="F32"/>
  <c r="H32"/>
  <c r="J32"/>
  <c r="L32"/>
  <c r="N32"/>
  <c r="P32"/>
  <c r="R32"/>
  <c r="T32"/>
  <c r="V32"/>
  <c r="Z31" i="6"/>
  <c r="AA31" s="1"/>
  <c r="A33"/>
  <c r="V32"/>
  <c r="T32"/>
  <c r="R32"/>
  <c r="P32"/>
  <c r="N32"/>
  <c r="L32"/>
  <c r="J32"/>
  <c r="H32"/>
  <c r="F32"/>
  <c r="D32"/>
  <c r="B32"/>
  <c r="M32"/>
  <c r="G32"/>
  <c r="C32"/>
  <c r="U32"/>
  <c r="S32"/>
  <c r="Q32"/>
  <c r="O32"/>
  <c r="K32"/>
  <c r="I32"/>
  <c r="E32"/>
  <c r="X30"/>
  <c r="Y30" s="1"/>
  <c r="X6" i="5"/>
  <c r="Y31"/>
  <c r="V30" i="3"/>
  <c r="W30" s="1"/>
  <c r="AD31" i="6"/>
  <c r="AS301" i="9" s="1"/>
  <c r="W31" i="6"/>
  <c r="M33" i="5"/>
  <c r="E33"/>
  <c r="W31" i="2"/>
  <c r="V33" i="5"/>
  <c r="N32" i="3"/>
  <c r="A36" i="5"/>
  <c r="A33" i="15"/>
  <c r="A33" i="8"/>
  <c r="AD31" i="12"/>
  <c r="AT301" i="9" s="1"/>
  <c r="Y30" i="3"/>
  <c r="Z30" s="1"/>
  <c r="Z31" i="12"/>
  <c r="AA31" s="1"/>
  <c r="W31"/>
  <c r="X31" s="1"/>
  <c r="Y31" s="1"/>
  <c r="S30" i="3"/>
  <c r="T30" s="1"/>
  <c r="AD31" i="8"/>
  <c r="AQ301" i="9" s="1"/>
  <c r="W31" i="15"/>
  <c r="O33" i="5"/>
  <c r="G33"/>
  <c r="H33"/>
  <c r="D33"/>
  <c r="T33"/>
  <c r="F33"/>
  <c r="N33"/>
  <c r="W31" i="8"/>
  <c r="W32" i="5"/>
  <c r="Y32" s="1"/>
  <c r="AD31" i="15"/>
  <c r="AU301" i="9" s="1"/>
  <c r="Z31" i="15"/>
  <c r="AA31" s="1"/>
  <c r="Q33" i="5"/>
  <c r="I33"/>
  <c r="S33"/>
  <c r="P30" i="3"/>
  <c r="Q30" s="1"/>
  <c r="C33" i="5"/>
  <c r="L33"/>
  <c r="J33"/>
  <c r="V32" i="15"/>
  <c r="G32"/>
  <c r="K32"/>
  <c r="O32"/>
  <c r="S32"/>
  <c r="D32"/>
  <c r="H32"/>
  <c r="L32"/>
  <c r="P32"/>
  <c r="T32"/>
  <c r="E32"/>
  <c r="C32"/>
  <c r="AD32" s="1"/>
  <c r="AU312" i="9" s="1"/>
  <c r="I32" i="15"/>
  <c r="M32"/>
  <c r="Q32"/>
  <c r="U32"/>
  <c r="B32"/>
  <c r="F32"/>
  <c r="J32"/>
  <c r="N32"/>
  <c r="R32"/>
  <c r="U31" i="3"/>
  <c r="O31"/>
  <c r="X31"/>
  <c r="R31"/>
  <c r="K33" i="5"/>
  <c r="P33"/>
  <c r="B33"/>
  <c r="R33"/>
  <c r="U33"/>
  <c r="T43" i="16" l="1"/>
  <c r="T45"/>
  <c r="U45" s="1"/>
  <c r="L36"/>
  <c r="L38" s="1"/>
  <c r="H38"/>
  <c r="R36"/>
  <c r="R38" s="1"/>
  <c r="N38"/>
  <c r="F36"/>
  <c r="B38"/>
  <c r="AD32" i="12"/>
  <c r="AT312" i="9" s="1"/>
  <c r="Z32" i="12"/>
  <c r="AA32" s="1"/>
  <c r="W32" i="2"/>
  <c r="V33" i="12"/>
  <c r="T33"/>
  <c r="R33"/>
  <c r="P33"/>
  <c r="N33"/>
  <c r="L33"/>
  <c r="J33"/>
  <c r="H33"/>
  <c r="F33"/>
  <c r="D33"/>
  <c r="B33"/>
  <c r="U33"/>
  <c r="S33"/>
  <c r="Q33"/>
  <c r="O33"/>
  <c r="M33"/>
  <c r="K33"/>
  <c r="I33"/>
  <c r="G33"/>
  <c r="E33"/>
  <c r="C33"/>
  <c r="A34" i="2"/>
  <c r="A34" i="12"/>
  <c r="AD32" i="2"/>
  <c r="AR312" i="9" s="1"/>
  <c r="Z32" i="2"/>
  <c r="AA32" s="1"/>
  <c r="V33"/>
  <c r="T33"/>
  <c r="R33"/>
  <c r="P33"/>
  <c r="N33"/>
  <c r="L33"/>
  <c r="J33"/>
  <c r="H33"/>
  <c r="F33"/>
  <c r="D33"/>
  <c r="B33"/>
  <c r="U33"/>
  <c r="S33"/>
  <c r="Q33"/>
  <c r="O33"/>
  <c r="M33"/>
  <c r="K33"/>
  <c r="I33"/>
  <c r="G33"/>
  <c r="E33"/>
  <c r="C33"/>
  <c r="W32" i="12"/>
  <c r="X32" s="1"/>
  <c r="Y32" s="1"/>
  <c r="A34" i="15"/>
  <c r="A34" i="6"/>
  <c r="T34" s="1"/>
  <c r="B33" i="8"/>
  <c r="C33"/>
  <c r="E33"/>
  <c r="G33"/>
  <c r="I33"/>
  <c r="K33"/>
  <c r="M33"/>
  <c r="O33"/>
  <c r="Q33"/>
  <c r="S33"/>
  <c r="U33"/>
  <c r="D33"/>
  <c r="F33"/>
  <c r="H33"/>
  <c r="J33"/>
  <c r="L33"/>
  <c r="N33"/>
  <c r="P33"/>
  <c r="R33"/>
  <c r="T33"/>
  <c r="V33"/>
  <c r="Z32" i="6"/>
  <c r="AA32" s="1"/>
  <c r="W32"/>
  <c r="X32" i="5"/>
  <c r="K34" i="6"/>
  <c r="AD32"/>
  <c r="AS312" i="9" s="1"/>
  <c r="U33" i="6"/>
  <c r="S33"/>
  <c r="Q33"/>
  <c r="O33"/>
  <c r="M33"/>
  <c r="K33"/>
  <c r="I33"/>
  <c r="G33"/>
  <c r="E33"/>
  <c r="C33"/>
  <c r="V33"/>
  <c r="T33"/>
  <c r="R33"/>
  <c r="P33"/>
  <c r="N33"/>
  <c r="L33"/>
  <c r="J33"/>
  <c r="H33"/>
  <c r="F33"/>
  <c r="D33"/>
  <c r="B33"/>
  <c r="X31"/>
  <c r="Y31" s="1"/>
  <c r="X31" i="2"/>
  <c r="Y31" s="1"/>
  <c r="X31" i="8"/>
  <c r="Y31" s="1"/>
  <c r="AU345" i="9"/>
  <c r="A34" i="8"/>
  <c r="AD32"/>
  <c r="AQ312" i="9" s="1"/>
  <c r="S31" i="3"/>
  <c r="T31" s="1"/>
  <c r="C34" i="5"/>
  <c r="M34"/>
  <c r="V34"/>
  <c r="N34"/>
  <c r="F34"/>
  <c r="S34"/>
  <c r="K34"/>
  <c r="P34"/>
  <c r="H34"/>
  <c r="Q34"/>
  <c r="U34"/>
  <c r="W33"/>
  <c r="X33" s="1"/>
  <c r="U33" i="15"/>
  <c r="T33"/>
  <c r="P33"/>
  <c r="L33"/>
  <c r="H33"/>
  <c r="D33"/>
  <c r="V33"/>
  <c r="R33"/>
  <c r="N33"/>
  <c r="J33"/>
  <c r="F33"/>
  <c r="B33"/>
  <c r="E33"/>
  <c r="I33"/>
  <c r="M33"/>
  <c r="Q33"/>
  <c r="C33"/>
  <c r="G33"/>
  <c r="K33"/>
  <c r="O33"/>
  <c r="S33"/>
  <c r="U32" i="3"/>
  <c r="X32"/>
  <c r="O32"/>
  <c r="R32"/>
  <c r="W32" i="8"/>
  <c r="E34" i="5"/>
  <c r="Z32" i="15"/>
  <c r="AA32" s="1"/>
  <c r="W32"/>
  <c r="X32" s="1"/>
  <c r="Y32" s="1"/>
  <c r="R34" i="5"/>
  <c r="J34"/>
  <c r="B34"/>
  <c r="O34"/>
  <c r="G34"/>
  <c r="T34"/>
  <c r="L34"/>
  <c r="D34"/>
  <c r="I34"/>
  <c r="X5" i="6"/>
  <c r="Y5" s="1"/>
  <c r="X8"/>
  <c r="Y8" s="1"/>
  <c r="X7"/>
  <c r="Y7" s="1"/>
  <c r="X16"/>
  <c r="Y16" s="1"/>
  <c r="X12"/>
  <c r="Y12" s="1"/>
  <c r="X17"/>
  <c r="Y17" s="1"/>
  <c r="X13"/>
  <c r="Y13" s="1"/>
  <c r="X9"/>
  <c r="Y9" s="1"/>
  <c r="X18"/>
  <c r="Y18" s="1"/>
  <c r="X14"/>
  <c r="Y14" s="1"/>
  <c r="X10"/>
  <c r="Y10" s="1"/>
  <c r="X15"/>
  <c r="Y15" s="1"/>
  <c r="X11"/>
  <c r="Y11" s="1"/>
  <c r="X26"/>
  <c r="Y26" s="1"/>
  <c r="X29"/>
  <c r="Y29" s="1"/>
  <c r="X25"/>
  <c r="Y25" s="1"/>
  <c r="X22"/>
  <c r="Y22" s="1"/>
  <c r="X19"/>
  <c r="Y19" s="1"/>
  <c r="X28"/>
  <c r="Y28" s="1"/>
  <c r="X24"/>
  <c r="Y24" s="1"/>
  <c r="X21"/>
  <c r="Y21" s="1"/>
  <c r="X27"/>
  <c r="Y27" s="1"/>
  <c r="X20"/>
  <c r="Y20" s="1"/>
  <c r="X11" i="12"/>
  <c r="Y11" s="1"/>
  <c r="X7"/>
  <c r="Y7" s="1"/>
  <c r="X6"/>
  <c r="Y6" s="1"/>
  <c r="X8"/>
  <c r="Y8" s="1"/>
  <c r="X4" i="6"/>
  <c r="Y4" s="1"/>
  <c r="X9" i="12"/>
  <c r="Y9" s="1"/>
  <c r="X5"/>
  <c r="Y5" s="1"/>
  <c r="X10"/>
  <c r="Y10" s="1"/>
  <c r="X30"/>
  <c r="Y30" s="1"/>
  <c r="X26"/>
  <c r="Y26" s="1"/>
  <c r="X22"/>
  <c r="Y22" s="1"/>
  <c r="X18"/>
  <c r="Y18" s="1"/>
  <c r="X13"/>
  <c r="Y13" s="1"/>
  <c r="X27"/>
  <c r="Y27" s="1"/>
  <c r="X23"/>
  <c r="Y23" s="1"/>
  <c r="X19"/>
  <c r="Y19" s="1"/>
  <c r="X14"/>
  <c r="Y14" s="1"/>
  <c r="X28"/>
  <c r="Y28" s="1"/>
  <c r="X24"/>
  <c r="Y24" s="1"/>
  <c r="X20"/>
  <c r="Y20" s="1"/>
  <c r="X15"/>
  <c r="Y15" s="1"/>
  <c r="X12"/>
  <c r="Y12" s="1"/>
  <c r="X29"/>
  <c r="Y29" s="1"/>
  <c r="X25"/>
  <c r="Y25" s="1"/>
  <c r="X21"/>
  <c r="Y21" s="1"/>
  <c r="X17"/>
  <c r="Y17" s="1"/>
  <c r="X4"/>
  <c r="Y4" s="1"/>
  <c r="X12" i="15"/>
  <c r="Y12" s="1"/>
  <c r="X15"/>
  <c r="Y15" s="1"/>
  <c r="X7"/>
  <c r="Y7" s="1"/>
  <c r="X10"/>
  <c r="Y10" s="1"/>
  <c r="X13"/>
  <c r="Y13" s="1"/>
  <c r="X14"/>
  <c r="Y14" s="1"/>
  <c r="X16"/>
  <c r="Y16" s="1"/>
  <c r="X17"/>
  <c r="Y17" s="1"/>
  <c r="X18"/>
  <c r="Y18" s="1"/>
  <c r="X20"/>
  <c r="Y20" s="1"/>
  <c r="X21"/>
  <c r="Y21" s="1"/>
  <c r="X22"/>
  <c r="Y22" s="1"/>
  <c r="X23"/>
  <c r="Y23" s="1"/>
  <c r="X24"/>
  <c r="Y24" s="1"/>
  <c r="X26"/>
  <c r="Y26" s="1"/>
  <c r="X27"/>
  <c r="Y27" s="1"/>
  <c r="X28"/>
  <c r="Y28" s="1"/>
  <c r="X29"/>
  <c r="Y29" s="1"/>
  <c r="X30"/>
  <c r="Y30" s="1"/>
  <c r="X31"/>
  <c r="Y31" s="1"/>
  <c r="X75"/>
  <c r="Y75" s="1"/>
  <c r="X76"/>
  <c r="Y76" s="1"/>
  <c r="X77"/>
  <c r="Y77" s="1"/>
  <c r="X78"/>
  <c r="Y78" s="1"/>
  <c r="X79"/>
  <c r="Y79" s="1"/>
  <c r="X144"/>
  <c r="Y144" s="1"/>
  <c r="Z135"/>
  <c r="AA135" s="1"/>
  <c r="Z125"/>
  <c r="AA125" s="1"/>
  <c r="Z117"/>
  <c r="AA117" s="1"/>
  <c r="Z105"/>
  <c r="AA105" s="1"/>
  <c r="Z147"/>
  <c r="AA147" s="1"/>
  <c r="Z141"/>
  <c r="AA141" s="1"/>
  <c r="Z139"/>
  <c r="AA139" s="1"/>
  <c r="Z129"/>
  <c r="AA129" s="1"/>
  <c r="Z121"/>
  <c r="AA121" s="1"/>
  <c r="Z111"/>
  <c r="AA111" s="1"/>
  <c r="Z109"/>
  <c r="AA109" s="1"/>
  <c r="Z102"/>
  <c r="AA102" s="1"/>
  <c r="Z86"/>
  <c r="AA86" s="1"/>
  <c r="Z84"/>
  <c r="AA84" s="1"/>
  <c r="Z82"/>
  <c r="AA82" s="1"/>
  <c r="Z80"/>
  <c r="AA80" s="1"/>
  <c r="Z149"/>
  <c r="AA149" s="1"/>
  <c r="Z145"/>
  <c r="AA145" s="1"/>
  <c r="Z143"/>
  <c r="AA143" s="1"/>
  <c r="Z137"/>
  <c r="AA137" s="1"/>
  <c r="Z133"/>
  <c r="AA133" s="1"/>
  <c r="Z127"/>
  <c r="AA127" s="1"/>
  <c r="Z123"/>
  <c r="AA123" s="1"/>
  <c r="Z119"/>
  <c r="AA119" s="1"/>
  <c r="Z113"/>
  <c r="AA113" s="1"/>
  <c r="Z110"/>
  <c r="AA110" s="1"/>
  <c r="Z107"/>
  <c r="AA107" s="1"/>
  <c r="Z103"/>
  <c r="AA103" s="1"/>
  <c r="Z101"/>
  <c r="AA101" s="1"/>
  <c r="Z85"/>
  <c r="AA85" s="1"/>
  <c r="Z83"/>
  <c r="AA83" s="1"/>
  <c r="Z81"/>
  <c r="AA81" s="1"/>
  <c r="V34" i="6" l="1"/>
  <c r="A48" i="16"/>
  <c r="B43"/>
  <c r="B39"/>
  <c r="N45"/>
  <c r="O45" s="1"/>
  <c r="N43"/>
  <c r="O43" s="1"/>
  <c r="H43"/>
  <c r="I43" s="1"/>
  <c r="H45"/>
  <c r="I45" s="1"/>
  <c r="F34" i="6"/>
  <c r="F36" s="1"/>
  <c r="C34"/>
  <c r="C36" s="1"/>
  <c r="S34"/>
  <c r="N34"/>
  <c r="N36" s="1"/>
  <c r="K36"/>
  <c r="U34" i="2"/>
  <c r="U36" s="1"/>
  <c r="S34"/>
  <c r="Q34"/>
  <c r="Q36" s="1"/>
  <c r="O34"/>
  <c r="O36" s="1"/>
  <c r="M34"/>
  <c r="M36" s="1"/>
  <c r="K34"/>
  <c r="K36" s="1"/>
  <c r="I34"/>
  <c r="I36" s="1"/>
  <c r="G34"/>
  <c r="E34"/>
  <c r="E36" s="1"/>
  <c r="C34"/>
  <c r="C36" s="1"/>
  <c r="V34"/>
  <c r="V36" s="1"/>
  <c r="T34"/>
  <c r="R34"/>
  <c r="R36" s="1"/>
  <c r="P34"/>
  <c r="P36" s="1"/>
  <c r="N34"/>
  <c r="N36" s="1"/>
  <c r="L34"/>
  <c r="L36" s="1"/>
  <c r="J34"/>
  <c r="J36" s="1"/>
  <c r="H34"/>
  <c r="H36" s="1"/>
  <c r="F34"/>
  <c r="F36" s="1"/>
  <c r="D34"/>
  <c r="D36" s="1"/>
  <c r="B34"/>
  <c r="B36" s="1"/>
  <c r="P55" i="5" s="1"/>
  <c r="W33" i="12"/>
  <c r="X33" s="1"/>
  <c r="Y33" s="1"/>
  <c r="W33" i="2"/>
  <c r="T36"/>
  <c r="AD33"/>
  <c r="AR323" i="9" s="1"/>
  <c r="Z33" i="2"/>
  <c r="AA33" s="1"/>
  <c r="U34" i="12"/>
  <c r="S34"/>
  <c r="Q34"/>
  <c r="Q36" s="1"/>
  <c r="O34"/>
  <c r="O36" s="1"/>
  <c r="M34"/>
  <c r="M36" s="1"/>
  <c r="K34"/>
  <c r="K36" s="1"/>
  <c r="I34"/>
  <c r="I36" s="1"/>
  <c r="G34"/>
  <c r="G36" s="1"/>
  <c r="E34"/>
  <c r="C34"/>
  <c r="C36" s="1"/>
  <c r="V34"/>
  <c r="V36" s="1"/>
  <c r="T34"/>
  <c r="T36" s="1"/>
  <c r="R34"/>
  <c r="R36" s="1"/>
  <c r="P34"/>
  <c r="P36" s="1"/>
  <c r="N34"/>
  <c r="N36" s="1"/>
  <c r="L34"/>
  <c r="L36" s="1"/>
  <c r="J34"/>
  <c r="J36" s="1"/>
  <c r="H34"/>
  <c r="H36" s="1"/>
  <c r="F34"/>
  <c r="F36" s="1"/>
  <c r="D34"/>
  <c r="D36" s="1"/>
  <c r="B34"/>
  <c r="AD33"/>
  <c r="AT323" i="9" s="1"/>
  <c r="Z33" i="12"/>
  <c r="AA33" s="1"/>
  <c r="G36" i="2"/>
  <c r="S36"/>
  <c r="S36" i="12"/>
  <c r="G34" i="6"/>
  <c r="G36" s="1"/>
  <c r="O34"/>
  <c r="O36" s="1"/>
  <c r="B34"/>
  <c r="B36" s="1"/>
  <c r="J34"/>
  <c r="J36" s="1"/>
  <c r="R34"/>
  <c r="R36" s="1"/>
  <c r="E34"/>
  <c r="E36" s="1"/>
  <c r="I34"/>
  <c r="I36" s="1"/>
  <c r="M34"/>
  <c r="M36" s="1"/>
  <c r="Q34"/>
  <c r="Q36" s="1"/>
  <c r="U34"/>
  <c r="U36" s="1"/>
  <c r="D34"/>
  <c r="D36" s="1"/>
  <c r="H34"/>
  <c r="H36" s="1"/>
  <c r="L34"/>
  <c r="L36" s="1"/>
  <c r="P34"/>
  <c r="P36" s="1"/>
  <c r="V34" i="15"/>
  <c r="V151" s="1"/>
  <c r="T34"/>
  <c r="R34"/>
  <c r="R151" s="1"/>
  <c r="P34"/>
  <c r="P151" s="1"/>
  <c r="N34"/>
  <c r="N151" s="1"/>
  <c r="L34"/>
  <c r="L151" s="1"/>
  <c r="J34"/>
  <c r="H34"/>
  <c r="H151" s="1"/>
  <c r="F34"/>
  <c r="F151" s="1"/>
  <c r="D34"/>
  <c r="B34"/>
  <c r="B151" s="1"/>
  <c r="U34"/>
  <c r="U151" s="1"/>
  <c r="S34"/>
  <c r="S151" s="1"/>
  <c r="Q34"/>
  <c r="O34"/>
  <c r="O151" s="1"/>
  <c r="M34"/>
  <c r="M151" s="1"/>
  <c r="K34"/>
  <c r="K151" s="1"/>
  <c r="I34"/>
  <c r="I151" s="1"/>
  <c r="G34"/>
  <c r="G151" s="1"/>
  <c r="E34"/>
  <c r="C34"/>
  <c r="AD151" s="1"/>
  <c r="Q151"/>
  <c r="J151"/>
  <c r="T151"/>
  <c r="B34" i="8"/>
  <c r="B36" s="1"/>
  <c r="S55" i="5" s="1"/>
  <c r="C34" i="8"/>
  <c r="E34"/>
  <c r="E36" s="1"/>
  <c r="G34"/>
  <c r="I34"/>
  <c r="I36" s="1"/>
  <c r="K34"/>
  <c r="M34"/>
  <c r="M36" s="1"/>
  <c r="O34"/>
  <c r="Q34"/>
  <c r="Q36" s="1"/>
  <c r="S34"/>
  <c r="U34"/>
  <c r="U36" s="1"/>
  <c r="D34"/>
  <c r="F34"/>
  <c r="H34"/>
  <c r="J34"/>
  <c r="J36" s="1"/>
  <c r="L34"/>
  <c r="N34"/>
  <c r="P34"/>
  <c r="P36" s="1"/>
  <c r="R34"/>
  <c r="R36" s="1"/>
  <c r="T34"/>
  <c r="T36" s="1"/>
  <c r="V34"/>
  <c r="X32" i="6"/>
  <c r="Y32" s="1"/>
  <c r="Z33"/>
  <c r="AA33" s="1"/>
  <c r="AD33"/>
  <c r="AS323" i="9" s="1"/>
  <c r="W33" i="6"/>
  <c r="Y33" i="5"/>
  <c r="W34"/>
  <c r="X34" s="1"/>
  <c r="Z33" i="15"/>
  <c r="AA33" s="1"/>
  <c r="C151"/>
  <c r="W33"/>
  <c r="X33" s="1"/>
  <c r="Y33" s="1"/>
  <c r="E151"/>
  <c r="S32" i="3"/>
  <c r="T32" s="1"/>
  <c r="AD33" i="8"/>
  <c r="AQ323" i="9" s="1"/>
  <c r="C35" i="5"/>
  <c r="S35"/>
  <c r="K35"/>
  <c r="J35"/>
  <c r="D35"/>
  <c r="L35"/>
  <c r="T35"/>
  <c r="N35"/>
  <c r="U35"/>
  <c r="W33" i="8"/>
  <c r="E35" i="5"/>
  <c r="O35"/>
  <c r="G35"/>
  <c r="B35"/>
  <c r="R35"/>
  <c r="P35"/>
  <c r="F35"/>
  <c r="V35"/>
  <c r="V36" i="6"/>
  <c r="X17" i="2"/>
  <c r="Y17" s="1"/>
  <c r="X16"/>
  <c r="Y16" s="1"/>
  <c r="X15"/>
  <c r="Y15" s="1"/>
  <c r="X14"/>
  <c r="Y14" s="1"/>
  <c r="X13"/>
  <c r="Y13" s="1"/>
  <c r="X12"/>
  <c r="Y12" s="1"/>
  <c r="X11"/>
  <c r="Y11" s="1"/>
  <c r="X10"/>
  <c r="Y10" s="1"/>
  <c r="X9"/>
  <c r="Y9" s="1"/>
  <c r="X8"/>
  <c r="Y8" s="1"/>
  <c r="X7"/>
  <c r="Y7" s="1"/>
  <c r="X6"/>
  <c r="Y6" s="1"/>
  <c r="U36" i="12"/>
  <c r="X7" i="8"/>
  <c r="Y7" s="1"/>
  <c r="X9"/>
  <c r="Y9" s="1"/>
  <c r="Y6"/>
  <c r="X10"/>
  <c r="Y10" s="1"/>
  <c r="X11"/>
  <c r="Y11" s="1"/>
  <c r="X12"/>
  <c r="Y12" s="1"/>
  <c r="X19"/>
  <c r="Y19" s="1"/>
  <c r="X20"/>
  <c r="Y20" s="1"/>
  <c r="X21"/>
  <c r="Y21" s="1"/>
  <c r="X22"/>
  <c r="Y22" s="1"/>
  <c r="X23"/>
  <c r="Y23" s="1"/>
  <c r="X24"/>
  <c r="Y24" s="1"/>
  <c r="X25"/>
  <c r="Y25" s="1"/>
  <c r="X26"/>
  <c r="Y26" s="1"/>
  <c r="X27"/>
  <c r="Y27" s="1"/>
  <c r="X28"/>
  <c r="Y28" s="1"/>
  <c r="X29"/>
  <c r="Y29" s="1"/>
  <c r="X30"/>
  <c r="Y30" s="1"/>
  <c r="X32"/>
  <c r="Y32" s="1"/>
  <c r="X35"/>
  <c r="Y35" s="1"/>
  <c r="X21" i="2"/>
  <c r="Y21" s="1"/>
  <c r="X19"/>
  <c r="Y19" s="1"/>
  <c r="X5"/>
  <c r="Y5" s="1"/>
  <c r="X20"/>
  <c r="Y20" s="1"/>
  <c r="X22"/>
  <c r="Y22" s="1"/>
  <c r="X18"/>
  <c r="Y18" s="1"/>
  <c r="X4"/>
  <c r="Y4" s="1"/>
  <c r="X23"/>
  <c r="Y23" s="1"/>
  <c r="X24"/>
  <c r="Y24" s="1"/>
  <c r="X25"/>
  <c r="Y25" s="1"/>
  <c r="X26"/>
  <c r="Y26" s="1"/>
  <c r="X27"/>
  <c r="Y27" s="1"/>
  <c r="X28"/>
  <c r="Y28" s="1"/>
  <c r="X29"/>
  <c r="Y29" s="1"/>
  <c r="X30"/>
  <c r="Y30" s="1"/>
  <c r="X32"/>
  <c r="Y32" s="1"/>
  <c r="S36" i="6"/>
  <c r="T36"/>
  <c r="W140" i="15"/>
  <c r="X140"/>
  <c r="Y140" s="1"/>
  <c r="N33" i="3"/>
  <c r="X33" s="1"/>
  <c r="V31"/>
  <c r="W31" s="1"/>
  <c r="Y31"/>
  <c r="Z31" s="1"/>
  <c r="P31"/>
  <c r="Q31" s="1"/>
  <c r="P3"/>
  <c r="Q3" s="1"/>
  <c r="T3"/>
  <c r="O33"/>
  <c r="Y32"/>
  <c r="Z32" s="1"/>
  <c r="V32"/>
  <c r="W32" s="1"/>
  <c r="P32"/>
  <c r="Q32" s="1"/>
  <c r="W24" i="10"/>
  <c r="V36" i="5" l="1"/>
  <c r="V33" i="3"/>
  <c r="Y33"/>
  <c r="Z33" s="1"/>
  <c r="S36" i="5"/>
  <c r="O36"/>
  <c r="K36"/>
  <c r="G36"/>
  <c r="V37" i="2"/>
  <c r="N36" i="5"/>
  <c r="F36"/>
  <c r="P33" i="3"/>
  <c r="Q33" s="1"/>
  <c r="X33" i="2"/>
  <c r="Y33" s="1"/>
  <c r="F37"/>
  <c r="N37"/>
  <c r="R37"/>
  <c r="U37"/>
  <c r="J37"/>
  <c r="S37"/>
  <c r="K37"/>
  <c r="AD36" i="12"/>
  <c r="R56" i="5"/>
  <c r="O37" i="2"/>
  <c r="G37"/>
  <c r="W34" i="12"/>
  <c r="X34" s="1"/>
  <c r="Y34" s="1"/>
  <c r="L37" i="2"/>
  <c r="Q37"/>
  <c r="I37"/>
  <c r="E36" i="12"/>
  <c r="W34" i="2"/>
  <c r="B36" i="12"/>
  <c r="N37" s="1"/>
  <c r="AD34"/>
  <c r="AT334" i="9" s="1"/>
  <c r="Z34" i="12"/>
  <c r="AA34" s="1"/>
  <c r="P56" i="5"/>
  <c r="C37" i="2"/>
  <c r="AD36"/>
  <c r="D37"/>
  <c r="Z34"/>
  <c r="AA34" s="1"/>
  <c r="E37"/>
  <c r="T37"/>
  <c r="M37"/>
  <c r="H37"/>
  <c r="P37"/>
  <c r="Z34" i="6"/>
  <c r="AA34" s="1"/>
  <c r="I36" i="5"/>
  <c r="V36" i="8"/>
  <c r="V37" s="1"/>
  <c r="X33" i="6"/>
  <c r="Y33" s="1"/>
  <c r="W34"/>
  <c r="E36" i="5"/>
  <c r="T36"/>
  <c r="P36"/>
  <c r="L36"/>
  <c r="H36"/>
  <c r="D36"/>
  <c r="D37" s="1"/>
  <c r="Z34" i="15"/>
  <c r="AA34" s="1"/>
  <c r="L152"/>
  <c r="P152"/>
  <c r="T152"/>
  <c r="I152"/>
  <c r="S152"/>
  <c r="J152"/>
  <c r="N152"/>
  <c r="R152"/>
  <c r="G152"/>
  <c r="Q152"/>
  <c r="K152"/>
  <c r="O152"/>
  <c r="F152"/>
  <c r="V152"/>
  <c r="C152"/>
  <c r="M152"/>
  <c r="U152"/>
  <c r="H152"/>
  <c r="W34"/>
  <c r="X34" s="1"/>
  <c r="Y34" s="1"/>
  <c r="AD34" i="8"/>
  <c r="AQ334" i="9" s="1"/>
  <c r="L36" i="8"/>
  <c r="K36"/>
  <c r="J36" i="5"/>
  <c r="S36" i="8"/>
  <c r="S37" s="1"/>
  <c r="U36" i="5"/>
  <c r="B36"/>
  <c r="Q36"/>
  <c r="D36" i="8"/>
  <c r="D37" s="1"/>
  <c r="O36"/>
  <c r="G36"/>
  <c r="N36"/>
  <c r="F36"/>
  <c r="F37" s="1"/>
  <c r="R36" i="5"/>
  <c r="H36" i="8"/>
  <c r="H37" s="1"/>
  <c r="M36" i="5"/>
  <c r="W34" i="8"/>
  <c r="X34" s="1"/>
  <c r="C36" i="5"/>
  <c r="C37" s="1"/>
  <c r="S33" i="3"/>
  <c r="C36" i="8"/>
  <c r="Q35" i="5"/>
  <c r="I35"/>
  <c r="Q55"/>
  <c r="R37" i="8"/>
  <c r="J37"/>
  <c r="T37" i="6"/>
  <c r="S37"/>
  <c r="V37"/>
  <c r="U37"/>
  <c r="R37"/>
  <c r="I37"/>
  <c r="F37"/>
  <c r="E37"/>
  <c r="G37"/>
  <c r="D37"/>
  <c r="K37"/>
  <c r="H37"/>
  <c r="J37"/>
  <c r="Q56" i="5"/>
  <c r="C37" i="6"/>
  <c r="Q37"/>
  <c r="N37"/>
  <c r="O37"/>
  <c r="L37"/>
  <c r="P37"/>
  <c r="M37"/>
  <c r="X33" i="8"/>
  <c r="Y33" s="1"/>
  <c r="R33" i="3"/>
  <c r="U33"/>
  <c r="Y34" i="5"/>
  <c r="E37" i="8"/>
  <c r="D151" i="15"/>
  <c r="D152" s="1"/>
  <c r="E152"/>
  <c r="U37" i="8"/>
  <c r="T37" s="1"/>
  <c r="Q37"/>
  <c r="P37" s="1"/>
  <c r="M37"/>
  <c r="I37"/>
  <c r="M35" i="5"/>
  <c r="I118" i="4"/>
  <c r="I4" s="1"/>
  <c r="AC117"/>
  <c r="AC118" s="1"/>
  <c r="H117" i="11"/>
  <c r="H4" s="1"/>
  <c r="AB116"/>
  <c r="AB117" s="1"/>
  <c r="H117" i="14"/>
  <c r="H4" s="1"/>
  <c r="AB117"/>
  <c r="V37" i="5" l="1"/>
  <c r="S37"/>
  <c r="W33" i="3"/>
  <c r="K37" i="5"/>
  <c r="G37"/>
  <c r="W36" i="12"/>
  <c r="W37" s="1"/>
  <c r="Q47" i="5" s="1"/>
  <c r="O37"/>
  <c r="N37"/>
  <c r="W36" i="2"/>
  <c r="W37" s="1"/>
  <c r="Q45" i="5" s="1"/>
  <c r="F37"/>
  <c r="T37" i="12"/>
  <c r="O37"/>
  <c r="G37"/>
  <c r="F37" s="1"/>
  <c r="R37"/>
  <c r="AT345" i="9"/>
  <c r="R57" i="5"/>
  <c r="E37" i="12"/>
  <c r="K37"/>
  <c r="J37"/>
  <c r="P37"/>
  <c r="H37"/>
  <c r="M37"/>
  <c r="AR345" i="9"/>
  <c r="P57" i="5"/>
  <c r="R55"/>
  <c r="T55" s="1"/>
  <c r="V37" i="12"/>
  <c r="X34" i="2"/>
  <c r="Y34" s="1"/>
  <c r="S37" i="12"/>
  <c r="U37"/>
  <c r="L37"/>
  <c r="D37"/>
  <c r="C37"/>
  <c r="Q37"/>
  <c r="I37"/>
  <c r="S56" i="5"/>
  <c r="T56" s="1"/>
  <c r="V56" s="1"/>
  <c r="AD36" i="8"/>
  <c r="E37" i="5"/>
  <c r="P37"/>
  <c r="L37"/>
  <c r="T37"/>
  <c r="W36" i="6"/>
  <c r="W37" s="1"/>
  <c r="Q46" i="5" s="1"/>
  <c r="X34" i="6"/>
  <c r="Y34" s="1"/>
  <c r="W151" i="15"/>
  <c r="W152" s="1"/>
  <c r="X151"/>
  <c r="X152" s="1"/>
  <c r="L37" i="8"/>
  <c r="K37" s="1"/>
  <c r="U37" i="5"/>
  <c r="I37"/>
  <c r="J37"/>
  <c r="W36"/>
  <c r="O37" i="8"/>
  <c r="N37" s="1"/>
  <c r="Q37" i="5"/>
  <c r="B37"/>
  <c r="G37" i="8"/>
  <c r="R37" i="5"/>
  <c r="C37" i="8"/>
  <c r="W36"/>
  <c r="W37" s="1"/>
  <c r="T33" i="3"/>
  <c r="Y34" i="8"/>
  <c r="X36"/>
  <c r="X37" s="1"/>
  <c r="M37" i="5"/>
  <c r="H35"/>
  <c r="H118" i="14"/>
  <c r="X36" i="12"/>
  <c r="X37" s="1"/>
  <c r="H118" i="11"/>
  <c r="I119" i="4"/>
  <c r="X36" i="2" l="1"/>
  <c r="X37" s="1"/>
  <c r="X36" i="5"/>
  <c r="AQ345" i="9"/>
  <c r="S57" i="5"/>
  <c r="X36" i="6"/>
  <c r="X37" s="1"/>
  <c r="Q48" i="5"/>
  <c r="S45"/>
  <c r="S48" s="1"/>
  <c r="T57"/>
  <c r="Y36"/>
  <c r="W35"/>
  <c r="Y35" s="1"/>
  <c r="P38"/>
  <c r="M38"/>
  <c r="T38"/>
  <c r="R38"/>
  <c r="G38"/>
  <c r="O38"/>
  <c r="V38"/>
  <c r="L38"/>
  <c r="S38"/>
  <c r="N38"/>
  <c r="U38"/>
  <c r="C38"/>
  <c r="I38"/>
  <c r="D38"/>
  <c r="V55"/>
  <c r="J38"/>
  <c r="E38"/>
  <c r="F38"/>
  <c r="K38"/>
  <c r="Q38"/>
  <c r="H37"/>
  <c r="H38" s="1"/>
  <c r="AC36" i="6"/>
  <c r="AD36" s="1"/>
  <c r="AS345" i="9" s="1"/>
  <c r="W37" i="5" l="1"/>
  <c r="X35"/>
  <c r="X37" s="1"/>
  <c r="X38" s="1"/>
  <c r="Q57"/>
  <c r="V57" s="1"/>
  <c r="W38" l="1"/>
  <c r="P50" s="1"/>
  <c r="P52"/>
  <c r="D38" i="16" l="1"/>
  <c r="F31"/>
  <c r="F38" s="1"/>
  <c r="A50" l="1"/>
  <c r="C43"/>
  <c r="D39"/>
  <c r="B45"/>
  <c r="C45" s="1"/>
</calcChain>
</file>

<file path=xl/comments1.xml><?xml version="1.0" encoding="utf-8"?>
<comments xmlns="http://schemas.openxmlformats.org/spreadsheetml/2006/main">
  <authors>
    <author>User</author>
  </authors>
  <commentList>
    <comment ref="T43" authorId="0">
      <text>
        <r>
          <rPr>
            <b/>
            <sz val="9"/>
            <color indexed="81"/>
            <rFont val="Tahoma"/>
            <family val="2"/>
          </rPr>
          <t>pcs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R43" authorId="0">
      <text>
        <r>
          <rPr>
            <b/>
            <sz val="9"/>
            <color indexed="81"/>
            <rFont val="Tahoma"/>
            <family val="2"/>
          </rPr>
          <t>pcs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P43" authorId="0">
      <text>
        <r>
          <rPr>
            <b/>
            <sz val="9"/>
            <color indexed="81"/>
            <rFont val="Tahoma"/>
            <family val="2"/>
          </rPr>
          <t>pcs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N43" authorId="0">
      <text>
        <r>
          <rPr>
            <b/>
            <sz val="9"/>
            <color indexed="81"/>
            <rFont val="Tahoma"/>
            <family val="2"/>
          </rPr>
          <t>pcs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L43" authorId="0">
      <text>
        <r>
          <rPr>
            <b/>
            <sz val="9"/>
            <color indexed="81"/>
            <rFont val="Tahoma"/>
            <family val="2"/>
          </rPr>
          <t>pcs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I43" authorId="0">
      <text>
        <r>
          <rPr>
            <b/>
            <sz val="9"/>
            <color indexed="81"/>
            <rFont val="Tahoma"/>
            <family val="2"/>
          </rPr>
          <t>pcs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T44" authorId="0">
      <text>
        <r>
          <rPr>
            <b/>
            <sz val="9"/>
            <color indexed="81"/>
            <rFont val="Tahoma"/>
            <family val="2"/>
          </rPr>
          <t>meter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R44" authorId="0">
      <text>
        <r>
          <rPr>
            <b/>
            <sz val="9"/>
            <color indexed="81"/>
            <rFont val="Tahoma"/>
            <family val="2"/>
          </rPr>
          <t>meter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P44" authorId="0">
      <text>
        <r>
          <rPr>
            <b/>
            <sz val="9"/>
            <color indexed="81"/>
            <rFont val="Tahoma"/>
            <family val="2"/>
          </rPr>
          <t>meter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N44" authorId="0">
      <text>
        <r>
          <rPr>
            <b/>
            <sz val="9"/>
            <color indexed="81"/>
            <rFont val="Tahoma"/>
            <family val="2"/>
          </rPr>
          <t>meter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L44" authorId="0">
      <text>
        <r>
          <rPr>
            <b/>
            <sz val="9"/>
            <color indexed="81"/>
            <rFont val="Tahoma"/>
            <family val="2"/>
          </rPr>
          <t>meter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EI44" authorId="0">
      <text>
        <r>
          <rPr>
            <b/>
            <sz val="9"/>
            <color indexed="81"/>
            <rFont val="Tahoma"/>
            <family val="2"/>
          </rPr>
          <t>meter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T45" authorId="0">
      <text>
        <r>
          <rPr>
            <b/>
            <sz val="9"/>
            <color indexed="81"/>
            <rFont val="Tahoma"/>
            <family val="2"/>
          </rPr>
          <t>roll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R45" authorId="0">
      <text>
        <r>
          <rPr>
            <b/>
            <sz val="9"/>
            <color indexed="81"/>
            <rFont val="Tahoma"/>
            <family val="2"/>
          </rPr>
          <t>roll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P45" authorId="0">
      <text>
        <r>
          <rPr>
            <b/>
            <sz val="9"/>
            <color indexed="81"/>
            <rFont val="Tahoma"/>
            <family val="2"/>
          </rPr>
          <t>roll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N45" authorId="0">
      <text>
        <r>
          <rPr>
            <b/>
            <sz val="9"/>
            <color indexed="81"/>
            <rFont val="Tahoma"/>
            <family val="2"/>
          </rPr>
          <t>roll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L45" authorId="0">
      <text>
        <r>
          <rPr>
            <b/>
            <sz val="9"/>
            <color indexed="81"/>
            <rFont val="Tahoma"/>
            <family val="2"/>
          </rPr>
          <t>roll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>
  <authors>
    <author>GITA-CPI BERBEK</author>
  </authors>
  <commentList>
    <comment ref="J52" authorId="0">
      <text>
        <r>
          <rPr>
            <b/>
            <sz val="9"/>
            <color indexed="81"/>
            <rFont val="Tahoma"/>
            <family val="2"/>
          </rPr>
          <t>Pengganti Bad Product
No. 397
No. 400</t>
        </r>
      </text>
    </comment>
    <comment ref="J53" authorId="0">
      <text>
        <r>
          <rPr>
            <b/>
            <sz val="9"/>
            <color indexed="81"/>
            <rFont val="Tahoma"/>
            <family val="2"/>
          </rPr>
          <t xml:space="preserve">Pengganti Bad Product
No. 391
</t>
        </r>
      </text>
    </comment>
    <comment ref="J62" authorId="0">
      <text>
        <r>
          <rPr>
            <b/>
            <sz val="9"/>
            <color indexed="81"/>
            <rFont val="Tahoma"/>
            <family val="2"/>
          </rPr>
          <t xml:space="preserve">Pengganti Bad Product
No. 394
</t>
        </r>
      </text>
    </comment>
    <comment ref="J74" authorId="0">
      <text>
        <r>
          <rPr>
            <b/>
            <sz val="9"/>
            <color indexed="81"/>
            <rFont val="Tahoma"/>
            <family val="2"/>
          </rPr>
          <t xml:space="preserve">Pengganti Bad Product
No. 408
</t>
        </r>
      </text>
    </comment>
    <comment ref="J82" authorId="0">
      <text>
        <r>
          <rPr>
            <b/>
            <sz val="9"/>
            <color indexed="81"/>
            <rFont val="Tahoma"/>
            <family val="2"/>
          </rPr>
          <t>Pengganti Bad Product
No. 410</t>
        </r>
      </text>
    </comment>
    <comment ref="J92" authorId="0">
      <text>
        <r>
          <rPr>
            <b/>
            <sz val="9"/>
            <color indexed="81"/>
            <rFont val="Tahoma"/>
            <family val="2"/>
          </rPr>
          <t xml:space="preserve">Pengganti Bad Product
No. 412
No. 414
</t>
        </r>
      </text>
    </comment>
    <comment ref="J105" authorId="0">
      <text>
        <r>
          <rPr>
            <b/>
            <sz val="9"/>
            <color indexed="81"/>
            <rFont val="Tahoma"/>
            <family val="2"/>
          </rPr>
          <t xml:space="preserve">Pengganti Bad Product
No. 416
</t>
        </r>
      </text>
    </comment>
    <comment ref="J108" authorId="0">
      <text>
        <r>
          <rPr>
            <b/>
            <sz val="9"/>
            <color indexed="81"/>
            <rFont val="Tahoma"/>
            <family val="2"/>
          </rPr>
          <t xml:space="preserve">Pengganti Bad Product
No. 426
</t>
        </r>
      </text>
    </comment>
  </commentList>
</comments>
</file>

<file path=xl/comments3.xml><?xml version="1.0" encoding="utf-8"?>
<comments xmlns="http://schemas.openxmlformats.org/spreadsheetml/2006/main">
  <authors>
    <author>GITA-CPI BERBEK</author>
  </authors>
  <commentList>
    <comment ref="J14" authorId="0">
      <text>
        <r>
          <rPr>
            <b/>
            <sz val="9"/>
            <color indexed="81"/>
            <rFont val="Tahoma"/>
            <family val="2"/>
          </rPr>
          <t xml:space="preserve">Pengganti Bad Product
No. 365
No. 371
No. 373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20" authorId="0">
      <text>
        <r>
          <rPr>
            <b/>
            <sz val="9"/>
            <color indexed="81"/>
            <rFont val="Tahoma"/>
            <family val="2"/>
          </rPr>
          <t xml:space="preserve">Pengganti Bad Product
No. 377
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4.xml><?xml version="1.0" encoding="utf-8"?>
<comments xmlns="http://schemas.openxmlformats.org/spreadsheetml/2006/main">
  <authors>
    <author>GITA-CPI BERBEK</author>
  </authors>
  <commentList>
    <comment ref="J14" authorId="0">
      <text>
        <r>
          <rPr>
            <b/>
            <sz val="9"/>
            <color indexed="81"/>
            <rFont val="Tahoma"/>
            <family val="2"/>
          </rPr>
          <t>Pengganti bad product
No. 398
No. 379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5.xml><?xml version="1.0" encoding="utf-8"?>
<comments xmlns="http://schemas.openxmlformats.org/spreadsheetml/2006/main">
  <authors>
    <author>GITA-CPI BERBEK</author>
  </authors>
  <commentList>
    <comment ref="I10" authorId="0">
      <text>
        <r>
          <rPr>
            <b/>
            <sz val="9"/>
            <color indexed="81"/>
            <rFont val="Tahoma"/>
            <family val="2"/>
          </rPr>
          <t>Ganti Bad Product
No.</t>
        </r>
      </text>
    </comment>
  </commentList>
</comments>
</file>

<file path=xl/comments6.xml><?xml version="1.0" encoding="utf-8"?>
<comments xmlns="http://schemas.openxmlformats.org/spreadsheetml/2006/main">
  <authors>
    <author>GITA-CPI BERBEK</author>
  </authors>
  <commentList>
    <comment ref="D13" authorId="0">
      <text>
        <r>
          <rPr>
            <b/>
            <sz val="9"/>
            <color indexed="81"/>
            <rFont val="Tahoma"/>
            <family val="2"/>
          </rPr>
          <t>Pengganti Bad Product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24" authorId="0">
      <text>
        <r>
          <rPr>
            <b/>
            <sz val="9"/>
            <color indexed="81"/>
            <rFont val="Tahoma"/>
            <family val="2"/>
          </rPr>
          <t>Pengganti Bad Product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25" authorId="0">
      <text>
        <r>
          <rPr>
            <b/>
            <sz val="9"/>
            <color indexed="81"/>
            <rFont val="Tahoma"/>
            <family val="2"/>
          </rPr>
          <t>Pengganti Bad Product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7.xml><?xml version="1.0" encoding="utf-8"?>
<comments xmlns="http://schemas.openxmlformats.org/spreadsheetml/2006/main">
  <authors>
    <author>GITA-CPI BERBEK</author>
  </authors>
  <commentList>
    <comment ref="D5" authorId="0">
      <text>
        <r>
          <rPr>
            <b/>
            <sz val="9"/>
            <color indexed="81"/>
            <rFont val="Tahoma"/>
            <family val="2"/>
          </rPr>
          <t>Pengganti Bad Product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8.xml><?xml version="1.0" encoding="utf-8"?>
<comments xmlns="http://schemas.openxmlformats.org/spreadsheetml/2006/main">
  <authors>
    <author>GITA-CPI BERBEK</author>
  </authors>
  <commentList>
    <comment ref="D30" authorId="0">
      <text>
        <r>
          <rPr>
            <b/>
            <sz val="9"/>
            <color indexed="81"/>
            <rFont val="Tahoma"/>
            <family val="2"/>
          </rPr>
          <t>Pengganti Bad Product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9.xml><?xml version="1.0" encoding="utf-8"?>
<comments xmlns="http://schemas.openxmlformats.org/spreadsheetml/2006/main">
  <authors>
    <author>GITA-CPI BERBEK</author>
  </authors>
  <commentList>
    <comment ref="D17" authorId="0">
      <text>
        <r>
          <rPr>
            <b/>
            <sz val="9"/>
            <color indexed="81"/>
            <rFont val="Tahoma"/>
            <family val="2"/>
          </rPr>
          <t>Pengganti Bad Product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10.xml><?xml version="1.0" encoding="utf-8"?>
<comments xmlns="http://schemas.openxmlformats.org/spreadsheetml/2006/main">
  <authors>
    <author>GITA-CPI BERBEK</author>
  </authors>
  <commentList>
    <comment ref="D7" authorId="0">
      <text>
        <r>
          <rPr>
            <b/>
            <sz val="9"/>
            <color indexed="81"/>
            <rFont val="Tahoma"/>
            <family val="2"/>
          </rPr>
          <t>Pengganti bad produk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5" authorId="0">
      <text>
        <r>
          <rPr>
            <b/>
            <sz val="9"/>
            <color indexed="81"/>
            <rFont val="Tahoma"/>
            <family val="2"/>
          </rPr>
          <t>Pengganti bad produk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21" authorId="0">
      <text>
        <r>
          <rPr>
            <b/>
            <sz val="9"/>
            <color indexed="81"/>
            <rFont val="Tahoma"/>
            <family val="2"/>
          </rPr>
          <t>Pengganti bad produk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26" authorId="0">
      <text>
        <r>
          <rPr>
            <b/>
            <sz val="9"/>
            <color indexed="81"/>
            <rFont val="Tahoma"/>
            <family val="2"/>
          </rPr>
          <t>Pengganti bad produk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27" authorId="0">
      <text>
        <r>
          <rPr>
            <b/>
            <sz val="9"/>
            <color indexed="81"/>
            <rFont val="Tahoma"/>
            <family val="2"/>
          </rPr>
          <t>Pengganti bad produk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<sst xmlns="http://schemas.openxmlformats.org/spreadsheetml/2006/main" count="1692" uniqueCount="347">
  <si>
    <t>Tgl Produksi</t>
  </si>
  <si>
    <t>OUTPUT</t>
  </si>
  <si>
    <t>KETERANGAN</t>
  </si>
  <si>
    <t>Box</t>
  </si>
  <si>
    <t>Kg</t>
  </si>
  <si>
    <t>WAREHOUSE</t>
  </si>
  <si>
    <t>TOTAL WH</t>
  </si>
  <si>
    <t>KR</t>
  </si>
  <si>
    <t>RL</t>
  </si>
  <si>
    <t>SELISIH</t>
  </si>
  <si>
    <t>HASIL</t>
  </si>
  <si>
    <t xml:space="preserve">Tgl </t>
  </si>
  <si>
    <t>KARANTINA PRODUKSI</t>
  </si>
  <si>
    <t>OTHER</t>
  </si>
  <si>
    <t>RIJECT SORTASI</t>
  </si>
  <si>
    <t>TOTAL REJECT</t>
  </si>
  <si>
    <t xml:space="preserve">Keriput </t>
  </si>
  <si>
    <t>Bengkok</t>
  </si>
  <si>
    <t>Klip Tajam</t>
  </si>
  <si>
    <t>Klip Rusak</t>
  </si>
  <si>
    <t>Pin Hole</t>
  </si>
  <si>
    <t>Belatung</t>
  </si>
  <si>
    <t>Rework</t>
  </si>
  <si>
    <t>REJECT</t>
  </si>
  <si>
    <t>Tanggal Produksi</t>
  </si>
  <si>
    <t>DAILY LAPORAN FINISHGOOD RELEASE SOSIS CHICKEN</t>
  </si>
  <si>
    <t>Rata-Rata Persentase Reject Sortasi</t>
  </si>
  <si>
    <t>Item</t>
  </si>
  <si>
    <t>% Reject</t>
  </si>
  <si>
    <t>Rata-rata Item</t>
  </si>
  <si>
    <t>Rata-rata All</t>
  </si>
  <si>
    <t>Total Riject</t>
  </si>
  <si>
    <t>Total</t>
  </si>
  <si>
    <t>Total KR</t>
  </si>
  <si>
    <t>Total RL</t>
  </si>
  <si>
    <t>Sosis Retort Chicken (3,588 kg per box)</t>
  </si>
  <si>
    <t>Tanggal</t>
  </si>
  <si>
    <t>Kode Batch</t>
  </si>
  <si>
    <t>Sosis Retort Okey 15 gram</t>
  </si>
  <si>
    <t>Champ Ayam</t>
  </si>
  <si>
    <t>Okey Ayam</t>
  </si>
  <si>
    <t>CHAMP AYAM</t>
  </si>
  <si>
    <t>OKEY AYAM</t>
  </si>
  <si>
    <t>Sosis Retort Otak2 23 GR</t>
  </si>
  <si>
    <t>SAPI</t>
  </si>
  <si>
    <t>Champ Sapi</t>
  </si>
  <si>
    <t>Ayam 21 gr</t>
  </si>
  <si>
    <t>Sapi 21 gr</t>
  </si>
  <si>
    <t>Otak2 21 gr</t>
  </si>
  <si>
    <t>Okey</t>
  </si>
  <si>
    <t>Champ Otak2</t>
  </si>
  <si>
    <t>Sosis Retort Chicken Original (3,276 kg per box)</t>
  </si>
  <si>
    <t>Sosis Retort BBQ 21 GR</t>
  </si>
  <si>
    <t>Sosis Retort BBQ 23 GR</t>
  </si>
  <si>
    <t>Sosis Retort Otak2 21 GR</t>
  </si>
  <si>
    <t>Size tidak standart</t>
  </si>
  <si>
    <t>Non Kode</t>
  </si>
  <si>
    <t>Sobek Bawah Klip</t>
  </si>
  <si>
    <t>Air Trap Produk</t>
  </si>
  <si>
    <t>Air Trap PVDC</t>
  </si>
  <si>
    <t>Klip Terjepit</t>
  </si>
  <si>
    <t>Seal Panas</t>
  </si>
  <si>
    <t>Seal Pecah</t>
  </si>
  <si>
    <t>Seal Loncat</t>
  </si>
  <si>
    <t>Sosis Retort Okey 12,5 gram</t>
  </si>
  <si>
    <t>REKAPAN SORTASI ALL</t>
  </si>
  <si>
    <t>OTAK2</t>
  </si>
  <si>
    <t>Bacth</t>
  </si>
  <si>
    <t>RM</t>
  </si>
  <si>
    <t>Yield</t>
  </si>
  <si>
    <t>Yield RL</t>
  </si>
  <si>
    <t>Fiesta</t>
  </si>
  <si>
    <t>DAILY LAPORAN FINISHGOOD RELEASE SOSIS OKEY</t>
  </si>
  <si>
    <t xml:space="preserve">DAILY LAPORAN FINISHGOOD RELEASE SOSIS SAPI BBQ </t>
  </si>
  <si>
    <t xml:space="preserve">DAILY LAPORAN FINISHGOOD RELEASE SOSIS OTAK-OTAK </t>
  </si>
  <si>
    <t xml:space="preserve">DAILY LAPORAN FINISHGOOD RELEASE SOSIS FIESTA </t>
  </si>
  <si>
    <t>KARANTINA</t>
  </si>
  <si>
    <t>RELEASE</t>
  </si>
  <si>
    <t>C. Ayam</t>
  </si>
  <si>
    <t>C. Sapi</t>
  </si>
  <si>
    <t>C. Otak2</t>
  </si>
  <si>
    <t>AYAM</t>
  </si>
  <si>
    <t xml:space="preserve">KEBUTUHAN PVDC </t>
  </si>
  <si>
    <t>Gramasi Produk</t>
  </si>
  <si>
    <t>Produksi (kg)</t>
  </si>
  <si>
    <t>Berat Sosis (kg)</t>
  </si>
  <si>
    <t>Panjang Sosis (meter)</t>
  </si>
  <si>
    <t>Panjang 1 roll PVDC (meter)</t>
  </si>
  <si>
    <t>Kebutuhan PVDC (roll)</t>
  </si>
  <si>
    <t>23 gr</t>
  </si>
  <si>
    <t>KEBUTUHAN ALMUNIUM WIRE</t>
  </si>
  <si>
    <t>Berat Klip per pcs</t>
  </si>
  <si>
    <t>Kebutuhan Al Wire (kg)</t>
  </si>
  <si>
    <t>Kebutuhan Al Wire (roll)</t>
  </si>
  <si>
    <t>KEBUTUHAN TOPLES DAN KARTON</t>
  </si>
  <si>
    <t>Jumlah Sosis per can</t>
  </si>
  <si>
    <t>Kebutuhan Toples (pcs)</t>
  </si>
  <si>
    <t>Kebutuhan Karton (pcs)</t>
  </si>
  <si>
    <t>KEBUTUHAN PLASTIK SHRINK TUNEL</t>
  </si>
  <si>
    <t>Berat Plastik per pcs</t>
  </si>
  <si>
    <t>Kebutuhan Plastik Shrink (kg)</t>
  </si>
  <si>
    <t>21 gr</t>
  </si>
  <si>
    <t>OKEY</t>
  </si>
  <si>
    <t>15 gr</t>
  </si>
  <si>
    <t>12,5 gr</t>
  </si>
  <si>
    <t>Jumlah Sosis per pack</t>
  </si>
  <si>
    <t>Kebutuhan Plastik (pcs)</t>
  </si>
  <si>
    <t>KEBUTUHAN PLASTIK DAN KARTON</t>
  </si>
  <si>
    <t>PVDC</t>
  </si>
  <si>
    <t>WIRE</t>
  </si>
  <si>
    <t>PVDC WIRE</t>
  </si>
  <si>
    <t>STD</t>
  </si>
  <si>
    <t>Actual</t>
  </si>
  <si>
    <t>Hasil</t>
  </si>
  <si>
    <t>%</t>
  </si>
  <si>
    <t>Selisih</t>
  </si>
  <si>
    <t>Batch</t>
  </si>
  <si>
    <t>SAP</t>
  </si>
  <si>
    <t>TOTAL</t>
  </si>
  <si>
    <t>Kekurangan Produksi</t>
  </si>
  <si>
    <t>C. AYAM</t>
  </si>
  <si>
    <t>C. SAPI</t>
  </si>
  <si>
    <t>C. OTAK2</t>
  </si>
  <si>
    <t>FIESTA</t>
  </si>
  <si>
    <t>TANGGAL</t>
  </si>
  <si>
    <t>LAPORAN RIJECT SOSIS AYAM</t>
  </si>
  <si>
    <t>TGL PRODUKSI</t>
  </si>
  <si>
    <t>INPUT</t>
  </si>
  <si>
    <t xml:space="preserve">TOTAL INPUT </t>
  </si>
  <si>
    <t>REJECT COOKING MESIN-</t>
  </si>
  <si>
    <t>TOTAL REJECT COOKING</t>
  </si>
  <si>
    <t>Pecah Trouble Mesin</t>
  </si>
  <si>
    <t>K1</t>
  </si>
  <si>
    <t>C1</t>
  </si>
  <si>
    <t>C2</t>
  </si>
  <si>
    <t>C3</t>
  </si>
  <si>
    <t>C4</t>
  </si>
  <si>
    <t>Z1</t>
  </si>
  <si>
    <t>Z2</t>
  </si>
  <si>
    <t>Z3</t>
  </si>
  <si>
    <t>Z4</t>
  </si>
  <si>
    <t>Z5</t>
  </si>
  <si>
    <t>Z6</t>
  </si>
  <si>
    <t>Z7</t>
  </si>
  <si>
    <t>Non Klip</t>
  </si>
  <si>
    <t>% RIJECT NON KLIP 0,02 %</t>
  </si>
  <si>
    <t>% RIJECT COOKING 0,2 %</t>
  </si>
  <si>
    <t>LAPORAN RIJECT SOSIS OKEY</t>
  </si>
  <si>
    <t>LAPORAN RIJECT SOSIS SAPI</t>
  </si>
  <si>
    <t>LAPORAN RIJECT SOSIS OTAK2</t>
  </si>
  <si>
    <t>LAPORAN RIJECT SOSIS FIESTA</t>
  </si>
  <si>
    <t>C5</t>
  </si>
  <si>
    <t>C6</t>
  </si>
  <si>
    <t>SUMARRY RIJECT COOKING</t>
  </si>
  <si>
    <t>Lendir</t>
  </si>
  <si>
    <t>Sisa Adonan</t>
  </si>
  <si>
    <t>Sosis Retort Fiesta 30 GR</t>
  </si>
  <si>
    <t>Hasil Produksi</t>
  </si>
  <si>
    <t>Champ</t>
  </si>
  <si>
    <t>Shift</t>
  </si>
  <si>
    <t>Hari</t>
  </si>
  <si>
    <t>9 hari + 2 shift</t>
  </si>
  <si>
    <t>Okey 12,5 gr</t>
  </si>
  <si>
    <t>PI10</t>
  </si>
  <si>
    <t>JULI'26</t>
  </si>
  <si>
    <t>TEMUAN BAD PRODUCT</t>
  </si>
  <si>
    <t>TOTAL PER SHIFT</t>
  </si>
  <si>
    <t>Varian</t>
  </si>
  <si>
    <t>Kode Produksi</t>
  </si>
  <si>
    <t>Keriput</t>
  </si>
  <si>
    <t>Airtrap</t>
  </si>
  <si>
    <t>Klip Tajam/Rusak</t>
  </si>
  <si>
    <t>Size Tidak Standart</t>
  </si>
  <si>
    <t>SEAL</t>
  </si>
  <si>
    <t>% per batch</t>
  </si>
  <si>
    <t>Panas</t>
  </si>
  <si>
    <t>Pecah</t>
  </si>
  <si>
    <t>Loncat</t>
  </si>
  <si>
    <t>SROA</t>
  </si>
  <si>
    <t>SRCH</t>
  </si>
  <si>
    <t>KODE BATCH</t>
  </si>
  <si>
    <t>QG01701</t>
  </si>
  <si>
    <t>QG01702</t>
  </si>
  <si>
    <t>QG01703</t>
  </si>
  <si>
    <t>QG01704</t>
  </si>
  <si>
    <t>QG01705</t>
  </si>
  <si>
    <t>QG01706</t>
  </si>
  <si>
    <t>QG01707</t>
  </si>
  <si>
    <t>QG02701</t>
  </si>
  <si>
    <t>QG02702</t>
  </si>
  <si>
    <t>QG02703</t>
  </si>
  <si>
    <t>QG02704</t>
  </si>
  <si>
    <t>QG02705</t>
  </si>
  <si>
    <t>QG02706</t>
  </si>
  <si>
    <t>QG02707</t>
  </si>
  <si>
    <t>QG02708</t>
  </si>
  <si>
    <t>QG02709</t>
  </si>
  <si>
    <t>QG03701</t>
  </si>
  <si>
    <t>QG03702</t>
  </si>
  <si>
    <t>QG03703</t>
  </si>
  <si>
    <t>QG03704</t>
  </si>
  <si>
    <t>QG03705</t>
  </si>
  <si>
    <t>QG03706</t>
  </si>
  <si>
    <t>QG03707</t>
  </si>
  <si>
    <t>QG03708</t>
  </si>
  <si>
    <t>QG06701</t>
  </si>
  <si>
    <t>QG07701</t>
  </si>
  <si>
    <t>QG07702</t>
  </si>
  <si>
    <t>QG07703</t>
  </si>
  <si>
    <t>QG07704</t>
  </si>
  <si>
    <t>QG07705</t>
  </si>
  <si>
    <t>QG07706</t>
  </si>
  <si>
    <t>QG07707</t>
  </si>
  <si>
    <t>QG07708</t>
  </si>
  <si>
    <t>CHAMP SAPI</t>
  </si>
  <si>
    <t>CHAMP OTAK-OTAK</t>
  </si>
  <si>
    <t>ROLL</t>
  </si>
  <si>
    <t>PEMAKAIAN</t>
  </si>
  <si>
    <t>Sobek bawah Klip</t>
  </si>
  <si>
    <t>QG08701</t>
  </si>
  <si>
    <t>QG08702</t>
  </si>
  <si>
    <t>QG08703</t>
  </si>
  <si>
    <t>QG08704</t>
  </si>
  <si>
    <t>QG08705</t>
  </si>
  <si>
    <t>QG08706</t>
  </si>
  <si>
    <t>QG08707</t>
  </si>
  <si>
    <t>QG08708</t>
  </si>
  <si>
    <t>QG08709</t>
  </si>
  <si>
    <t>CMO Juli'26</t>
  </si>
  <si>
    <t>Hutang Juni'26</t>
  </si>
  <si>
    <t>Over Produksi Juli'26</t>
  </si>
  <si>
    <t>Over/Minus Data Juli'26</t>
  </si>
  <si>
    <t>QG09701</t>
  </si>
  <si>
    <t>QG09702</t>
  </si>
  <si>
    <t>QG09703</t>
  </si>
  <si>
    <t>QG09704</t>
  </si>
  <si>
    <t>QG09705</t>
  </si>
  <si>
    <t>QG09706</t>
  </si>
  <si>
    <t>QG09707</t>
  </si>
  <si>
    <t>QG09708</t>
  </si>
  <si>
    <t>QG09709</t>
  </si>
  <si>
    <t>QG10701</t>
  </si>
  <si>
    <t>QG10702</t>
  </si>
  <si>
    <t>QG10703</t>
  </si>
  <si>
    <t>QG10704</t>
  </si>
  <si>
    <t>QG10705</t>
  </si>
  <si>
    <t>QG10706</t>
  </si>
  <si>
    <t>QG10707</t>
  </si>
  <si>
    <t>QG10708</t>
  </si>
  <si>
    <t>QG10709</t>
  </si>
  <si>
    <t>QG13701</t>
  </si>
  <si>
    <t>QG14701</t>
  </si>
  <si>
    <t>QG14702</t>
  </si>
  <si>
    <t>QG14703</t>
  </si>
  <si>
    <t>QG14704</t>
  </si>
  <si>
    <t>QG14705</t>
  </si>
  <si>
    <t>QG14706</t>
  </si>
  <si>
    <t>QG14707</t>
  </si>
  <si>
    <t>QG14708</t>
  </si>
  <si>
    <t>QG14709</t>
  </si>
  <si>
    <t>QG15701</t>
  </si>
  <si>
    <t>QG15702</t>
  </si>
  <si>
    <t>QG15703</t>
  </si>
  <si>
    <t>QG15704</t>
  </si>
  <si>
    <t>QG15705</t>
  </si>
  <si>
    <t>QG15706</t>
  </si>
  <si>
    <t>QG15707</t>
  </si>
  <si>
    <t>QG15708</t>
  </si>
  <si>
    <t>QG15709</t>
  </si>
  <si>
    <t>BRCH</t>
  </si>
  <si>
    <t>QG16701</t>
  </si>
  <si>
    <t>QG16702</t>
  </si>
  <si>
    <t>QG16703</t>
  </si>
  <si>
    <t>QG16704</t>
  </si>
  <si>
    <t>QG16705</t>
  </si>
  <si>
    <t>QG16706</t>
  </si>
  <si>
    <t>QG16707</t>
  </si>
  <si>
    <t>QG16708</t>
  </si>
  <si>
    <t>QG16709</t>
  </si>
  <si>
    <t>QG17701</t>
  </si>
  <si>
    <t>QG17702</t>
  </si>
  <si>
    <t>QG17703</t>
  </si>
  <si>
    <t>QG17704</t>
  </si>
  <si>
    <t>QG17705</t>
  </si>
  <si>
    <t>QG20701</t>
  </si>
  <si>
    <t>QG21701</t>
  </si>
  <si>
    <t>QG21702</t>
  </si>
  <si>
    <t>QG21703</t>
  </si>
  <si>
    <t>QG21704</t>
  </si>
  <si>
    <t>QG21705</t>
  </si>
  <si>
    <t>QG21706</t>
  </si>
  <si>
    <t>QG21707</t>
  </si>
  <si>
    <t>QG21708</t>
  </si>
  <si>
    <t>QG21709</t>
  </si>
  <si>
    <t>QG22701</t>
  </si>
  <si>
    <t>QG22702</t>
  </si>
  <si>
    <t>QG22703</t>
  </si>
  <si>
    <t>QG22704</t>
  </si>
  <si>
    <t>QG22705</t>
  </si>
  <si>
    <t>QG22706</t>
  </si>
  <si>
    <t>QG22707</t>
  </si>
  <si>
    <t>QG22708</t>
  </si>
  <si>
    <t>QG23701</t>
  </si>
  <si>
    <t>QG23702</t>
  </si>
  <si>
    <t>QG23703</t>
  </si>
  <si>
    <t>QG23704</t>
  </si>
  <si>
    <t>QG23705</t>
  </si>
  <si>
    <t>QG23706</t>
  </si>
  <si>
    <t>QG23707</t>
  </si>
  <si>
    <t>QG23708</t>
  </si>
  <si>
    <t>QG23709</t>
  </si>
  <si>
    <t>QG23710</t>
  </si>
  <si>
    <t>FERI</t>
  </si>
  <si>
    <t>YANI</t>
  </si>
  <si>
    <t>GILANG</t>
  </si>
  <si>
    <t>ROHMAD</t>
  </si>
  <si>
    <t>EVIN</t>
  </si>
  <si>
    <t>BURHAM</t>
  </si>
  <si>
    <t>DHIO</t>
  </si>
  <si>
    <t>DWI</t>
  </si>
  <si>
    <t>QG24701</t>
  </si>
  <si>
    <t>QG24702</t>
  </si>
  <si>
    <t>QG24703</t>
  </si>
  <si>
    <t>QG24704</t>
  </si>
  <si>
    <t>QG24705</t>
  </si>
  <si>
    <t>QG24706</t>
  </si>
  <si>
    <t>QG24707</t>
  </si>
  <si>
    <t>QG24708</t>
  </si>
  <si>
    <t>QG24709</t>
  </si>
  <si>
    <t>QG25701</t>
  </si>
  <si>
    <t>QG25702</t>
  </si>
  <si>
    <t>QG25703</t>
  </si>
  <si>
    <t>QG25704</t>
  </si>
  <si>
    <t>QG25705</t>
  </si>
  <si>
    <t>QG25706</t>
  </si>
  <si>
    <t>QG25707</t>
  </si>
  <si>
    <t>QG25708</t>
  </si>
  <si>
    <t>SUMMARY KARYAWAN PENGHASIL REJECT DI ATAS 1%</t>
  </si>
  <si>
    <t xml:space="preserve">SHIFT MALAM </t>
  </si>
  <si>
    <t>SHIFT MALAM</t>
  </si>
  <si>
    <t>SHIFT PAGI</t>
  </si>
  <si>
    <t xml:space="preserve">SHIFT PAGI </t>
  </si>
  <si>
    <t>SHIFT</t>
  </si>
  <si>
    <t>NAMA OPERATOR</t>
  </si>
  <si>
    <t>ITEM</t>
  </si>
  <si>
    <t>KARYAWAN PENGHASIL REJECT DI ATAS 1%</t>
  </si>
  <si>
    <t>Note.</t>
  </si>
</sst>
</file>

<file path=xl/styles.xml><?xml version="1.0" encoding="utf-8"?>
<styleSheet xmlns="http://schemas.openxmlformats.org/spreadsheetml/2006/main">
  <numFmts count="29">
    <numFmt numFmtId="41" formatCode="_-* #,##0_-;\-* #,##0_-;_-* &quot;-&quot;_-;_-@_-"/>
    <numFmt numFmtId="43" formatCode="_-* #,##0.00_-;\-* #,##0.00_-;_-* &quot;-&quot;??_-;_-@_-"/>
    <numFmt numFmtId="164" formatCode="_(* #,##0_);_(* \(#,##0\);_(* &quot;-&quot;_);_(@_)"/>
    <numFmt numFmtId="165" formatCode="_(* #,##0.00_);_(* \(#,##0.00\);_(* &quot;-&quot;??_);_(@_)"/>
    <numFmt numFmtId="166" formatCode="_(* #,##0.000_);_(* \(#,##0.000\);_(* &quot;-&quot;???_);_(@_)"/>
    <numFmt numFmtId="167" formatCode="_(* #,##0_);_(* \(#,##0\);_(* &quot;-&quot;???_);_(@_)"/>
    <numFmt numFmtId="168" formatCode="[$-409]d\-mmm\-yy;@"/>
    <numFmt numFmtId="169" formatCode="_(* #,##0.00_);_(* \(#,##0.00\);_(* &quot;-&quot;???_);_(@_)"/>
    <numFmt numFmtId="170" formatCode="_(* #,##0.000_);_(* \(#,##0.000\);_(* &quot;-&quot;??_);_(@_)"/>
    <numFmt numFmtId="171" formatCode="[$-409]mmm\-yy;@"/>
    <numFmt numFmtId="172" formatCode="[$-409]dd\-mmm\-yy;@"/>
    <numFmt numFmtId="173" formatCode="0.0%"/>
    <numFmt numFmtId="174" formatCode="0.000%"/>
    <numFmt numFmtId="175" formatCode="dd/mm/yy;@"/>
    <numFmt numFmtId="176" formatCode="_(* #,##0.0_);_(* \(#,##0.0\);_(* &quot;-&quot;??_);_(@_)"/>
    <numFmt numFmtId="177" formatCode="_(* #,##0_);_(* \(#,##0\);_(* &quot;-&quot;??_);_(@_)"/>
    <numFmt numFmtId="178" formatCode="0.0000000"/>
    <numFmt numFmtId="179" formatCode="0.000"/>
    <numFmt numFmtId="180" formatCode="_(* #,##0.00_);_(* \(#,##0.00\);_(* &quot;-&quot;_);_(@_)"/>
    <numFmt numFmtId="181" formatCode="_(* #,##0.0_);_(* \(#,##0.0\);_(* &quot;-&quot;???_);_(@_)"/>
    <numFmt numFmtId="182" formatCode="_(* #,##0.0_);_(* \(#,##0.0\);_(* &quot;-&quot;_);_(@_)"/>
    <numFmt numFmtId="183" formatCode="[$-C09]dd\-mmm\-yy;@"/>
    <numFmt numFmtId="184" formatCode="_(* #,##0.000_);_(* \(#,##0.000\);_(* &quot;-&quot;_);_(@_)"/>
    <numFmt numFmtId="185" formatCode="_(* #,##0.0000_);_(* \(#,##0.0000\);_(* &quot;-&quot;???_);_(@_)"/>
    <numFmt numFmtId="186" formatCode="_-* #,##0.000_-;\-* #,##0.000_-;_-* &quot;-&quot;???_-;_-@_-"/>
    <numFmt numFmtId="187" formatCode="_-* #,##0_-;\-* #,##0_-;_-* &quot;-&quot;???_-;_-@_-"/>
    <numFmt numFmtId="188" formatCode="_-* #,##0_-;\-* #,##0_-;_-* &quot;-&quot;??_-;_-@_-"/>
    <numFmt numFmtId="189" formatCode="_-* #,##0.000_-;\-* #,##0.000_-;_-* &quot;-&quot;??_-;_-@_-"/>
    <numFmt numFmtId="190" formatCode="_-* #,##0.00_-;\-* #,##0.00_-;_-* &quot;-&quot;???_-;_-@_-"/>
  </numFmts>
  <fonts count="62">
    <font>
      <sz val="11"/>
      <color theme="1"/>
      <name val="Calibri"/>
      <family val="2"/>
      <charset val="1"/>
      <scheme val="minor"/>
    </font>
    <font>
      <b/>
      <sz val="14"/>
      <name val="Times New Roman"/>
      <family val="1"/>
    </font>
    <font>
      <sz val="10"/>
      <name val="Times New Roman"/>
      <family val="1"/>
    </font>
    <font>
      <b/>
      <sz val="12"/>
      <name val="Times New Roman"/>
      <family val="1"/>
    </font>
    <font>
      <b/>
      <sz val="10"/>
      <name val="Times New Roman"/>
      <family val="1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18"/>
      <name val="Times New Roman"/>
      <family val="1"/>
    </font>
    <font>
      <sz val="11"/>
      <color theme="1"/>
      <name val="Calibri"/>
      <family val="2"/>
      <charset val="1"/>
      <scheme val="minor"/>
    </font>
    <font>
      <sz val="10"/>
      <color rgb="FF000099"/>
      <name val="Times New Roman"/>
      <family val="1"/>
    </font>
    <font>
      <b/>
      <sz val="10"/>
      <color rgb="FF000099"/>
      <name val="Times New Roman"/>
      <family val="1"/>
    </font>
    <font>
      <b/>
      <sz val="10"/>
      <color rgb="FFFF0000"/>
      <name val="Times New Roman"/>
      <family val="1"/>
    </font>
    <font>
      <sz val="10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color rgb="FF000099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0"/>
      <color rgb="FFFF0000"/>
      <name val="Times New Roman"/>
      <family val="1"/>
    </font>
    <font>
      <b/>
      <sz val="10"/>
      <color rgb="FF003300"/>
      <name val="Times New Roman"/>
      <family val="1"/>
    </font>
    <font>
      <b/>
      <sz val="10"/>
      <color rgb="FF00B0F0"/>
      <name val="Times New Roman"/>
      <family val="1"/>
    </font>
    <font>
      <sz val="9"/>
      <color theme="1"/>
      <name val="Book Antiqua"/>
      <family val="1"/>
    </font>
    <font>
      <b/>
      <sz val="9"/>
      <color theme="1"/>
      <name val="Book Antiqua"/>
      <family val="1"/>
    </font>
    <font>
      <b/>
      <sz val="10"/>
      <name val="Book Antiqua"/>
      <family val="1"/>
    </font>
    <font>
      <sz val="11"/>
      <color theme="1"/>
      <name val="Book Antiqua"/>
      <family val="1"/>
    </font>
    <font>
      <b/>
      <sz val="11"/>
      <color theme="1"/>
      <name val="Book Antiqua"/>
      <family val="1"/>
    </font>
    <font>
      <b/>
      <sz val="9"/>
      <color rgb="FF000099"/>
      <name val="Book Antiqua"/>
      <family val="1"/>
    </font>
    <font>
      <sz val="9"/>
      <color rgb="FF000099"/>
      <name val="Book Antiqua"/>
      <family val="1"/>
    </font>
    <font>
      <b/>
      <sz val="11"/>
      <color rgb="FF0000CC"/>
      <name val="Book Antiqua"/>
      <family val="1"/>
    </font>
    <font>
      <b/>
      <sz val="11"/>
      <color rgb="FF000099"/>
      <name val="Book Antiqua"/>
      <family val="1"/>
    </font>
    <font>
      <sz val="11"/>
      <color rgb="FF000099"/>
      <name val="Book Antiqua"/>
      <family val="1"/>
    </font>
    <font>
      <sz val="11"/>
      <color rgb="FFFF0000"/>
      <name val="Book Antiqua"/>
      <family val="1"/>
    </font>
    <font>
      <b/>
      <sz val="11"/>
      <color rgb="FFFF0000"/>
      <name val="Book Antiqua"/>
      <family val="1"/>
    </font>
    <font>
      <b/>
      <sz val="11"/>
      <name val="Book Antiqua"/>
      <family val="1"/>
    </font>
    <font>
      <b/>
      <sz val="12"/>
      <color theme="1"/>
      <name val="Book Antiqua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name val="Times New Roman"/>
      <family val="1"/>
    </font>
    <font>
      <b/>
      <sz val="16"/>
      <color theme="1"/>
      <name val="Book Antiqua"/>
      <family val="1"/>
    </font>
    <font>
      <b/>
      <sz val="18"/>
      <color theme="1"/>
      <name val="Book Antiqua"/>
      <family val="1"/>
    </font>
    <font>
      <b/>
      <sz val="12"/>
      <color rgb="FF0000CC"/>
      <name val="Book Antiqua"/>
      <family val="1"/>
    </font>
    <font>
      <b/>
      <sz val="12"/>
      <color rgb="FF000099"/>
      <name val="Book Antiqua"/>
      <family val="1"/>
    </font>
    <font>
      <b/>
      <sz val="12"/>
      <name val="Book Antiqua"/>
      <family val="1"/>
    </font>
    <font>
      <sz val="12"/>
      <color theme="1"/>
      <name val="Book Antiqua"/>
      <family val="1"/>
    </font>
    <font>
      <sz val="12"/>
      <color rgb="FF0000CC"/>
      <name val="Book Antiqua"/>
      <family val="1"/>
    </font>
    <font>
      <sz val="12"/>
      <color rgb="FF000099"/>
      <name val="Book Antiqua"/>
      <family val="1"/>
    </font>
    <font>
      <sz val="11"/>
      <color rgb="FF0000CC"/>
      <name val="Calibri"/>
      <family val="2"/>
      <charset val="1"/>
      <scheme val="minor"/>
    </font>
    <font>
      <sz val="11"/>
      <color rgb="FF000000"/>
      <name val="Calibri"/>
      <family val="2"/>
      <scheme val="minor"/>
    </font>
    <font>
      <sz val="10"/>
      <color theme="1"/>
      <name val="Book Antiqua"/>
      <family val="1"/>
    </font>
    <font>
      <b/>
      <sz val="12"/>
      <color rgb="FFC00000"/>
      <name val="Book Antiqua"/>
      <family val="1"/>
    </font>
    <font>
      <sz val="10"/>
      <color rgb="FFC00000"/>
      <name val="Arial"/>
      <family val="2"/>
    </font>
    <font>
      <b/>
      <sz val="10"/>
      <color rgb="FFC00000"/>
      <name val="Times New Roman"/>
      <family val="1"/>
    </font>
    <font>
      <sz val="10"/>
      <color rgb="FFC00000"/>
      <name val="Times New Roman"/>
      <family val="1"/>
    </font>
    <font>
      <sz val="11"/>
      <color rgb="FFC00000"/>
      <name val="Calibri"/>
      <family val="2"/>
      <charset val="1"/>
      <scheme val="minor"/>
    </font>
    <font>
      <sz val="11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b/>
      <sz val="12"/>
      <color rgb="FFFF0000"/>
      <name val="Book Antiqua"/>
      <family val="1"/>
    </font>
    <font>
      <sz val="10"/>
      <color theme="1"/>
      <name val="Arial Unicode MS"/>
      <family val="2"/>
    </font>
    <font>
      <b/>
      <sz val="11"/>
      <color theme="1"/>
      <name val="Calibri"/>
      <family val="2"/>
      <scheme val="minor"/>
    </font>
    <font>
      <b/>
      <sz val="11"/>
      <color rgb="FF000099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2"/>
      <color theme="1"/>
      <name val="Calibri"/>
      <family val="2"/>
      <charset val="1"/>
      <scheme val="minor"/>
    </font>
  </fonts>
  <fills count="2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996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CECFF"/>
        <bgColor indexed="64"/>
      </patternFill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</borders>
  <cellStyleXfs count="6">
    <xf numFmtId="0" fontId="0" fillId="0" borderId="0"/>
    <xf numFmtId="165" fontId="8" fillId="0" borderId="0" applyFont="0" applyFill="0" applyBorder="0" applyAlignment="0" applyProtection="0"/>
    <xf numFmtId="164" fontId="8" fillId="0" borderId="0" applyFont="0" applyFill="0" applyBorder="0" applyAlignment="0" applyProtection="0"/>
    <xf numFmtId="0" fontId="6" fillId="0" borderId="0"/>
    <xf numFmtId="9" fontId="8" fillId="0" borderId="0" applyFont="0" applyFill="0" applyBorder="0" applyAlignment="0" applyProtection="0"/>
    <xf numFmtId="0" fontId="6" fillId="0" borderId="0"/>
  </cellStyleXfs>
  <cellXfs count="806">
    <xf numFmtId="0" fontId="0" fillId="0" borderId="0" xfId="0"/>
    <xf numFmtId="167" fontId="2" fillId="2" borderId="1" xfId="0" applyNumberFormat="1" applyFont="1" applyFill="1" applyBorder="1"/>
    <xf numFmtId="168" fontId="9" fillId="2" borderId="2" xfId="0" applyNumberFormat="1" applyFont="1" applyFill="1" applyBorder="1" applyAlignment="1"/>
    <xf numFmtId="168" fontId="4" fillId="2" borderId="3" xfId="0" applyNumberFormat="1" applyFont="1" applyFill="1" applyBorder="1" applyAlignment="1">
      <alignment vertical="center" wrapText="1"/>
    </xf>
    <xf numFmtId="167" fontId="2" fillId="2" borderId="4" xfId="0" applyNumberFormat="1" applyFont="1" applyFill="1" applyBorder="1"/>
    <xf numFmtId="169" fontId="2" fillId="2" borderId="4" xfId="0" applyNumberFormat="1" applyFont="1" applyFill="1" applyBorder="1"/>
    <xf numFmtId="169" fontId="2" fillId="2" borderId="1" xfId="0" applyNumberFormat="1" applyFont="1" applyFill="1" applyBorder="1"/>
    <xf numFmtId="172" fontId="2" fillId="2" borderId="0" xfId="0" applyNumberFormat="1" applyFont="1" applyFill="1"/>
    <xf numFmtId="170" fontId="2" fillId="3" borderId="0" xfId="1" applyNumberFormat="1" applyFont="1" applyFill="1" applyBorder="1"/>
    <xf numFmtId="166" fontId="4" fillId="2" borderId="0" xfId="0" applyNumberFormat="1" applyFont="1" applyFill="1"/>
    <xf numFmtId="165" fontId="0" fillId="0" borderId="0" xfId="0" applyNumberFormat="1"/>
    <xf numFmtId="168" fontId="9" fillId="3" borderId="2" xfId="0" applyNumberFormat="1" applyFont="1" applyFill="1" applyBorder="1" applyAlignment="1"/>
    <xf numFmtId="0" fontId="0" fillId="3" borderId="0" xfId="0" applyFill="1"/>
    <xf numFmtId="0" fontId="6" fillId="0" borderId="0" xfId="3"/>
    <xf numFmtId="165" fontId="6" fillId="0" borderId="0" xfId="3" applyNumberFormat="1"/>
    <xf numFmtId="10" fontId="6" fillId="0" borderId="0" xfId="4" applyNumberFormat="1" applyFont="1"/>
    <xf numFmtId="10" fontId="6" fillId="0" borderId="0" xfId="3" applyNumberFormat="1"/>
    <xf numFmtId="166" fontId="10" fillId="4" borderId="1" xfId="3" applyNumberFormat="1" applyFont="1" applyFill="1" applyBorder="1" applyAlignment="1">
      <alignment horizontal="center" vertical="center" wrapText="1"/>
    </xf>
    <xf numFmtId="166" fontId="4" fillId="4" borderId="5" xfId="3" applyNumberFormat="1" applyFont="1" applyFill="1" applyBorder="1" applyAlignment="1">
      <alignment horizontal="center"/>
    </xf>
    <xf numFmtId="0" fontId="10" fillId="4" borderId="6" xfId="3" applyFont="1" applyFill="1" applyBorder="1" applyAlignment="1">
      <alignment horizontal="center" vertical="center" wrapText="1"/>
    </xf>
    <xf numFmtId="166" fontId="10" fillId="4" borderId="5" xfId="3" applyNumberFormat="1" applyFont="1" applyFill="1" applyBorder="1" applyAlignment="1">
      <alignment horizontal="center"/>
    </xf>
    <xf numFmtId="166" fontId="7" fillId="4" borderId="6" xfId="0" applyNumberFormat="1" applyFont="1" applyFill="1" applyBorder="1" applyAlignment="1">
      <alignment horizontal="center"/>
    </xf>
    <xf numFmtId="166" fontId="4" fillId="2" borderId="0" xfId="0" applyNumberFormat="1" applyFont="1" applyFill="1" applyBorder="1" applyAlignment="1">
      <alignment horizontal="center"/>
    </xf>
    <xf numFmtId="167" fontId="2" fillId="2" borderId="7" xfId="3" applyNumberFormat="1" applyFont="1" applyFill="1" applyBorder="1" applyAlignment="1">
      <alignment horizontal="center"/>
    </xf>
    <xf numFmtId="166" fontId="2" fillId="2" borderId="4" xfId="3" applyNumberFormat="1" applyFont="1" applyFill="1" applyBorder="1"/>
    <xf numFmtId="167" fontId="2" fillId="2" borderId="8" xfId="3" applyNumberFormat="1" applyFont="1" applyFill="1" applyBorder="1" applyAlignment="1">
      <alignment horizontal="center"/>
    </xf>
    <xf numFmtId="169" fontId="2" fillId="2" borderId="4" xfId="3" applyNumberFormat="1" applyFont="1" applyFill="1" applyBorder="1"/>
    <xf numFmtId="166" fontId="2" fillId="2" borderId="9" xfId="3" applyNumberFormat="1" applyFont="1" applyFill="1" applyBorder="1"/>
    <xf numFmtId="169" fontId="2" fillId="2" borderId="1" xfId="3" applyNumberFormat="1" applyFont="1" applyFill="1" applyBorder="1"/>
    <xf numFmtId="166" fontId="2" fillId="2" borderId="10" xfId="3" applyNumberFormat="1" applyFont="1" applyFill="1" applyBorder="1"/>
    <xf numFmtId="173" fontId="8" fillId="0" borderId="0" xfId="4" applyNumberFormat="1" applyFont="1"/>
    <xf numFmtId="166" fontId="2" fillId="3" borderId="10" xfId="3" applyNumberFormat="1" applyFont="1" applyFill="1" applyBorder="1"/>
    <xf numFmtId="173" fontId="8" fillId="3" borderId="0" xfId="4" applyNumberFormat="1" applyFont="1" applyFill="1"/>
    <xf numFmtId="169" fontId="2" fillId="3" borderId="4" xfId="3" applyNumberFormat="1" applyFont="1" applyFill="1" applyBorder="1"/>
    <xf numFmtId="164" fontId="2" fillId="2" borderId="4" xfId="2" applyFont="1" applyFill="1" applyBorder="1"/>
    <xf numFmtId="167" fontId="2" fillId="2" borderId="1" xfId="3" applyNumberFormat="1" applyFont="1" applyFill="1" applyBorder="1"/>
    <xf numFmtId="10" fontId="8" fillId="3" borderId="0" xfId="4" applyNumberFormat="1" applyFont="1" applyFill="1"/>
    <xf numFmtId="169" fontId="2" fillId="2" borderId="8" xfId="3" applyNumberFormat="1" applyFont="1" applyFill="1" applyBorder="1"/>
    <xf numFmtId="169" fontId="2" fillId="3" borderId="8" xfId="3" applyNumberFormat="1" applyFont="1" applyFill="1" applyBorder="1"/>
    <xf numFmtId="168" fontId="9" fillId="2" borderId="2" xfId="3" applyNumberFormat="1" applyFont="1" applyFill="1" applyBorder="1" applyAlignment="1"/>
    <xf numFmtId="168" fontId="4" fillId="2" borderId="11" xfId="0" applyNumberFormat="1" applyFont="1" applyFill="1" applyBorder="1" applyAlignment="1">
      <alignment vertical="center" wrapText="1"/>
    </xf>
    <xf numFmtId="168" fontId="9" fillId="2" borderId="12" xfId="0" applyNumberFormat="1" applyFont="1" applyFill="1" applyBorder="1" applyAlignment="1"/>
    <xf numFmtId="167" fontId="2" fillId="2" borderId="6" xfId="0" applyNumberFormat="1" applyFont="1" applyFill="1" applyBorder="1"/>
    <xf numFmtId="169" fontId="2" fillId="2" borderId="6" xfId="0" applyNumberFormat="1" applyFont="1" applyFill="1" applyBorder="1"/>
    <xf numFmtId="166" fontId="2" fillId="2" borderId="13" xfId="3" applyNumberFormat="1" applyFont="1" applyFill="1" applyBorder="1"/>
    <xf numFmtId="167" fontId="0" fillId="0" borderId="0" xfId="0" applyNumberFormat="1"/>
    <xf numFmtId="0" fontId="2" fillId="3" borderId="0" xfId="0" applyFont="1" applyFill="1"/>
    <xf numFmtId="0" fontId="2" fillId="0" borderId="0" xfId="0" applyFont="1"/>
    <xf numFmtId="165" fontId="2" fillId="0" borderId="0" xfId="0" applyNumberFormat="1" applyFont="1"/>
    <xf numFmtId="166" fontId="2" fillId="0" borderId="0" xfId="0" applyNumberFormat="1" applyFont="1"/>
    <xf numFmtId="0" fontId="0" fillId="0" borderId="0" xfId="0" applyFill="1"/>
    <xf numFmtId="166" fontId="2" fillId="0" borderId="10" xfId="3" applyNumberFormat="1" applyFont="1" applyFill="1" applyBorder="1"/>
    <xf numFmtId="164" fontId="2" fillId="2" borderId="1" xfId="2" applyFont="1" applyFill="1" applyBorder="1"/>
    <xf numFmtId="168" fontId="4" fillId="2" borderId="11" xfId="3" applyNumberFormat="1" applyFont="1" applyFill="1" applyBorder="1" applyAlignment="1">
      <alignment vertical="center" wrapText="1"/>
    </xf>
    <xf numFmtId="169" fontId="4" fillId="2" borderId="6" xfId="3" applyNumberFormat="1" applyFont="1" applyFill="1" applyBorder="1"/>
    <xf numFmtId="166" fontId="4" fillId="2" borderId="6" xfId="3" applyNumberFormat="1" applyFont="1" applyFill="1" applyBorder="1"/>
    <xf numFmtId="167" fontId="4" fillId="2" borderId="6" xfId="3" applyNumberFormat="1" applyFont="1" applyFill="1" applyBorder="1"/>
    <xf numFmtId="164" fontId="4" fillId="2" borderId="6" xfId="2" applyFont="1" applyFill="1" applyBorder="1"/>
    <xf numFmtId="164" fontId="0" fillId="0" borderId="0" xfId="0" applyNumberFormat="1"/>
    <xf numFmtId="170" fontId="4" fillId="0" borderId="0" xfId="0" applyNumberFormat="1" applyFont="1"/>
    <xf numFmtId="166" fontId="4" fillId="0" borderId="0" xfId="0" applyNumberFormat="1" applyFont="1"/>
    <xf numFmtId="174" fontId="11" fillId="0" borderId="0" xfId="4" applyNumberFormat="1" applyFont="1"/>
    <xf numFmtId="174" fontId="11" fillId="5" borderId="0" xfId="4" applyNumberFormat="1" applyFont="1" applyFill="1"/>
    <xf numFmtId="166" fontId="2" fillId="6" borderId="14" xfId="0" applyNumberFormat="1" applyFont="1" applyFill="1" applyBorder="1" applyAlignment="1"/>
    <xf numFmtId="166" fontId="4" fillId="4" borderId="1" xfId="0" applyNumberFormat="1" applyFont="1" applyFill="1" applyBorder="1" applyAlignment="1">
      <alignment horizontal="center"/>
    </xf>
    <xf numFmtId="166" fontId="4" fillId="6" borderId="1" xfId="0" applyNumberFormat="1" applyFont="1" applyFill="1" applyBorder="1"/>
    <xf numFmtId="10" fontId="2" fillId="6" borderId="1" xfId="4" applyNumberFormat="1" applyFont="1" applyFill="1" applyBorder="1"/>
    <xf numFmtId="166" fontId="2" fillId="6" borderId="8" xfId="0" applyNumberFormat="1" applyFont="1" applyFill="1" applyBorder="1" applyAlignment="1"/>
    <xf numFmtId="166" fontId="4" fillId="5" borderId="1" xfId="0" applyNumberFormat="1" applyFont="1" applyFill="1" applyBorder="1"/>
    <xf numFmtId="166" fontId="2" fillId="5" borderId="1" xfId="0" applyNumberFormat="1" applyFont="1" applyFill="1" applyBorder="1"/>
    <xf numFmtId="10" fontId="10" fillId="5" borderId="1" xfId="4" applyNumberFormat="1" applyFont="1" applyFill="1" applyBorder="1"/>
    <xf numFmtId="166" fontId="10" fillId="5" borderId="1" xfId="0" applyNumberFormat="1" applyFont="1" applyFill="1" applyBorder="1"/>
    <xf numFmtId="166" fontId="2" fillId="6" borderId="0" xfId="0" applyNumberFormat="1" applyFont="1" applyFill="1"/>
    <xf numFmtId="0" fontId="12" fillId="6" borderId="1" xfId="0" applyFont="1" applyFill="1" applyBorder="1"/>
    <xf numFmtId="0" fontId="10" fillId="6" borderId="1" xfId="0" applyFont="1" applyFill="1" applyBorder="1" applyAlignment="1">
      <alignment horizontal="center"/>
    </xf>
    <xf numFmtId="0" fontId="13" fillId="6" borderId="1" xfId="0" applyFont="1" applyFill="1" applyBorder="1"/>
    <xf numFmtId="165" fontId="14" fillId="6" borderId="1" xfId="0" applyNumberFormat="1" applyFont="1" applyFill="1" applyBorder="1"/>
    <xf numFmtId="165" fontId="10" fillId="6" borderId="1" xfId="0" applyNumberFormat="1" applyFont="1" applyFill="1" applyBorder="1"/>
    <xf numFmtId="170" fontId="2" fillId="0" borderId="0" xfId="0" applyNumberFormat="1" applyFont="1"/>
    <xf numFmtId="166" fontId="2" fillId="2" borderId="1" xfId="0" applyNumberFormat="1" applyFont="1" applyFill="1" applyBorder="1"/>
    <xf numFmtId="166" fontId="14" fillId="0" borderId="0" xfId="0" applyNumberFormat="1" applyFont="1"/>
    <xf numFmtId="0" fontId="16" fillId="0" borderId="0" xfId="0" applyFont="1"/>
    <xf numFmtId="14" fontId="16" fillId="0" borderId="0" xfId="0" applyNumberFormat="1" applyFont="1"/>
    <xf numFmtId="0" fontId="17" fillId="0" borderId="0" xfId="0" applyFont="1"/>
    <xf numFmtId="166" fontId="17" fillId="0" borderId="0" xfId="0" applyNumberFormat="1" applyFont="1"/>
    <xf numFmtId="166" fontId="16" fillId="0" borderId="0" xfId="0" applyNumberFormat="1" applyFont="1"/>
    <xf numFmtId="0" fontId="17" fillId="0" borderId="0" xfId="0" applyFont="1" applyAlignment="1">
      <alignment horizontal="center"/>
    </xf>
    <xf numFmtId="167" fontId="16" fillId="0" borderId="0" xfId="0" applyNumberFormat="1" applyFont="1"/>
    <xf numFmtId="10" fontId="2" fillId="0" borderId="0" xfId="4" applyNumberFormat="1" applyFont="1"/>
    <xf numFmtId="10" fontId="2" fillId="0" borderId="0" xfId="0" applyNumberFormat="1" applyFont="1"/>
    <xf numFmtId="166" fontId="10" fillId="4" borderId="1" xfId="3" applyNumberFormat="1" applyFont="1" applyFill="1" applyBorder="1" applyAlignment="1">
      <alignment horizontal="center" vertical="center" wrapText="1"/>
    </xf>
    <xf numFmtId="10" fontId="15" fillId="5" borderId="32" xfId="4" applyNumberFormat="1" applyFont="1" applyFill="1" applyBorder="1" applyAlignment="1">
      <alignment horizontal="center"/>
    </xf>
    <xf numFmtId="10" fontId="15" fillId="5" borderId="2" xfId="4" applyNumberFormat="1" applyFont="1" applyFill="1" applyBorder="1" applyAlignment="1">
      <alignment horizontal="center"/>
    </xf>
    <xf numFmtId="166" fontId="10" fillId="5" borderId="20" xfId="0" applyNumberFormat="1" applyFont="1" applyFill="1" applyBorder="1" applyAlignment="1">
      <alignment horizontal="center"/>
    </xf>
    <xf numFmtId="166" fontId="10" fillId="5" borderId="32" xfId="0" applyNumberFormat="1" applyFont="1" applyFill="1" applyBorder="1" applyAlignment="1">
      <alignment horizontal="center"/>
    </xf>
    <xf numFmtId="167" fontId="2" fillId="3" borderId="1" xfId="0" applyNumberFormat="1" applyFont="1" applyFill="1" applyBorder="1"/>
    <xf numFmtId="166" fontId="13" fillId="3" borderId="0" xfId="3" applyNumberFormat="1" applyFont="1" applyFill="1" applyBorder="1" applyAlignment="1">
      <alignment horizontal="center" vertical="center" wrapText="1"/>
    </xf>
    <xf numFmtId="166" fontId="10" fillId="5" borderId="32" xfId="0" applyNumberFormat="1" applyFont="1" applyFill="1" applyBorder="1" applyAlignment="1"/>
    <xf numFmtId="166" fontId="10" fillId="5" borderId="2" xfId="0" applyNumberFormat="1" applyFont="1" applyFill="1" applyBorder="1" applyAlignment="1">
      <alignment horizontal="center"/>
    </xf>
    <xf numFmtId="166" fontId="18" fillId="7" borderId="0" xfId="1" applyNumberFormat="1" applyFont="1" applyFill="1" applyBorder="1"/>
    <xf numFmtId="175" fontId="4" fillId="2" borderId="0" xfId="0" applyNumberFormat="1" applyFont="1" applyFill="1"/>
    <xf numFmtId="166" fontId="2" fillId="7" borderId="0" xfId="1" applyNumberFormat="1" applyFont="1" applyFill="1" applyBorder="1"/>
    <xf numFmtId="166" fontId="2" fillId="8" borderId="0" xfId="1" applyNumberFormat="1" applyFont="1" applyFill="1" applyBorder="1"/>
    <xf numFmtId="166" fontId="2" fillId="9" borderId="0" xfId="1" applyNumberFormat="1" applyFont="1" applyFill="1" applyBorder="1"/>
    <xf numFmtId="166" fontId="2" fillId="9" borderId="0" xfId="0" applyNumberFormat="1" applyFont="1" applyFill="1"/>
    <xf numFmtId="166" fontId="2" fillId="10" borderId="0" xfId="1" applyNumberFormat="1" applyFont="1" applyFill="1" applyBorder="1"/>
    <xf numFmtId="166" fontId="18" fillId="8" borderId="0" xfId="1" applyNumberFormat="1" applyFont="1" applyFill="1" applyBorder="1"/>
    <xf numFmtId="166" fontId="18" fillId="9" borderId="0" xfId="1" applyNumberFormat="1" applyFont="1" applyFill="1" applyBorder="1"/>
    <xf numFmtId="165" fontId="10" fillId="10" borderId="0" xfId="0" applyNumberFormat="1" applyFont="1" applyFill="1" applyAlignment="1">
      <alignment horizontal="center" vertical="center"/>
    </xf>
    <xf numFmtId="165" fontId="11" fillId="0" borderId="0" xfId="0" applyNumberFormat="1" applyFont="1"/>
    <xf numFmtId="10" fontId="11" fillId="0" borderId="0" xfId="0" applyNumberFormat="1" applyFont="1"/>
    <xf numFmtId="176" fontId="11" fillId="0" borderId="0" xfId="0" applyNumberFormat="1" applyFont="1"/>
    <xf numFmtId="177" fontId="2" fillId="0" borderId="0" xfId="0" applyNumberFormat="1" applyFont="1"/>
    <xf numFmtId="177" fontId="11" fillId="0" borderId="0" xfId="0" applyNumberFormat="1" applyFont="1"/>
    <xf numFmtId="166" fontId="4" fillId="5" borderId="1" xfId="0" applyNumberFormat="1" applyFont="1" applyFill="1" applyBorder="1" applyAlignment="1">
      <alignment horizontal="left"/>
    </xf>
    <xf numFmtId="166" fontId="4" fillId="2" borderId="0" xfId="0" applyNumberFormat="1" applyFont="1" applyFill="1" applyBorder="1" applyAlignment="1">
      <alignment horizontal="center"/>
    </xf>
    <xf numFmtId="166" fontId="18" fillId="10" borderId="0" xfId="1" applyNumberFormat="1" applyFont="1" applyFill="1" applyBorder="1"/>
    <xf numFmtId="0" fontId="4" fillId="0" borderId="0" xfId="0" applyFont="1" applyAlignment="1">
      <alignment horizontal="center" vertical="center"/>
    </xf>
    <xf numFmtId="166" fontId="13" fillId="3" borderId="0" xfId="3" applyNumberFormat="1" applyFont="1" applyFill="1" applyBorder="1" applyAlignment="1">
      <alignment horizontal="center" vertical="center" wrapText="1"/>
    </xf>
    <xf numFmtId="174" fontId="15" fillId="5" borderId="20" xfId="4" applyNumberFormat="1" applyFont="1" applyFill="1" applyBorder="1" applyAlignment="1">
      <alignment horizontal="center"/>
    </xf>
    <xf numFmtId="166" fontId="10" fillId="4" borderId="1" xfId="3" applyNumberFormat="1" applyFont="1" applyFill="1" applyBorder="1" applyAlignment="1">
      <alignment horizontal="center" vertical="center" wrapText="1"/>
    </xf>
    <xf numFmtId="165" fontId="10" fillId="10" borderId="0" xfId="0" applyNumberFormat="1" applyFont="1" applyFill="1" applyAlignment="1">
      <alignment horizontal="center" vertical="center"/>
    </xf>
    <xf numFmtId="166" fontId="4" fillId="2" borderId="0" xfId="0" applyNumberFormat="1" applyFont="1" applyFill="1" applyBorder="1" applyAlignment="1">
      <alignment horizontal="center"/>
    </xf>
    <xf numFmtId="166" fontId="13" fillId="3" borderId="0" xfId="3" applyNumberFormat="1" applyFont="1" applyFill="1" applyBorder="1" applyAlignment="1">
      <alignment horizontal="center" vertical="center" wrapText="1"/>
    </xf>
    <xf numFmtId="0" fontId="10" fillId="6" borderId="0" xfId="0" applyFont="1" applyFill="1" applyBorder="1" applyAlignment="1">
      <alignment horizontal="center"/>
    </xf>
    <xf numFmtId="165" fontId="10" fillId="6" borderId="0" xfId="0" applyNumberFormat="1" applyFont="1" applyFill="1" applyBorder="1"/>
    <xf numFmtId="166" fontId="4" fillId="3" borderId="0" xfId="3" applyNumberFormat="1" applyFont="1" applyFill="1" applyBorder="1" applyAlignment="1">
      <alignment horizontal="center" vertical="center" wrapText="1"/>
    </xf>
    <xf numFmtId="0" fontId="21" fillId="0" borderId="0" xfId="0" applyFont="1"/>
    <xf numFmtId="0" fontId="22" fillId="0" borderId="0" xfId="0" applyFont="1" applyAlignment="1">
      <alignment horizontal="center"/>
    </xf>
    <xf numFmtId="0" fontId="22" fillId="0" borderId="1" xfId="0" applyFont="1" applyBorder="1" applyAlignment="1">
      <alignment horizontal="center"/>
    </xf>
    <xf numFmtId="164" fontId="21" fillId="0" borderId="0" xfId="0" applyNumberFormat="1" applyFont="1"/>
    <xf numFmtId="165" fontId="21" fillId="0" borderId="0" xfId="0" applyNumberFormat="1" applyFont="1"/>
    <xf numFmtId="165" fontId="22" fillId="0" borderId="0" xfId="0" applyNumberFormat="1" applyFont="1"/>
    <xf numFmtId="0" fontId="22" fillId="0" borderId="0" xfId="0" applyFont="1"/>
    <xf numFmtId="166" fontId="22" fillId="0" borderId="0" xfId="0" applyNumberFormat="1" applyFont="1"/>
    <xf numFmtId="0" fontId="22" fillId="0" borderId="0" xfId="0" applyFont="1" applyAlignment="1">
      <alignment horizontal="center"/>
    </xf>
    <xf numFmtId="0" fontId="23" fillId="0" borderId="0" xfId="0" applyFont="1"/>
    <xf numFmtId="0" fontId="24" fillId="0" borderId="0" xfId="0" applyFont="1"/>
    <xf numFmtId="0" fontId="25" fillId="0" borderId="0" xfId="0" applyFont="1"/>
    <xf numFmtId="0" fontId="24" fillId="0" borderId="0" xfId="0" applyFont="1" applyAlignment="1">
      <alignment horizontal="center"/>
    </xf>
    <xf numFmtId="0" fontId="24" fillId="0" borderId="1" xfId="0" applyFont="1" applyBorder="1"/>
    <xf numFmtId="0" fontId="24" fillId="0" borderId="1" xfId="0" applyFont="1" applyBorder="1" applyAlignment="1">
      <alignment horizontal="center"/>
    </xf>
    <xf numFmtId="1" fontId="23" fillId="0" borderId="1" xfId="0" applyNumberFormat="1" applyFont="1" applyBorder="1" applyAlignment="1">
      <alignment horizontal="center"/>
    </xf>
    <xf numFmtId="0" fontId="24" fillId="0" borderId="0" xfId="0" applyFont="1" applyBorder="1"/>
    <xf numFmtId="0" fontId="24" fillId="0" borderId="0" xfId="0" applyFont="1" applyBorder="1" applyAlignment="1">
      <alignment horizontal="center"/>
    </xf>
    <xf numFmtId="1" fontId="24" fillId="0" borderId="0" xfId="0" applyNumberFormat="1" applyFont="1" applyBorder="1" applyAlignment="1">
      <alignment horizontal="center"/>
    </xf>
    <xf numFmtId="2" fontId="23" fillId="0" borderId="1" xfId="0" applyNumberFormat="1" applyFont="1" applyBorder="1" applyAlignment="1">
      <alignment horizontal="center"/>
    </xf>
    <xf numFmtId="178" fontId="24" fillId="0" borderId="1" xfId="0" applyNumberFormat="1" applyFont="1" applyBorder="1" applyAlignment="1">
      <alignment horizontal="center"/>
    </xf>
    <xf numFmtId="165" fontId="24" fillId="0" borderId="1" xfId="0" applyNumberFormat="1" applyFont="1" applyBorder="1" applyAlignment="1">
      <alignment horizontal="center"/>
    </xf>
    <xf numFmtId="165" fontId="24" fillId="0" borderId="0" xfId="0" applyNumberFormat="1" applyFont="1" applyBorder="1" applyAlignment="1">
      <alignment horizontal="center"/>
    </xf>
    <xf numFmtId="165" fontId="24" fillId="0" borderId="0" xfId="0" applyNumberFormat="1" applyFont="1" applyAlignment="1">
      <alignment horizontal="center"/>
    </xf>
    <xf numFmtId="164" fontId="24" fillId="0" borderId="1" xfId="0" applyNumberFormat="1" applyFont="1" applyBorder="1" applyAlignment="1">
      <alignment horizontal="center"/>
    </xf>
    <xf numFmtId="164" fontId="24" fillId="0" borderId="0" xfId="0" applyNumberFormat="1" applyFont="1" applyBorder="1" applyAlignment="1">
      <alignment horizontal="center"/>
    </xf>
    <xf numFmtId="164" fontId="24" fillId="0" borderId="0" xfId="0" applyNumberFormat="1" applyFont="1" applyAlignment="1">
      <alignment horizontal="center"/>
    </xf>
    <xf numFmtId="164" fontId="23" fillId="0" borderId="1" xfId="0" applyNumberFormat="1" applyFont="1" applyBorder="1" applyAlignment="1">
      <alignment horizontal="center"/>
    </xf>
    <xf numFmtId="164" fontId="24" fillId="0" borderId="0" xfId="0" applyNumberFormat="1" applyFont="1"/>
    <xf numFmtId="165" fontId="24" fillId="0" borderId="0" xfId="0" applyNumberFormat="1" applyFont="1"/>
    <xf numFmtId="179" fontId="24" fillId="0" borderId="1" xfId="0" applyNumberFormat="1" applyFont="1" applyBorder="1" applyAlignment="1">
      <alignment horizontal="center"/>
    </xf>
    <xf numFmtId="0" fontId="22" fillId="0" borderId="0" xfId="0" applyFont="1" applyBorder="1" applyAlignment="1">
      <alignment horizontal="center"/>
    </xf>
    <xf numFmtId="164" fontId="2" fillId="0" borderId="0" xfId="0" applyNumberFormat="1" applyFont="1"/>
    <xf numFmtId="0" fontId="10" fillId="0" borderId="0" xfId="0" applyFont="1" applyAlignment="1">
      <alignment horizontal="center" vertical="center"/>
    </xf>
    <xf numFmtId="10" fontId="21" fillId="0" borderId="1" xfId="0" applyNumberFormat="1" applyFont="1" applyFill="1" applyBorder="1" applyAlignment="1">
      <alignment horizontal="center"/>
    </xf>
    <xf numFmtId="10" fontId="21" fillId="0" borderId="1" xfId="4" applyNumberFormat="1" applyFont="1" applyBorder="1" applyAlignment="1">
      <alignment horizontal="center"/>
    </xf>
    <xf numFmtId="10" fontId="21" fillId="0" borderId="0" xfId="0" applyNumberFormat="1" applyFont="1" applyBorder="1"/>
    <xf numFmtId="10" fontId="21" fillId="0" borderId="1" xfId="0" applyNumberFormat="1" applyFont="1" applyBorder="1"/>
    <xf numFmtId="10" fontId="21" fillId="0" borderId="0" xfId="0" applyNumberFormat="1" applyFont="1"/>
    <xf numFmtId="10" fontId="21" fillId="0" borderId="0" xfId="0" applyNumberFormat="1" applyFont="1" applyFill="1"/>
    <xf numFmtId="10" fontId="28" fillId="0" borderId="4" xfId="4" applyNumberFormat="1" applyFont="1" applyBorder="1" applyAlignment="1">
      <alignment horizontal="center"/>
    </xf>
    <xf numFmtId="166" fontId="24" fillId="0" borderId="0" xfId="0" applyNumberFormat="1" applyFont="1"/>
    <xf numFmtId="0" fontId="25" fillId="11" borderId="1" xfId="0" applyFont="1" applyFill="1" applyBorder="1" applyAlignment="1">
      <alignment horizontal="center"/>
    </xf>
    <xf numFmtId="0" fontId="29" fillId="11" borderId="1" xfId="0" applyFont="1" applyFill="1" applyBorder="1" applyAlignment="1">
      <alignment horizontal="center"/>
    </xf>
    <xf numFmtId="166" fontId="24" fillId="11" borderId="1" xfId="0" applyNumberFormat="1" applyFont="1" applyFill="1" applyBorder="1"/>
    <xf numFmtId="0" fontId="24" fillId="11" borderId="1" xfId="0" applyFont="1" applyFill="1" applyBorder="1"/>
    <xf numFmtId="166" fontId="30" fillId="11" borderId="1" xfId="0" applyNumberFormat="1" applyFont="1" applyFill="1" applyBorder="1"/>
    <xf numFmtId="0" fontId="30" fillId="11" borderId="1" xfId="0" applyFont="1" applyFill="1" applyBorder="1"/>
    <xf numFmtId="0" fontId="25" fillId="11" borderId="1" xfId="0" applyFont="1" applyFill="1" applyBorder="1"/>
    <xf numFmtId="164" fontId="24" fillId="11" borderId="1" xfId="0" applyNumberFormat="1" applyFont="1" applyFill="1" applyBorder="1"/>
    <xf numFmtId="166" fontId="25" fillId="11" borderId="1" xfId="0" applyNumberFormat="1" applyFont="1" applyFill="1" applyBorder="1"/>
    <xf numFmtId="166" fontId="29" fillId="11" borderId="1" xfId="0" applyNumberFormat="1" applyFont="1" applyFill="1" applyBorder="1"/>
    <xf numFmtId="167" fontId="30" fillId="11" borderId="1" xfId="0" applyNumberFormat="1" applyFont="1" applyFill="1" applyBorder="1"/>
    <xf numFmtId="166" fontId="24" fillId="9" borderId="1" xfId="0" applyNumberFormat="1" applyFont="1" applyFill="1" applyBorder="1"/>
    <xf numFmtId="0" fontId="32" fillId="9" borderId="1" xfId="0" applyFont="1" applyFill="1" applyBorder="1"/>
    <xf numFmtId="0" fontId="33" fillId="9" borderId="1" xfId="0" applyFont="1" applyFill="1" applyBorder="1"/>
    <xf numFmtId="180" fontId="24" fillId="9" borderId="1" xfId="0" applyNumberFormat="1" applyFont="1" applyFill="1" applyBorder="1"/>
    <xf numFmtId="0" fontId="32" fillId="0" borderId="1" xfId="0" applyFont="1" applyFill="1" applyBorder="1"/>
    <xf numFmtId="166" fontId="31" fillId="0" borderId="1" xfId="0" applyNumberFormat="1" applyFont="1" applyFill="1" applyBorder="1"/>
    <xf numFmtId="169" fontId="31" fillId="0" borderId="1" xfId="0" applyNumberFormat="1" applyFont="1" applyFill="1" applyBorder="1"/>
    <xf numFmtId="166" fontId="32" fillId="9" borderId="1" xfId="0" applyNumberFormat="1" applyFont="1" applyFill="1" applyBorder="1"/>
    <xf numFmtId="0" fontId="25" fillId="11" borderId="2" xfId="0" applyFont="1" applyFill="1" applyBorder="1" applyAlignment="1">
      <alignment horizontal="center"/>
    </xf>
    <xf numFmtId="168" fontId="24" fillId="11" borderId="1" xfId="0" applyNumberFormat="1" applyFont="1" applyFill="1" applyBorder="1"/>
    <xf numFmtId="165" fontId="26" fillId="0" borderId="1" xfId="0" applyNumberFormat="1" applyFont="1" applyBorder="1"/>
    <xf numFmtId="0" fontId="25" fillId="7" borderId="2" xfId="0" applyFont="1" applyFill="1" applyBorder="1" applyAlignment="1">
      <alignment horizontal="center"/>
    </xf>
    <xf numFmtId="0" fontId="25" fillId="7" borderId="1" xfId="0" applyFont="1" applyFill="1" applyBorder="1" applyAlignment="1">
      <alignment horizontal="center"/>
    </xf>
    <xf numFmtId="0" fontId="29" fillId="7" borderId="1" xfId="0" applyFont="1" applyFill="1" applyBorder="1" applyAlignment="1">
      <alignment horizontal="center"/>
    </xf>
    <xf numFmtId="166" fontId="24" fillId="7" borderId="1" xfId="0" applyNumberFormat="1" applyFont="1" applyFill="1" applyBorder="1"/>
    <xf numFmtId="164" fontId="24" fillId="7" borderId="1" xfId="0" applyNumberFormat="1" applyFont="1" applyFill="1" applyBorder="1"/>
    <xf numFmtId="166" fontId="30" fillId="7" borderId="1" xfId="0" applyNumberFormat="1" applyFont="1" applyFill="1" applyBorder="1"/>
    <xf numFmtId="167" fontId="30" fillId="7" borderId="1" xfId="0" applyNumberFormat="1" applyFont="1" applyFill="1" applyBorder="1"/>
    <xf numFmtId="0" fontId="24" fillId="7" borderId="1" xfId="0" applyFont="1" applyFill="1" applyBorder="1"/>
    <xf numFmtId="0" fontId="30" fillId="7" borderId="1" xfId="0" applyFont="1" applyFill="1" applyBorder="1"/>
    <xf numFmtId="166" fontId="25" fillId="7" borderId="1" xfId="0" applyNumberFormat="1" applyFont="1" applyFill="1" applyBorder="1"/>
    <xf numFmtId="166" fontId="29" fillId="7" borderId="1" xfId="0" applyNumberFormat="1" applyFont="1" applyFill="1" applyBorder="1"/>
    <xf numFmtId="0" fontId="25" fillId="8" borderId="2" xfId="0" applyFont="1" applyFill="1" applyBorder="1" applyAlignment="1">
      <alignment horizontal="center"/>
    </xf>
    <xf numFmtId="0" fontId="25" fillId="8" borderId="1" xfId="0" applyFont="1" applyFill="1" applyBorder="1" applyAlignment="1">
      <alignment horizontal="center"/>
    </xf>
    <xf numFmtId="0" fontId="29" fillId="8" borderId="1" xfId="0" applyFont="1" applyFill="1" applyBorder="1" applyAlignment="1">
      <alignment horizontal="center"/>
    </xf>
    <xf numFmtId="166" fontId="24" fillId="8" borderId="1" xfId="0" applyNumberFormat="1" applyFont="1" applyFill="1" applyBorder="1"/>
    <xf numFmtId="164" fontId="24" fillId="8" borderId="1" xfId="0" applyNumberFormat="1" applyFont="1" applyFill="1" applyBorder="1"/>
    <xf numFmtId="166" fontId="30" fillId="8" borderId="1" xfId="0" applyNumberFormat="1" applyFont="1" applyFill="1" applyBorder="1"/>
    <xf numFmtId="167" fontId="30" fillId="8" borderId="1" xfId="0" applyNumberFormat="1" applyFont="1" applyFill="1" applyBorder="1"/>
    <xf numFmtId="0" fontId="24" fillId="8" borderId="1" xfId="0" applyFont="1" applyFill="1" applyBorder="1"/>
    <xf numFmtId="0" fontId="30" fillId="8" borderId="1" xfId="0" applyFont="1" applyFill="1" applyBorder="1"/>
    <xf numFmtId="166" fontId="25" fillId="8" borderId="1" xfId="0" applyNumberFormat="1" applyFont="1" applyFill="1" applyBorder="1"/>
    <xf numFmtId="164" fontId="25" fillId="8" borderId="1" xfId="0" applyNumberFormat="1" applyFont="1" applyFill="1" applyBorder="1"/>
    <xf numFmtId="166" fontId="29" fillId="8" borderId="1" xfId="0" applyNumberFormat="1" applyFont="1" applyFill="1" applyBorder="1"/>
    <xf numFmtId="164" fontId="29" fillId="8" borderId="1" xfId="0" applyNumberFormat="1" applyFont="1" applyFill="1" applyBorder="1"/>
    <xf numFmtId="0" fontId="25" fillId="10" borderId="2" xfId="0" applyFont="1" applyFill="1" applyBorder="1" applyAlignment="1">
      <alignment horizontal="center"/>
    </xf>
    <xf numFmtId="0" fontId="25" fillId="10" borderId="1" xfId="0" applyFont="1" applyFill="1" applyBorder="1" applyAlignment="1">
      <alignment horizontal="center"/>
    </xf>
    <xf numFmtId="0" fontId="29" fillId="10" borderId="1" xfId="0" applyFont="1" applyFill="1" applyBorder="1" applyAlignment="1">
      <alignment horizontal="center"/>
    </xf>
    <xf numFmtId="166" fontId="24" fillId="10" borderId="1" xfId="0" applyNumberFormat="1" applyFont="1" applyFill="1" applyBorder="1"/>
    <xf numFmtId="164" fontId="24" fillId="10" borderId="1" xfId="0" applyNumberFormat="1" applyFont="1" applyFill="1" applyBorder="1"/>
    <xf numFmtId="166" fontId="30" fillId="10" borderId="1" xfId="0" applyNumberFormat="1" applyFont="1" applyFill="1" applyBorder="1"/>
    <xf numFmtId="167" fontId="30" fillId="10" borderId="1" xfId="0" applyNumberFormat="1" applyFont="1" applyFill="1" applyBorder="1"/>
    <xf numFmtId="0" fontId="24" fillId="10" borderId="1" xfId="0" applyFont="1" applyFill="1" applyBorder="1"/>
    <xf numFmtId="0" fontId="30" fillId="10" borderId="1" xfId="0" applyFont="1" applyFill="1" applyBorder="1"/>
    <xf numFmtId="166" fontId="25" fillId="10" borderId="1" xfId="0" applyNumberFormat="1" applyFont="1" applyFill="1" applyBorder="1"/>
    <xf numFmtId="164" fontId="25" fillId="10" borderId="1" xfId="0" applyNumberFormat="1" applyFont="1" applyFill="1" applyBorder="1"/>
    <xf numFmtId="166" fontId="29" fillId="10" borderId="1" xfId="0" applyNumberFormat="1" applyFont="1" applyFill="1" applyBorder="1"/>
    <xf numFmtId="0" fontId="25" fillId="13" borderId="2" xfId="0" applyFont="1" applyFill="1" applyBorder="1" applyAlignment="1">
      <alignment horizontal="center"/>
    </xf>
    <xf numFmtId="0" fontId="25" fillId="13" borderId="1" xfId="0" applyFont="1" applyFill="1" applyBorder="1" applyAlignment="1">
      <alignment horizontal="center"/>
    </xf>
    <xf numFmtId="0" fontId="29" fillId="13" borderId="1" xfId="0" applyFont="1" applyFill="1" applyBorder="1" applyAlignment="1">
      <alignment horizontal="center"/>
    </xf>
    <xf numFmtId="166" fontId="24" fillId="13" borderId="1" xfId="0" applyNumberFormat="1" applyFont="1" applyFill="1" applyBorder="1"/>
    <xf numFmtId="164" fontId="24" fillId="13" borderId="1" xfId="0" applyNumberFormat="1" applyFont="1" applyFill="1" applyBorder="1"/>
    <xf numFmtId="166" fontId="30" fillId="13" borderId="1" xfId="0" applyNumberFormat="1" applyFont="1" applyFill="1" applyBorder="1"/>
    <xf numFmtId="167" fontId="30" fillId="13" borderId="1" xfId="0" applyNumberFormat="1" applyFont="1" applyFill="1" applyBorder="1"/>
    <xf numFmtId="0" fontId="24" fillId="13" borderId="1" xfId="0" applyFont="1" applyFill="1" applyBorder="1"/>
    <xf numFmtId="0" fontId="30" fillId="13" borderId="1" xfId="0" applyFont="1" applyFill="1" applyBorder="1"/>
    <xf numFmtId="166" fontId="25" fillId="13" borderId="1" xfId="0" applyNumberFormat="1" applyFont="1" applyFill="1" applyBorder="1"/>
    <xf numFmtId="166" fontId="29" fillId="13" borderId="1" xfId="0" applyNumberFormat="1" applyFont="1" applyFill="1" applyBorder="1"/>
    <xf numFmtId="164" fontId="4" fillId="3" borderId="0" xfId="0" applyNumberFormat="1" applyFont="1" applyFill="1" applyAlignment="1">
      <alignment horizontal="center"/>
    </xf>
    <xf numFmtId="166" fontId="2" fillId="2" borderId="0" xfId="0" applyNumberFormat="1" applyFont="1" applyFill="1"/>
    <xf numFmtId="171" fontId="2" fillId="3" borderId="0" xfId="0" applyNumberFormat="1" applyFont="1" applyFill="1" applyAlignment="1">
      <alignment horizontal="center"/>
    </xf>
    <xf numFmtId="164" fontId="2" fillId="2" borderId="0" xfId="0" applyNumberFormat="1" applyFont="1" applyFill="1" applyAlignment="1">
      <alignment horizontal="center"/>
    </xf>
    <xf numFmtId="164" fontId="2" fillId="2" borderId="0" xfId="0" applyNumberFormat="1" applyFont="1" applyFill="1"/>
    <xf numFmtId="182" fontId="2" fillId="2" borderId="0" xfId="0" applyNumberFormat="1" applyFont="1" applyFill="1"/>
    <xf numFmtId="10" fontId="2" fillId="2" borderId="0" xfId="4" applyNumberFormat="1" applyFont="1" applyFill="1"/>
    <xf numFmtId="0" fontId="4" fillId="15" borderId="15" xfId="5" applyFont="1" applyFill="1" applyBorder="1" applyAlignment="1">
      <alignment horizontal="center" vertical="center" wrapText="1"/>
    </xf>
    <xf numFmtId="0" fontId="11" fillId="15" borderId="4" xfId="5" applyFont="1" applyFill="1" applyBorder="1" applyAlignment="1">
      <alignment horizontal="center" vertical="center" wrapText="1"/>
    </xf>
    <xf numFmtId="183" fontId="4" fillId="2" borderId="1" xfId="0" applyNumberFormat="1" applyFont="1" applyFill="1" applyBorder="1" applyAlignment="1">
      <alignment horizontal="center"/>
    </xf>
    <xf numFmtId="184" fontId="2" fillId="2" borderId="1" xfId="0" applyNumberFormat="1" applyFont="1" applyFill="1" applyBorder="1" applyAlignment="1">
      <alignment horizontal="center"/>
    </xf>
    <xf numFmtId="165" fontId="2" fillId="2" borderId="1" xfId="0" applyNumberFormat="1" applyFont="1" applyFill="1" applyBorder="1"/>
    <xf numFmtId="170" fontId="2" fillId="2" borderId="4" xfId="0" applyNumberFormat="1" applyFont="1" applyFill="1" applyBorder="1"/>
    <xf numFmtId="170" fontId="2" fillId="2" borderId="1" xfId="0" applyNumberFormat="1" applyFont="1" applyFill="1" applyBorder="1"/>
    <xf numFmtId="10" fontId="18" fillId="2" borderId="1" xfId="4" applyNumberFormat="1" applyFont="1" applyFill="1" applyBorder="1"/>
    <xf numFmtId="9" fontId="2" fillId="2" borderId="0" xfId="4" applyFont="1" applyFill="1"/>
    <xf numFmtId="166" fontId="2" fillId="2" borderId="0" xfId="4" applyNumberFormat="1" applyFont="1" applyFill="1" applyBorder="1"/>
    <xf numFmtId="10" fontId="2" fillId="2" borderId="1" xfId="4" applyNumberFormat="1" applyFont="1" applyFill="1" applyBorder="1"/>
    <xf numFmtId="0" fontId="4" fillId="2" borderId="1" xfId="0" applyNumberFormat="1" applyFont="1" applyFill="1" applyBorder="1" applyAlignment="1">
      <alignment vertical="center" wrapText="1"/>
    </xf>
    <xf numFmtId="165" fontId="2" fillId="2" borderId="1" xfId="0" applyNumberFormat="1" applyFont="1" applyFill="1" applyBorder="1" applyAlignment="1">
      <alignment wrapText="1"/>
    </xf>
    <xf numFmtId="164" fontId="4" fillId="15" borderId="1" xfId="0" applyNumberFormat="1" applyFont="1" applyFill="1" applyBorder="1" applyAlignment="1"/>
    <xf numFmtId="165" fontId="4" fillId="15" borderId="1" xfId="0" applyNumberFormat="1" applyFont="1" applyFill="1" applyBorder="1"/>
    <xf numFmtId="170" fontId="4" fillId="15" borderId="1" xfId="0" applyNumberFormat="1" applyFont="1" applyFill="1" applyBorder="1"/>
    <xf numFmtId="10" fontId="11" fillId="15" borderId="1" xfId="4" applyNumberFormat="1" applyFont="1" applyFill="1" applyBorder="1"/>
    <xf numFmtId="2" fontId="4" fillId="15" borderId="1" xfId="0" applyNumberFormat="1" applyFont="1" applyFill="1" applyBorder="1" applyAlignment="1">
      <alignment vertical="center" wrapText="1"/>
    </xf>
    <xf numFmtId="10" fontId="18" fillId="2" borderId="0" xfId="4" applyNumberFormat="1" applyFont="1" applyFill="1"/>
    <xf numFmtId="185" fontId="2" fillId="2" borderId="0" xfId="0" applyNumberFormat="1" applyFont="1" applyFill="1"/>
    <xf numFmtId="0" fontId="2" fillId="2" borderId="0" xfId="4" applyNumberFormat="1" applyFont="1" applyFill="1"/>
    <xf numFmtId="164" fontId="4" fillId="3" borderId="0" xfId="0" applyNumberFormat="1" applyFont="1" applyFill="1" applyAlignment="1">
      <alignment horizontal="center"/>
    </xf>
    <xf numFmtId="171" fontId="2" fillId="3" borderId="0" xfId="0" applyNumberFormat="1" applyFont="1" applyFill="1" applyAlignment="1">
      <alignment horizontal="center"/>
    </xf>
    <xf numFmtId="10" fontId="9" fillId="2" borderId="1" xfId="4" applyNumberFormat="1" applyFont="1" applyFill="1" applyBorder="1"/>
    <xf numFmtId="10" fontId="10" fillId="15" borderId="1" xfId="4" applyNumberFormat="1" applyFont="1" applyFill="1" applyBorder="1"/>
    <xf numFmtId="2" fontId="10" fillId="15" borderId="1" xfId="0" applyNumberFormat="1" applyFont="1" applyFill="1" applyBorder="1" applyAlignment="1">
      <alignment vertical="center" wrapText="1"/>
    </xf>
    <xf numFmtId="166" fontId="10" fillId="4" borderId="1" xfId="3" applyNumberFormat="1" applyFont="1" applyFill="1" applyBorder="1" applyAlignment="1">
      <alignment horizontal="center" vertical="center" wrapText="1"/>
    </xf>
    <xf numFmtId="166" fontId="13" fillId="3" borderId="0" xfId="3" applyNumberFormat="1" applyFont="1" applyFill="1" applyBorder="1" applyAlignment="1">
      <alignment horizontal="center" vertical="center" wrapText="1"/>
    </xf>
    <xf numFmtId="180" fontId="2" fillId="2" borderId="1" xfId="0" applyNumberFormat="1" applyFont="1" applyFill="1" applyBorder="1" applyAlignment="1">
      <alignment horizontal="center"/>
    </xf>
    <xf numFmtId="180" fontId="2" fillId="2" borderId="1" xfId="0" applyNumberFormat="1" applyFont="1" applyFill="1" applyBorder="1"/>
    <xf numFmtId="180" fontId="2" fillId="2" borderId="4" xfId="0" applyNumberFormat="1" applyFont="1" applyFill="1" applyBorder="1"/>
    <xf numFmtId="180" fontId="4" fillId="2" borderId="1" xfId="0" applyNumberFormat="1" applyFont="1" applyFill="1" applyBorder="1" applyAlignment="1">
      <alignment vertical="center" wrapText="1"/>
    </xf>
    <xf numFmtId="180" fontId="4" fillId="15" borderId="1" xfId="0" applyNumberFormat="1" applyFont="1" applyFill="1" applyBorder="1"/>
    <xf numFmtId="165" fontId="2" fillId="2" borderId="1" xfId="0" applyNumberFormat="1" applyFont="1" applyFill="1" applyBorder="1" applyAlignment="1">
      <alignment horizontal="center"/>
    </xf>
    <xf numFmtId="180" fontId="4" fillId="15" borderId="1" xfId="0" applyNumberFormat="1" applyFont="1" applyFill="1" applyBorder="1" applyAlignment="1"/>
    <xf numFmtId="180" fontId="4" fillId="15" borderId="1" xfId="0" applyNumberFormat="1" applyFont="1" applyFill="1" applyBorder="1" applyAlignment="1">
      <alignment vertical="center" wrapText="1"/>
    </xf>
    <xf numFmtId="169" fontId="2" fillId="2" borderId="0" xfId="0" applyNumberFormat="1" applyFont="1" applyFill="1"/>
    <xf numFmtId="169" fontId="2" fillId="2" borderId="1" xfId="0" applyNumberFormat="1" applyFont="1" applyFill="1" applyBorder="1" applyAlignment="1">
      <alignment horizontal="center"/>
    </xf>
    <xf numFmtId="169" fontId="2" fillId="2" borderId="1" xfId="0" applyNumberFormat="1" applyFont="1" applyFill="1" applyBorder="1" applyAlignment="1">
      <alignment wrapText="1"/>
    </xf>
    <xf numFmtId="169" fontId="4" fillId="15" borderId="1" xfId="0" applyNumberFormat="1" applyFont="1" applyFill="1" applyBorder="1"/>
    <xf numFmtId="169" fontId="4" fillId="15" borderId="1" xfId="0" applyNumberFormat="1" applyFont="1" applyFill="1" applyBorder="1" applyAlignment="1"/>
    <xf numFmtId="0" fontId="18" fillId="2" borderId="0" xfId="4" applyNumberFormat="1" applyFont="1" applyFill="1"/>
    <xf numFmtId="10" fontId="18" fillId="0" borderId="0" xfId="4" applyNumberFormat="1" applyFont="1"/>
    <xf numFmtId="0" fontId="4" fillId="14" borderId="0" xfId="0" applyFont="1" applyFill="1" applyAlignment="1">
      <alignment horizontal="center" vertical="center"/>
    </xf>
    <xf numFmtId="182" fontId="24" fillId="11" borderId="1" xfId="0" applyNumberFormat="1" applyFont="1" applyFill="1" applyBorder="1"/>
    <xf numFmtId="177" fontId="0" fillId="0" borderId="0" xfId="0" applyNumberFormat="1"/>
    <xf numFmtId="10" fontId="9" fillId="0" borderId="1" xfId="4" applyNumberFormat="1" applyFont="1" applyFill="1" applyBorder="1"/>
    <xf numFmtId="166" fontId="10" fillId="4" borderId="1" xfId="3" applyNumberFormat="1" applyFont="1" applyFill="1" applyBorder="1" applyAlignment="1">
      <alignment horizontal="center" vertical="center" wrapText="1"/>
    </xf>
    <xf numFmtId="182" fontId="24" fillId="7" borderId="1" xfId="0" applyNumberFormat="1" applyFont="1" applyFill="1" applyBorder="1"/>
    <xf numFmtId="182" fontId="25" fillId="7" borderId="1" xfId="0" applyNumberFormat="1" applyFont="1" applyFill="1" applyBorder="1"/>
    <xf numFmtId="182" fontId="24" fillId="10" borderId="1" xfId="0" applyNumberFormat="1" applyFont="1" applyFill="1" applyBorder="1"/>
    <xf numFmtId="164" fontId="37" fillId="0" borderId="0" xfId="2" applyFont="1" applyFill="1" applyBorder="1"/>
    <xf numFmtId="167" fontId="16" fillId="0" borderId="0" xfId="0" applyNumberFormat="1" applyFont="1" applyFill="1"/>
    <xf numFmtId="168" fontId="9" fillId="0" borderId="2" xfId="0" applyNumberFormat="1" applyFont="1" applyFill="1" applyBorder="1" applyAlignment="1"/>
    <xf numFmtId="166" fontId="4" fillId="0" borderId="0" xfId="0" applyNumberFormat="1" applyFont="1" applyFill="1"/>
    <xf numFmtId="164" fontId="21" fillId="0" borderId="0" xfId="0" applyNumberFormat="1" applyFont="1" applyFill="1" applyBorder="1"/>
    <xf numFmtId="184" fontId="24" fillId="0" borderId="0" xfId="0" applyNumberFormat="1" applyFont="1"/>
    <xf numFmtId="10" fontId="24" fillId="0" borderId="0" xfId="4" applyNumberFormat="1" applyFont="1"/>
    <xf numFmtId="167" fontId="24" fillId="0" borderId="0" xfId="0" applyNumberFormat="1" applyFont="1"/>
    <xf numFmtId="2" fontId="24" fillId="0" borderId="0" xfId="0" applyNumberFormat="1" applyFont="1"/>
    <xf numFmtId="169" fontId="32" fillId="9" borderId="1" xfId="0" applyNumberFormat="1" applyFont="1" applyFill="1" applyBorder="1"/>
    <xf numFmtId="164" fontId="24" fillId="0" borderId="1" xfId="0" applyNumberFormat="1" applyFont="1" applyBorder="1"/>
    <xf numFmtId="164" fontId="25" fillId="0" borderId="1" xfId="0" applyNumberFormat="1" applyFont="1" applyBorder="1"/>
    <xf numFmtId="180" fontId="25" fillId="11" borderId="1" xfId="0" applyNumberFormat="1" applyFont="1" applyFill="1" applyBorder="1"/>
    <xf numFmtId="180" fontId="29" fillId="11" borderId="1" xfId="0" applyNumberFormat="1" applyFont="1" applyFill="1" applyBorder="1"/>
    <xf numFmtId="180" fontId="24" fillId="10" borderId="1" xfId="0" applyNumberFormat="1" applyFont="1" applyFill="1" applyBorder="1"/>
    <xf numFmtId="181" fontId="30" fillId="7" borderId="1" xfId="0" applyNumberFormat="1" applyFont="1" applyFill="1" applyBorder="1"/>
    <xf numFmtId="180" fontId="24" fillId="13" borderId="1" xfId="0" applyNumberFormat="1" applyFont="1" applyFill="1" applyBorder="1"/>
    <xf numFmtId="182" fontId="24" fillId="13" borderId="1" xfId="0" applyNumberFormat="1" applyFont="1" applyFill="1" applyBorder="1"/>
    <xf numFmtId="169" fontId="30" fillId="13" borderId="1" xfId="0" applyNumberFormat="1" applyFont="1" applyFill="1" applyBorder="1"/>
    <xf numFmtId="180" fontId="24" fillId="11" borderId="1" xfId="0" applyNumberFormat="1" applyFont="1" applyFill="1" applyBorder="1"/>
    <xf numFmtId="180" fontId="25" fillId="13" borderId="1" xfId="0" applyNumberFormat="1" applyFont="1" applyFill="1" applyBorder="1"/>
    <xf numFmtId="167" fontId="2" fillId="2" borderId="4" xfId="3" applyNumberFormat="1" applyFont="1" applyFill="1" applyBorder="1"/>
    <xf numFmtId="181" fontId="30" fillId="13" borderId="1" xfId="0" applyNumberFormat="1" applyFont="1" applyFill="1" applyBorder="1"/>
    <xf numFmtId="10" fontId="24" fillId="0" borderId="0" xfId="0" applyNumberFormat="1" applyFont="1"/>
    <xf numFmtId="1" fontId="24" fillId="0" borderId="0" xfId="0" applyNumberFormat="1" applyFont="1"/>
    <xf numFmtId="166" fontId="2" fillId="2" borderId="4" xfId="0" applyNumberFormat="1" applyFont="1" applyFill="1" applyBorder="1"/>
    <xf numFmtId="14" fontId="2" fillId="0" borderId="0" xfId="0" applyNumberFormat="1" applyFont="1"/>
    <xf numFmtId="10" fontId="10" fillId="6" borderId="1" xfId="0" applyNumberFormat="1" applyFont="1" applyFill="1" applyBorder="1"/>
    <xf numFmtId="180" fontId="24" fillId="0" borderId="0" xfId="0" applyNumberFormat="1" applyFont="1"/>
    <xf numFmtId="173" fontId="24" fillId="0" borderId="0" xfId="4" applyNumberFormat="1" applyFont="1"/>
    <xf numFmtId="173" fontId="24" fillId="0" borderId="0" xfId="0" applyNumberFormat="1" applyFont="1"/>
    <xf numFmtId="181" fontId="24" fillId="0" borderId="0" xfId="0" applyNumberFormat="1" applyFont="1"/>
    <xf numFmtId="169" fontId="24" fillId="0" borderId="0" xfId="0" applyNumberFormat="1" applyFont="1"/>
    <xf numFmtId="0" fontId="0" fillId="0" borderId="0" xfId="0" applyFill="1" applyBorder="1"/>
    <xf numFmtId="182" fontId="29" fillId="7" borderId="1" xfId="0" applyNumberFormat="1" applyFont="1" applyFill="1" applyBorder="1"/>
    <xf numFmtId="180" fontId="32" fillId="9" borderId="1" xfId="0" applyNumberFormat="1" applyFont="1" applyFill="1" applyBorder="1"/>
    <xf numFmtId="182" fontId="24" fillId="0" borderId="0" xfId="0" applyNumberFormat="1" applyFont="1"/>
    <xf numFmtId="168" fontId="2" fillId="2" borderId="3" xfId="0" applyNumberFormat="1" applyFont="1" applyFill="1" applyBorder="1" applyAlignment="1">
      <alignment vertical="center" wrapText="1"/>
    </xf>
    <xf numFmtId="0" fontId="25" fillId="5" borderId="1" xfId="0" applyFont="1" applyFill="1" applyBorder="1" applyAlignment="1">
      <alignment horizontal="center" vertical="center" wrapText="1"/>
    </xf>
    <xf numFmtId="182" fontId="25" fillId="0" borderId="1" xfId="0" applyNumberFormat="1" applyFont="1" applyBorder="1"/>
    <xf numFmtId="181" fontId="24" fillId="7" borderId="1" xfId="0" applyNumberFormat="1" applyFont="1" applyFill="1" applyBorder="1"/>
    <xf numFmtId="0" fontId="2" fillId="0" borderId="0" xfId="0" applyNumberFormat="1" applyFont="1"/>
    <xf numFmtId="181" fontId="2" fillId="2" borderId="4" xfId="3" applyNumberFormat="1" applyFont="1" applyFill="1" applyBorder="1"/>
    <xf numFmtId="41" fontId="0" fillId="0" borderId="0" xfId="0" applyNumberFormat="1"/>
    <xf numFmtId="41" fontId="2" fillId="0" borderId="0" xfId="0" applyNumberFormat="1" applyFont="1"/>
    <xf numFmtId="172" fontId="2" fillId="3" borderId="0" xfId="0" applyNumberFormat="1" applyFont="1" applyFill="1"/>
    <xf numFmtId="170" fontId="4" fillId="3" borderId="0" xfId="0" applyNumberFormat="1" applyFont="1" applyFill="1"/>
    <xf numFmtId="166" fontId="4" fillId="3" borderId="0" xfId="0" applyNumberFormat="1" applyFont="1" applyFill="1"/>
    <xf numFmtId="10" fontId="2" fillId="3" borderId="0" xfId="4" applyNumberFormat="1" applyFont="1" applyFill="1"/>
    <xf numFmtId="10" fontId="2" fillId="3" borderId="0" xfId="0" applyNumberFormat="1" applyFont="1" applyFill="1"/>
    <xf numFmtId="177" fontId="2" fillId="3" borderId="0" xfId="0" applyNumberFormat="1" applyFont="1" applyFill="1"/>
    <xf numFmtId="165" fontId="2" fillId="3" borderId="0" xfId="0" applyNumberFormat="1" applyFont="1" applyFill="1"/>
    <xf numFmtId="164" fontId="2" fillId="3" borderId="0" xfId="0" applyNumberFormat="1" applyFont="1" applyFill="1"/>
    <xf numFmtId="166" fontId="2" fillId="3" borderId="0" xfId="0" applyNumberFormat="1" applyFont="1" applyFill="1"/>
    <xf numFmtId="169" fontId="2" fillId="0" borderId="4" xfId="3" applyNumberFormat="1" applyFont="1" applyFill="1" applyBorder="1"/>
    <xf numFmtId="166" fontId="2" fillId="0" borderId="9" xfId="3" applyNumberFormat="1" applyFont="1" applyFill="1" applyBorder="1"/>
    <xf numFmtId="166" fontId="16" fillId="0" borderId="0" xfId="0" applyNumberFormat="1" applyFont="1" applyFill="1"/>
    <xf numFmtId="181" fontId="30" fillId="11" borderId="1" xfId="0" applyNumberFormat="1" applyFont="1" applyFill="1" applyBorder="1"/>
    <xf numFmtId="9" fontId="6" fillId="0" borderId="0" xfId="4" applyFont="1"/>
    <xf numFmtId="181" fontId="30" fillId="10" borderId="1" xfId="0" applyNumberFormat="1" applyFont="1" applyFill="1" applyBorder="1"/>
    <xf numFmtId="182" fontId="30" fillId="10" borderId="1" xfId="0" applyNumberFormat="1" applyFont="1" applyFill="1" applyBorder="1"/>
    <xf numFmtId="10" fontId="32" fillId="0" borderId="4" xfId="4" applyNumberFormat="1" applyFont="1" applyBorder="1" applyAlignment="1">
      <alignment horizontal="center"/>
    </xf>
    <xf numFmtId="182" fontId="29" fillId="13" borderId="1" xfId="0" applyNumberFormat="1" applyFont="1" applyFill="1" applyBorder="1"/>
    <xf numFmtId="184" fontId="24" fillId="13" borderId="1" xfId="0" applyNumberFormat="1" applyFont="1" applyFill="1" applyBorder="1"/>
    <xf numFmtId="182" fontId="25" fillId="13" borderId="1" xfId="0" applyNumberFormat="1" applyFont="1" applyFill="1" applyBorder="1"/>
    <xf numFmtId="181" fontId="24" fillId="13" borderId="1" xfId="0" applyNumberFormat="1" applyFont="1" applyFill="1" applyBorder="1"/>
    <xf numFmtId="181" fontId="24" fillId="11" borderId="1" xfId="0" applyNumberFormat="1" applyFont="1" applyFill="1" applyBorder="1"/>
    <xf numFmtId="182" fontId="25" fillId="10" borderId="1" xfId="0" applyNumberFormat="1" applyFont="1" applyFill="1" applyBorder="1"/>
    <xf numFmtId="182" fontId="29" fillId="10" borderId="1" xfId="0" applyNumberFormat="1" applyFont="1" applyFill="1" applyBorder="1"/>
    <xf numFmtId="10" fontId="11" fillId="0" borderId="0" xfId="4" applyNumberFormat="1" applyFont="1"/>
    <xf numFmtId="0" fontId="39" fillId="0" borderId="0" xfId="0" applyFont="1" applyFill="1" applyBorder="1" applyAlignment="1">
      <alignment horizontal="center" vertical="center"/>
    </xf>
    <xf numFmtId="0" fontId="41" fillId="0" borderId="41" xfId="0" applyFont="1" applyFill="1" applyBorder="1" applyAlignment="1">
      <alignment horizontal="center" vertical="center" wrapText="1"/>
    </xf>
    <xf numFmtId="187" fontId="34" fillId="7" borderId="45" xfId="0" applyNumberFormat="1" applyFont="1" applyFill="1" applyBorder="1" applyAlignment="1">
      <alignment horizontal="center" vertical="center" wrapText="1"/>
    </xf>
    <xf numFmtId="186" fontId="34" fillId="7" borderId="45" xfId="0" applyNumberFormat="1" applyFont="1" applyFill="1" applyBorder="1" applyAlignment="1">
      <alignment horizontal="center" vertical="center" wrapText="1"/>
    </xf>
    <xf numFmtId="0" fontId="41" fillId="0" borderId="44" xfId="0" applyFont="1" applyFill="1" applyBorder="1" applyAlignment="1">
      <alignment horizontal="center" vertical="center" wrapText="1"/>
    </xf>
    <xf numFmtId="0" fontId="43" fillId="0" borderId="4" xfId="0" applyFont="1" applyBorder="1"/>
    <xf numFmtId="187" fontId="43" fillId="0" borderId="4" xfId="0" applyNumberFormat="1" applyFont="1" applyBorder="1"/>
    <xf numFmtId="186" fontId="43" fillId="0" borderId="4" xfId="0" applyNumberFormat="1" applyFont="1" applyBorder="1"/>
    <xf numFmtId="43" fontId="43" fillId="0" borderId="4" xfId="0" applyNumberFormat="1" applyFont="1" applyBorder="1" applyAlignment="1">
      <alignment horizontal="center"/>
    </xf>
    <xf numFmtId="43" fontId="34" fillId="0" borderId="4" xfId="0" applyNumberFormat="1" applyFont="1" applyBorder="1" applyAlignment="1">
      <alignment horizontal="center"/>
    </xf>
    <xf numFmtId="10" fontId="40" fillId="0" borderId="4" xfId="4" applyNumberFormat="1" applyFont="1" applyBorder="1" applyAlignment="1">
      <alignment horizontal="center"/>
    </xf>
    <xf numFmtId="10" fontId="41" fillId="0" borderId="19" xfId="4" applyNumberFormat="1" applyFont="1" applyFill="1" applyBorder="1" applyAlignment="1">
      <alignment horizontal="center"/>
    </xf>
    <xf numFmtId="0" fontId="25" fillId="3" borderId="1" xfId="0" applyFont="1" applyFill="1" applyBorder="1" applyAlignment="1">
      <alignment vertical="center" wrapText="1"/>
    </xf>
    <xf numFmtId="43" fontId="43" fillId="3" borderId="1" xfId="0" applyNumberFormat="1" applyFont="1" applyFill="1" applyBorder="1" applyAlignment="1">
      <alignment horizontal="center"/>
    </xf>
    <xf numFmtId="43" fontId="44" fillId="0" borderId="4" xfId="0" applyNumberFormat="1" applyFont="1" applyBorder="1" applyAlignment="1">
      <alignment horizontal="center"/>
    </xf>
    <xf numFmtId="43" fontId="43" fillId="0" borderId="19" xfId="0" applyNumberFormat="1" applyFont="1" applyFill="1" applyBorder="1" applyAlignment="1">
      <alignment horizontal="center"/>
    </xf>
    <xf numFmtId="43" fontId="34" fillId="0" borderId="4" xfId="0" applyNumberFormat="1" applyFont="1" applyBorder="1" applyAlignment="1">
      <alignment vertical="center"/>
    </xf>
    <xf numFmtId="10" fontId="40" fillId="0" borderId="4" xfId="4" applyNumberFormat="1" applyFont="1" applyBorder="1" applyAlignment="1">
      <alignment vertical="center"/>
    </xf>
    <xf numFmtId="0" fontId="25" fillId="3" borderId="1" xfId="0" applyFont="1" applyFill="1" applyBorder="1"/>
    <xf numFmtId="0" fontId="34" fillId="16" borderId="20" xfId="0" applyFont="1" applyFill="1" applyBorder="1" applyAlignment="1"/>
    <xf numFmtId="188" fontId="34" fillId="16" borderId="1" xfId="0" applyNumberFormat="1" applyFont="1" applyFill="1" applyBorder="1" applyAlignment="1">
      <alignment horizontal="center"/>
    </xf>
    <xf numFmtId="189" fontId="34" fillId="16" borderId="1" xfId="0" applyNumberFormat="1" applyFont="1" applyFill="1" applyBorder="1" applyAlignment="1">
      <alignment horizontal="center"/>
    </xf>
    <xf numFmtId="43" fontId="34" fillId="16" borderId="1" xfId="0" applyNumberFormat="1" applyFont="1" applyFill="1" applyBorder="1" applyAlignment="1">
      <alignment horizontal="center"/>
    </xf>
    <xf numFmtId="43" fontId="40" fillId="16" borderId="1" xfId="0" applyNumberFormat="1" applyFont="1" applyFill="1" applyBorder="1" applyAlignment="1">
      <alignment horizontal="center"/>
    </xf>
    <xf numFmtId="43" fontId="34" fillId="0" borderId="19" xfId="0" applyNumberFormat="1" applyFont="1" applyFill="1" applyBorder="1" applyAlignment="1">
      <alignment horizontal="center"/>
    </xf>
    <xf numFmtId="0" fontId="34" fillId="16" borderId="1" xfId="0" applyFont="1" applyFill="1" applyBorder="1" applyAlignment="1">
      <alignment horizontal="center"/>
    </xf>
    <xf numFmtId="0" fontId="34" fillId="16" borderId="28" xfId="0" applyFont="1" applyFill="1" applyBorder="1" applyAlignment="1">
      <alignment horizontal="center"/>
    </xf>
    <xf numFmtId="0" fontId="40" fillId="16" borderId="17" xfId="0" applyFont="1" applyFill="1" applyBorder="1" applyAlignment="1">
      <alignment horizontal="center"/>
    </xf>
    <xf numFmtId="188" fontId="40" fillId="16" borderId="4" xfId="0" applyNumberFormat="1" applyFont="1" applyFill="1" applyBorder="1" applyAlignment="1">
      <alignment horizontal="center"/>
    </xf>
    <xf numFmtId="189" fontId="40" fillId="16" borderId="4" xfId="0" applyNumberFormat="1" applyFont="1" applyFill="1" applyBorder="1" applyAlignment="1">
      <alignment horizontal="center"/>
    </xf>
    <xf numFmtId="10" fontId="40" fillId="16" borderId="4" xfId="4" applyNumberFormat="1" applyFont="1" applyFill="1" applyBorder="1" applyAlignment="1">
      <alignment horizontal="center"/>
    </xf>
    <xf numFmtId="10" fontId="41" fillId="16" borderId="4" xfId="4" applyNumberFormat="1" applyFont="1" applyFill="1" applyBorder="1" applyAlignment="1">
      <alignment horizontal="center"/>
    </xf>
    <xf numFmtId="10" fontId="45" fillId="0" borderId="19" xfId="4" applyNumberFormat="1" applyFont="1" applyFill="1" applyBorder="1" applyAlignment="1">
      <alignment horizontal="center"/>
    </xf>
    <xf numFmtId="43" fontId="40" fillId="16" borderId="4" xfId="0" applyNumberFormat="1" applyFont="1" applyFill="1" applyBorder="1" applyAlignment="1">
      <alignment horizontal="center"/>
    </xf>
    <xf numFmtId="43" fontId="34" fillId="16" borderId="4" xfId="0" applyNumberFormat="1" applyFont="1" applyFill="1" applyBorder="1" applyAlignment="1">
      <alignment horizontal="center"/>
    </xf>
    <xf numFmtId="0" fontId="25" fillId="3" borderId="4" xfId="0" applyFont="1" applyFill="1" applyBorder="1" applyAlignment="1">
      <alignment vertical="center" wrapText="1"/>
    </xf>
    <xf numFmtId="43" fontId="34" fillId="16" borderId="19" xfId="0" applyNumberFormat="1" applyFont="1" applyFill="1" applyBorder="1" applyAlignment="1">
      <alignment horizontal="center"/>
    </xf>
    <xf numFmtId="0" fontId="34" fillId="16" borderId="47" xfId="0" applyFont="1" applyFill="1" applyBorder="1" applyAlignment="1">
      <alignment horizontal="center"/>
    </xf>
    <xf numFmtId="43" fontId="34" fillId="0" borderId="1" xfId="0" applyNumberFormat="1" applyFont="1" applyBorder="1" applyAlignment="1">
      <alignment vertical="center"/>
    </xf>
    <xf numFmtId="10" fontId="40" fillId="0" borderId="1" xfId="4" applyNumberFormat="1" applyFont="1" applyBorder="1" applyAlignment="1">
      <alignment vertical="center"/>
    </xf>
    <xf numFmtId="0" fontId="40" fillId="16" borderId="20" xfId="0" applyFont="1" applyFill="1" applyBorder="1" applyAlignment="1">
      <alignment horizontal="center"/>
    </xf>
    <xf numFmtId="43" fontId="40" fillId="0" borderId="4" xfId="0" applyNumberFormat="1" applyFont="1" applyBorder="1" applyAlignment="1">
      <alignment vertical="center"/>
    </xf>
    <xf numFmtId="0" fontId="25" fillId="3" borderId="4" xfId="0" applyFont="1" applyFill="1" applyBorder="1" applyAlignment="1">
      <alignment vertical="center"/>
    </xf>
    <xf numFmtId="0" fontId="43" fillId="0" borderId="47" xfId="0" applyFont="1" applyBorder="1"/>
    <xf numFmtId="187" fontId="0" fillId="0" borderId="0" xfId="0" applyNumberFormat="1"/>
    <xf numFmtId="186" fontId="0" fillId="0" borderId="0" xfId="0" applyNumberFormat="1"/>
    <xf numFmtId="0" fontId="46" fillId="0" borderId="0" xfId="0" applyFont="1"/>
    <xf numFmtId="43" fontId="34" fillId="0" borderId="19" xfId="0" applyNumberFormat="1" applyFont="1" applyBorder="1" applyAlignment="1">
      <alignment horizontal="center" vertical="center"/>
    </xf>
    <xf numFmtId="43" fontId="34" fillId="0" borderId="4" xfId="0" applyNumberFormat="1" applyFont="1" applyBorder="1" applyAlignment="1">
      <alignment horizontal="center" vertical="center"/>
    </xf>
    <xf numFmtId="10" fontId="40" fillId="0" borderId="24" xfId="4" applyNumberFormat="1" applyFont="1" applyBorder="1" applyAlignment="1">
      <alignment horizontal="center" vertical="center"/>
    </xf>
    <xf numFmtId="10" fontId="40" fillId="0" borderId="19" xfId="4" applyNumberFormat="1" applyFont="1" applyBorder="1" applyAlignment="1">
      <alignment horizontal="center" vertical="center"/>
    </xf>
    <xf numFmtId="10" fontId="40" fillId="0" borderId="4" xfId="4" applyNumberFormat="1" applyFont="1" applyBorder="1" applyAlignment="1">
      <alignment horizontal="center" vertical="center"/>
    </xf>
    <xf numFmtId="0" fontId="25" fillId="3" borderId="1" xfId="0" applyFont="1" applyFill="1" applyBorder="1" applyAlignment="1">
      <alignment horizontal="left" vertical="center" wrapText="1"/>
    </xf>
    <xf numFmtId="0" fontId="25" fillId="3" borderId="4" xfId="0" applyFont="1" applyFill="1" applyBorder="1" applyAlignment="1">
      <alignment horizontal="left" vertical="center" wrapText="1"/>
    </xf>
    <xf numFmtId="43" fontId="34" fillId="0" borderId="1" xfId="0" applyNumberFormat="1" applyFont="1" applyBorder="1" applyAlignment="1">
      <alignment horizontal="center" vertical="center"/>
    </xf>
    <xf numFmtId="0" fontId="34" fillId="7" borderId="33" xfId="0" applyFont="1" applyFill="1" applyBorder="1" applyAlignment="1">
      <alignment horizontal="center" vertical="center" wrapText="1"/>
    </xf>
    <xf numFmtId="165" fontId="26" fillId="0" borderId="0" xfId="0" applyNumberFormat="1" applyFont="1" applyBorder="1"/>
    <xf numFmtId="10" fontId="21" fillId="0" borderId="4" xfId="4" applyNumberFormat="1" applyFont="1" applyBorder="1" applyAlignment="1">
      <alignment horizontal="center"/>
    </xf>
    <xf numFmtId="10" fontId="21" fillId="0" borderId="4" xfId="0" applyNumberFormat="1" applyFont="1" applyBorder="1"/>
    <xf numFmtId="10" fontId="21" fillId="0" borderId="4" xfId="0" applyNumberFormat="1" applyFont="1" applyFill="1" applyBorder="1" applyAlignment="1">
      <alignment horizontal="center"/>
    </xf>
    <xf numFmtId="164" fontId="21" fillId="17" borderId="1" xfId="0" applyNumberFormat="1" applyFont="1" applyFill="1" applyBorder="1"/>
    <xf numFmtId="170" fontId="21" fillId="17" borderId="1" xfId="0" applyNumberFormat="1" applyFont="1" applyFill="1" applyBorder="1"/>
    <xf numFmtId="165" fontId="27" fillId="17" borderId="1" xfId="0" applyNumberFormat="1" applyFont="1" applyFill="1" applyBorder="1"/>
    <xf numFmtId="164" fontId="21" fillId="4" borderId="1" xfId="0" applyNumberFormat="1" applyFont="1" applyFill="1" applyBorder="1"/>
    <xf numFmtId="165" fontId="21" fillId="4" borderId="1" xfId="0" applyNumberFormat="1" applyFont="1" applyFill="1" applyBorder="1"/>
    <xf numFmtId="165" fontId="27" fillId="4" borderId="1" xfId="0" applyNumberFormat="1" applyFont="1" applyFill="1" applyBorder="1"/>
    <xf numFmtId="164" fontId="21" fillId="19" borderId="1" xfId="0" applyNumberFormat="1" applyFont="1" applyFill="1" applyBorder="1"/>
    <xf numFmtId="165" fontId="21" fillId="19" borderId="1" xfId="0" applyNumberFormat="1" applyFont="1" applyFill="1" applyBorder="1"/>
    <xf numFmtId="165" fontId="27" fillId="19" borderId="1" xfId="0" applyNumberFormat="1" applyFont="1" applyFill="1" applyBorder="1"/>
    <xf numFmtId="164" fontId="21" fillId="18" borderId="1" xfId="0" applyNumberFormat="1" applyFont="1" applyFill="1" applyBorder="1"/>
    <xf numFmtId="165" fontId="21" fillId="18" borderId="1" xfId="0" applyNumberFormat="1" applyFont="1" applyFill="1" applyBorder="1"/>
    <xf numFmtId="165" fontId="27" fillId="18" borderId="1" xfId="0" applyNumberFormat="1" applyFont="1" applyFill="1" applyBorder="1"/>
    <xf numFmtId="164" fontId="22" fillId="17" borderId="1" xfId="0" applyNumberFormat="1" applyFont="1" applyFill="1" applyBorder="1"/>
    <xf numFmtId="170" fontId="22" fillId="17" borderId="1" xfId="0" applyNumberFormat="1" applyFont="1" applyFill="1" applyBorder="1"/>
    <xf numFmtId="164" fontId="22" fillId="4" borderId="1" xfId="0" applyNumberFormat="1" applyFont="1" applyFill="1" applyBorder="1"/>
    <xf numFmtId="165" fontId="22" fillId="4" borderId="1" xfId="0" applyNumberFormat="1" applyFont="1" applyFill="1" applyBorder="1"/>
    <xf numFmtId="164" fontId="22" fillId="19" borderId="1" xfId="0" applyNumberFormat="1" applyFont="1" applyFill="1" applyBorder="1"/>
    <xf numFmtId="165" fontId="22" fillId="19" borderId="1" xfId="0" applyNumberFormat="1" applyFont="1" applyFill="1" applyBorder="1"/>
    <xf numFmtId="164" fontId="22" fillId="18" borderId="1" xfId="0" applyNumberFormat="1" applyFont="1" applyFill="1" applyBorder="1"/>
    <xf numFmtId="165" fontId="22" fillId="18" borderId="1" xfId="0" applyNumberFormat="1" applyFont="1" applyFill="1" applyBorder="1"/>
    <xf numFmtId="0" fontId="21" fillId="0" borderId="1" xfId="0" applyFont="1" applyBorder="1"/>
    <xf numFmtId="0" fontId="21" fillId="17" borderId="1" xfId="0" applyFont="1" applyFill="1" applyBorder="1"/>
    <xf numFmtId="0" fontId="21" fillId="4" borderId="1" xfId="0" applyFont="1" applyFill="1" applyBorder="1"/>
    <xf numFmtId="0" fontId="21" fillId="19" borderId="1" xfId="0" applyFont="1" applyFill="1" applyBorder="1"/>
    <xf numFmtId="0" fontId="21" fillId="18" borderId="1" xfId="0" applyFont="1" applyFill="1" applyBorder="1"/>
    <xf numFmtId="177" fontId="22" fillId="17" borderId="1" xfId="0" applyNumberFormat="1" applyFont="1" applyFill="1" applyBorder="1"/>
    <xf numFmtId="165" fontId="22" fillId="17" borderId="1" xfId="0" applyNumberFormat="1" applyFont="1" applyFill="1" applyBorder="1"/>
    <xf numFmtId="177" fontId="22" fillId="4" borderId="1" xfId="0" applyNumberFormat="1" applyFont="1" applyFill="1" applyBorder="1"/>
    <xf numFmtId="170" fontId="22" fillId="4" borderId="1" xfId="0" applyNumberFormat="1" applyFont="1" applyFill="1" applyBorder="1"/>
    <xf numFmtId="177" fontId="22" fillId="19" borderId="1" xfId="0" applyNumberFormat="1" applyFont="1" applyFill="1" applyBorder="1"/>
    <xf numFmtId="170" fontId="22" fillId="19" borderId="1" xfId="0" applyNumberFormat="1" applyFont="1" applyFill="1" applyBorder="1"/>
    <xf numFmtId="177" fontId="22" fillId="18" borderId="1" xfId="0" applyNumberFormat="1" applyFont="1" applyFill="1" applyBorder="1"/>
    <xf numFmtId="170" fontId="22" fillId="18" borderId="1" xfId="0" applyNumberFormat="1" applyFont="1" applyFill="1" applyBorder="1"/>
    <xf numFmtId="0" fontId="22" fillId="17" borderId="1" xfId="0" applyFont="1" applyFill="1" applyBorder="1" applyAlignment="1">
      <alignment horizontal="center"/>
    </xf>
    <xf numFmtId="0" fontId="22" fillId="4" borderId="1" xfId="0" applyFont="1" applyFill="1" applyBorder="1" applyAlignment="1">
      <alignment horizontal="center"/>
    </xf>
    <xf numFmtId="0" fontId="22" fillId="19" borderId="1" xfId="0" applyFont="1" applyFill="1" applyBorder="1" applyAlignment="1">
      <alignment horizontal="center"/>
    </xf>
    <xf numFmtId="0" fontId="22" fillId="18" borderId="1" xfId="0" applyFont="1" applyFill="1" applyBorder="1" applyAlignment="1">
      <alignment horizontal="center"/>
    </xf>
    <xf numFmtId="180" fontId="22" fillId="17" borderId="1" xfId="0" applyNumberFormat="1" applyFont="1" applyFill="1" applyBorder="1"/>
    <xf numFmtId="0" fontId="26" fillId="17" borderId="1" xfId="0" applyFont="1" applyFill="1" applyBorder="1" applyAlignment="1">
      <alignment horizontal="center"/>
    </xf>
    <xf numFmtId="0" fontId="26" fillId="4" borderId="20" xfId="0" applyFont="1" applyFill="1" applyBorder="1" applyAlignment="1">
      <alignment vertical="center"/>
    </xf>
    <xf numFmtId="180" fontId="22" fillId="4" borderId="1" xfId="0" applyNumberFormat="1" applyFont="1" applyFill="1" applyBorder="1"/>
    <xf numFmtId="0" fontId="26" fillId="19" borderId="1" xfId="0" applyFont="1" applyFill="1" applyBorder="1" applyAlignment="1">
      <alignment horizontal="center"/>
    </xf>
    <xf numFmtId="182" fontId="22" fillId="19" borderId="1" xfId="0" applyNumberFormat="1" applyFont="1" applyFill="1" applyBorder="1"/>
    <xf numFmtId="0" fontId="26" fillId="18" borderId="1" xfId="0" applyFont="1" applyFill="1" applyBorder="1" applyAlignment="1">
      <alignment horizontal="center"/>
    </xf>
    <xf numFmtId="180" fontId="22" fillId="18" borderId="1" xfId="0" applyNumberFormat="1" applyFont="1" applyFill="1" applyBorder="1"/>
    <xf numFmtId="14" fontId="21" fillId="0" borderId="1" xfId="0" applyNumberFormat="1" applyFont="1" applyBorder="1" applyAlignment="1">
      <alignment vertical="center"/>
    </xf>
    <xf numFmtId="14" fontId="21" fillId="20" borderId="1" xfId="0" applyNumberFormat="1" applyFont="1" applyFill="1" applyBorder="1" applyAlignment="1">
      <alignment vertical="center"/>
    </xf>
    <xf numFmtId="14" fontId="43" fillId="0" borderId="4" xfId="0" applyNumberFormat="1" applyFont="1" applyBorder="1"/>
    <xf numFmtId="41" fontId="43" fillId="0" borderId="4" xfId="0" applyNumberFormat="1" applyFont="1" applyBorder="1"/>
    <xf numFmtId="43" fontId="34" fillId="0" borderId="1" xfId="0" applyNumberFormat="1" applyFont="1" applyBorder="1" applyAlignment="1">
      <alignment horizontal="center" vertical="center"/>
    </xf>
    <xf numFmtId="10" fontId="40" fillId="0" borderId="1" xfId="4" applyNumberFormat="1" applyFont="1" applyBorder="1" applyAlignment="1">
      <alignment horizontal="center" vertical="center"/>
    </xf>
    <xf numFmtId="43" fontId="47" fillId="0" borderId="0" xfId="0" applyNumberFormat="1" applyFont="1" applyBorder="1" applyAlignment="1">
      <alignment horizontal="center"/>
    </xf>
    <xf numFmtId="0" fontId="47" fillId="0" borderId="0" xfId="0" applyFont="1" applyFill="1" applyBorder="1" applyAlignment="1">
      <alignment horizontal="center"/>
    </xf>
    <xf numFmtId="43" fontId="48" fillId="0" borderId="0" xfId="0" applyNumberFormat="1" applyFont="1" applyBorder="1"/>
    <xf numFmtId="43" fontId="34" fillId="0" borderId="4" xfId="0" applyNumberFormat="1" applyFont="1" applyBorder="1" applyAlignment="1">
      <alignment horizontal="center" vertical="center"/>
    </xf>
    <xf numFmtId="0" fontId="40" fillId="7" borderId="33" xfId="0" applyFont="1" applyFill="1" applyBorder="1" applyAlignment="1">
      <alignment horizontal="center" vertical="center" wrapText="1"/>
    </xf>
    <xf numFmtId="10" fontId="49" fillId="16" borderId="4" xfId="4" applyNumberFormat="1" applyFont="1" applyFill="1" applyBorder="1" applyAlignment="1">
      <alignment horizontal="center"/>
    </xf>
    <xf numFmtId="0" fontId="50" fillId="0" borderId="0" xfId="3" applyFont="1"/>
    <xf numFmtId="166" fontId="51" fillId="4" borderId="5" xfId="3" applyNumberFormat="1" applyFont="1" applyFill="1" applyBorder="1" applyAlignment="1">
      <alignment horizontal="center" vertical="center" wrapText="1"/>
    </xf>
    <xf numFmtId="167" fontId="52" fillId="2" borderId="8" xfId="3" applyNumberFormat="1" applyFont="1" applyFill="1" applyBorder="1" applyAlignment="1">
      <alignment horizontal="center"/>
    </xf>
    <xf numFmtId="168" fontId="52" fillId="0" borderId="8" xfId="0" applyNumberFormat="1" applyFont="1" applyFill="1" applyBorder="1" applyAlignment="1"/>
    <xf numFmtId="168" fontId="52" fillId="2" borderId="8" xfId="0" applyNumberFormat="1" applyFont="1" applyFill="1" applyBorder="1" applyAlignment="1"/>
    <xf numFmtId="168" fontId="52" fillId="2" borderId="8" xfId="3" applyNumberFormat="1" applyFont="1" applyFill="1" applyBorder="1" applyAlignment="1"/>
    <xf numFmtId="166" fontId="51" fillId="2" borderId="6" xfId="3" applyNumberFormat="1" applyFont="1" applyFill="1" applyBorder="1"/>
    <xf numFmtId="0" fontId="53" fillId="0" borderId="0" xfId="0" applyFont="1"/>
    <xf numFmtId="0" fontId="42" fillId="7" borderId="33" xfId="0" applyFont="1" applyFill="1" applyBorder="1" applyAlignment="1">
      <alignment horizontal="center" vertical="center" wrapText="1"/>
    </xf>
    <xf numFmtId="0" fontId="25" fillId="3" borderId="4" xfId="0" applyFont="1" applyFill="1" applyBorder="1" applyAlignment="1">
      <alignment horizontal="left" vertical="center" wrapText="1"/>
    </xf>
    <xf numFmtId="43" fontId="34" fillId="0" borderId="24" xfId="0" applyNumberFormat="1" applyFont="1" applyBorder="1" applyAlignment="1">
      <alignment horizontal="center" vertical="center"/>
    </xf>
    <xf numFmtId="43" fontId="34" fillId="0" borderId="4" xfId="0" applyNumberFormat="1" applyFont="1" applyBorder="1" applyAlignment="1">
      <alignment horizontal="center" vertical="center"/>
    </xf>
    <xf numFmtId="10" fontId="40" fillId="0" borderId="4" xfId="4" applyNumberFormat="1" applyFont="1" applyBorder="1" applyAlignment="1">
      <alignment horizontal="center" vertical="center"/>
    </xf>
    <xf numFmtId="0" fontId="21" fillId="21" borderId="20" xfId="0" applyFont="1" applyFill="1" applyBorder="1"/>
    <xf numFmtId="14" fontId="21" fillId="21" borderId="1" xfId="0" applyNumberFormat="1" applyFont="1" applyFill="1" applyBorder="1"/>
    <xf numFmtId="14" fontId="22" fillId="21" borderId="1" xfId="0" applyNumberFormat="1" applyFont="1" applyFill="1" applyBorder="1"/>
    <xf numFmtId="0" fontId="21" fillId="21" borderId="1" xfId="0" applyFont="1" applyFill="1" applyBorder="1"/>
    <xf numFmtId="0" fontId="25" fillId="3" borderId="19" xfId="0" applyFont="1" applyFill="1" applyBorder="1" applyAlignment="1">
      <alignment vertical="center" wrapText="1"/>
    </xf>
    <xf numFmtId="0" fontId="25" fillId="3" borderId="4" xfId="0" applyFont="1" applyFill="1" applyBorder="1" applyAlignment="1">
      <alignment horizontal="left" vertical="center" wrapText="1"/>
    </xf>
    <xf numFmtId="43" fontId="34" fillId="0" borderId="24" xfId="0" applyNumberFormat="1" applyFont="1" applyBorder="1" applyAlignment="1">
      <alignment horizontal="center" vertical="center"/>
    </xf>
    <xf numFmtId="43" fontId="34" fillId="0" borderId="4" xfId="0" applyNumberFormat="1" applyFont="1" applyBorder="1" applyAlignment="1">
      <alignment horizontal="center" vertical="center"/>
    </xf>
    <xf numFmtId="10" fontId="40" fillId="0" borderId="24" xfId="4" applyNumberFormat="1" applyFont="1" applyBorder="1" applyAlignment="1">
      <alignment horizontal="center" vertical="center"/>
    </xf>
    <xf numFmtId="10" fontId="40" fillId="0" borderId="4" xfId="4" applyNumberFormat="1" applyFont="1" applyBorder="1" applyAlignment="1">
      <alignment horizontal="center" vertical="center"/>
    </xf>
    <xf numFmtId="0" fontId="25" fillId="3" borderId="4" xfId="0" applyFont="1" applyFill="1" applyBorder="1" applyAlignment="1">
      <alignment horizontal="left" vertical="center" wrapText="1"/>
    </xf>
    <xf numFmtId="43" fontId="34" fillId="0" borderId="1" xfId="0" applyNumberFormat="1" applyFont="1" applyBorder="1" applyAlignment="1">
      <alignment horizontal="center" vertical="center"/>
    </xf>
    <xf numFmtId="10" fontId="40" fillId="0" borderId="1" xfId="4" applyNumberFormat="1" applyFont="1" applyBorder="1" applyAlignment="1">
      <alignment horizontal="center" vertical="center"/>
    </xf>
    <xf numFmtId="43" fontId="34" fillId="0" borderId="4" xfId="0" applyNumberFormat="1" applyFont="1" applyBorder="1" applyAlignment="1">
      <alignment horizontal="center" vertical="center"/>
    </xf>
    <xf numFmtId="10" fontId="40" fillId="0" borderId="4" xfId="4" applyNumberFormat="1" applyFont="1" applyBorder="1" applyAlignment="1">
      <alignment horizontal="center" vertical="center"/>
    </xf>
    <xf numFmtId="43" fontId="34" fillId="0" borderId="1" xfId="0" applyNumberFormat="1" applyFont="1" applyBorder="1" applyAlignment="1">
      <alignment horizontal="center" vertical="center"/>
    </xf>
    <xf numFmtId="10" fontId="40" fillId="0" borderId="1" xfId="4" applyNumberFormat="1" applyFont="1" applyBorder="1" applyAlignment="1">
      <alignment horizontal="center" vertical="center"/>
    </xf>
    <xf numFmtId="166" fontId="10" fillId="4" borderId="18" xfId="3" applyNumberFormat="1" applyFont="1" applyFill="1" applyBorder="1" applyAlignment="1">
      <alignment horizontal="center" vertical="center" wrapText="1"/>
    </xf>
    <xf numFmtId="166" fontId="10" fillId="4" borderId="19" xfId="3" applyNumberFormat="1" applyFont="1" applyFill="1" applyBorder="1" applyAlignment="1">
      <alignment horizontal="center" vertical="center" wrapText="1"/>
    </xf>
    <xf numFmtId="166" fontId="10" fillId="4" borderId="5" xfId="3" applyNumberFormat="1" applyFont="1" applyFill="1" applyBorder="1" applyAlignment="1">
      <alignment horizontal="center" vertical="center" wrapText="1"/>
    </xf>
    <xf numFmtId="43" fontId="34" fillId="0" borderId="1" xfId="0" applyNumberFormat="1" applyFont="1" applyBorder="1" applyAlignment="1">
      <alignment horizontal="center" vertical="center"/>
    </xf>
    <xf numFmtId="10" fontId="40" fillId="0" borderId="1" xfId="4" applyNumberFormat="1" applyFont="1" applyBorder="1" applyAlignment="1">
      <alignment horizontal="center" vertical="center"/>
    </xf>
    <xf numFmtId="168" fontId="9" fillId="3" borderId="8" xfId="0" applyNumberFormat="1" applyFont="1" applyFill="1" applyBorder="1" applyAlignment="1"/>
    <xf numFmtId="168" fontId="9" fillId="2" borderId="8" xfId="3" applyNumberFormat="1" applyFont="1" applyFill="1" applyBorder="1" applyAlignment="1"/>
    <xf numFmtId="186" fontId="2" fillId="2" borderId="4" xfId="0" applyNumberFormat="1" applyFont="1" applyFill="1" applyBorder="1"/>
    <xf numFmtId="186" fontId="2" fillId="2" borderId="1" xfId="0" applyNumberFormat="1" applyFont="1" applyFill="1" applyBorder="1"/>
    <xf numFmtId="186" fontId="4" fillId="2" borderId="6" xfId="0" applyNumberFormat="1" applyFont="1" applyFill="1" applyBorder="1"/>
    <xf numFmtId="186" fontId="2" fillId="0" borderId="8" xfId="0" applyNumberFormat="1" applyFont="1" applyFill="1" applyBorder="1" applyAlignment="1"/>
    <xf numFmtId="186" fontId="54" fillId="0" borderId="0" xfId="0" applyNumberFormat="1" applyFont="1"/>
    <xf numFmtId="43" fontId="34" fillId="0" borderId="1" xfId="0" applyNumberFormat="1" applyFont="1" applyBorder="1" applyAlignment="1">
      <alignment horizontal="center" vertical="center"/>
    </xf>
    <xf numFmtId="10" fontId="40" fillId="0" borderId="1" xfId="4" applyNumberFormat="1" applyFont="1" applyBorder="1" applyAlignment="1">
      <alignment horizontal="center" vertical="center"/>
    </xf>
    <xf numFmtId="10" fontId="56" fillId="0" borderId="19" xfId="4" applyNumberFormat="1" applyFont="1" applyBorder="1" applyAlignment="1">
      <alignment horizontal="center" vertical="center"/>
    </xf>
    <xf numFmtId="10" fontId="56" fillId="0" borderId="24" xfId="4" applyNumberFormat="1" applyFont="1" applyBorder="1" applyAlignment="1">
      <alignment horizontal="center" vertical="center"/>
    </xf>
    <xf numFmtId="0" fontId="25" fillId="0" borderId="0" xfId="0" applyFont="1" applyAlignment="1">
      <alignment horizontal="center"/>
    </xf>
    <xf numFmtId="0" fontId="25" fillId="0" borderId="1" xfId="0" applyFont="1" applyBorder="1" applyAlignment="1">
      <alignment horizontal="center"/>
    </xf>
    <xf numFmtId="0" fontId="25" fillId="3" borderId="1" xfId="0" applyFont="1" applyFill="1" applyBorder="1" applyAlignment="1">
      <alignment horizontal="center"/>
    </xf>
    <xf numFmtId="0" fontId="25" fillId="3" borderId="0" xfId="0" applyFont="1" applyFill="1" applyAlignment="1">
      <alignment horizontal="center"/>
    </xf>
    <xf numFmtId="0" fontId="57" fillId="0" borderId="0" xfId="0" applyFont="1"/>
    <xf numFmtId="0" fontId="34" fillId="0" borderId="0" xfId="0" applyFont="1" applyFill="1" applyBorder="1" applyAlignment="1">
      <alignment horizontal="center" vertical="center" wrapText="1"/>
    </xf>
    <xf numFmtId="0" fontId="25" fillId="0" borderId="0" xfId="0" applyFont="1" applyFill="1" applyBorder="1" applyAlignment="1">
      <alignment horizontal="center"/>
    </xf>
    <xf numFmtId="0" fontId="25" fillId="0" borderId="0" xfId="0" applyFont="1" applyFill="1" applyAlignment="1">
      <alignment horizontal="center"/>
    </xf>
    <xf numFmtId="0" fontId="34" fillId="0" borderId="17" xfId="0" applyFont="1" applyFill="1" applyBorder="1" applyAlignment="1">
      <alignment horizontal="center" vertical="center" wrapText="1"/>
    </xf>
    <xf numFmtId="0" fontId="25" fillId="3" borderId="4" xfId="0" applyFont="1" applyFill="1" applyBorder="1" applyAlignment="1">
      <alignment horizontal="left" vertical="center" wrapText="1"/>
    </xf>
    <xf numFmtId="43" fontId="34" fillId="0" borderId="1" xfId="0" applyNumberFormat="1" applyFont="1" applyBorder="1" applyAlignment="1">
      <alignment horizontal="center" vertical="center"/>
    </xf>
    <xf numFmtId="10" fontId="40" fillId="0" borderId="1" xfId="4" applyNumberFormat="1" applyFont="1" applyBorder="1" applyAlignment="1">
      <alignment horizontal="center" vertical="center"/>
    </xf>
    <xf numFmtId="0" fontId="25" fillId="3" borderId="1" xfId="0" applyFont="1" applyFill="1" applyBorder="1" applyAlignment="1">
      <alignment horizontal="left" vertical="center" wrapText="1"/>
    </xf>
    <xf numFmtId="0" fontId="25" fillId="0" borderId="4" xfId="0" applyFont="1" applyBorder="1" applyAlignment="1">
      <alignment horizontal="center" vertical="center"/>
    </xf>
    <xf numFmtId="0" fontId="25" fillId="0" borderId="1" xfId="0" applyFont="1" applyBorder="1" applyAlignment="1">
      <alignment horizontal="center" vertical="center"/>
    </xf>
    <xf numFmtId="0" fontId="25" fillId="0" borderId="1" xfId="0" applyFont="1" applyFill="1" applyBorder="1" applyAlignment="1">
      <alignment horizontal="center"/>
    </xf>
    <xf numFmtId="43" fontId="34" fillId="0" borderId="24" xfId="0" applyNumberFormat="1" applyFont="1" applyBorder="1" applyAlignment="1">
      <alignment horizontal="center" vertical="center"/>
    </xf>
    <xf numFmtId="43" fontId="34" fillId="0" borderId="4" xfId="0" applyNumberFormat="1" applyFont="1" applyBorder="1" applyAlignment="1">
      <alignment horizontal="center" vertical="center"/>
    </xf>
    <xf numFmtId="10" fontId="40" fillId="0" borderId="24" xfId="4" applyNumberFormat="1" applyFont="1" applyBorder="1" applyAlignment="1">
      <alignment horizontal="center" vertical="center"/>
    </xf>
    <xf numFmtId="10" fontId="40" fillId="0" borderId="4" xfId="4" applyNumberFormat="1" applyFont="1" applyBorder="1" applyAlignment="1">
      <alignment horizontal="center" vertical="center"/>
    </xf>
    <xf numFmtId="0" fontId="25" fillId="3" borderId="4" xfId="0" applyFont="1" applyFill="1" applyBorder="1" applyAlignment="1">
      <alignment horizontal="left" vertical="center" wrapText="1"/>
    </xf>
    <xf numFmtId="10" fontId="56" fillId="0" borderId="24" xfId="4" applyNumberFormat="1" applyFont="1" applyBorder="1" applyAlignment="1">
      <alignment horizontal="center" vertical="center"/>
    </xf>
    <xf numFmtId="43" fontId="34" fillId="0" borderId="1" xfId="0" applyNumberFormat="1" applyFont="1" applyBorder="1" applyAlignment="1">
      <alignment horizontal="center" vertical="center"/>
    </xf>
    <xf numFmtId="0" fontId="40" fillId="7" borderId="33" xfId="0" applyFont="1" applyFill="1" applyBorder="1" applyAlignment="1">
      <alignment horizontal="center" vertical="center" wrapText="1"/>
    </xf>
    <xf numFmtId="0" fontId="34" fillId="7" borderId="33" xfId="0" applyFont="1" applyFill="1" applyBorder="1" applyAlignment="1">
      <alignment horizontal="center" vertical="center" wrapText="1"/>
    </xf>
    <xf numFmtId="0" fontId="25" fillId="3" borderId="0" xfId="0" applyFont="1" applyFill="1"/>
    <xf numFmtId="0" fontId="24" fillId="3" borderId="1" xfId="0" applyFont="1" applyFill="1" applyBorder="1" applyAlignment="1">
      <alignment horizontal="center"/>
    </xf>
    <xf numFmtId="0" fontId="24" fillId="3" borderId="0" xfId="0" applyFont="1" applyFill="1"/>
    <xf numFmtId="0" fontId="25" fillId="9" borderId="1" xfId="0" applyFont="1" applyFill="1" applyBorder="1" applyAlignment="1">
      <alignment horizontal="center"/>
    </xf>
    <xf numFmtId="0" fontId="25" fillId="5" borderId="1" xfId="0" applyFont="1" applyFill="1" applyBorder="1"/>
    <xf numFmtId="187" fontId="0" fillId="5" borderId="1" xfId="0" applyNumberFormat="1" applyFill="1" applyBorder="1"/>
    <xf numFmtId="186" fontId="58" fillId="5" borderId="1" xfId="0" applyNumberFormat="1" applyFont="1" applyFill="1" applyBorder="1"/>
    <xf numFmtId="190" fontId="58" fillId="5" borderId="1" xfId="0" applyNumberFormat="1" applyFont="1" applyFill="1" applyBorder="1"/>
    <xf numFmtId="0" fontId="58" fillId="5" borderId="1" xfId="0" applyFont="1" applyFill="1" applyBorder="1"/>
    <xf numFmtId="186" fontId="0" fillId="5" borderId="1" xfId="0" applyNumberFormat="1" applyFill="1" applyBorder="1"/>
    <xf numFmtId="10" fontId="59" fillId="5" borderId="1" xfId="4" applyNumberFormat="1" applyFont="1" applyFill="1" applyBorder="1"/>
    <xf numFmtId="10" fontId="60" fillId="5" borderId="1" xfId="4" applyNumberFormat="1" applyFont="1" applyFill="1" applyBorder="1"/>
    <xf numFmtId="0" fontId="29" fillId="3" borderId="1" xfId="0" applyFont="1" applyFill="1" applyBorder="1"/>
    <xf numFmtId="0" fontId="29" fillId="3" borderId="15" xfId="0" applyFont="1" applyFill="1" applyBorder="1"/>
    <xf numFmtId="0" fontId="29" fillId="3" borderId="32" xfId="0" applyFont="1" applyFill="1" applyBorder="1"/>
    <xf numFmtId="190" fontId="24" fillId="3" borderId="1" xfId="0" applyNumberFormat="1" applyFont="1" applyFill="1" applyBorder="1"/>
    <xf numFmtId="190" fontId="25" fillId="3" borderId="1" xfId="0" applyNumberFormat="1" applyFont="1" applyFill="1" applyBorder="1"/>
    <xf numFmtId="10" fontId="30" fillId="3" borderId="1" xfId="4" applyNumberFormat="1" applyFont="1" applyFill="1" applyBorder="1"/>
    <xf numFmtId="10" fontId="32" fillId="3" borderId="1" xfId="4" applyNumberFormat="1" applyFont="1" applyFill="1" applyBorder="1"/>
    <xf numFmtId="190" fontId="24" fillId="3" borderId="15" xfId="0" applyNumberFormat="1" applyFont="1" applyFill="1" applyBorder="1"/>
    <xf numFmtId="10" fontId="30" fillId="3" borderId="15" xfId="4" applyNumberFormat="1" applyFont="1" applyFill="1" applyBorder="1"/>
    <xf numFmtId="10" fontId="32" fillId="3" borderId="15" xfId="4" applyNumberFormat="1" applyFont="1" applyFill="1" applyBorder="1"/>
    <xf numFmtId="190" fontId="24" fillId="3" borderId="32" xfId="0" applyNumberFormat="1" applyFont="1" applyFill="1" applyBorder="1"/>
    <xf numFmtId="10" fontId="30" fillId="3" borderId="32" xfId="4" applyNumberFormat="1" applyFont="1" applyFill="1" applyBorder="1"/>
    <xf numFmtId="10" fontId="32" fillId="3" borderId="32" xfId="4" applyNumberFormat="1" applyFont="1" applyFill="1" applyBorder="1"/>
    <xf numFmtId="0" fontId="30" fillId="3" borderId="1" xfId="0" applyFont="1" applyFill="1" applyBorder="1"/>
    <xf numFmtId="186" fontId="24" fillId="3" borderId="1" xfId="0" applyNumberFormat="1" applyFont="1" applyFill="1" applyBorder="1"/>
    <xf numFmtId="0" fontId="30" fillId="3" borderId="0" xfId="0" applyFont="1" applyFill="1" applyBorder="1"/>
    <xf numFmtId="186" fontId="24" fillId="3" borderId="0" xfId="0" applyNumberFormat="1" applyFont="1" applyFill="1" applyBorder="1"/>
    <xf numFmtId="10" fontId="29" fillId="3" borderId="0" xfId="4" applyNumberFormat="1" applyFont="1" applyFill="1" applyBorder="1"/>
    <xf numFmtId="10" fontId="32" fillId="3" borderId="0" xfId="4" applyNumberFormat="1" applyFont="1" applyFill="1" applyBorder="1"/>
    <xf numFmtId="0" fontId="34" fillId="9" borderId="1" xfId="0" applyFont="1" applyFill="1" applyBorder="1" applyAlignment="1">
      <alignment horizontal="center" vertical="center" wrapText="1"/>
    </xf>
    <xf numFmtId="0" fontId="25" fillId="16" borderId="1" xfId="0" applyFont="1" applyFill="1" applyBorder="1"/>
    <xf numFmtId="190" fontId="25" fillId="16" borderId="1" xfId="0" applyNumberFormat="1" applyFont="1" applyFill="1" applyBorder="1"/>
    <xf numFmtId="0" fontId="30" fillId="16" borderId="1" xfId="0" applyFont="1" applyFill="1" applyBorder="1"/>
    <xf numFmtId="186" fontId="24" fillId="16" borderId="1" xfId="0" applyNumberFormat="1" applyFont="1" applyFill="1" applyBorder="1"/>
    <xf numFmtId="10" fontId="29" fillId="16" borderId="1" xfId="4" applyNumberFormat="1" applyFont="1" applyFill="1" applyBorder="1"/>
    <xf numFmtId="10" fontId="32" fillId="16" borderId="1" xfId="4" applyNumberFormat="1" applyFont="1" applyFill="1" applyBorder="1"/>
    <xf numFmtId="0" fontId="25" fillId="16" borderId="1" xfId="0" applyFont="1" applyFill="1" applyBorder="1" applyAlignment="1">
      <alignment horizontal="center"/>
    </xf>
    <xf numFmtId="0" fontId="34" fillId="5" borderId="1" xfId="0" applyFont="1" applyFill="1" applyBorder="1" applyAlignment="1">
      <alignment horizontal="center"/>
    </xf>
    <xf numFmtId="0" fontId="61" fillId="5" borderId="1" xfId="0" applyFont="1" applyFill="1" applyBorder="1" applyAlignment="1">
      <alignment horizontal="center"/>
    </xf>
    <xf numFmtId="0" fontId="25" fillId="0" borderId="4" xfId="0" applyFont="1" applyBorder="1" applyAlignment="1">
      <alignment horizontal="center"/>
    </xf>
    <xf numFmtId="177" fontId="21" fillId="0" borderId="0" xfId="0" applyNumberFormat="1" applyFont="1"/>
    <xf numFmtId="164" fontId="2" fillId="5" borderId="4" xfId="2" applyFont="1" applyFill="1" applyBorder="1"/>
    <xf numFmtId="43" fontId="34" fillId="0" borderId="1" xfId="0" applyNumberFormat="1" applyFont="1" applyBorder="1" applyAlignment="1">
      <alignment horizontal="center" vertical="center"/>
    </xf>
    <xf numFmtId="10" fontId="40" fillId="0" borderId="1" xfId="4" applyNumberFormat="1" applyFont="1" applyBorder="1" applyAlignment="1">
      <alignment horizontal="center" vertical="center"/>
    </xf>
    <xf numFmtId="0" fontId="25" fillId="3" borderId="1" xfId="0" applyFont="1" applyFill="1" applyBorder="1" applyAlignment="1">
      <alignment horizontal="left" vertical="center" wrapText="1"/>
    </xf>
    <xf numFmtId="10" fontId="56" fillId="0" borderId="1" xfId="4" applyNumberFormat="1" applyFont="1" applyBorder="1" applyAlignment="1">
      <alignment horizontal="center" vertical="center"/>
    </xf>
    <xf numFmtId="0" fontId="22" fillId="21" borderId="1" xfId="0" applyFont="1" applyFill="1" applyBorder="1" applyAlignment="1">
      <alignment horizontal="center" vertical="center"/>
    </xf>
    <xf numFmtId="0" fontId="22" fillId="19" borderId="20" xfId="0" applyFont="1" applyFill="1" applyBorder="1" applyAlignment="1">
      <alignment horizontal="center"/>
    </xf>
    <xf numFmtId="0" fontId="22" fillId="19" borderId="2" xfId="0" applyFont="1" applyFill="1" applyBorder="1" applyAlignment="1">
      <alignment horizontal="center"/>
    </xf>
    <xf numFmtId="0" fontId="22" fillId="17" borderId="1" xfId="0" applyFont="1" applyFill="1" applyBorder="1" applyAlignment="1">
      <alignment horizontal="center"/>
    </xf>
    <xf numFmtId="0" fontId="22" fillId="4" borderId="1" xfId="0" applyFont="1" applyFill="1" applyBorder="1" applyAlignment="1">
      <alignment horizontal="center"/>
    </xf>
    <xf numFmtId="0" fontId="22" fillId="18" borderId="1" xfId="0" applyFont="1" applyFill="1" applyBorder="1" applyAlignment="1">
      <alignment horizontal="center"/>
    </xf>
    <xf numFmtId="0" fontId="22" fillId="0" borderId="0" xfId="0" applyFont="1" applyAlignment="1">
      <alignment horizontal="center"/>
    </xf>
    <xf numFmtId="0" fontId="26" fillId="18" borderId="1" xfId="0" applyFont="1" applyFill="1" applyBorder="1" applyAlignment="1">
      <alignment horizontal="center"/>
    </xf>
    <xf numFmtId="0" fontId="26" fillId="19" borderId="1" xfId="0" applyFont="1" applyFill="1" applyBorder="1" applyAlignment="1">
      <alignment horizontal="center"/>
    </xf>
    <xf numFmtId="0" fontId="26" fillId="17" borderId="1" xfId="0" applyFont="1" applyFill="1" applyBorder="1" applyAlignment="1">
      <alignment horizontal="center"/>
    </xf>
    <xf numFmtId="0" fontId="26" fillId="4" borderId="1" xfId="0" applyFont="1" applyFill="1" applyBorder="1" applyAlignment="1">
      <alignment horizontal="center"/>
    </xf>
    <xf numFmtId="0" fontId="22" fillId="0" borderId="20" xfId="0" applyFont="1" applyBorder="1" applyAlignment="1">
      <alignment horizontal="center"/>
    </xf>
    <xf numFmtId="0" fontId="22" fillId="0" borderId="2" xfId="0" applyFont="1" applyBorder="1" applyAlignment="1">
      <alignment horizontal="center"/>
    </xf>
    <xf numFmtId="0" fontId="22" fillId="0" borderId="1" xfId="0" applyFont="1" applyBorder="1" applyAlignment="1">
      <alignment horizontal="center"/>
    </xf>
    <xf numFmtId="0" fontId="22" fillId="17" borderId="32" xfId="0" applyFont="1" applyFill="1" applyBorder="1" applyAlignment="1">
      <alignment horizontal="center"/>
    </xf>
    <xf numFmtId="0" fontId="22" fillId="4" borderId="20" xfId="0" applyFont="1" applyFill="1" applyBorder="1" applyAlignment="1">
      <alignment horizontal="center"/>
    </xf>
    <xf numFmtId="0" fontId="22" fillId="4" borderId="32" xfId="0" applyFont="1" applyFill="1" applyBorder="1" applyAlignment="1">
      <alignment horizontal="center"/>
    </xf>
    <xf numFmtId="0" fontId="22" fillId="19" borderId="32" xfId="0" applyFont="1" applyFill="1" applyBorder="1" applyAlignment="1">
      <alignment horizontal="center"/>
    </xf>
    <xf numFmtId="0" fontId="22" fillId="18" borderId="20" xfId="0" applyFont="1" applyFill="1" applyBorder="1" applyAlignment="1">
      <alignment horizontal="center"/>
    </xf>
    <xf numFmtId="0" fontId="22" fillId="18" borderId="32" xfId="0" applyFont="1" applyFill="1" applyBorder="1" applyAlignment="1">
      <alignment horizontal="center"/>
    </xf>
    <xf numFmtId="0" fontId="25" fillId="5" borderId="1" xfId="0" applyFont="1" applyFill="1" applyBorder="1" applyAlignment="1">
      <alignment horizontal="center" vertical="center"/>
    </xf>
    <xf numFmtId="0" fontId="25" fillId="5" borderId="1" xfId="0" applyFont="1" applyFill="1" applyBorder="1" applyAlignment="1">
      <alignment horizontal="center" vertical="center" wrapText="1"/>
    </xf>
    <xf numFmtId="166" fontId="34" fillId="12" borderId="1" xfId="0" applyNumberFormat="1" applyFont="1" applyFill="1" applyBorder="1" applyAlignment="1">
      <alignment horizontal="center" vertical="center" wrapText="1"/>
    </xf>
    <xf numFmtId="182" fontId="34" fillId="12" borderId="1" xfId="0" applyNumberFormat="1" applyFont="1" applyFill="1" applyBorder="1" applyAlignment="1">
      <alignment vertical="center" wrapText="1"/>
    </xf>
    <xf numFmtId="0" fontId="25" fillId="8" borderId="20" xfId="0" applyFont="1" applyFill="1" applyBorder="1" applyAlignment="1">
      <alignment horizontal="center"/>
    </xf>
    <xf numFmtId="0" fontId="25" fillId="8" borderId="32" xfId="0" applyFont="1" applyFill="1" applyBorder="1" applyAlignment="1">
      <alignment horizontal="center"/>
    </xf>
    <xf numFmtId="0" fontId="25" fillId="8" borderId="2" xfId="0" applyFont="1" applyFill="1" applyBorder="1" applyAlignment="1">
      <alignment horizontal="center"/>
    </xf>
    <xf numFmtId="0" fontId="25" fillId="8" borderId="1" xfId="0" applyFont="1" applyFill="1" applyBorder="1" applyAlignment="1">
      <alignment horizontal="center"/>
    </xf>
    <xf numFmtId="0" fontId="29" fillId="8" borderId="1" xfId="0" applyFont="1" applyFill="1" applyBorder="1" applyAlignment="1">
      <alignment horizontal="center"/>
    </xf>
    <xf numFmtId="0" fontId="25" fillId="13" borderId="20" xfId="0" applyFont="1" applyFill="1" applyBorder="1" applyAlignment="1">
      <alignment horizontal="center"/>
    </xf>
    <xf numFmtId="0" fontId="25" fillId="13" borderId="32" xfId="0" applyFont="1" applyFill="1" applyBorder="1" applyAlignment="1">
      <alignment horizontal="center"/>
    </xf>
    <xf numFmtId="0" fontId="25" fillId="13" borderId="2" xfId="0" applyFont="1" applyFill="1" applyBorder="1" applyAlignment="1">
      <alignment horizontal="center"/>
    </xf>
    <xf numFmtId="0" fontId="25" fillId="13" borderId="1" xfId="0" applyFont="1" applyFill="1" applyBorder="1" applyAlignment="1">
      <alignment horizontal="center"/>
    </xf>
    <xf numFmtId="0" fontId="29" fillId="13" borderId="1" xfId="0" applyFont="1" applyFill="1" applyBorder="1" applyAlignment="1">
      <alignment horizontal="center"/>
    </xf>
    <xf numFmtId="180" fontId="34" fillId="12" borderId="1" xfId="0" applyNumberFormat="1" applyFont="1" applyFill="1" applyBorder="1" applyAlignment="1">
      <alignment vertical="center" wrapText="1"/>
    </xf>
    <xf numFmtId="166" fontId="38" fillId="14" borderId="0" xfId="0" applyNumberFormat="1" applyFont="1" applyFill="1" applyAlignment="1">
      <alignment horizontal="center" vertical="center"/>
    </xf>
    <xf numFmtId="0" fontId="34" fillId="12" borderId="24" xfId="0" applyFont="1" applyFill="1" applyBorder="1" applyAlignment="1">
      <alignment horizontal="center" vertical="center" wrapText="1"/>
    </xf>
    <xf numFmtId="0" fontId="34" fillId="12" borderId="4" xfId="0" applyFont="1" applyFill="1" applyBorder="1" applyAlignment="1">
      <alignment horizontal="center" vertical="center" wrapText="1"/>
    </xf>
    <xf numFmtId="0" fontId="25" fillId="11" borderId="1" xfId="0" applyFont="1" applyFill="1" applyBorder="1" applyAlignment="1">
      <alignment horizontal="center" vertical="center"/>
    </xf>
    <xf numFmtId="0" fontId="25" fillId="11" borderId="20" xfId="0" applyFont="1" applyFill="1" applyBorder="1" applyAlignment="1">
      <alignment horizontal="center"/>
    </xf>
    <xf numFmtId="0" fontId="25" fillId="11" borderId="32" xfId="0" applyFont="1" applyFill="1" applyBorder="1" applyAlignment="1">
      <alignment horizontal="center"/>
    </xf>
    <xf numFmtId="0" fontId="25" fillId="11" borderId="2" xfId="0" applyFont="1" applyFill="1" applyBorder="1" applyAlignment="1">
      <alignment horizontal="center"/>
    </xf>
    <xf numFmtId="0" fontId="25" fillId="10" borderId="20" xfId="0" applyFont="1" applyFill="1" applyBorder="1" applyAlignment="1">
      <alignment horizontal="center"/>
    </xf>
    <xf numFmtId="0" fontId="25" fillId="10" borderId="32" xfId="0" applyFont="1" applyFill="1" applyBorder="1" applyAlignment="1">
      <alignment horizontal="center"/>
    </xf>
    <xf numFmtId="0" fontId="25" fillId="10" borderId="2" xfId="0" applyFont="1" applyFill="1" applyBorder="1" applyAlignment="1">
      <alignment horizontal="center"/>
    </xf>
    <xf numFmtId="0" fontId="25" fillId="10" borderId="1" xfId="0" applyFont="1" applyFill="1" applyBorder="1" applyAlignment="1">
      <alignment horizontal="center"/>
    </xf>
    <xf numFmtId="0" fontId="25" fillId="11" borderId="1" xfId="0" applyFont="1" applyFill="1" applyBorder="1" applyAlignment="1">
      <alignment horizontal="center"/>
    </xf>
    <xf numFmtId="0" fontId="29" fillId="11" borderId="1" xfId="0" applyFont="1" applyFill="1" applyBorder="1" applyAlignment="1">
      <alignment horizontal="center"/>
    </xf>
    <xf numFmtId="0" fontId="29" fillId="7" borderId="1" xfId="0" applyFont="1" applyFill="1" applyBorder="1" applyAlignment="1">
      <alignment horizontal="center"/>
    </xf>
    <xf numFmtId="0" fontId="25" fillId="7" borderId="1" xfId="0" applyFont="1" applyFill="1" applyBorder="1" applyAlignment="1">
      <alignment horizontal="center"/>
    </xf>
    <xf numFmtId="0" fontId="29" fillId="10" borderId="1" xfId="0" applyFont="1" applyFill="1" applyBorder="1" applyAlignment="1">
      <alignment horizontal="center"/>
    </xf>
    <xf numFmtId="0" fontId="25" fillId="7" borderId="20" xfId="0" applyFont="1" applyFill="1" applyBorder="1" applyAlignment="1">
      <alignment horizontal="center"/>
    </xf>
    <xf numFmtId="0" fontId="25" fillId="7" borderId="32" xfId="0" applyFont="1" applyFill="1" applyBorder="1" applyAlignment="1">
      <alignment horizontal="center"/>
    </xf>
    <xf numFmtId="0" fontId="25" fillId="7" borderId="2" xfId="0" applyFont="1" applyFill="1" applyBorder="1" applyAlignment="1">
      <alignment horizontal="center"/>
    </xf>
    <xf numFmtId="164" fontId="4" fillId="3" borderId="0" xfId="0" applyNumberFormat="1" applyFont="1" applyFill="1" applyAlignment="1">
      <alignment horizontal="center"/>
    </xf>
    <xf numFmtId="171" fontId="2" fillId="3" borderId="0" xfId="0" applyNumberFormat="1" applyFont="1" applyFill="1" applyAlignment="1">
      <alignment horizontal="center"/>
    </xf>
    <xf numFmtId="164" fontId="4" fillId="15" borderId="24" xfId="0" applyNumberFormat="1" applyFont="1" applyFill="1" applyBorder="1" applyAlignment="1">
      <alignment horizontal="center" vertical="center" wrapText="1"/>
    </xf>
    <xf numFmtId="164" fontId="4" fillId="15" borderId="19" xfId="0" applyNumberFormat="1" applyFont="1" applyFill="1" applyBorder="1" applyAlignment="1">
      <alignment horizontal="center" vertical="center" wrapText="1"/>
    </xf>
    <xf numFmtId="164" fontId="4" fillId="15" borderId="4" xfId="0" applyNumberFormat="1" applyFont="1" applyFill="1" applyBorder="1" applyAlignment="1">
      <alignment horizontal="center" vertical="center" wrapText="1"/>
    </xf>
    <xf numFmtId="0" fontId="4" fillId="15" borderId="20" xfId="5" applyFont="1" applyFill="1" applyBorder="1" applyAlignment="1">
      <alignment horizontal="center" vertical="center" wrapText="1"/>
    </xf>
    <xf numFmtId="0" fontId="4" fillId="15" borderId="32" xfId="5" applyFont="1" applyFill="1" applyBorder="1" applyAlignment="1">
      <alignment horizontal="center" vertical="center" wrapText="1"/>
    </xf>
    <xf numFmtId="164" fontId="10" fillId="15" borderId="24" xfId="0" applyNumberFormat="1" applyFont="1" applyFill="1" applyBorder="1" applyAlignment="1">
      <alignment horizontal="center" vertical="center" wrapText="1"/>
    </xf>
    <xf numFmtId="164" fontId="10" fillId="15" borderId="19" xfId="0" applyNumberFormat="1" applyFont="1" applyFill="1" applyBorder="1" applyAlignment="1">
      <alignment horizontal="center" vertical="center" wrapText="1"/>
    </xf>
    <xf numFmtId="164" fontId="10" fillId="15" borderId="4" xfId="0" applyNumberFormat="1" applyFont="1" applyFill="1" applyBorder="1" applyAlignment="1">
      <alignment horizontal="center" vertical="center" wrapText="1"/>
    </xf>
    <xf numFmtId="0" fontId="4" fillId="15" borderId="2" xfId="5" applyFont="1" applyFill="1" applyBorder="1" applyAlignment="1">
      <alignment horizontal="center" vertical="center" wrapText="1"/>
    </xf>
    <xf numFmtId="0" fontId="4" fillId="15" borderId="24" xfId="5" applyFont="1" applyFill="1" applyBorder="1" applyAlignment="1">
      <alignment horizontal="center" vertical="center" wrapText="1"/>
    </xf>
    <xf numFmtId="0" fontId="4" fillId="15" borderId="4" xfId="5" applyFont="1" applyFill="1" applyBorder="1" applyAlignment="1">
      <alignment horizontal="center" vertical="center" wrapText="1"/>
    </xf>
    <xf numFmtId="164" fontId="11" fillId="15" borderId="24" xfId="0" applyNumberFormat="1" applyFont="1" applyFill="1" applyBorder="1" applyAlignment="1">
      <alignment horizontal="center" vertical="center" wrapText="1"/>
    </xf>
    <xf numFmtId="164" fontId="11" fillId="15" borderId="19" xfId="0" applyNumberFormat="1" applyFont="1" applyFill="1" applyBorder="1" applyAlignment="1">
      <alignment horizontal="center" vertical="center" wrapText="1"/>
    </xf>
    <xf numFmtId="164" fontId="11" fillId="15" borderId="4" xfId="0" applyNumberFormat="1" applyFont="1" applyFill="1" applyBorder="1" applyAlignment="1">
      <alignment horizontal="center" vertical="center" wrapText="1"/>
    </xf>
    <xf numFmtId="169" fontId="4" fillId="15" borderId="24" xfId="0" applyNumberFormat="1" applyFont="1" applyFill="1" applyBorder="1" applyAlignment="1">
      <alignment horizontal="center" vertical="center" wrapText="1"/>
    </xf>
    <xf numFmtId="169" fontId="4" fillId="15" borderId="19" xfId="0" applyNumberFormat="1" applyFont="1" applyFill="1" applyBorder="1" applyAlignment="1">
      <alignment horizontal="center" vertical="center" wrapText="1"/>
    </xf>
    <xf numFmtId="169" fontId="4" fillId="15" borderId="4" xfId="0" applyNumberFormat="1" applyFont="1" applyFill="1" applyBorder="1" applyAlignment="1">
      <alignment horizontal="center" vertical="center" wrapText="1"/>
    </xf>
    <xf numFmtId="166" fontId="1" fillId="2" borderId="0" xfId="3" applyNumberFormat="1" applyFont="1" applyFill="1" applyAlignment="1">
      <alignment horizontal="center"/>
    </xf>
    <xf numFmtId="166" fontId="3" fillId="2" borderId="0" xfId="3" applyNumberFormat="1" applyFont="1" applyFill="1" applyAlignment="1">
      <alignment horizontal="center"/>
    </xf>
    <xf numFmtId="166" fontId="4" fillId="4" borderId="29" xfId="3" applyNumberFormat="1" applyFont="1" applyFill="1" applyBorder="1" applyAlignment="1">
      <alignment horizontal="center" vertical="center" wrapText="1"/>
    </xf>
    <xf numFmtId="166" fontId="4" fillId="4" borderId="30" xfId="3" applyNumberFormat="1" applyFont="1" applyFill="1" applyBorder="1" applyAlignment="1">
      <alignment horizontal="center" vertical="center" wrapText="1"/>
    </xf>
    <xf numFmtId="166" fontId="4" fillId="4" borderId="31" xfId="3" applyNumberFormat="1" applyFont="1" applyFill="1" applyBorder="1" applyAlignment="1">
      <alignment horizontal="center" vertical="center" wrapText="1"/>
    </xf>
    <xf numFmtId="166" fontId="10" fillId="4" borderId="18" xfId="3" applyNumberFormat="1" applyFont="1" applyFill="1" applyBorder="1" applyAlignment="1">
      <alignment horizontal="center" vertical="center" wrapText="1"/>
    </xf>
    <xf numFmtId="166" fontId="10" fillId="4" borderId="19" xfId="3" applyNumberFormat="1" applyFont="1" applyFill="1" applyBorder="1" applyAlignment="1">
      <alignment horizontal="center" vertical="center" wrapText="1"/>
    </xf>
    <xf numFmtId="166" fontId="10" fillId="4" borderId="5" xfId="3" applyNumberFormat="1" applyFont="1" applyFill="1" applyBorder="1" applyAlignment="1">
      <alignment horizontal="center" vertical="center" wrapText="1"/>
    </xf>
    <xf numFmtId="166" fontId="4" fillId="4" borderId="18" xfId="3" applyNumberFormat="1" applyFont="1" applyFill="1" applyBorder="1" applyAlignment="1">
      <alignment horizontal="center" vertical="center" wrapText="1"/>
    </xf>
    <xf numFmtId="166" fontId="4" fillId="4" borderId="19" xfId="3" applyNumberFormat="1" applyFont="1" applyFill="1" applyBorder="1" applyAlignment="1">
      <alignment horizontal="center" vertical="center" wrapText="1"/>
    </xf>
    <xf numFmtId="166" fontId="4" fillId="4" borderId="4" xfId="3" applyNumberFormat="1" applyFont="1" applyFill="1" applyBorder="1" applyAlignment="1">
      <alignment horizontal="center" vertical="center" wrapText="1"/>
    </xf>
    <xf numFmtId="166" fontId="10" fillId="4" borderId="21" xfId="3" applyNumberFormat="1" applyFont="1" applyFill="1" applyBorder="1" applyAlignment="1">
      <alignment horizontal="center"/>
    </xf>
    <xf numFmtId="166" fontId="10" fillId="4" borderId="22" xfId="3" applyNumberFormat="1" applyFont="1" applyFill="1" applyBorder="1" applyAlignment="1">
      <alignment horizontal="center"/>
    </xf>
    <xf numFmtId="166" fontId="10" fillId="4" borderId="23" xfId="3" applyNumberFormat="1" applyFont="1" applyFill="1" applyBorder="1" applyAlignment="1">
      <alignment horizontal="center"/>
    </xf>
    <xf numFmtId="166" fontId="4" fillId="4" borderId="25" xfId="3" applyNumberFormat="1" applyFont="1" applyFill="1" applyBorder="1" applyAlignment="1">
      <alignment horizontal="center" vertical="center" wrapText="1"/>
    </xf>
    <xf numFmtId="0" fontId="5" fillId="4" borderId="26" xfId="3" applyFont="1" applyFill="1" applyBorder="1" applyAlignment="1">
      <alignment vertical="center" wrapText="1"/>
    </xf>
    <xf numFmtId="0" fontId="6" fillId="4" borderId="27" xfId="3" applyFill="1" applyBorder="1" applyAlignment="1">
      <alignment vertical="center" wrapText="1"/>
    </xf>
    <xf numFmtId="166" fontId="4" fillId="4" borderId="28" xfId="3" applyNumberFormat="1" applyFont="1" applyFill="1" applyBorder="1" applyAlignment="1">
      <alignment horizontal="center"/>
    </xf>
    <xf numFmtId="166" fontId="4" fillId="4" borderId="15" xfId="3" applyNumberFormat="1" applyFont="1" applyFill="1" applyBorder="1" applyAlignment="1">
      <alignment horizontal="center"/>
    </xf>
    <xf numFmtId="166" fontId="4" fillId="4" borderId="16" xfId="3" applyNumberFormat="1" applyFont="1" applyFill="1" applyBorder="1" applyAlignment="1">
      <alignment horizontal="center"/>
    </xf>
    <xf numFmtId="166" fontId="10" fillId="4" borderId="24" xfId="3" applyNumberFormat="1" applyFont="1" applyFill="1" applyBorder="1" applyAlignment="1">
      <alignment horizontal="center" vertical="center" wrapText="1"/>
    </xf>
    <xf numFmtId="166" fontId="4" fillId="4" borderId="24" xfId="0" applyNumberFormat="1" applyFont="1" applyFill="1" applyBorder="1" applyAlignment="1">
      <alignment horizontal="center" vertical="center"/>
    </xf>
    <xf numFmtId="166" fontId="4" fillId="4" borderId="19" xfId="0" applyNumberFormat="1" applyFont="1" applyFill="1" applyBorder="1" applyAlignment="1">
      <alignment horizontal="center" vertical="center"/>
    </xf>
    <xf numFmtId="166" fontId="4" fillId="4" borderId="1" xfId="3" applyNumberFormat="1" applyFont="1" applyFill="1" applyBorder="1" applyAlignment="1">
      <alignment horizontal="center" vertical="center" wrapText="1"/>
    </xf>
    <xf numFmtId="166" fontId="10" fillId="4" borderId="20" xfId="3" applyNumberFormat="1" applyFont="1" applyFill="1" applyBorder="1" applyAlignment="1">
      <alignment horizontal="center" vertical="center" wrapText="1"/>
    </xf>
    <xf numFmtId="166" fontId="10" fillId="4" borderId="2" xfId="3" applyNumberFormat="1" applyFont="1" applyFill="1" applyBorder="1" applyAlignment="1">
      <alignment horizontal="center" vertical="center" wrapText="1"/>
    </xf>
    <xf numFmtId="166" fontId="51" fillId="4" borderId="18" xfId="3" applyNumberFormat="1" applyFont="1" applyFill="1" applyBorder="1" applyAlignment="1">
      <alignment horizontal="center" vertical="center" wrapText="1"/>
    </xf>
    <xf numFmtId="166" fontId="51" fillId="4" borderId="19" xfId="3" applyNumberFormat="1" applyFont="1" applyFill="1" applyBorder="1" applyAlignment="1">
      <alignment horizontal="center" vertical="center" wrapText="1"/>
    </xf>
    <xf numFmtId="166" fontId="51" fillId="4" borderId="5" xfId="3" applyNumberFormat="1" applyFont="1" applyFill="1" applyBorder="1" applyAlignment="1">
      <alignment horizontal="center" vertical="center" wrapText="1"/>
    </xf>
    <xf numFmtId="166" fontId="10" fillId="4" borderId="20" xfId="3" applyNumberFormat="1" applyFont="1" applyFill="1" applyBorder="1" applyAlignment="1">
      <alignment horizontal="center" vertical="center"/>
    </xf>
    <xf numFmtId="166" fontId="10" fillId="4" borderId="2" xfId="3" applyNumberFormat="1" applyFont="1" applyFill="1" applyBorder="1" applyAlignment="1">
      <alignment horizontal="center" vertical="center"/>
    </xf>
    <xf numFmtId="166" fontId="10" fillId="4" borderId="28" xfId="3" applyNumberFormat="1" applyFont="1" applyFill="1" applyBorder="1" applyAlignment="1">
      <alignment horizontal="center"/>
    </xf>
    <xf numFmtId="166" fontId="10" fillId="4" borderId="15" xfId="3" applyNumberFormat="1" applyFont="1" applyFill="1" applyBorder="1" applyAlignment="1">
      <alignment horizontal="center"/>
    </xf>
    <xf numFmtId="166" fontId="10" fillId="4" borderId="16" xfId="3" applyNumberFormat="1" applyFont="1" applyFill="1" applyBorder="1" applyAlignment="1">
      <alignment horizontal="center"/>
    </xf>
    <xf numFmtId="166" fontId="10" fillId="4" borderId="1" xfId="3" applyNumberFormat="1" applyFont="1" applyFill="1" applyBorder="1" applyAlignment="1">
      <alignment horizontal="center" vertical="center" wrapText="1"/>
    </xf>
    <xf numFmtId="166" fontId="20" fillId="10" borderId="0" xfId="0" applyNumberFormat="1" applyFont="1" applyFill="1" applyAlignment="1">
      <alignment horizontal="center"/>
    </xf>
    <xf numFmtId="0" fontId="17" fillId="0" borderId="0" xfId="0" applyFont="1" applyAlignment="1">
      <alignment horizontal="center"/>
    </xf>
    <xf numFmtId="166" fontId="11" fillId="7" borderId="0" xfId="0" applyNumberFormat="1" applyFont="1" applyFill="1" applyAlignment="1">
      <alignment horizontal="center"/>
    </xf>
    <xf numFmtId="166" fontId="19" fillId="9" borderId="0" xfId="0" applyNumberFormat="1" applyFont="1" applyFill="1" applyAlignment="1">
      <alignment horizontal="center"/>
    </xf>
    <xf numFmtId="166" fontId="10" fillId="8" borderId="0" xfId="0" applyNumberFormat="1" applyFont="1" applyFill="1" applyAlignment="1">
      <alignment horizontal="center"/>
    </xf>
    <xf numFmtId="166" fontId="4" fillId="2" borderId="0" xfId="0" applyNumberFormat="1" applyFont="1" applyFill="1" applyBorder="1" applyAlignment="1">
      <alignment horizontal="center"/>
    </xf>
    <xf numFmtId="165" fontId="10" fillId="10" borderId="0" xfId="0" applyNumberFormat="1" applyFont="1" applyFill="1" applyAlignment="1">
      <alignment horizontal="center" vertical="center"/>
    </xf>
    <xf numFmtId="166" fontId="4" fillId="2" borderId="17" xfId="0" applyNumberFormat="1" applyFont="1" applyFill="1" applyBorder="1" applyAlignment="1">
      <alignment horizontal="center"/>
    </xf>
    <xf numFmtId="166" fontId="4" fillId="2" borderId="0" xfId="0" applyNumberFormat="1" applyFont="1" applyFill="1" applyAlignment="1">
      <alignment horizontal="center" vertical="center" wrapText="1"/>
    </xf>
    <xf numFmtId="166" fontId="4" fillId="2" borderId="0" xfId="0" applyNumberFormat="1" applyFont="1" applyFill="1" applyAlignment="1">
      <alignment horizontal="center" vertical="center"/>
    </xf>
    <xf numFmtId="166" fontId="4" fillId="2" borderId="15" xfId="0" applyNumberFormat="1" applyFont="1" applyFill="1" applyBorder="1" applyAlignment="1">
      <alignment horizontal="center" vertical="center"/>
    </xf>
    <xf numFmtId="166" fontId="13" fillId="3" borderId="0" xfId="3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166" fontId="4" fillId="6" borderId="0" xfId="0" applyNumberFormat="1" applyFont="1" applyFill="1" applyAlignment="1">
      <alignment horizontal="center"/>
    </xf>
    <xf numFmtId="171" fontId="4" fillId="6" borderId="0" xfId="0" applyNumberFormat="1" applyFont="1" applyFill="1" applyAlignment="1">
      <alignment horizontal="center"/>
    </xf>
    <xf numFmtId="0" fontId="3" fillId="0" borderId="0" xfId="0" applyFont="1" applyAlignment="1">
      <alignment horizontal="center"/>
    </xf>
    <xf numFmtId="17" fontId="3" fillId="0" borderId="0" xfId="0" quotePrefix="1" applyNumberFormat="1" applyFont="1" applyAlignment="1">
      <alignment horizontal="center"/>
    </xf>
    <xf numFmtId="0" fontId="25" fillId="0" borderId="24" xfId="0" applyFont="1" applyBorder="1" applyAlignment="1">
      <alignment horizontal="center" vertical="center"/>
    </xf>
    <xf numFmtId="0" fontId="25" fillId="0" borderId="19" xfId="0" applyFont="1" applyBorder="1" applyAlignment="1">
      <alignment horizontal="center" vertical="center"/>
    </xf>
    <xf numFmtId="0" fontId="25" fillId="0" borderId="4" xfId="0" applyFont="1" applyBorder="1" applyAlignment="1">
      <alignment horizontal="center" vertical="center"/>
    </xf>
    <xf numFmtId="0" fontId="0" fillId="0" borderId="19" xfId="0" applyBorder="1" applyAlignment="1">
      <alignment vertical="center"/>
    </xf>
    <xf numFmtId="0" fontId="0" fillId="0" borderId="4" xfId="0" applyBorder="1" applyAlignment="1">
      <alignment vertical="center"/>
    </xf>
    <xf numFmtId="0" fontId="34" fillId="0" borderId="24" xfId="0" applyFont="1" applyBorder="1" applyAlignment="1">
      <alignment horizontal="center" vertical="center"/>
    </xf>
    <xf numFmtId="0" fontId="34" fillId="0" borderId="19" xfId="0" applyFont="1" applyBorder="1" applyAlignment="1">
      <alignment horizontal="center" vertical="center"/>
    </xf>
    <xf numFmtId="0" fontId="34" fillId="0" borderId="4" xfId="0" applyFont="1" applyBorder="1" applyAlignment="1">
      <alignment horizontal="center" vertical="center"/>
    </xf>
    <xf numFmtId="0" fontId="25" fillId="3" borderId="24" xfId="0" applyFont="1" applyFill="1" applyBorder="1" applyAlignment="1">
      <alignment horizontal="left" vertical="center" wrapText="1"/>
    </xf>
    <xf numFmtId="0" fontId="25" fillId="3" borderId="19" xfId="0" applyFont="1" applyFill="1" applyBorder="1" applyAlignment="1">
      <alignment horizontal="left" vertical="center" wrapText="1"/>
    </xf>
    <xf numFmtId="0" fontId="25" fillId="3" borderId="4" xfId="0" applyFont="1" applyFill="1" applyBorder="1" applyAlignment="1">
      <alignment horizontal="left" vertical="center" wrapText="1"/>
    </xf>
    <xf numFmtId="43" fontId="34" fillId="0" borderId="1" xfId="0" applyNumberFormat="1" applyFont="1" applyBorder="1" applyAlignment="1">
      <alignment horizontal="center" vertical="center"/>
    </xf>
    <xf numFmtId="10" fontId="40" fillId="0" borderId="1" xfId="4" applyNumberFormat="1" applyFont="1" applyBorder="1" applyAlignment="1">
      <alignment horizontal="center" vertical="center"/>
    </xf>
    <xf numFmtId="0" fontId="25" fillId="3" borderId="1" xfId="0" applyFont="1" applyFill="1" applyBorder="1" applyAlignment="1">
      <alignment horizontal="left" vertical="center" wrapText="1"/>
    </xf>
    <xf numFmtId="43" fontId="34" fillId="0" borderId="24" xfId="0" applyNumberFormat="1" applyFont="1" applyBorder="1" applyAlignment="1">
      <alignment horizontal="center" vertical="center"/>
    </xf>
    <xf numFmtId="43" fontId="34" fillId="0" borderId="19" xfId="0" applyNumberFormat="1" applyFont="1" applyBorder="1" applyAlignment="1">
      <alignment horizontal="center" vertical="center"/>
    </xf>
    <xf numFmtId="43" fontId="34" fillId="0" borderId="4" xfId="0" applyNumberFormat="1" applyFont="1" applyBorder="1" applyAlignment="1">
      <alignment horizontal="center" vertical="center"/>
    </xf>
    <xf numFmtId="10" fontId="40" fillId="0" borderId="24" xfId="4" applyNumberFormat="1" applyFont="1" applyBorder="1" applyAlignment="1">
      <alignment horizontal="center" vertical="center"/>
    </xf>
    <xf numFmtId="10" fontId="40" fillId="0" borderId="19" xfId="4" applyNumberFormat="1" applyFont="1" applyBorder="1" applyAlignment="1">
      <alignment horizontal="center" vertical="center"/>
    </xf>
    <xf numFmtId="10" fontId="40" fillId="0" borderId="4" xfId="4" applyNumberFormat="1" applyFont="1" applyBorder="1" applyAlignment="1">
      <alignment horizontal="center" vertical="center"/>
    </xf>
    <xf numFmtId="10" fontId="56" fillId="0" borderId="1" xfId="4" applyNumberFormat="1" applyFont="1" applyBorder="1" applyAlignment="1">
      <alignment horizontal="center" vertical="center"/>
    </xf>
    <xf numFmtId="10" fontId="56" fillId="0" borderId="24" xfId="4" applyNumberFormat="1" applyFont="1" applyBorder="1" applyAlignment="1">
      <alignment horizontal="center" vertical="center"/>
    </xf>
    <xf numFmtId="10" fontId="56" fillId="0" borderId="19" xfId="4" applyNumberFormat="1" applyFont="1" applyBorder="1" applyAlignment="1">
      <alignment horizontal="center" vertical="center"/>
    </xf>
    <xf numFmtId="10" fontId="56" fillId="0" borderId="4" xfId="4" applyNumberFormat="1" applyFont="1" applyBorder="1" applyAlignment="1">
      <alignment horizontal="center" vertical="center"/>
    </xf>
    <xf numFmtId="0" fontId="34" fillId="0" borderId="24" xfId="0" applyFont="1" applyFill="1" applyBorder="1" applyAlignment="1">
      <alignment horizontal="center" vertical="center"/>
    </xf>
    <xf numFmtId="0" fontId="34" fillId="0" borderId="19" xfId="0" applyFont="1" applyFill="1" applyBorder="1" applyAlignment="1">
      <alignment horizontal="center" vertical="center"/>
    </xf>
    <xf numFmtId="0" fontId="34" fillId="0" borderId="4" xfId="0" applyFont="1" applyFill="1" applyBorder="1" applyAlignment="1">
      <alignment horizontal="center" vertical="center"/>
    </xf>
    <xf numFmtId="0" fontId="39" fillId="9" borderId="35" xfId="0" applyFont="1" applyFill="1" applyBorder="1" applyAlignment="1">
      <alignment horizontal="center" vertical="center"/>
    </xf>
    <xf numFmtId="0" fontId="39" fillId="9" borderId="34" xfId="0" applyFont="1" applyFill="1" applyBorder="1" applyAlignment="1">
      <alignment horizontal="center" vertical="center"/>
    </xf>
    <xf numFmtId="0" fontId="39" fillId="9" borderId="36" xfId="0" applyFont="1" applyFill="1" applyBorder="1" applyAlignment="1">
      <alignment horizontal="center" vertical="center"/>
    </xf>
    <xf numFmtId="0" fontId="40" fillId="7" borderId="33" xfId="0" applyFont="1" applyFill="1" applyBorder="1" applyAlignment="1">
      <alignment horizontal="center" vertical="center" wrapText="1"/>
    </xf>
    <xf numFmtId="0" fontId="34" fillId="0" borderId="1" xfId="0" applyFont="1" applyBorder="1" applyAlignment="1">
      <alignment horizontal="center" vertical="center"/>
    </xf>
    <xf numFmtId="0" fontId="34" fillId="7" borderId="37" xfId="0" applyFont="1" applyFill="1" applyBorder="1" applyAlignment="1">
      <alignment horizontal="center" vertical="center" wrapText="1"/>
    </xf>
    <xf numFmtId="0" fontId="34" fillId="7" borderId="38" xfId="0" applyFont="1" applyFill="1" applyBorder="1" applyAlignment="1">
      <alignment horizontal="center" vertical="center" wrapText="1"/>
    </xf>
    <xf numFmtId="0" fontId="34" fillId="7" borderId="42" xfId="0" applyFont="1" applyFill="1" applyBorder="1" applyAlignment="1">
      <alignment horizontal="center" vertical="center" wrapText="1"/>
    </xf>
    <xf numFmtId="0" fontId="34" fillId="7" borderId="43" xfId="0" applyFont="1" applyFill="1" applyBorder="1" applyAlignment="1">
      <alignment horizontal="center" vertical="center" wrapText="1"/>
    </xf>
    <xf numFmtId="0" fontId="34" fillId="7" borderId="39" xfId="0" applyFont="1" applyFill="1" applyBorder="1" applyAlignment="1">
      <alignment horizontal="center" vertical="center" wrapText="1"/>
    </xf>
    <xf numFmtId="0" fontId="34" fillId="7" borderId="44" xfId="0" applyFont="1" applyFill="1" applyBorder="1" applyAlignment="1">
      <alignment horizontal="center" vertical="center" wrapText="1"/>
    </xf>
    <xf numFmtId="0" fontId="34" fillId="7" borderId="45" xfId="0" applyFont="1" applyFill="1" applyBorder="1" applyAlignment="1">
      <alignment horizontal="center" vertical="center" wrapText="1"/>
    </xf>
    <xf numFmtId="0" fontId="34" fillId="7" borderId="33" xfId="0" applyFont="1" applyFill="1" applyBorder="1" applyAlignment="1">
      <alignment horizontal="center" vertical="center" wrapText="1"/>
    </xf>
    <xf numFmtId="0" fontId="34" fillId="7" borderId="40" xfId="0" applyFont="1" applyFill="1" applyBorder="1" applyAlignment="1">
      <alignment horizontal="center" vertical="center" wrapText="1"/>
    </xf>
    <xf numFmtId="0" fontId="25" fillId="3" borderId="46" xfId="0" applyFont="1" applyFill="1" applyBorder="1" applyAlignment="1">
      <alignment horizontal="left" vertical="center" wrapText="1"/>
    </xf>
    <xf numFmtId="0" fontId="34" fillId="7" borderId="41" xfId="0" applyFont="1" applyFill="1" applyBorder="1" applyAlignment="1">
      <alignment horizontal="center" vertical="center" wrapText="1"/>
    </xf>
    <xf numFmtId="0" fontId="34" fillId="7" borderId="0" xfId="0" applyFont="1" applyFill="1" applyBorder="1" applyAlignment="1">
      <alignment horizontal="center" vertical="center" wrapText="1"/>
    </xf>
    <xf numFmtId="0" fontId="34" fillId="7" borderId="48" xfId="0" applyFont="1" applyFill="1" applyBorder="1" applyAlignment="1">
      <alignment horizontal="center" vertical="center" wrapText="1"/>
    </xf>
    <xf numFmtId="0" fontId="34" fillId="7" borderId="49" xfId="0" applyFont="1" applyFill="1" applyBorder="1" applyAlignment="1">
      <alignment horizontal="center" vertical="center" wrapText="1"/>
    </xf>
    <xf numFmtId="0" fontId="34" fillId="5" borderId="28" xfId="0" applyFont="1" applyFill="1" applyBorder="1" applyAlignment="1">
      <alignment horizontal="center" vertical="center"/>
    </xf>
    <xf numFmtId="0" fontId="34" fillId="5" borderId="15" xfId="0" applyFont="1" applyFill="1" applyBorder="1" applyAlignment="1">
      <alignment horizontal="center" vertical="center"/>
    </xf>
    <xf numFmtId="0" fontId="34" fillId="5" borderId="16" xfId="0" applyFont="1" applyFill="1" applyBorder="1" applyAlignment="1">
      <alignment horizontal="center" vertical="center"/>
    </xf>
    <xf numFmtId="186" fontId="34" fillId="7" borderId="35" xfId="0" applyNumberFormat="1" applyFont="1" applyFill="1" applyBorder="1" applyAlignment="1">
      <alignment horizontal="center" vertical="center" wrapText="1"/>
    </xf>
    <xf numFmtId="186" fontId="34" fillId="7" borderId="36" xfId="0" applyNumberFormat="1" applyFont="1" applyFill="1" applyBorder="1" applyAlignment="1">
      <alignment horizontal="center" vertical="center" wrapText="1"/>
    </xf>
    <xf numFmtId="0" fontId="55" fillId="0" borderId="19" xfId="0" applyFont="1" applyBorder="1"/>
    <xf numFmtId="0" fontId="55" fillId="0" borderId="4" xfId="0" applyFont="1" applyBorder="1"/>
    <xf numFmtId="0" fontId="34" fillId="5" borderId="20" xfId="0" applyFont="1" applyFill="1" applyBorder="1" applyAlignment="1">
      <alignment horizontal="center" vertical="center"/>
    </xf>
    <xf numFmtId="0" fontId="34" fillId="5" borderId="32" xfId="0" applyFont="1" applyFill="1" applyBorder="1" applyAlignment="1">
      <alignment horizontal="center" vertical="center"/>
    </xf>
    <xf numFmtId="0" fontId="34" fillId="5" borderId="2" xfId="0" applyFont="1" applyFill="1" applyBorder="1" applyAlignment="1">
      <alignment horizontal="center" vertical="center"/>
    </xf>
    <xf numFmtId="0" fontId="40" fillId="7" borderId="39" xfId="0" applyFont="1" applyFill="1" applyBorder="1" applyAlignment="1">
      <alignment horizontal="center" vertical="center" wrapText="1"/>
    </xf>
    <xf numFmtId="0" fontId="40" fillId="7" borderId="45" xfId="0" applyFont="1" applyFill="1" applyBorder="1" applyAlignment="1">
      <alignment horizontal="center" vertical="center" wrapText="1"/>
    </xf>
    <xf numFmtId="0" fontId="34" fillId="7" borderId="35" xfId="0" applyFont="1" applyFill="1" applyBorder="1" applyAlignment="1">
      <alignment horizontal="center" vertical="center" wrapText="1"/>
    </xf>
    <xf numFmtId="0" fontId="34" fillId="7" borderId="34" xfId="0" applyFont="1" applyFill="1" applyBorder="1" applyAlignment="1">
      <alignment horizontal="center" vertical="center" wrapText="1"/>
    </xf>
    <xf numFmtId="0" fontId="34" fillId="7" borderId="36" xfId="0" applyFont="1" applyFill="1" applyBorder="1" applyAlignment="1">
      <alignment horizontal="center" vertical="center" wrapText="1"/>
    </xf>
    <xf numFmtId="0" fontId="34" fillId="0" borderId="46" xfId="0" applyFont="1" applyBorder="1" applyAlignment="1">
      <alignment horizontal="center" vertical="center"/>
    </xf>
    <xf numFmtId="0" fontId="34" fillId="9" borderId="1" xfId="0" applyFont="1" applyFill="1" applyBorder="1" applyAlignment="1">
      <alignment horizontal="center" vertical="center" wrapText="1"/>
    </xf>
    <xf numFmtId="0" fontId="25" fillId="9" borderId="1" xfId="0" applyFont="1" applyFill="1" applyBorder="1" applyAlignment="1">
      <alignment horizontal="center" vertical="center"/>
    </xf>
    <xf numFmtId="0" fontId="25" fillId="9" borderId="20" xfId="0" applyFont="1" applyFill="1" applyBorder="1" applyAlignment="1">
      <alignment horizontal="center" vertical="center"/>
    </xf>
    <xf numFmtId="164" fontId="25" fillId="5" borderId="1" xfId="0" applyNumberFormat="1" applyFont="1" applyFill="1" applyBorder="1" applyAlignment="1">
      <alignment horizontal="center" vertical="center" wrapText="1"/>
    </xf>
    <xf numFmtId="0" fontId="25" fillId="0" borderId="1" xfId="0" applyFont="1" applyBorder="1" applyAlignment="1">
      <alignment horizontal="center" wrapText="1"/>
    </xf>
    <xf numFmtId="0" fontId="25" fillId="5" borderId="24" xfId="0" applyFont="1" applyFill="1" applyBorder="1" applyAlignment="1">
      <alignment horizontal="center" vertical="center" wrapText="1"/>
    </xf>
    <xf numFmtId="0" fontId="25" fillId="5" borderId="4" xfId="0" applyFont="1" applyFill="1" applyBorder="1" applyAlignment="1">
      <alignment horizontal="center" vertical="center" wrapText="1"/>
    </xf>
    <xf numFmtId="0" fontId="25" fillId="0" borderId="24" xfId="0" applyFont="1" applyBorder="1" applyAlignment="1">
      <alignment horizontal="center" vertical="center" wrapText="1"/>
    </xf>
    <xf numFmtId="0" fontId="25" fillId="0" borderId="4" xfId="0" applyFont="1" applyBorder="1" applyAlignment="1">
      <alignment horizontal="center" vertical="center" wrapText="1"/>
    </xf>
    <xf numFmtId="165" fontId="25" fillId="0" borderId="1" xfId="0" applyNumberFormat="1" applyFont="1" applyBorder="1" applyAlignment="1">
      <alignment horizontal="center" vertical="center" wrapText="1"/>
    </xf>
    <xf numFmtId="0" fontId="25" fillId="5" borderId="1" xfId="0" applyFont="1" applyFill="1" applyBorder="1" applyAlignment="1">
      <alignment horizontal="center" wrapText="1"/>
    </xf>
    <xf numFmtId="0" fontId="25" fillId="0" borderId="1" xfId="0" applyFont="1" applyBorder="1" applyAlignment="1">
      <alignment horizontal="center" vertical="center" wrapText="1"/>
    </xf>
    <xf numFmtId="0" fontId="25" fillId="0" borderId="24" xfId="0" applyFont="1" applyBorder="1" applyAlignment="1">
      <alignment horizontal="center" wrapText="1"/>
    </xf>
    <xf numFmtId="0" fontId="25" fillId="0" borderId="4" xfId="0" applyFont="1" applyBorder="1" applyAlignment="1">
      <alignment horizontal="center" wrapText="1"/>
    </xf>
    <xf numFmtId="164" fontId="25" fillId="0" borderId="1" xfId="0" applyNumberFormat="1" applyFont="1" applyBorder="1" applyAlignment="1">
      <alignment horizontal="center" vertical="center" wrapText="1"/>
    </xf>
    <xf numFmtId="164" fontId="25" fillId="0" borderId="1" xfId="0" applyNumberFormat="1" applyFont="1" applyBorder="1" applyAlignment="1">
      <alignment horizontal="center" wrapText="1"/>
    </xf>
    <xf numFmtId="164" fontId="25" fillId="5" borderId="1" xfId="0" applyNumberFormat="1" applyFont="1" applyFill="1" applyBorder="1" applyAlignment="1">
      <alignment horizontal="center" wrapText="1"/>
    </xf>
  </cellXfs>
  <cellStyles count="6">
    <cellStyle name="Comma" xfId="1" builtinId="3"/>
    <cellStyle name="Comma [0]" xfId="2" builtinId="6"/>
    <cellStyle name="Normal" xfId="0" builtinId="0"/>
    <cellStyle name="Normal 2" xfId="3"/>
    <cellStyle name="Normal_Form Laporan SP (to Documen ISO)" xfId="5"/>
    <cellStyle name="Percent" xfId="4" builtinId="5"/>
  </cellStyles>
  <dxfs count="0"/>
  <tableStyles count="0" defaultTableStyle="TableStyleMedium9" defaultPivotStyle="PivotStyleLight16"/>
  <colors>
    <mruColors>
      <color rgb="FFCCFFFF"/>
      <color rgb="FFCCECFF"/>
      <color rgb="FF000099"/>
      <color rgb="FFFFCC99"/>
      <color rgb="FFFFCCCC"/>
      <color rgb="FF99FFCC"/>
      <color rgb="FFFF6600"/>
      <color rgb="FFFF0000"/>
      <color rgb="FFFF7C80"/>
      <color rgb="FFFF9966"/>
    </mru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5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4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2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1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27"/>
  <c:chart>
    <c:title>
      <c:tx>
        <c:rich>
          <a:bodyPr/>
          <a:lstStyle/>
          <a:p>
            <a:pPr>
              <a:defRPr lang="id-ID" sz="1200" b="1" i="0" u="none" strike="noStrike" baseline="0">
                <a:solidFill>
                  <a:srgbClr val="FF0000"/>
                </a:solidFill>
                <a:latin typeface="Book Antiqua"/>
                <a:ea typeface="Book Antiqua"/>
                <a:cs typeface="Book Antiqua"/>
              </a:defRPr>
            </a:pPr>
            <a:r>
              <a:rPr lang="id-ID"/>
              <a:t>RIJECT COOKING OKEY</a:t>
            </a:r>
          </a:p>
        </c:rich>
      </c:tx>
      <c:layout>
        <c:manualLayout>
          <c:xMode val="edge"/>
          <c:yMode val="edge"/>
          <c:x val="0.36672815466101294"/>
          <c:y val="4.1666775124183861E-2"/>
        </c:manualLayout>
      </c:layout>
    </c:title>
    <c:plotArea>
      <c:layout>
        <c:manualLayout>
          <c:layoutTarget val="inner"/>
          <c:xMode val="edge"/>
          <c:yMode val="edge"/>
          <c:x val="0.12544663167104494"/>
          <c:y val="0.16398977559390571"/>
          <c:w val="0.68218703386378265"/>
          <c:h val="0.63882164080660064"/>
        </c:manualLayout>
      </c:layout>
      <c:barChart>
        <c:barDir val="col"/>
        <c:grouping val="clustered"/>
        <c:ser>
          <c:idx val="0"/>
          <c:order val="0"/>
          <c:tx>
            <c:v>JANUARI 2024</c:v>
          </c:tx>
          <c:dLbls>
            <c:txPr>
              <a:bodyPr/>
              <a:lstStyle/>
              <a:p>
                <a:pPr>
                  <a:defRPr lang="id-ID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</c:dLbls>
          <c:cat>
            <c:numRef>
              <c:f>'RIJECT COOKING'!$A$7:$A$37</c:f>
              <c:numCache>
                <c:formatCode>[$-C09]dd\-mmm\-yy;@</c:formatCode>
                <c:ptCount val="31"/>
                <c:pt idx="0">
                  <c:v>46204</c:v>
                </c:pt>
                <c:pt idx="1">
                  <c:v>46205</c:v>
                </c:pt>
                <c:pt idx="2">
                  <c:v>46206</c:v>
                </c:pt>
                <c:pt idx="3">
                  <c:v>46207</c:v>
                </c:pt>
                <c:pt idx="4">
                  <c:v>46208</c:v>
                </c:pt>
                <c:pt idx="5">
                  <c:v>46209</c:v>
                </c:pt>
                <c:pt idx="6">
                  <c:v>46210</c:v>
                </c:pt>
                <c:pt idx="7">
                  <c:v>46211</c:v>
                </c:pt>
                <c:pt idx="8">
                  <c:v>46212</c:v>
                </c:pt>
                <c:pt idx="9">
                  <c:v>46213</c:v>
                </c:pt>
                <c:pt idx="10">
                  <c:v>46214</c:v>
                </c:pt>
                <c:pt idx="11">
                  <c:v>46215</c:v>
                </c:pt>
                <c:pt idx="12">
                  <c:v>46216</c:v>
                </c:pt>
                <c:pt idx="13">
                  <c:v>46217</c:v>
                </c:pt>
                <c:pt idx="14">
                  <c:v>46218</c:v>
                </c:pt>
                <c:pt idx="15">
                  <c:v>46219</c:v>
                </c:pt>
                <c:pt idx="16">
                  <c:v>46220</c:v>
                </c:pt>
                <c:pt idx="17">
                  <c:v>46221</c:v>
                </c:pt>
                <c:pt idx="18">
                  <c:v>46222</c:v>
                </c:pt>
                <c:pt idx="19">
                  <c:v>46223</c:v>
                </c:pt>
                <c:pt idx="20">
                  <c:v>46224</c:v>
                </c:pt>
                <c:pt idx="21">
                  <c:v>46225</c:v>
                </c:pt>
                <c:pt idx="22">
                  <c:v>46226</c:v>
                </c:pt>
                <c:pt idx="23">
                  <c:v>46227</c:v>
                </c:pt>
                <c:pt idx="24">
                  <c:v>46228</c:v>
                </c:pt>
                <c:pt idx="25">
                  <c:v>46229</c:v>
                </c:pt>
                <c:pt idx="26">
                  <c:v>46230</c:v>
                </c:pt>
                <c:pt idx="27">
                  <c:v>46231</c:v>
                </c:pt>
                <c:pt idx="28">
                  <c:v>46232</c:v>
                </c:pt>
                <c:pt idx="29">
                  <c:v>46233</c:v>
                </c:pt>
                <c:pt idx="30">
                  <c:v>46234</c:v>
                </c:pt>
              </c:numCache>
            </c:numRef>
          </c:cat>
          <c:val>
            <c:numRef>
              <c:f>'RIJECT COOKING'!$T$7:$T$37</c:f>
              <c:numCache>
                <c:formatCode>_(* #,##0.00_);_(* \(#,##0.00\);_(* "-"_);_(@_)</c:formatCode>
                <c:ptCount val="31"/>
                <c:pt idx="0">
                  <c:v>90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22</c:v>
                </c:pt>
                <c:pt idx="6">
                  <c:v>111.3</c:v>
                </c:pt>
                <c:pt idx="7">
                  <c:v>75.5</c:v>
                </c:pt>
                <c:pt idx="8">
                  <c:v>84</c:v>
                </c:pt>
                <c:pt idx="9">
                  <c:v>73.5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27</c:v>
                </c:pt>
                <c:pt idx="17">
                  <c:v>0</c:v>
                </c:pt>
                <c:pt idx="18">
                  <c:v>0</c:v>
                </c:pt>
                <c:pt idx="19">
                  <c:v>9</c:v>
                </c:pt>
                <c:pt idx="20">
                  <c:v>95.5</c:v>
                </c:pt>
                <c:pt idx="21">
                  <c:v>61</c:v>
                </c:pt>
                <c:pt idx="22">
                  <c:v>100.5</c:v>
                </c:pt>
                <c:pt idx="23">
                  <c:v>79</c:v>
                </c:pt>
                <c:pt idx="24">
                  <c:v>57.5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axId val="212518784"/>
        <c:axId val="212520320"/>
      </c:barChart>
      <c:dateAx>
        <c:axId val="212518784"/>
        <c:scaling>
          <c:orientation val="minMax"/>
        </c:scaling>
        <c:axPos val="b"/>
        <c:numFmt formatCode="dd/mm/yyyy" sourceLinked="0"/>
        <c:tickLblPos val="nextTo"/>
        <c:txPr>
          <a:bodyPr rot="-2700000" vert="horz"/>
          <a:lstStyle/>
          <a:p>
            <a:pPr>
              <a:defRPr lang="id-ID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12520320"/>
        <c:crosses val="autoZero"/>
        <c:auto val="1"/>
        <c:lblOffset val="100"/>
        <c:baseTimeUnit val="days"/>
        <c:majorUnit val="1"/>
        <c:majorTimeUnit val="days"/>
        <c:minorUnit val="1"/>
        <c:minorTimeUnit val="days"/>
      </c:dateAx>
      <c:valAx>
        <c:axId val="212520320"/>
        <c:scaling>
          <c:orientation val="minMax"/>
        </c:scaling>
        <c:axPos val="l"/>
        <c:majorGridlines/>
        <c:numFmt formatCode="_(* #,##0.00_);_(* \(#,##0.00\);_(* &quot;-&quot;_);_(@_)" sourceLinked="1"/>
        <c:tickLblPos val="nextTo"/>
        <c:txPr>
          <a:bodyPr rot="0" vert="horz"/>
          <a:lstStyle/>
          <a:p>
            <a:pPr>
              <a:defRPr lang="id-ID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12518784"/>
        <c:crosses val="autoZero"/>
        <c:crossBetween val="between"/>
      </c:valAx>
    </c:plotArea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27"/>
  <c:chart>
    <c:title>
      <c:tx>
        <c:rich>
          <a:bodyPr/>
          <a:lstStyle/>
          <a:p>
            <a:pPr>
              <a:defRPr lang="id-ID" sz="1200" b="1" i="0" u="none" strike="noStrike" baseline="0">
                <a:solidFill>
                  <a:srgbClr val="FF0000"/>
                </a:solidFill>
                <a:latin typeface="Book Antiqua"/>
                <a:ea typeface="Book Antiqua"/>
                <a:cs typeface="Book Antiqua"/>
              </a:defRPr>
            </a:pPr>
            <a:r>
              <a:rPr lang="id-ID"/>
              <a:t>RIJECT COOKING AYAM ORIGINAL</a:t>
            </a:r>
          </a:p>
        </c:rich>
      </c:tx>
      <c:layout>
        <c:manualLayout>
          <c:xMode val="edge"/>
          <c:yMode val="edge"/>
          <c:x val="0.36672815466101294"/>
          <c:y val="4.1666775124183861E-2"/>
        </c:manualLayout>
      </c:layout>
    </c:title>
    <c:plotArea>
      <c:layout>
        <c:manualLayout>
          <c:layoutTarget val="inner"/>
          <c:xMode val="edge"/>
          <c:yMode val="edge"/>
          <c:x val="0.12544663167104494"/>
          <c:y val="0.16398977559390571"/>
          <c:w val="0.68218703386378265"/>
          <c:h val="0.63882164080660064"/>
        </c:manualLayout>
      </c:layout>
      <c:barChart>
        <c:barDir val="col"/>
        <c:grouping val="clustered"/>
        <c:ser>
          <c:idx val="0"/>
          <c:order val="0"/>
          <c:tx>
            <c:v>''JANUARI 2024''</c:v>
          </c:tx>
          <c:dLbls>
            <c:txPr>
              <a:bodyPr/>
              <a:lstStyle/>
              <a:p>
                <a:pPr>
                  <a:defRPr lang="id-ID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</c:dLbls>
          <c:cat>
            <c:numRef>
              <c:f>'RIJECT COOKING'!$Y$7:$Y$37</c:f>
              <c:numCache>
                <c:formatCode>[$-C09]dd\-mmm\-yy;@</c:formatCode>
                <c:ptCount val="31"/>
                <c:pt idx="0">
                  <c:v>46204</c:v>
                </c:pt>
                <c:pt idx="1">
                  <c:v>46205</c:v>
                </c:pt>
                <c:pt idx="2">
                  <c:v>46206</c:v>
                </c:pt>
                <c:pt idx="3">
                  <c:v>46207</c:v>
                </c:pt>
                <c:pt idx="4">
                  <c:v>46208</c:v>
                </c:pt>
                <c:pt idx="5">
                  <c:v>46209</c:v>
                </c:pt>
                <c:pt idx="6">
                  <c:v>46210</c:v>
                </c:pt>
                <c:pt idx="7">
                  <c:v>46211</c:v>
                </c:pt>
                <c:pt idx="8">
                  <c:v>46212</c:v>
                </c:pt>
                <c:pt idx="9">
                  <c:v>46213</c:v>
                </c:pt>
                <c:pt idx="10">
                  <c:v>46214</c:v>
                </c:pt>
                <c:pt idx="11">
                  <c:v>46215</c:v>
                </c:pt>
                <c:pt idx="12">
                  <c:v>46216</c:v>
                </c:pt>
                <c:pt idx="13">
                  <c:v>46217</c:v>
                </c:pt>
                <c:pt idx="14">
                  <c:v>46218</c:v>
                </c:pt>
                <c:pt idx="15">
                  <c:v>46219</c:v>
                </c:pt>
                <c:pt idx="16">
                  <c:v>46220</c:v>
                </c:pt>
                <c:pt idx="17">
                  <c:v>46221</c:v>
                </c:pt>
                <c:pt idx="18">
                  <c:v>46222</c:v>
                </c:pt>
                <c:pt idx="19">
                  <c:v>46223</c:v>
                </c:pt>
                <c:pt idx="20">
                  <c:v>46224</c:v>
                </c:pt>
                <c:pt idx="21">
                  <c:v>46225</c:v>
                </c:pt>
                <c:pt idx="22">
                  <c:v>46226</c:v>
                </c:pt>
                <c:pt idx="23">
                  <c:v>46227</c:v>
                </c:pt>
                <c:pt idx="24">
                  <c:v>46228</c:v>
                </c:pt>
                <c:pt idx="25">
                  <c:v>46229</c:v>
                </c:pt>
                <c:pt idx="26">
                  <c:v>46230</c:v>
                </c:pt>
                <c:pt idx="27">
                  <c:v>46231</c:v>
                </c:pt>
                <c:pt idx="28">
                  <c:v>46232</c:v>
                </c:pt>
                <c:pt idx="29">
                  <c:v>46233</c:v>
                </c:pt>
                <c:pt idx="30">
                  <c:v>46234</c:v>
                </c:pt>
              </c:numCache>
            </c:numRef>
          </c:cat>
          <c:val>
            <c:numRef>
              <c:f>'RIJECT COOKING'!$AN$7:$AN$37</c:f>
              <c:numCache>
                <c:formatCode>_-* #,##0.00_-;\-* #,##0.00_-;_-* "-"??_-;_-@_-</c:formatCode>
                <c:ptCount val="31"/>
                <c:pt idx="0">
                  <c:v>7</c:v>
                </c:pt>
                <c:pt idx="1">
                  <c:v>52.5</c:v>
                </c:pt>
                <c:pt idx="2">
                  <c:v>48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2.5</c:v>
                </c:pt>
                <c:pt idx="13">
                  <c:v>71.5</c:v>
                </c:pt>
                <c:pt idx="14">
                  <c:v>84</c:v>
                </c:pt>
                <c:pt idx="15">
                  <c:v>12</c:v>
                </c:pt>
                <c:pt idx="16">
                  <c:v>19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axId val="238009728"/>
        <c:axId val="238011520"/>
      </c:barChart>
      <c:dateAx>
        <c:axId val="238009728"/>
        <c:scaling>
          <c:orientation val="minMax"/>
        </c:scaling>
        <c:axPos val="b"/>
        <c:numFmt formatCode="dd/mm/yyyy" sourceLinked="0"/>
        <c:tickLblPos val="nextTo"/>
        <c:txPr>
          <a:bodyPr rot="-2700000" vert="horz"/>
          <a:lstStyle/>
          <a:p>
            <a:pPr>
              <a:defRPr lang="id-ID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38011520"/>
        <c:crosses val="autoZero"/>
        <c:auto val="1"/>
        <c:lblOffset val="100"/>
        <c:baseTimeUnit val="days"/>
        <c:majorUnit val="1"/>
        <c:majorTimeUnit val="days"/>
        <c:minorUnit val="1"/>
        <c:minorTimeUnit val="days"/>
      </c:dateAx>
      <c:valAx>
        <c:axId val="238011520"/>
        <c:scaling>
          <c:orientation val="minMax"/>
        </c:scaling>
        <c:axPos val="l"/>
        <c:majorGridlines/>
        <c:numFmt formatCode="_-* #,##0.00_-;\-* #,##0.00_-;_-* &quot;-&quot;??_-;_-@_-" sourceLinked="1"/>
        <c:tickLblPos val="nextTo"/>
        <c:txPr>
          <a:bodyPr rot="0" vert="horz"/>
          <a:lstStyle/>
          <a:p>
            <a:pPr>
              <a:defRPr lang="id-ID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38009728"/>
        <c:crosses val="autoZero"/>
        <c:crossBetween val="between"/>
      </c:valAx>
    </c:plotArea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27"/>
  <c:chart>
    <c:title>
      <c:tx>
        <c:rich>
          <a:bodyPr/>
          <a:lstStyle/>
          <a:p>
            <a:pPr>
              <a:defRPr lang="id-ID" sz="1200" b="1" i="0" u="none" strike="noStrike" baseline="0">
                <a:solidFill>
                  <a:srgbClr val="FF0000"/>
                </a:solidFill>
                <a:latin typeface="Book Antiqua"/>
                <a:ea typeface="Book Antiqua"/>
                <a:cs typeface="Book Antiqua"/>
              </a:defRPr>
            </a:pPr>
            <a:r>
              <a:rPr lang="id-ID"/>
              <a:t>RIJECT COOKING SAPI</a:t>
            </a:r>
          </a:p>
        </c:rich>
      </c:tx>
      <c:layout>
        <c:manualLayout>
          <c:xMode val="edge"/>
          <c:yMode val="edge"/>
          <c:x val="0.36672815466101294"/>
          <c:y val="4.1666775124183861E-2"/>
        </c:manualLayout>
      </c:layout>
    </c:title>
    <c:plotArea>
      <c:layout>
        <c:manualLayout>
          <c:layoutTarget val="inner"/>
          <c:xMode val="edge"/>
          <c:yMode val="edge"/>
          <c:x val="0.12544663167104494"/>
          <c:y val="0.16398977559390571"/>
          <c:w val="0.68218703386378265"/>
          <c:h val="0.63882164080660064"/>
        </c:manualLayout>
      </c:layout>
      <c:barChart>
        <c:barDir val="col"/>
        <c:grouping val="clustered"/>
        <c:ser>
          <c:idx val="0"/>
          <c:order val="0"/>
          <c:tx>
            <c:v>JANUARI 2024</c:v>
          </c:tx>
          <c:dLbls>
            <c:txPr>
              <a:bodyPr/>
              <a:lstStyle/>
              <a:p>
                <a:pPr>
                  <a:defRPr lang="id-ID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</c:dLbls>
          <c:cat>
            <c:numRef>
              <c:f>'RIJECT COOKING'!$AW$7:$AW$37</c:f>
              <c:numCache>
                <c:formatCode>[$-C09]dd\-mmm\-yy;@</c:formatCode>
                <c:ptCount val="31"/>
                <c:pt idx="0">
                  <c:v>46204</c:v>
                </c:pt>
                <c:pt idx="1">
                  <c:v>46205</c:v>
                </c:pt>
                <c:pt idx="2">
                  <c:v>46206</c:v>
                </c:pt>
                <c:pt idx="3">
                  <c:v>46207</c:v>
                </c:pt>
                <c:pt idx="4">
                  <c:v>46208</c:v>
                </c:pt>
                <c:pt idx="5">
                  <c:v>46209</c:v>
                </c:pt>
                <c:pt idx="6">
                  <c:v>46210</c:v>
                </c:pt>
                <c:pt idx="7">
                  <c:v>46211</c:v>
                </c:pt>
                <c:pt idx="8">
                  <c:v>46212</c:v>
                </c:pt>
                <c:pt idx="9">
                  <c:v>46213</c:v>
                </c:pt>
                <c:pt idx="10">
                  <c:v>46214</c:v>
                </c:pt>
                <c:pt idx="11">
                  <c:v>46215</c:v>
                </c:pt>
                <c:pt idx="12">
                  <c:v>46216</c:v>
                </c:pt>
                <c:pt idx="13">
                  <c:v>46217</c:v>
                </c:pt>
                <c:pt idx="14">
                  <c:v>46218</c:v>
                </c:pt>
                <c:pt idx="15">
                  <c:v>46219</c:v>
                </c:pt>
                <c:pt idx="16">
                  <c:v>46220</c:v>
                </c:pt>
                <c:pt idx="17">
                  <c:v>46221</c:v>
                </c:pt>
                <c:pt idx="18">
                  <c:v>46222</c:v>
                </c:pt>
                <c:pt idx="19">
                  <c:v>46223</c:v>
                </c:pt>
                <c:pt idx="20">
                  <c:v>46224</c:v>
                </c:pt>
                <c:pt idx="21">
                  <c:v>46225</c:v>
                </c:pt>
                <c:pt idx="22">
                  <c:v>46226</c:v>
                </c:pt>
                <c:pt idx="23">
                  <c:v>46227</c:v>
                </c:pt>
                <c:pt idx="24">
                  <c:v>46228</c:v>
                </c:pt>
                <c:pt idx="25">
                  <c:v>46229</c:v>
                </c:pt>
                <c:pt idx="26">
                  <c:v>46230</c:v>
                </c:pt>
                <c:pt idx="27">
                  <c:v>46231</c:v>
                </c:pt>
                <c:pt idx="28">
                  <c:v>46232</c:v>
                </c:pt>
                <c:pt idx="29">
                  <c:v>46233</c:v>
                </c:pt>
                <c:pt idx="30">
                  <c:v>46234</c:v>
                </c:pt>
              </c:numCache>
            </c:numRef>
          </c:cat>
          <c:val>
            <c:numRef>
              <c:f>'RIJECT COOKING'!$BP$7:$BP$37</c:f>
              <c:numCache>
                <c:formatCode>_(* #,##0.00_);_(* \(#,##0.00\);_(* "-"_);_(@_)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16</c:v>
                </c:pt>
                <c:pt idx="15">
                  <c:v>137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axId val="238359296"/>
        <c:axId val="238360832"/>
      </c:barChart>
      <c:dateAx>
        <c:axId val="238359296"/>
        <c:scaling>
          <c:orientation val="minMax"/>
        </c:scaling>
        <c:axPos val="b"/>
        <c:numFmt formatCode="dd/mm/yyyy" sourceLinked="0"/>
        <c:tickLblPos val="nextTo"/>
        <c:txPr>
          <a:bodyPr rot="-2700000" vert="horz"/>
          <a:lstStyle/>
          <a:p>
            <a:pPr>
              <a:defRPr lang="id-ID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38360832"/>
        <c:crosses val="autoZero"/>
        <c:auto val="1"/>
        <c:lblOffset val="100"/>
        <c:baseTimeUnit val="days"/>
        <c:majorUnit val="1"/>
        <c:majorTimeUnit val="days"/>
        <c:minorUnit val="1"/>
        <c:minorTimeUnit val="days"/>
      </c:dateAx>
      <c:valAx>
        <c:axId val="238360832"/>
        <c:scaling>
          <c:orientation val="minMax"/>
        </c:scaling>
        <c:axPos val="l"/>
        <c:majorGridlines/>
        <c:numFmt formatCode="_(* #,##0.00_);_(* \(#,##0.00\);_(* &quot;-&quot;_);_(@_)" sourceLinked="1"/>
        <c:tickLblPos val="nextTo"/>
        <c:txPr>
          <a:bodyPr rot="0" vert="horz"/>
          <a:lstStyle/>
          <a:p>
            <a:pPr>
              <a:defRPr lang="id-ID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38359296"/>
        <c:crosses val="autoZero"/>
        <c:crossBetween val="between"/>
      </c:valAx>
    </c:plotArea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27"/>
  <c:chart>
    <c:title>
      <c:tx>
        <c:rich>
          <a:bodyPr/>
          <a:lstStyle/>
          <a:p>
            <a:pPr>
              <a:defRPr lang="id-ID" sz="1200" b="1" i="0" u="none" strike="noStrike" baseline="0">
                <a:solidFill>
                  <a:srgbClr val="FF0000"/>
                </a:solidFill>
                <a:latin typeface="Book Antiqua"/>
                <a:ea typeface="Book Antiqua"/>
                <a:cs typeface="Book Antiqua"/>
              </a:defRPr>
            </a:pPr>
            <a:r>
              <a:rPr lang="id-ID"/>
              <a:t>RIJECT COOKING OTAK2</a:t>
            </a:r>
          </a:p>
        </c:rich>
      </c:tx>
      <c:layout>
        <c:manualLayout>
          <c:xMode val="edge"/>
          <c:yMode val="edge"/>
          <c:x val="0.36672815466101294"/>
          <c:y val="4.1666775124183861E-2"/>
        </c:manualLayout>
      </c:layout>
    </c:title>
    <c:plotArea>
      <c:layout>
        <c:manualLayout>
          <c:layoutTarget val="inner"/>
          <c:xMode val="edge"/>
          <c:yMode val="edge"/>
          <c:x val="0.12544663167104494"/>
          <c:y val="0.16398977559390571"/>
          <c:w val="0.68218703386378265"/>
          <c:h val="0.63882164080660064"/>
        </c:manualLayout>
      </c:layout>
      <c:barChart>
        <c:barDir val="col"/>
        <c:grouping val="clustered"/>
        <c:ser>
          <c:idx val="0"/>
          <c:order val="0"/>
          <c:tx>
            <c:v>JANUARI 2024</c:v>
          </c:tx>
          <c:dLbls>
            <c:txPr>
              <a:bodyPr/>
              <a:lstStyle/>
              <a:p>
                <a:pPr>
                  <a:defRPr lang="id-ID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</c:dLbls>
          <c:cat>
            <c:numRef>
              <c:f>'RIJECT COOKING'!$BU$7:$BU$37</c:f>
              <c:numCache>
                <c:formatCode>[$-C09]dd\-mmm\-yy;@</c:formatCode>
                <c:ptCount val="31"/>
                <c:pt idx="0">
                  <c:v>46204</c:v>
                </c:pt>
                <c:pt idx="1">
                  <c:v>46205</c:v>
                </c:pt>
                <c:pt idx="2">
                  <c:v>46206</c:v>
                </c:pt>
                <c:pt idx="3">
                  <c:v>46207</c:v>
                </c:pt>
                <c:pt idx="4">
                  <c:v>46208</c:v>
                </c:pt>
                <c:pt idx="5">
                  <c:v>46209</c:v>
                </c:pt>
                <c:pt idx="6">
                  <c:v>46210</c:v>
                </c:pt>
                <c:pt idx="7">
                  <c:v>46211</c:v>
                </c:pt>
                <c:pt idx="8">
                  <c:v>46212</c:v>
                </c:pt>
                <c:pt idx="9">
                  <c:v>46213</c:v>
                </c:pt>
                <c:pt idx="10">
                  <c:v>46214</c:v>
                </c:pt>
                <c:pt idx="11">
                  <c:v>46215</c:v>
                </c:pt>
                <c:pt idx="12">
                  <c:v>46216</c:v>
                </c:pt>
                <c:pt idx="13">
                  <c:v>46217</c:v>
                </c:pt>
                <c:pt idx="14">
                  <c:v>46218</c:v>
                </c:pt>
                <c:pt idx="15">
                  <c:v>46219</c:v>
                </c:pt>
                <c:pt idx="16">
                  <c:v>46220</c:v>
                </c:pt>
                <c:pt idx="17">
                  <c:v>46221</c:v>
                </c:pt>
                <c:pt idx="18">
                  <c:v>46222</c:v>
                </c:pt>
                <c:pt idx="19">
                  <c:v>46223</c:v>
                </c:pt>
                <c:pt idx="20">
                  <c:v>46224</c:v>
                </c:pt>
                <c:pt idx="21">
                  <c:v>46225</c:v>
                </c:pt>
                <c:pt idx="22">
                  <c:v>46226</c:v>
                </c:pt>
                <c:pt idx="23">
                  <c:v>46227</c:v>
                </c:pt>
                <c:pt idx="24">
                  <c:v>46228</c:v>
                </c:pt>
                <c:pt idx="25">
                  <c:v>46229</c:v>
                </c:pt>
                <c:pt idx="26">
                  <c:v>46230</c:v>
                </c:pt>
                <c:pt idx="27">
                  <c:v>46231</c:v>
                </c:pt>
                <c:pt idx="28">
                  <c:v>46232</c:v>
                </c:pt>
                <c:pt idx="29">
                  <c:v>46233</c:v>
                </c:pt>
                <c:pt idx="30">
                  <c:v>46234</c:v>
                </c:pt>
              </c:numCache>
            </c:numRef>
          </c:cat>
          <c:val>
            <c:numRef>
              <c:f>'RIJECT COOKING'!$CN$7:$CN$37</c:f>
              <c:numCache>
                <c:formatCode>_(* #,##0.000_);_(* \(#,##0.000\);_(*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axId val="238393216"/>
        <c:axId val="238394752"/>
      </c:barChart>
      <c:dateAx>
        <c:axId val="238393216"/>
        <c:scaling>
          <c:orientation val="minMax"/>
        </c:scaling>
        <c:axPos val="b"/>
        <c:numFmt formatCode="dd/mm/yyyy" sourceLinked="0"/>
        <c:tickLblPos val="nextTo"/>
        <c:txPr>
          <a:bodyPr rot="-2700000" vert="horz"/>
          <a:lstStyle/>
          <a:p>
            <a:pPr>
              <a:defRPr lang="id-ID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38394752"/>
        <c:crosses val="autoZero"/>
        <c:auto val="1"/>
        <c:lblOffset val="100"/>
        <c:baseTimeUnit val="days"/>
        <c:majorUnit val="1"/>
        <c:majorTimeUnit val="days"/>
        <c:minorUnit val="1"/>
        <c:minorTimeUnit val="days"/>
      </c:dateAx>
      <c:valAx>
        <c:axId val="238394752"/>
        <c:scaling>
          <c:orientation val="minMax"/>
        </c:scaling>
        <c:axPos val="l"/>
        <c:majorGridlines/>
        <c:numFmt formatCode="_(* #,##0.000_);_(* \(#,##0.000\);_(* &quot;-&quot;??_);_(@_)" sourceLinked="1"/>
        <c:tickLblPos val="nextTo"/>
        <c:txPr>
          <a:bodyPr rot="0" vert="horz"/>
          <a:lstStyle/>
          <a:p>
            <a:pPr>
              <a:defRPr lang="id-ID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38393216"/>
        <c:crosses val="autoZero"/>
        <c:crossBetween val="between"/>
      </c:valAx>
    </c:plotArea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27"/>
  <c:chart>
    <c:title>
      <c:tx>
        <c:rich>
          <a:bodyPr/>
          <a:lstStyle/>
          <a:p>
            <a:pPr>
              <a:defRPr lang="id-ID" sz="1200" b="1" i="0" u="none" strike="noStrike" baseline="0">
                <a:solidFill>
                  <a:srgbClr val="FF0000"/>
                </a:solidFill>
                <a:latin typeface="Book Antiqua"/>
                <a:ea typeface="Book Antiqua"/>
                <a:cs typeface="Book Antiqua"/>
              </a:defRPr>
            </a:pPr>
            <a:r>
              <a:rPr lang="id-ID"/>
              <a:t>RIJECT COOKING FIESTA</a:t>
            </a:r>
          </a:p>
        </c:rich>
      </c:tx>
      <c:layout>
        <c:manualLayout>
          <c:xMode val="edge"/>
          <c:yMode val="edge"/>
          <c:x val="0.36672815466101294"/>
          <c:y val="4.1666775124183861E-2"/>
        </c:manualLayout>
      </c:layout>
    </c:title>
    <c:plotArea>
      <c:layout>
        <c:manualLayout>
          <c:layoutTarget val="inner"/>
          <c:xMode val="edge"/>
          <c:yMode val="edge"/>
          <c:x val="0.12544663167104494"/>
          <c:y val="0.16398977559390571"/>
          <c:w val="0.68218703386378265"/>
          <c:h val="0.63882164080660064"/>
        </c:manualLayout>
      </c:layout>
      <c:barChart>
        <c:barDir val="col"/>
        <c:grouping val="clustered"/>
        <c:ser>
          <c:idx val="0"/>
          <c:order val="0"/>
          <c:tx>
            <c:v>JANUARI 2024</c:v>
          </c:tx>
          <c:dLbls>
            <c:txPr>
              <a:bodyPr/>
              <a:lstStyle/>
              <a:p>
                <a:pPr>
                  <a:defRPr lang="id-ID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</c:dLbls>
          <c:cat>
            <c:numRef>
              <c:f>'RIJECT COOKING'!$CS$7:$CS$37</c:f>
              <c:numCache>
                <c:formatCode>[$-C09]dd\-mmm\-yy;@</c:formatCode>
                <c:ptCount val="31"/>
                <c:pt idx="0">
                  <c:v>46204</c:v>
                </c:pt>
                <c:pt idx="1">
                  <c:v>46205</c:v>
                </c:pt>
                <c:pt idx="2">
                  <c:v>46206</c:v>
                </c:pt>
                <c:pt idx="3">
                  <c:v>46207</c:v>
                </c:pt>
                <c:pt idx="4">
                  <c:v>46208</c:v>
                </c:pt>
                <c:pt idx="5">
                  <c:v>46209</c:v>
                </c:pt>
                <c:pt idx="6">
                  <c:v>46210</c:v>
                </c:pt>
                <c:pt idx="7">
                  <c:v>46211</c:v>
                </c:pt>
                <c:pt idx="8">
                  <c:v>46212</c:v>
                </c:pt>
                <c:pt idx="9">
                  <c:v>46213</c:v>
                </c:pt>
                <c:pt idx="10">
                  <c:v>46214</c:v>
                </c:pt>
                <c:pt idx="11">
                  <c:v>46215</c:v>
                </c:pt>
                <c:pt idx="12">
                  <c:v>46216</c:v>
                </c:pt>
                <c:pt idx="13">
                  <c:v>46217</c:v>
                </c:pt>
                <c:pt idx="14">
                  <c:v>46218</c:v>
                </c:pt>
                <c:pt idx="15">
                  <c:v>46219</c:v>
                </c:pt>
                <c:pt idx="16">
                  <c:v>46220</c:v>
                </c:pt>
                <c:pt idx="17">
                  <c:v>46221</c:v>
                </c:pt>
                <c:pt idx="18">
                  <c:v>46222</c:v>
                </c:pt>
                <c:pt idx="19">
                  <c:v>46223</c:v>
                </c:pt>
                <c:pt idx="20">
                  <c:v>46224</c:v>
                </c:pt>
                <c:pt idx="21">
                  <c:v>46225</c:v>
                </c:pt>
                <c:pt idx="22">
                  <c:v>46226</c:v>
                </c:pt>
                <c:pt idx="23">
                  <c:v>46227</c:v>
                </c:pt>
                <c:pt idx="24">
                  <c:v>46228</c:v>
                </c:pt>
                <c:pt idx="25">
                  <c:v>46229</c:v>
                </c:pt>
                <c:pt idx="26">
                  <c:v>46230</c:v>
                </c:pt>
                <c:pt idx="27">
                  <c:v>46231</c:v>
                </c:pt>
                <c:pt idx="28">
                  <c:v>46232</c:v>
                </c:pt>
                <c:pt idx="29">
                  <c:v>46233</c:v>
                </c:pt>
                <c:pt idx="30">
                  <c:v>46234</c:v>
                </c:pt>
              </c:numCache>
            </c:numRef>
          </c:cat>
          <c:val>
            <c:numRef>
              <c:f>'RIJECT COOKING'!$DL$7:$DL$37</c:f>
              <c:numCache>
                <c:formatCode>_(* #,##0.000_);_(* \(#,##0.000\);_(*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axId val="238402560"/>
        <c:axId val="241107712"/>
      </c:barChart>
      <c:dateAx>
        <c:axId val="238402560"/>
        <c:scaling>
          <c:orientation val="minMax"/>
        </c:scaling>
        <c:axPos val="b"/>
        <c:numFmt formatCode="dd/mm/yyyy" sourceLinked="0"/>
        <c:tickLblPos val="nextTo"/>
        <c:txPr>
          <a:bodyPr rot="-2700000" vert="horz"/>
          <a:lstStyle/>
          <a:p>
            <a:pPr>
              <a:defRPr lang="id-ID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41107712"/>
        <c:crosses val="autoZero"/>
        <c:auto val="1"/>
        <c:lblOffset val="100"/>
        <c:baseTimeUnit val="days"/>
        <c:majorUnit val="1"/>
        <c:majorTimeUnit val="days"/>
        <c:minorUnit val="1"/>
        <c:minorTimeUnit val="days"/>
      </c:dateAx>
      <c:valAx>
        <c:axId val="241107712"/>
        <c:scaling>
          <c:orientation val="minMax"/>
        </c:scaling>
        <c:axPos val="l"/>
        <c:majorGridlines/>
        <c:numFmt formatCode="_(* #,##0.000_);_(* \(#,##0.000\);_(* &quot;-&quot;??_);_(@_)" sourceLinked="1"/>
        <c:tickLblPos val="nextTo"/>
        <c:txPr>
          <a:bodyPr rot="0" vert="horz"/>
          <a:lstStyle/>
          <a:p>
            <a:pPr>
              <a:defRPr lang="id-ID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38402560"/>
        <c:crosses val="autoZero"/>
        <c:crossBetween val="between"/>
      </c:valAx>
    </c:plotArea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27"/>
  <c:chart>
    <c:title>
      <c:tx>
        <c:rich>
          <a:bodyPr/>
          <a:lstStyle/>
          <a:p>
            <a:pPr>
              <a:defRPr lang="id-ID" sz="1200" b="1" i="0" u="none" strike="noStrike" baseline="0">
                <a:solidFill>
                  <a:srgbClr val="FF0000"/>
                </a:solidFill>
                <a:latin typeface="Book Antiqua"/>
                <a:ea typeface="Book Antiqua"/>
                <a:cs typeface="Book Antiqua"/>
              </a:defRPr>
            </a:pPr>
            <a:r>
              <a:rPr lang="en-US"/>
              <a:t>SUMARRY </a:t>
            </a:r>
            <a:r>
              <a:rPr lang="id-ID"/>
              <a:t>% </a:t>
            </a:r>
            <a:r>
              <a:rPr lang="en-US"/>
              <a:t>RIJECT COOKING</a:t>
            </a:r>
            <a:r>
              <a:rPr lang="id-ID"/>
              <a:t> </a:t>
            </a:r>
            <a:r>
              <a:rPr lang="en-US"/>
              <a:t>OKTOBER</a:t>
            </a:r>
            <a:r>
              <a:rPr lang="id-ID"/>
              <a:t> 202</a:t>
            </a:r>
            <a:r>
              <a:rPr lang="en-US"/>
              <a:t>5</a:t>
            </a:r>
          </a:p>
        </c:rich>
      </c:tx>
      <c:layout>
        <c:manualLayout>
          <c:xMode val="edge"/>
          <c:yMode val="edge"/>
          <c:x val="0.36672815466101294"/>
          <c:y val="4.1666775124183861E-2"/>
        </c:manualLayout>
      </c:layout>
    </c:title>
    <c:plotArea>
      <c:layout>
        <c:manualLayout>
          <c:layoutTarget val="inner"/>
          <c:xMode val="edge"/>
          <c:yMode val="edge"/>
          <c:x val="0.12544663167104494"/>
          <c:y val="0.16398977559390571"/>
          <c:w val="0.68218703386378265"/>
          <c:h val="0.63882164080660064"/>
        </c:manualLayout>
      </c:layout>
      <c:barChart>
        <c:barDir val="col"/>
        <c:grouping val="clustered"/>
        <c:ser>
          <c:idx val="0"/>
          <c:order val="0"/>
          <c:tx>
            <c:v>JANUARI 2024</c:v>
          </c:tx>
          <c:dLbls>
            <c:txPr>
              <a:bodyPr/>
              <a:lstStyle/>
              <a:p>
                <a:pPr>
                  <a:defRPr lang="id-ID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</c:dLbls>
          <c:cat>
            <c:numRef>
              <c:f>'RIJECT COOKING'!$A$7:$A$37</c:f>
              <c:numCache>
                <c:formatCode>[$-C09]dd\-mmm\-yy;@</c:formatCode>
                <c:ptCount val="31"/>
                <c:pt idx="0">
                  <c:v>46204</c:v>
                </c:pt>
                <c:pt idx="1">
                  <c:v>46205</c:v>
                </c:pt>
                <c:pt idx="2">
                  <c:v>46206</c:v>
                </c:pt>
                <c:pt idx="3">
                  <c:v>46207</c:v>
                </c:pt>
                <c:pt idx="4">
                  <c:v>46208</c:v>
                </c:pt>
                <c:pt idx="5">
                  <c:v>46209</c:v>
                </c:pt>
                <c:pt idx="6">
                  <c:v>46210</c:v>
                </c:pt>
                <c:pt idx="7">
                  <c:v>46211</c:v>
                </c:pt>
                <c:pt idx="8">
                  <c:v>46212</c:v>
                </c:pt>
                <c:pt idx="9">
                  <c:v>46213</c:v>
                </c:pt>
                <c:pt idx="10">
                  <c:v>46214</c:v>
                </c:pt>
                <c:pt idx="11">
                  <c:v>46215</c:v>
                </c:pt>
                <c:pt idx="12">
                  <c:v>46216</c:v>
                </c:pt>
                <c:pt idx="13">
                  <c:v>46217</c:v>
                </c:pt>
                <c:pt idx="14">
                  <c:v>46218</c:v>
                </c:pt>
                <c:pt idx="15">
                  <c:v>46219</c:v>
                </c:pt>
                <c:pt idx="16">
                  <c:v>46220</c:v>
                </c:pt>
                <c:pt idx="17">
                  <c:v>46221</c:v>
                </c:pt>
                <c:pt idx="18">
                  <c:v>46222</c:v>
                </c:pt>
                <c:pt idx="19">
                  <c:v>46223</c:v>
                </c:pt>
                <c:pt idx="20">
                  <c:v>46224</c:v>
                </c:pt>
                <c:pt idx="21">
                  <c:v>46225</c:v>
                </c:pt>
                <c:pt idx="22">
                  <c:v>46226</c:v>
                </c:pt>
                <c:pt idx="23">
                  <c:v>46227</c:v>
                </c:pt>
                <c:pt idx="24">
                  <c:v>46228</c:v>
                </c:pt>
                <c:pt idx="25">
                  <c:v>46229</c:v>
                </c:pt>
                <c:pt idx="26">
                  <c:v>46230</c:v>
                </c:pt>
                <c:pt idx="27">
                  <c:v>46231</c:v>
                </c:pt>
                <c:pt idx="28">
                  <c:v>46232</c:v>
                </c:pt>
                <c:pt idx="29">
                  <c:v>46233</c:v>
                </c:pt>
                <c:pt idx="30">
                  <c:v>46234</c:v>
                </c:pt>
              </c:numCache>
            </c:numRef>
          </c:cat>
          <c:val>
            <c:numRef>
              <c:f>'RIJECT COOKING'!$EI$7:$EI$37</c:f>
              <c:numCache>
                <c:formatCode>_(* #,##0.000_);_(* \(#,##0.000\);_(* "-"??_);_(@_)</c:formatCode>
                <c:ptCount val="31"/>
                <c:pt idx="0">
                  <c:v>101</c:v>
                </c:pt>
                <c:pt idx="1">
                  <c:v>88</c:v>
                </c:pt>
                <c:pt idx="2">
                  <c:v>90</c:v>
                </c:pt>
                <c:pt idx="3">
                  <c:v>0</c:v>
                </c:pt>
                <c:pt idx="4">
                  <c:v>0</c:v>
                </c:pt>
                <c:pt idx="5">
                  <c:v>22</c:v>
                </c:pt>
                <c:pt idx="6">
                  <c:v>111.3</c:v>
                </c:pt>
                <c:pt idx="7">
                  <c:v>75.5</c:v>
                </c:pt>
                <c:pt idx="8">
                  <c:v>84</c:v>
                </c:pt>
                <c:pt idx="9">
                  <c:v>73.5</c:v>
                </c:pt>
                <c:pt idx="10">
                  <c:v>0</c:v>
                </c:pt>
                <c:pt idx="11">
                  <c:v>0</c:v>
                </c:pt>
                <c:pt idx="12">
                  <c:v>5</c:v>
                </c:pt>
                <c:pt idx="13">
                  <c:v>121.5</c:v>
                </c:pt>
                <c:pt idx="14">
                  <c:v>151.5</c:v>
                </c:pt>
                <c:pt idx="15">
                  <c:v>154</c:v>
                </c:pt>
                <c:pt idx="16">
                  <c:v>52</c:v>
                </c:pt>
                <c:pt idx="17">
                  <c:v>0</c:v>
                </c:pt>
                <c:pt idx="18">
                  <c:v>0</c:v>
                </c:pt>
                <c:pt idx="19">
                  <c:v>9</c:v>
                </c:pt>
                <c:pt idx="20">
                  <c:v>95.5</c:v>
                </c:pt>
                <c:pt idx="21">
                  <c:v>61</c:v>
                </c:pt>
                <c:pt idx="22">
                  <c:v>100.5</c:v>
                </c:pt>
                <c:pt idx="23">
                  <c:v>79</c:v>
                </c:pt>
                <c:pt idx="24">
                  <c:v>57.5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</c:ser>
        <c:axId val="241140096"/>
        <c:axId val="241141632"/>
      </c:barChart>
      <c:dateAx>
        <c:axId val="241140096"/>
        <c:scaling>
          <c:orientation val="minMax"/>
        </c:scaling>
        <c:axPos val="b"/>
        <c:numFmt formatCode="dd/mm/yyyy" sourceLinked="0"/>
        <c:tickLblPos val="nextTo"/>
        <c:txPr>
          <a:bodyPr rot="-2700000" vert="horz"/>
          <a:lstStyle/>
          <a:p>
            <a:pPr>
              <a:defRPr lang="id-ID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41141632"/>
        <c:crosses val="autoZero"/>
        <c:auto val="1"/>
        <c:lblOffset val="100"/>
        <c:majorUnit val="1"/>
        <c:minorUnit val="1"/>
      </c:dateAx>
      <c:valAx>
        <c:axId val="241141632"/>
        <c:scaling>
          <c:orientation val="minMax"/>
        </c:scaling>
        <c:axPos val="l"/>
        <c:majorGridlines/>
        <c:numFmt formatCode="_(* #,##0.000_);_(* \(#,##0.000\);_(* &quot;-&quot;??_);_(@_)" sourceLinked="1"/>
        <c:tickLblPos val="nextTo"/>
        <c:txPr>
          <a:bodyPr rot="0" vert="horz"/>
          <a:lstStyle/>
          <a:p>
            <a:pPr>
              <a:defRPr lang="id-ID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41140096"/>
        <c:crosses val="autoZero"/>
        <c:crossBetween val="between"/>
      </c:valAx>
    </c:plotArea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27"/>
  <c:chart>
    <c:title>
      <c:tx>
        <c:rich>
          <a:bodyPr/>
          <a:lstStyle/>
          <a:p>
            <a:pPr>
              <a:defRPr lang="id-ID" sz="1200" b="1" i="0" u="none" strike="noStrike" baseline="0">
                <a:solidFill>
                  <a:srgbClr val="FF0000"/>
                </a:solidFill>
                <a:latin typeface="Book Antiqua"/>
                <a:ea typeface="Book Antiqua"/>
                <a:cs typeface="Book Antiqua"/>
              </a:defRPr>
            </a:pPr>
            <a:r>
              <a:rPr lang="en-US"/>
              <a:t>SUMARRY </a:t>
            </a:r>
            <a:r>
              <a:rPr lang="id-ID"/>
              <a:t>% RIJECT PER MESIN</a:t>
            </a:r>
            <a:r>
              <a:rPr lang="id-ID" baseline="0"/>
              <a:t> </a:t>
            </a:r>
            <a:r>
              <a:rPr lang="id-ID"/>
              <a:t> </a:t>
            </a:r>
            <a:r>
              <a:rPr lang="en-US"/>
              <a:t>OKTOBER</a:t>
            </a:r>
            <a:r>
              <a:rPr lang="id-ID"/>
              <a:t> 202</a:t>
            </a:r>
            <a:r>
              <a:rPr lang="en-US"/>
              <a:t>5</a:t>
            </a:r>
          </a:p>
        </c:rich>
      </c:tx>
      <c:layout>
        <c:manualLayout>
          <c:xMode val="edge"/>
          <c:yMode val="edge"/>
          <c:x val="0.36672815466101294"/>
          <c:y val="4.1666775124183861E-2"/>
        </c:manualLayout>
      </c:layout>
    </c:title>
    <c:plotArea>
      <c:layout>
        <c:manualLayout>
          <c:layoutTarget val="inner"/>
          <c:xMode val="edge"/>
          <c:yMode val="edge"/>
          <c:x val="0.12544663167104494"/>
          <c:y val="0.16398977559390571"/>
          <c:w val="0.68218703386378265"/>
          <c:h val="0.63882164080660064"/>
        </c:manualLayout>
      </c:layout>
      <c:barChart>
        <c:barDir val="col"/>
        <c:grouping val="clustered"/>
        <c:ser>
          <c:idx val="0"/>
          <c:order val="0"/>
          <c:tx>
            <c:v>JANUARI 2024</c:v>
          </c:tx>
          <c:dLbls>
            <c:txPr>
              <a:bodyPr/>
              <a:lstStyle/>
              <a:p>
                <a:pPr>
                  <a:defRPr lang="id-ID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</c:dLbls>
          <c:cat>
            <c:strRef>
              <c:f>'RIJECT COOKING'!$DQ$6:$ED$6</c:f>
              <c:strCache>
                <c:ptCount val="14"/>
                <c:pt idx="0">
                  <c:v>K1</c:v>
                </c:pt>
                <c:pt idx="1">
                  <c:v>C1</c:v>
                </c:pt>
                <c:pt idx="2">
                  <c:v>C2</c:v>
                </c:pt>
                <c:pt idx="3">
                  <c:v>C3</c:v>
                </c:pt>
                <c:pt idx="4">
                  <c:v>C4</c:v>
                </c:pt>
                <c:pt idx="5">
                  <c:v>C5</c:v>
                </c:pt>
                <c:pt idx="6">
                  <c:v>C6</c:v>
                </c:pt>
                <c:pt idx="7">
                  <c:v>Z1</c:v>
                </c:pt>
                <c:pt idx="8">
                  <c:v>Z2</c:v>
                </c:pt>
                <c:pt idx="9">
                  <c:v>Z3</c:v>
                </c:pt>
                <c:pt idx="10">
                  <c:v>Z4</c:v>
                </c:pt>
                <c:pt idx="11">
                  <c:v>Z5</c:v>
                </c:pt>
                <c:pt idx="12">
                  <c:v>Z6</c:v>
                </c:pt>
                <c:pt idx="13">
                  <c:v>Z7</c:v>
                </c:pt>
              </c:strCache>
            </c:strRef>
          </c:cat>
          <c:val>
            <c:numRef>
              <c:f>'RIJECT COOKING'!$DQ$41:$ED$41</c:f>
              <c:numCache>
                <c:formatCode>_-* #,##0.00_-;\-* #,##0.00_-;_-* "-"??_-;_-@_-</c:formatCode>
                <c:ptCount val="14"/>
                <c:pt idx="0">
                  <c:v>137.4</c:v>
                </c:pt>
                <c:pt idx="1">
                  <c:v>0</c:v>
                </c:pt>
                <c:pt idx="2">
                  <c:v>149</c:v>
                </c:pt>
                <c:pt idx="3">
                  <c:v>58.5</c:v>
                </c:pt>
                <c:pt idx="4">
                  <c:v>45</c:v>
                </c:pt>
                <c:pt idx="5">
                  <c:v>109.8</c:v>
                </c:pt>
                <c:pt idx="6">
                  <c:v>107.8</c:v>
                </c:pt>
                <c:pt idx="7">
                  <c:v>0</c:v>
                </c:pt>
                <c:pt idx="8">
                  <c:v>95.3</c:v>
                </c:pt>
                <c:pt idx="9">
                  <c:v>45.3</c:v>
                </c:pt>
                <c:pt idx="10">
                  <c:v>44.4</c:v>
                </c:pt>
                <c:pt idx="11">
                  <c:v>51</c:v>
                </c:pt>
                <c:pt idx="12">
                  <c:v>65.5</c:v>
                </c:pt>
                <c:pt idx="13">
                  <c:v>33.5</c:v>
                </c:pt>
              </c:numCache>
            </c:numRef>
          </c:val>
        </c:ser>
        <c:axId val="241169920"/>
        <c:axId val="241171456"/>
      </c:barChart>
      <c:catAx>
        <c:axId val="241169920"/>
        <c:scaling>
          <c:orientation val="minMax"/>
        </c:scaling>
        <c:axPos val="b"/>
        <c:numFmt formatCode="dd/mm/yyyy" sourceLinked="0"/>
        <c:tickLblPos val="nextTo"/>
        <c:txPr>
          <a:bodyPr rot="-2700000" vert="horz"/>
          <a:lstStyle/>
          <a:p>
            <a:pPr>
              <a:defRPr lang="id-ID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41171456"/>
        <c:crosses val="autoZero"/>
        <c:auto val="1"/>
        <c:lblAlgn val="ctr"/>
        <c:lblOffset val="100"/>
        <c:tickLblSkip val="1"/>
        <c:tickMarkSkip val="1"/>
      </c:catAx>
      <c:valAx>
        <c:axId val="241171456"/>
        <c:scaling>
          <c:orientation val="minMax"/>
        </c:scaling>
        <c:axPos val="l"/>
        <c:majorGridlines/>
        <c:numFmt formatCode="_-* #,##0.00_-;\-* #,##0.00_-;_-* &quot;-&quot;??_-;_-@_-" sourceLinked="1"/>
        <c:tickLblPos val="nextTo"/>
        <c:txPr>
          <a:bodyPr rot="0" vert="horz"/>
          <a:lstStyle/>
          <a:p>
            <a:pPr>
              <a:defRPr lang="id-ID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241169920"/>
        <c:crosses val="autoZero"/>
        <c:crossBetween val="between"/>
      </c:valAx>
    </c:plotArea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5"/>
  <c:chart>
    <c:title>
      <c:tx>
        <c:rich>
          <a:bodyPr/>
          <a:lstStyle/>
          <a:p>
            <a:pPr>
              <a:defRPr lang="id-ID" sz="1800" b="1" i="0" u="none" strike="noStrike" baseline="0">
                <a:solidFill>
                  <a:srgbClr val="000080"/>
                </a:solidFill>
                <a:latin typeface="Calibri"/>
                <a:ea typeface="Calibri"/>
                <a:cs typeface="Calibri"/>
              </a:defRPr>
            </a:pPr>
            <a:r>
              <a:rPr lang="id-ID"/>
              <a:t>SUMMARY % BAD</a:t>
            </a:r>
            <a:r>
              <a:rPr lang="id-ID" baseline="0"/>
              <a:t> PRODUCT</a:t>
            </a:r>
            <a:r>
              <a:rPr lang="id-ID"/>
              <a:t> </a:t>
            </a:r>
            <a:r>
              <a:rPr lang="en-US"/>
              <a:t>MARET </a:t>
            </a:r>
            <a:r>
              <a:rPr lang="id-ID" baseline="0"/>
              <a:t>202</a:t>
            </a:r>
            <a:r>
              <a:rPr lang="en-US" baseline="0"/>
              <a:t>6</a:t>
            </a:r>
            <a:endParaRPr lang="id-ID"/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Jan-19</c:v>
          </c:tx>
          <c:dLbls>
            <c:numFmt formatCode="0.000%" sourceLinked="0"/>
            <c:txPr>
              <a:bodyPr/>
              <a:lstStyle/>
              <a:p>
                <a:pPr>
                  <a:defRPr lang="id-ID" sz="1000" b="0" i="0" u="none" strike="noStrike" baseline="0">
                    <a:solidFill>
                      <a:srgbClr val="00008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</c:dLbls>
          <c:cat>
            <c:strRef>
              <c:f>'ALL SORTASI'!$E$5:$V$5</c:f>
              <c:strCache>
                <c:ptCount val="18"/>
                <c:pt idx="0">
                  <c:v>Keriput </c:v>
                </c:pt>
                <c:pt idx="1">
                  <c:v>Bengkok</c:v>
                </c:pt>
                <c:pt idx="2">
                  <c:v>Air Trap Produk</c:v>
                </c:pt>
                <c:pt idx="3">
                  <c:v>Air Trap PVDC</c:v>
                </c:pt>
                <c:pt idx="4">
                  <c:v>Klip Tajam</c:v>
                </c:pt>
                <c:pt idx="5">
                  <c:v>Klip Terjepit</c:v>
                </c:pt>
                <c:pt idx="6">
                  <c:v>Klip Rusak</c:v>
                </c:pt>
                <c:pt idx="7">
                  <c:v>Size tidak standart</c:v>
                </c:pt>
                <c:pt idx="8">
                  <c:v>Seal Panas</c:v>
                </c:pt>
                <c:pt idx="9">
                  <c:v>Seal Pecah</c:v>
                </c:pt>
                <c:pt idx="10">
                  <c:v>Seal Loncat</c:v>
                </c:pt>
                <c:pt idx="11">
                  <c:v>Non Kode</c:v>
                </c:pt>
                <c:pt idx="12">
                  <c:v>Pin Hole</c:v>
                </c:pt>
                <c:pt idx="13">
                  <c:v>Sobek Bawah Klip</c:v>
                </c:pt>
                <c:pt idx="14">
                  <c:v>Lendir</c:v>
                </c:pt>
                <c:pt idx="15">
                  <c:v>Belatung</c:v>
                </c:pt>
                <c:pt idx="16">
                  <c:v>Sisa Adonan</c:v>
                </c:pt>
                <c:pt idx="17">
                  <c:v>Rework</c:v>
                </c:pt>
              </c:strCache>
            </c:strRef>
          </c:cat>
          <c:val>
            <c:numRef>
              <c:f>'ALL SORTASI'!$E$38:$V$38</c:f>
              <c:numCache>
                <c:formatCode>0.00%</c:formatCode>
                <c:ptCount val="18"/>
                <c:pt idx="0" formatCode="0.000%">
                  <c:v>1.9284317635365163E-3</c:v>
                </c:pt>
                <c:pt idx="1">
                  <c:v>3.2586526565522266E-3</c:v>
                </c:pt>
                <c:pt idx="2" formatCode="0.000%">
                  <c:v>2.0725917511442784E-4</c:v>
                </c:pt>
                <c:pt idx="3" formatCode="0.000%">
                  <c:v>1.6810880440033181E-4</c:v>
                </c:pt>
                <c:pt idx="4" formatCode="0.000%">
                  <c:v>4.9921393528995729E-3</c:v>
                </c:pt>
                <c:pt idx="5" formatCode="0.000%">
                  <c:v>2.4790422375600333E-4</c:v>
                </c:pt>
                <c:pt idx="6" formatCode="0.000%">
                  <c:v>0</c:v>
                </c:pt>
                <c:pt idx="7" formatCode="0.000%">
                  <c:v>4.7502732882710583E-4</c:v>
                </c:pt>
                <c:pt idx="8" formatCode="0.000%">
                  <c:v>3.3362739989224738E-4</c:v>
                </c:pt>
                <c:pt idx="9" formatCode="0.000%">
                  <c:v>1.0075912653739515E-3</c:v>
                </c:pt>
                <c:pt idx="10" formatCode="0.000%">
                  <c:v>9.6814365757200462E-6</c:v>
                </c:pt>
                <c:pt idx="11" formatCode="0.000%">
                  <c:v>1.6984976448631658E-6</c:v>
                </c:pt>
                <c:pt idx="12" formatCode="0.000%">
                  <c:v>0</c:v>
                </c:pt>
                <c:pt idx="13" formatCode="0.000%">
                  <c:v>2.0381971738357986E-5</c:v>
                </c:pt>
                <c:pt idx="14" formatCode="0.000%">
                  <c:v>0</c:v>
                </c:pt>
                <c:pt idx="15" formatCode="0.000%">
                  <c:v>0</c:v>
                </c:pt>
                <c:pt idx="16" formatCode="0.000%">
                  <c:v>0</c:v>
                </c:pt>
                <c:pt idx="17" formatCode="0.000%">
                  <c:v>0</c:v>
                </c:pt>
              </c:numCache>
            </c:numRef>
          </c:val>
        </c:ser>
        <c:axId val="108948096"/>
        <c:axId val="108962176"/>
      </c:barChart>
      <c:catAx>
        <c:axId val="108948096"/>
        <c:scaling>
          <c:orientation val="minMax"/>
        </c:scaling>
        <c:axPos val="b"/>
        <c:numFmt formatCode="General" sourceLinked="1"/>
        <c:tickLblPos val="nextTo"/>
        <c:txPr>
          <a:bodyPr rot="-2700000" vert="horz"/>
          <a:lstStyle/>
          <a:p>
            <a:pPr>
              <a:defRPr lang="id-ID" sz="1000" b="0" i="0" u="none" strike="noStrike" baseline="0">
                <a:solidFill>
                  <a:srgbClr val="00008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8962176"/>
        <c:crosses val="autoZero"/>
        <c:auto val="1"/>
        <c:lblAlgn val="ctr"/>
        <c:lblOffset val="100"/>
      </c:catAx>
      <c:valAx>
        <c:axId val="108962176"/>
        <c:scaling>
          <c:orientation val="minMax"/>
        </c:scaling>
        <c:axPos val="l"/>
        <c:majorGridlines/>
        <c:numFmt formatCode="0.000%" sourceLinked="1"/>
        <c:tickLblPos val="nextTo"/>
        <c:txPr>
          <a:bodyPr rot="0" vert="horz"/>
          <a:lstStyle/>
          <a:p>
            <a:pPr>
              <a:defRPr lang="id-ID" sz="1000" b="0" i="0" u="none" strike="noStrike" baseline="0">
                <a:solidFill>
                  <a:srgbClr val="00008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08948096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lang="id-ID" sz="165" b="0" i="0" u="none" strike="noStrike" baseline="0">
              <a:solidFill>
                <a:srgbClr val="00008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44</xdr:row>
      <xdr:rowOff>0</xdr:rowOff>
    </xdr:from>
    <xdr:to>
      <xdr:col>23</xdr:col>
      <xdr:colOff>0</xdr:colOff>
      <xdr:row>67</xdr:row>
      <xdr:rowOff>123825</xdr:rowOff>
    </xdr:to>
    <xdr:graphicFrame macro="">
      <xdr:nvGraphicFramePr>
        <xdr:cNvPr id="2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0</xdr:colOff>
      <xdr:row>44</xdr:row>
      <xdr:rowOff>0</xdr:rowOff>
    </xdr:from>
    <xdr:to>
      <xdr:col>47</xdr:col>
      <xdr:colOff>0</xdr:colOff>
      <xdr:row>67</xdr:row>
      <xdr:rowOff>123825</xdr:rowOff>
    </xdr:to>
    <xdr:graphicFrame macro="">
      <xdr:nvGraphicFramePr>
        <xdr:cNvPr id="3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48</xdr:col>
      <xdr:colOff>0</xdr:colOff>
      <xdr:row>44</xdr:row>
      <xdr:rowOff>0</xdr:rowOff>
    </xdr:from>
    <xdr:to>
      <xdr:col>71</xdr:col>
      <xdr:colOff>0</xdr:colOff>
      <xdr:row>67</xdr:row>
      <xdr:rowOff>123825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72</xdr:col>
      <xdr:colOff>0</xdr:colOff>
      <xdr:row>44</xdr:row>
      <xdr:rowOff>0</xdr:rowOff>
    </xdr:from>
    <xdr:to>
      <xdr:col>95</xdr:col>
      <xdr:colOff>0</xdr:colOff>
      <xdr:row>67</xdr:row>
      <xdr:rowOff>123825</xdr:rowOff>
    </xdr:to>
    <xdr:graphicFrame macro="">
      <xdr:nvGraphicFramePr>
        <xdr:cNvPr id="5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96</xdr:col>
      <xdr:colOff>0</xdr:colOff>
      <xdr:row>44</xdr:row>
      <xdr:rowOff>0</xdr:rowOff>
    </xdr:from>
    <xdr:to>
      <xdr:col>119</xdr:col>
      <xdr:colOff>0</xdr:colOff>
      <xdr:row>67</xdr:row>
      <xdr:rowOff>123825</xdr:rowOff>
    </xdr:to>
    <xdr:graphicFrame macro="">
      <xdr:nvGraphicFramePr>
        <xdr:cNvPr id="6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121</xdr:col>
      <xdr:colOff>0</xdr:colOff>
      <xdr:row>44</xdr:row>
      <xdr:rowOff>0</xdr:rowOff>
    </xdr:from>
    <xdr:to>
      <xdr:col>138</xdr:col>
      <xdr:colOff>628650</xdr:colOff>
      <xdr:row>67</xdr:row>
      <xdr:rowOff>123825</xdr:rowOff>
    </xdr:to>
    <xdr:graphicFrame macro="">
      <xdr:nvGraphicFramePr>
        <xdr:cNvPr id="9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121</xdr:col>
      <xdr:colOff>0</xdr:colOff>
      <xdr:row>70</xdr:row>
      <xdr:rowOff>0</xdr:rowOff>
    </xdr:from>
    <xdr:to>
      <xdr:col>138</xdr:col>
      <xdr:colOff>628650</xdr:colOff>
      <xdr:row>93</xdr:row>
      <xdr:rowOff>123825</xdr:rowOff>
    </xdr:to>
    <xdr:graphicFrame macro="">
      <xdr:nvGraphicFramePr>
        <xdr:cNvPr id="10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685800</xdr:colOff>
      <xdr:row>40</xdr:row>
      <xdr:rowOff>123825</xdr:rowOff>
    </xdr:from>
    <xdr:to>
      <xdr:col>12</xdr:col>
      <xdr:colOff>28575</xdr:colOff>
      <xdr:row>62</xdr:row>
      <xdr:rowOff>19050</xdr:rowOff>
    </xdr:to>
    <xdr:graphicFrame macro="">
      <xdr:nvGraphicFramePr>
        <xdr:cNvPr id="5466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GITA/REPORT%20PRODUKSI/REPORT/REPORT%202026/01.%20REPORT/PRODUKSI/02.%20Planning%20Produksi-Packing%202026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ITA/REPORT%20PRODUKSI/REPORT/REPORT%202025/01.%20REPORT/09.%20SEPTEMBER%202025/Daily%20Prod%20Ach/Daily%20Prod%20Ach%20Rpt%20Retort%20September%202025%20Berbek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PORT%20PRODUKSI\REPORT%202016\REPORT%20PRODUKSI\OKTOBER'16\Riject%20Cooking%20Okt'16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REPORT%20PRODUKSI\REPORT%202019\REPORT%202019\AGUSTUS'19\Daily%20Rpt%20Produksi%20Retort%20(Warehouse)\Daily%20Rpt%20Produksi%20Retort%20Mei'18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er\AppData\Local\Microsoft\Windows\Temporary%20Internet%20Files\Content.Outlook\R21HMP8Y\Daily%20Rpt%20Produksi%20Retort%20(Warehouse)\Daily%20Rpt%20Produksi%20Retort%20Feb'17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Jan'26"/>
      <sheetName val="Feb'26"/>
      <sheetName val="Mar'26"/>
      <sheetName val="Apr'26"/>
      <sheetName val="Mei'26"/>
      <sheetName val="Juni'26"/>
      <sheetName val="Juli'26"/>
      <sheetName val="Agt'26"/>
      <sheetName val="Sheet1"/>
      <sheetName val="Sheet3"/>
      <sheetName val="Sheet3 (2)"/>
    </sheetNames>
    <sheetDataSet>
      <sheetData sheetId="0"/>
      <sheetData sheetId="1"/>
      <sheetData sheetId="2"/>
      <sheetData sheetId="3"/>
      <sheetData sheetId="4"/>
      <sheetData sheetId="5">
        <row r="38">
          <cell r="C38">
            <v>158620</v>
          </cell>
        </row>
      </sheetData>
      <sheetData sheetId="6">
        <row r="35">
          <cell r="C35">
            <v>152229.375</v>
          </cell>
        </row>
      </sheetData>
      <sheetData sheetId="7"/>
      <sheetData sheetId="8"/>
      <sheetData sheetId="9"/>
      <sheetData sheetId="10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EPTEMBER"/>
      <sheetName val="Sheet2"/>
    </sheetNames>
    <sheetDataSet>
      <sheetData sheetId="0">
        <row r="23">
          <cell r="AN23">
            <v>23482.367999999999</v>
          </cell>
        </row>
        <row r="24">
          <cell r="AN24">
            <v>25208.82</v>
          </cell>
        </row>
        <row r="25">
          <cell r="AN25">
            <v>1729.7279999999998</v>
          </cell>
        </row>
        <row r="30">
          <cell r="AN30">
            <v>78720.875</v>
          </cell>
        </row>
      </sheetData>
      <sheetData sheetId="1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ALL"/>
      <sheetName val="Ayam"/>
      <sheetName val="Keju"/>
      <sheetName val="Sapi"/>
      <sheetName val="Rendang"/>
      <sheetName val="Sheet1"/>
    </sheetNames>
    <sheetDataSet>
      <sheetData sheetId="0" refreshError="1"/>
      <sheetData sheetId="1" refreshError="1"/>
      <sheetData sheetId="2" refreshError="1">
        <row r="41">
          <cell r="S41">
            <v>6.9203335525400379E-3</v>
          </cell>
        </row>
      </sheetData>
      <sheetData sheetId="3" refreshError="1">
        <row r="41">
          <cell r="S41">
            <v>5.6469095816806111E-3</v>
          </cell>
        </row>
      </sheetData>
      <sheetData sheetId="4" refreshError="1">
        <row r="41">
          <cell r="T41">
            <v>7.3039516815504146E-3</v>
          </cell>
        </row>
      </sheetData>
      <sheetData sheetId="5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HASIL PROD"/>
      <sheetName val="Actual VS SAP"/>
      <sheetName val="RIJECT COOKING"/>
      <sheetName val="DAILY OKEY AYAM"/>
      <sheetName val="DAILY CHAMP AYAM"/>
      <sheetName val="DAILY CHAMP SAPI"/>
      <sheetName val="DAILY CHAMP OTAK-OTAK"/>
      <sheetName val="DAILY FIESTA"/>
      <sheetName val="BSTB"/>
      <sheetName val="REKAPAN OKEY AYAM"/>
      <sheetName val="REKAPAN CHAMP AYAM"/>
      <sheetName val="REKAPAN CHAMP SAPI"/>
      <sheetName val="REKAPAN CHAMP OTAK-OTAK"/>
      <sheetName val="REKAPAN FIESTA"/>
      <sheetName val="ALL SORTASI"/>
      <sheetName val="DAILY FILLER OKEY"/>
      <sheetName val="DAILY FILLER C. AYAM"/>
      <sheetName val="DAILY FILLER C. SAPI"/>
      <sheetName val="SUMMARY FILLER"/>
      <sheetName val="Sheet2"/>
      <sheetName val="STD DRY"/>
      <sheetName val="01-05"/>
      <sheetName val="02-05"/>
      <sheetName val="03-05"/>
      <sheetName val="04-05"/>
      <sheetName val="05-05"/>
      <sheetName val="06-05"/>
      <sheetName val="07-05"/>
      <sheetName val="08-05"/>
      <sheetName val="09-05"/>
      <sheetName val="10-05"/>
      <sheetName val="11-05"/>
      <sheetName val="12-05"/>
      <sheetName val="13-05"/>
      <sheetName val="14-05"/>
    </sheetNames>
    <sheetDataSet>
      <sheetData sheetId="0"/>
      <sheetData sheetId="1"/>
      <sheetData sheetId="2"/>
      <sheetData sheetId="3">
        <row r="21">
          <cell r="K21">
            <v>0.9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01-02"/>
      <sheetName val="02-02"/>
      <sheetName val="03-02"/>
      <sheetName val="04-02"/>
      <sheetName val="05-02"/>
      <sheetName val="06-02"/>
      <sheetName val="07-02"/>
      <sheetName val="08-02"/>
      <sheetName val="09-02"/>
      <sheetName val="10-02"/>
      <sheetName val="11-02"/>
      <sheetName val="12-02"/>
      <sheetName val="13-02"/>
      <sheetName val="14-02"/>
      <sheetName val="15-02"/>
      <sheetName val="16-02"/>
      <sheetName val="17-02"/>
      <sheetName val="18-02"/>
      <sheetName val="19-02"/>
      <sheetName val="20-02"/>
      <sheetName val="21-02"/>
      <sheetName val="22-02"/>
      <sheetName val="23-02"/>
      <sheetName val="24-02"/>
      <sheetName val="25-02"/>
      <sheetName val="26-02"/>
      <sheetName val="27-02"/>
      <sheetName val="28-02"/>
      <sheetName val="29-02"/>
      <sheetName val="30-02"/>
      <sheetName val="31-02"/>
      <sheetName val="Monthly"/>
      <sheetName val="Sheet2"/>
      <sheetName val="Sheet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>
        <row r="22">
          <cell r="Q22">
            <v>1192.32</v>
          </cell>
        </row>
      </sheetData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0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5.bin"/><Relationship Id="rId4" Type="http://schemas.openxmlformats.org/officeDocument/2006/relationships/comments" Target="../comments10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5"/>
  <dimension ref="A1:AU350"/>
  <sheetViews>
    <sheetView workbookViewId="0">
      <pane xSplit="1" ySplit="3" topLeftCell="B250" activePane="bottomRight" state="frozen"/>
      <selection activeCell="EE10" sqref="EE10"/>
      <selection pane="topRight" activeCell="EE10" sqref="EE10"/>
      <selection pane="bottomLeft" activeCell="EE10" sqref="EE10"/>
      <selection pane="bottomRight" activeCell="H347" sqref="H347:H348"/>
    </sheetView>
  </sheetViews>
  <sheetFormatPr defaultRowHeight="13.5"/>
  <cols>
    <col min="1" max="1" width="10.7109375" style="127" bestFit="1" customWidth="1"/>
    <col min="2" max="2" width="12.28515625" style="127" customWidth="1"/>
    <col min="3" max="3" width="9.140625" style="127"/>
    <col min="4" max="5" width="11.85546875" style="127" customWidth="1"/>
    <col min="6" max="6" width="10.140625" style="127" customWidth="1"/>
    <col min="7" max="7" width="11.85546875" style="127" customWidth="1"/>
    <col min="8" max="8" width="10.7109375" style="127" customWidth="1"/>
    <col min="9" max="12" width="11.85546875" style="127" customWidth="1"/>
    <col min="13" max="13" width="9.140625" style="127" customWidth="1"/>
    <col min="14" max="17" width="11.85546875" style="127" customWidth="1"/>
    <col min="18" max="18" width="9.140625" style="127" customWidth="1"/>
    <col min="19" max="24" width="11.85546875" style="127" customWidth="1"/>
    <col min="25" max="25" width="9.140625" style="127" customWidth="1"/>
    <col min="26" max="30" width="10" style="127" customWidth="1"/>
    <col min="31" max="31" width="2" style="127" customWidth="1"/>
    <col min="32" max="41" width="10" style="127" customWidth="1"/>
    <col min="42" max="42" width="2" style="127" customWidth="1"/>
    <col min="43" max="47" width="10" style="127" customWidth="1"/>
    <col min="48" max="16384" width="9.140625" style="127"/>
  </cols>
  <sheetData>
    <row r="1" spans="1:47" ht="14.25">
      <c r="B1" s="496"/>
      <c r="C1" s="616" t="s">
        <v>102</v>
      </c>
      <c r="D1" s="616"/>
      <c r="E1" s="616"/>
      <c r="F1" s="616"/>
      <c r="G1" s="616"/>
      <c r="H1" s="617" t="s">
        <v>41</v>
      </c>
      <c r="I1" s="618"/>
      <c r="J1" s="618"/>
      <c r="K1" s="618"/>
      <c r="L1" s="618"/>
      <c r="M1" s="603" t="s">
        <v>214</v>
      </c>
      <c r="N1" s="619"/>
      <c r="O1" s="619"/>
      <c r="P1" s="619"/>
      <c r="Q1" s="619"/>
      <c r="R1" s="620" t="s">
        <v>215</v>
      </c>
      <c r="S1" s="621"/>
      <c r="T1" s="621"/>
      <c r="U1" s="621"/>
      <c r="V1" s="621"/>
      <c r="W1" s="608" t="s">
        <v>71</v>
      </c>
      <c r="X1" s="608"/>
      <c r="Z1" s="608" t="s">
        <v>76</v>
      </c>
      <c r="AA1" s="608"/>
      <c r="AB1" s="608"/>
      <c r="AC1" s="608"/>
      <c r="AD1" s="608"/>
      <c r="AE1" s="135"/>
      <c r="AF1" s="608" t="s">
        <v>110</v>
      </c>
      <c r="AG1" s="608"/>
      <c r="AH1" s="608"/>
      <c r="AI1" s="608"/>
      <c r="AJ1" s="608"/>
      <c r="AK1" s="608"/>
      <c r="AL1" s="608"/>
      <c r="AM1" s="608"/>
      <c r="AN1" s="608"/>
      <c r="AO1" s="135"/>
      <c r="AQ1" s="608" t="s">
        <v>77</v>
      </c>
      <c r="AR1" s="608"/>
      <c r="AS1" s="608"/>
      <c r="AT1" s="608"/>
      <c r="AU1" s="608"/>
    </row>
    <row r="2" spans="1:47" ht="15.75" customHeight="1">
      <c r="B2" s="602" t="s">
        <v>180</v>
      </c>
      <c r="C2" s="605" t="s">
        <v>113</v>
      </c>
      <c r="D2" s="605"/>
      <c r="E2" s="611" t="s">
        <v>108</v>
      </c>
      <c r="F2" s="611"/>
      <c r="G2" s="464" t="s">
        <v>109</v>
      </c>
      <c r="H2" s="606" t="s">
        <v>113</v>
      </c>
      <c r="I2" s="606"/>
      <c r="J2" s="612" t="s">
        <v>108</v>
      </c>
      <c r="K2" s="612"/>
      <c r="L2" s="465" t="s">
        <v>109</v>
      </c>
      <c r="M2" s="603" t="s">
        <v>113</v>
      </c>
      <c r="N2" s="604"/>
      <c r="O2" s="610" t="s">
        <v>108</v>
      </c>
      <c r="P2" s="610"/>
      <c r="Q2" s="467" t="s">
        <v>109</v>
      </c>
      <c r="R2" s="607" t="s">
        <v>113</v>
      </c>
      <c r="S2" s="607"/>
      <c r="T2" s="609" t="s">
        <v>108</v>
      </c>
      <c r="U2" s="609"/>
      <c r="V2" s="469" t="s">
        <v>109</v>
      </c>
      <c r="W2" s="608" t="s">
        <v>113</v>
      </c>
      <c r="X2" s="608"/>
      <c r="Z2" s="135"/>
      <c r="AA2" s="135"/>
      <c r="AB2" s="135"/>
      <c r="AC2" s="135"/>
      <c r="AD2" s="135"/>
      <c r="AE2" s="135"/>
      <c r="AF2" s="613" t="s">
        <v>49</v>
      </c>
      <c r="AG2" s="614"/>
      <c r="AH2" s="613" t="s">
        <v>78</v>
      </c>
      <c r="AI2" s="614"/>
      <c r="AJ2" s="613" t="s">
        <v>79</v>
      </c>
      <c r="AK2" s="614"/>
      <c r="AL2" s="613" t="s">
        <v>80</v>
      </c>
      <c r="AM2" s="614"/>
      <c r="AN2" s="615" t="s">
        <v>71</v>
      </c>
      <c r="AO2" s="615"/>
      <c r="AQ2" s="135"/>
      <c r="AR2" s="135"/>
      <c r="AS2" s="135"/>
      <c r="AT2" s="135"/>
      <c r="AU2" s="135"/>
    </row>
    <row r="3" spans="1:47" ht="14.25">
      <c r="B3" s="602"/>
      <c r="C3" s="459" t="s">
        <v>3</v>
      </c>
      <c r="D3" s="459" t="s">
        <v>4</v>
      </c>
      <c r="E3" s="459" t="s">
        <v>217</v>
      </c>
      <c r="F3" s="459" t="s">
        <v>216</v>
      </c>
      <c r="G3" s="459" t="s">
        <v>217</v>
      </c>
      <c r="H3" s="460" t="s">
        <v>3</v>
      </c>
      <c r="I3" s="460" t="s">
        <v>4</v>
      </c>
      <c r="J3" s="460" t="s">
        <v>217</v>
      </c>
      <c r="K3" s="460" t="s">
        <v>216</v>
      </c>
      <c r="L3" s="460" t="s">
        <v>217</v>
      </c>
      <c r="M3" s="461" t="s">
        <v>3</v>
      </c>
      <c r="N3" s="461" t="s">
        <v>4</v>
      </c>
      <c r="O3" s="461" t="s">
        <v>217</v>
      </c>
      <c r="P3" s="461" t="s">
        <v>216</v>
      </c>
      <c r="Q3" s="461" t="s">
        <v>217</v>
      </c>
      <c r="R3" s="462" t="s">
        <v>3</v>
      </c>
      <c r="S3" s="462" t="s">
        <v>4</v>
      </c>
      <c r="T3" s="462" t="s">
        <v>111</v>
      </c>
      <c r="U3" s="462" t="s">
        <v>112</v>
      </c>
      <c r="V3" s="462" t="s">
        <v>111</v>
      </c>
      <c r="W3" s="128" t="s">
        <v>3</v>
      </c>
      <c r="X3" s="128" t="s">
        <v>4</v>
      </c>
      <c r="Z3" s="129" t="s">
        <v>49</v>
      </c>
      <c r="AA3" s="129" t="s">
        <v>78</v>
      </c>
      <c r="AB3" s="129" t="s">
        <v>79</v>
      </c>
      <c r="AC3" s="129" t="s">
        <v>80</v>
      </c>
      <c r="AD3" s="129" t="s">
        <v>71</v>
      </c>
      <c r="AE3" s="158"/>
      <c r="AF3" s="129" t="s">
        <v>108</v>
      </c>
      <c r="AG3" s="129" t="s">
        <v>109</v>
      </c>
      <c r="AH3" s="129" t="s">
        <v>108</v>
      </c>
      <c r="AI3" s="129" t="s">
        <v>109</v>
      </c>
      <c r="AJ3" s="129" t="s">
        <v>108</v>
      </c>
      <c r="AK3" s="129" t="s">
        <v>109</v>
      </c>
      <c r="AL3" s="129" t="s">
        <v>108</v>
      </c>
      <c r="AM3" s="129" t="s">
        <v>109</v>
      </c>
      <c r="AN3" s="129" t="s">
        <v>108</v>
      </c>
      <c r="AO3" s="129" t="s">
        <v>109</v>
      </c>
      <c r="AP3" s="128"/>
      <c r="AQ3" s="129" t="s">
        <v>49</v>
      </c>
      <c r="AR3" s="129" t="s">
        <v>78</v>
      </c>
      <c r="AS3" s="129" t="s">
        <v>79</v>
      </c>
      <c r="AT3" s="129" t="s">
        <v>80</v>
      </c>
      <c r="AU3" s="129" t="s">
        <v>71</v>
      </c>
    </row>
    <row r="4" spans="1:47">
      <c r="A4" s="472">
        <f>+'ALL SORTASI'!A6</f>
        <v>46204</v>
      </c>
      <c r="B4" s="497" t="s">
        <v>181</v>
      </c>
      <c r="C4" s="426">
        <v>435</v>
      </c>
      <c r="D4" s="427">
        <f t="shared" ref="D4" si="0">+C4*3.875</f>
        <v>1685.625</v>
      </c>
      <c r="E4" s="428">
        <f>+D4/0.0125*0.125</f>
        <v>16856.25</v>
      </c>
      <c r="F4" s="428">
        <f>+E4/1500</f>
        <v>11.237500000000001</v>
      </c>
      <c r="G4" s="428">
        <f t="shared" ref="G4" si="1">+D4/0.0125*0.000318</f>
        <v>42.882299999999994</v>
      </c>
      <c r="H4" s="429">
        <v>463</v>
      </c>
      <c r="I4" s="430">
        <f t="shared" ref="I4" si="2">+H4*3.276</f>
        <v>1516.788</v>
      </c>
      <c r="J4" s="431">
        <f t="shared" ref="J4" si="3">+I4/0.0185*0.185</f>
        <v>15167.880000000001</v>
      </c>
      <c r="K4" s="431">
        <f>+J4/1500</f>
        <v>10.111920000000001</v>
      </c>
      <c r="L4" s="431">
        <f t="shared" ref="L4" si="4">+I4/0.0185*0.000318</f>
        <v>26.072355891891892</v>
      </c>
      <c r="M4" s="432"/>
      <c r="N4" s="433">
        <f t="shared" ref="N4" si="5">+M4*3.276</f>
        <v>0</v>
      </c>
      <c r="O4" s="434">
        <f t="shared" ref="O4" si="6">+N4/0.0185*0.185</f>
        <v>0</v>
      </c>
      <c r="P4" s="434">
        <f>+O4/1500</f>
        <v>0</v>
      </c>
      <c r="Q4" s="434">
        <f t="shared" ref="Q4" si="7">+N4/0.0185*0.000318</f>
        <v>0</v>
      </c>
      <c r="R4" s="435"/>
      <c r="S4" s="436">
        <f t="shared" ref="S4" si="8">+R4*3.276</f>
        <v>0</v>
      </c>
      <c r="T4" s="437">
        <f t="shared" ref="T4" si="9">+S4/0.0185*0.185</f>
        <v>0</v>
      </c>
      <c r="U4" s="437">
        <f>+T4/1500</f>
        <v>0</v>
      </c>
      <c r="V4" s="437">
        <f t="shared" ref="V4" si="10">+S4/0.0185*0.000318</f>
        <v>0</v>
      </c>
      <c r="W4" s="300"/>
      <c r="X4" s="131">
        <f>+W4*2.4</f>
        <v>0</v>
      </c>
      <c r="Z4" s="162">
        <f>IFERROR((D4/'REKAPAN OKEY AYAM'!$AC4),"-")</f>
        <v>0.16426820069736936</v>
      </c>
      <c r="AA4" s="162">
        <f>IFERROR((I4/'REKAPAN CHAMP AYAM'!$AC4),"-")</f>
        <v>0.89818797669240602</v>
      </c>
      <c r="AB4" s="162" t="str">
        <f>IFERROR((N4/'REKAPAN CHAMP SAPI'!AC4),"-")</f>
        <v>-</v>
      </c>
      <c r="AC4" s="162" t="str">
        <f>IFERROR((S4/'REKAPAN CHAMP OTAK-OTAK'!AC4),"-")</f>
        <v>-</v>
      </c>
      <c r="AD4" s="162" t="str">
        <f>IFERROR((X4/'REKAPAN FIESTA'!AC4),"-")</f>
        <v>-</v>
      </c>
      <c r="AE4" s="163"/>
      <c r="AF4" s="162">
        <f>IFERROR(((D4/0.0125*0.125)/F4),"-")</f>
        <v>1500</v>
      </c>
      <c r="AG4" s="162" t="str">
        <f>IFERROR(((D4/0.0125*0.000318)/#REF!),"-")</f>
        <v>-</v>
      </c>
      <c r="AH4" s="162">
        <f>IFERROR(((I4/0.0185*0.185)/K4),"-")</f>
        <v>1500</v>
      </c>
      <c r="AI4" s="162" t="str">
        <f>IFERROR(((I4/0.0185*0.000318)/#REF!),"-")</f>
        <v>-</v>
      </c>
      <c r="AJ4" s="162" t="str">
        <f>IFERROR(((N4/0.0185*0.185)/P4),"-")</f>
        <v>-</v>
      </c>
      <c r="AK4" s="162" t="str">
        <f>IFERROR(((N4/0.0185*0.000318)/#REF!),"-")</f>
        <v>-</v>
      </c>
      <c r="AL4" s="162" t="str">
        <f>IFERROR(((S4/0.0185*0.185)/U4),"-")</f>
        <v>-</v>
      </c>
      <c r="AM4" s="162" t="str">
        <f>IFERROR(((S4/0.0185*0.000318)/#REF!),"-")</f>
        <v>-</v>
      </c>
      <c r="AN4" s="164"/>
      <c r="AO4" s="164"/>
      <c r="AP4" s="165"/>
      <c r="AQ4" s="161">
        <f>IFERROR(('REKAPAN OKEY AYAM'!$AD4),"-")</f>
        <v>0.96937119813826933</v>
      </c>
      <c r="AR4" s="161">
        <f>IFERROR(('REKAPAN CHAMP AYAM'!$AD4),"-")</f>
        <v>0.85744942915344158</v>
      </c>
      <c r="AS4" s="161" t="str">
        <f>IFERROR(('REKAPAN CHAMP SAPI'!$AD4),"-")</f>
        <v>-</v>
      </c>
      <c r="AT4" s="161" t="str">
        <f>IFERROR(('REKAPAN CHAMP OTAK-OTAK'!$AD4),"-")</f>
        <v>-</v>
      </c>
      <c r="AU4" s="161" t="str">
        <f>IFERROR(('REKAPAN FIESTA'!$AD4),"-")</f>
        <v>-</v>
      </c>
    </row>
    <row r="5" spans="1:47">
      <c r="A5" s="471">
        <f>+$A$4</f>
        <v>46204</v>
      </c>
      <c r="B5" s="497" t="s">
        <v>182</v>
      </c>
      <c r="C5" s="426">
        <v>413</v>
      </c>
      <c r="D5" s="427">
        <f t="shared" ref="D5:D13" si="11">+C5*3.875</f>
        <v>1600.375</v>
      </c>
      <c r="E5" s="428">
        <f t="shared" ref="E5:E13" si="12">+D5/0.0125*0.125</f>
        <v>16003.75</v>
      </c>
      <c r="F5" s="428">
        <f t="shared" ref="F5:F13" si="13">+E5/1500</f>
        <v>10.669166666666667</v>
      </c>
      <c r="G5" s="428">
        <f t="shared" ref="G5:G13" si="14">+D5/0.0125*0.000318</f>
        <v>40.713539999999995</v>
      </c>
      <c r="H5" s="429"/>
      <c r="I5" s="430">
        <f t="shared" ref="I5:I13" si="15">+H5*3.276</f>
        <v>0</v>
      </c>
      <c r="J5" s="431">
        <f t="shared" ref="J5:J13" si="16">+I5/0.0185*0.185</f>
        <v>0</v>
      </c>
      <c r="K5" s="431">
        <f t="shared" ref="K5:K13" si="17">+J5/1500</f>
        <v>0</v>
      </c>
      <c r="L5" s="431">
        <f t="shared" ref="L5:L13" si="18">+I5/0.0185*0.000318</f>
        <v>0</v>
      </c>
      <c r="M5" s="432"/>
      <c r="N5" s="433">
        <f t="shared" ref="N5:N15" si="19">+M5*3.276</f>
        <v>0</v>
      </c>
      <c r="O5" s="434">
        <f t="shared" ref="O5:O13" si="20">+N5/0.0185*0.185</f>
        <v>0</v>
      </c>
      <c r="P5" s="434">
        <f t="shared" ref="P5:P13" si="21">+O5/1500</f>
        <v>0</v>
      </c>
      <c r="Q5" s="434">
        <f t="shared" ref="Q5:Q13" si="22">+N5/0.0185*0.000318</f>
        <v>0</v>
      </c>
      <c r="R5" s="435"/>
      <c r="S5" s="436">
        <f t="shared" ref="S5:S15" si="23">+R5*3.276</f>
        <v>0</v>
      </c>
      <c r="T5" s="437">
        <f t="shared" ref="T5:T13" si="24">+S5/0.0185*0.185</f>
        <v>0</v>
      </c>
      <c r="U5" s="437">
        <f t="shared" ref="U5:U13" si="25">+T5/1500</f>
        <v>0</v>
      </c>
      <c r="V5" s="437">
        <f t="shared" ref="V5:V13" si="26">+S5/0.0185*0.000318</f>
        <v>0</v>
      </c>
      <c r="W5" s="300"/>
      <c r="X5" s="131"/>
      <c r="Z5" s="162"/>
      <c r="AA5" s="162"/>
      <c r="AB5" s="162"/>
      <c r="AC5" s="162"/>
      <c r="AD5" s="162"/>
      <c r="AE5" s="163"/>
      <c r="AF5" s="162"/>
      <c r="AG5" s="162"/>
      <c r="AH5" s="162"/>
      <c r="AI5" s="162"/>
      <c r="AJ5" s="162"/>
      <c r="AK5" s="162"/>
      <c r="AL5" s="162"/>
      <c r="AM5" s="162"/>
      <c r="AN5" s="164"/>
      <c r="AO5" s="164"/>
      <c r="AP5" s="165"/>
      <c r="AQ5" s="161"/>
      <c r="AR5" s="161"/>
      <c r="AS5" s="161"/>
      <c r="AT5" s="161"/>
      <c r="AU5" s="161"/>
    </row>
    <row r="6" spans="1:47">
      <c r="A6" s="471">
        <f t="shared" ref="A6:A13" si="27">+$A$4</f>
        <v>46204</v>
      </c>
      <c r="B6" s="497" t="s">
        <v>183</v>
      </c>
      <c r="C6" s="426">
        <v>447</v>
      </c>
      <c r="D6" s="427">
        <f t="shared" si="11"/>
        <v>1732.125</v>
      </c>
      <c r="E6" s="428">
        <f t="shared" si="12"/>
        <v>17321.25</v>
      </c>
      <c r="F6" s="428">
        <f t="shared" si="13"/>
        <v>11.547499999999999</v>
      </c>
      <c r="G6" s="428">
        <f t="shared" si="14"/>
        <v>44.065259999999995</v>
      </c>
      <c r="H6" s="429"/>
      <c r="I6" s="430">
        <f t="shared" si="15"/>
        <v>0</v>
      </c>
      <c r="J6" s="431">
        <f t="shared" si="16"/>
        <v>0</v>
      </c>
      <c r="K6" s="431">
        <f t="shared" si="17"/>
        <v>0</v>
      </c>
      <c r="L6" s="431">
        <f t="shared" si="18"/>
        <v>0</v>
      </c>
      <c r="M6" s="432"/>
      <c r="N6" s="433">
        <f t="shared" si="19"/>
        <v>0</v>
      </c>
      <c r="O6" s="434">
        <f t="shared" si="20"/>
        <v>0</v>
      </c>
      <c r="P6" s="434">
        <f t="shared" si="21"/>
        <v>0</v>
      </c>
      <c r="Q6" s="434">
        <f t="shared" si="22"/>
        <v>0</v>
      </c>
      <c r="R6" s="435"/>
      <c r="S6" s="436">
        <f t="shared" si="23"/>
        <v>0</v>
      </c>
      <c r="T6" s="437">
        <f t="shared" si="24"/>
        <v>0</v>
      </c>
      <c r="U6" s="437">
        <f t="shared" si="25"/>
        <v>0</v>
      </c>
      <c r="V6" s="437">
        <f t="shared" si="26"/>
        <v>0</v>
      </c>
      <c r="W6" s="300"/>
      <c r="X6" s="131"/>
      <c r="Z6" s="162"/>
      <c r="AA6" s="162"/>
      <c r="AB6" s="162"/>
      <c r="AC6" s="162"/>
      <c r="AD6" s="162"/>
      <c r="AE6" s="163"/>
      <c r="AF6" s="162"/>
      <c r="AG6" s="162"/>
      <c r="AH6" s="162"/>
      <c r="AI6" s="162"/>
      <c r="AJ6" s="162"/>
      <c r="AK6" s="162"/>
      <c r="AL6" s="162"/>
      <c r="AM6" s="162"/>
      <c r="AN6" s="164"/>
      <c r="AO6" s="164"/>
      <c r="AP6" s="165"/>
      <c r="AQ6" s="161"/>
      <c r="AR6" s="161"/>
      <c r="AS6" s="161"/>
      <c r="AT6" s="161"/>
      <c r="AU6" s="161"/>
    </row>
    <row r="7" spans="1:47">
      <c r="A7" s="471">
        <f t="shared" si="27"/>
        <v>46204</v>
      </c>
      <c r="B7" s="497" t="s">
        <v>184</v>
      </c>
      <c r="C7" s="426">
        <v>481</v>
      </c>
      <c r="D7" s="427">
        <f t="shared" si="11"/>
        <v>1863.875</v>
      </c>
      <c r="E7" s="428">
        <f t="shared" si="12"/>
        <v>18638.75</v>
      </c>
      <c r="F7" s="428">
        <f t="shared" si="13"/>
        <v>12.425833333333333</v>
      </c>
      <c r="G7" s="428">
        <f t="shared" si="14"/>
        <v>47.416979999999995</v>
      </c>
      <c r="H7" s="429"/>
      <c r="I7" s="430">
        <f t="shared" si="15"/>
        <v>0</v>
      </c>
      <c r="J7" s="431">
        <f t="shared" si="16"/>
        <v>0</v>
      </c>
      <c r="K7" s="431">
        <f t="shared" si="17"/>
        <v>0</v>
      </c>
      <c r="L7" s="431">
        <f t="shared" si="18"/>
        <v>0</v>
      </c>
      <c r="M7" s="432"/>
      <c r="N7" s="433">
        <f t="shared" si="19"/>
        <v>0</v>
      </c>
      <c r="O7" s="434">
        <f t="shared" si="20"/>
        <v>0</v>
      </c>
      <c r="P7" s="434">
        <f t="shared" si="21"/>
        <v>0</v>
      </c>
      <c r="Q7" s="434">
        <f t="shared" si="22"/>
        <v>0</v>
      </c>
      <c r="R7" s="435"/>
      <c r="S7" s="436">
        <f t="shared" si="23"/>
        <v>0</v>
      </c>
      <c r="T7" s="437">
        <f t="shared" si="24"/>
        <v>0</v>
      </c>
      <c r="U7" s="437">
        <f t="shared" si="25"/>
        <v>0</v>
      </c>
      <c r="V7" s="437">
        <f t="shared" si="26"/>
        <v>0</v>
      </c>
      <c r="W7" s="300"/>
      <c r="X7" s="131"/>
      <c r="Z7" s="162"/>
      <c r="AA7" s="162"/>
      <c r="AB7" s="162"/>
      <c r="AC7" s="162"/>
      <c r="AD7" s="162"/>
      <c r="AE7" s="163"/>
      <c r="AF7" s="162"/>
      <c r="AG7" s="162"/>
      <c r="AH7" s="162"/>
      <c r="AI7" s="162"/>
      <c r="AJ7" s="162"/>
      <c r="AK7" s="162"/>
      <c r="AL7" s="162"/>
      <c r="AM7" s="162"/>
      <c r="AN7" s="164"/>
      <c r="AO7" s="164"/>
      <c r="AP7" s="165"/>
      <c r="AQ7" s="161"/>
      <c r="AR7" s="161"/>
      <c r="AS7" s="161"/>
      <c r="AT7" s="161"/>
      <c r="AU7" s="161"/>
    </row>
    <row r="8" spans="1:47">
      <c r="A8" s="471">
        <f t="shared" si="27"/>
        <v>46204</v>
      </c>
      <c r="B8" s="497" t="s">
        <v>185</v>
      </c>
      <c r="C8" s="426">
        <v>467</v>
      </c>
      <c r="D8" s="427">
        <f t="shared" si="11"/>
        <v>1809.625</v>
      </c>
      <c r="E8" s="428">
        <f t="shared" si="12"/>
        <v>18096.25</v>
      </c>
      <c r="F8" s="428">
        <f t="shared" si="13"/>
        <v>12.064166666666667</v>
      </c>
      <c r="G8" s="428">
        <f t="shared" si="14"/>
        <v>46.036859999999997</v>
      </c>
      <c r="H8" s="429"/>
      <c r="I8" s="430">
        <f t="shared" si="15"/>
        <v>0</v>
      </c>
      <c r="J8" s="431">
        <f t="shared" si="16"/>
        <v>0</v>
      </c>
      <c r="K8" s="431">
        <f t="shared" si="17"/>
        <v>0</v>
      </c>
      <c r="L8" s="431">
        <f t="shared" si="18"/>
        <v>0</v>
      </c>
      <c r="M8" s="432"/>
      <c r="N8" s="433">
        <f t="shared" si="19"/>
        <v>0</v>
      </c>
      <c r="O8" s="434">
        <f t="shared" si="20"/>
        <v>0</v>
      </c>
      <c r="P8" s="434">
        <f t="shared" si="21"/>
        <v>0</v>
      </c>
      <c r="Q8" s="434">
        <f t="shared" si="22"/>
        <v>0</v>
      </c>
      <c r="R8" s="435"/>
      <c r="S8" s="436">
        <f t="shared" si="23"/>
        <v>0</v>
      </c>
      <c r="T8" s="437">
        <f t="shared" si="24"/>
        <v>0</v>
      </c>
      <c r="U8" s="437">
        <f t="shared" si="25"/>
        <v>0</v>
      </c>
      <c r="V8" s="437">
        <f t="shared" si="26"/>
        <v>0</v>
      </c>
      <c r="W8" s="300"/>
      <c r="X8" s="131"/>
      <c r="Z8" s="162"/>
      <c r="AA8" s="162"/>
      <c r="AB8" s="162"/>
      <c r="AC8" s="162"/>
      <c r="AD8" s="162"/>
      <c r="AE8" s="163"/>
      <c r="AF8" s="162"/>
      <c r="AG8" s="162"/>
      <c r="AH8" s="162"/>
      <c r="AI8" s="162"/>
      <c r="AJ8" s="162"/>
      <c r="AK8" s="162"/>
      <c r="AL8" s="162"/>
      <c r="AM8" s="162"/>
      <c r="AN8" s="164"/>
      <c r="AO8" s="164"/>
      <c r="AP8" s="165"/>
      <c r="AQ8" s="161"/>
      <c r="AR8" s="161"/>
      <c r="AS8" s="161"/>
      <c r="AT8" s="161"/>
      <c r="AU8" s="161"/>
    </row>
    <row r="9" spans="1:47">
      <c r="A9" s="471">
        <f t="shared" si="27"/>
        <v>46204</v>
      </c>
      <c r="B9" s="497" t="s">
        <v>186</v>
      </c>
      <c r="C9" s="426">
        <v>290</v>
      </c>
      <c r="D9" s="427">
        <f t="shared" si="11"/>
        <v>1123.75</v>
      </c>
      <c r="E9" s="428">
        <f t="shared" si="12"/>
        <v>11237.5</v>
      </c>
      <c r="F9" s="428">
        <f t="shared" si="13"/>
        <v>7.4916666666666663</v>
      </c>
      <c r="G9" s="428">
        <f t="shared" si="14"/>
        <v>28.588199999999997</v>
      </c>
      <c r="H9" s="429"/>
      <c r="I9" s="430">
        <f t="shared" si="15"/>
        <v>0</v>
      </c>
      <c r="J9" s="431">
        <f t="shared" si="16"/>
        <v>0</v>
      </c>
      <c r="K9" s="431">
        <f t="shared" si="17"/>
        <v>0</v>
      </c>
      <c r="L9" s="431">
        <f t="shared" si="18"/>
        <v>0</v>
      </c>
      <c r="M9" s="432"/>
      <c r="N9" s="433">
        <f t="shared" si="19"/>
        <v>0</v>
      </c>
      <c r="O9" s="434">
        <f t="shared" si="20"/>
        <v>0</v>
      </c>
      <c r="P9" s="434">
        <f t="shared" si="21"/>
        <v>0</v>
      </c>
      <c r="Q9" s="434">
        <f t="shared" si="22"/>
        <v>0</v>
      </c>
      <c r="R9" s="435"/>
      <c r="S9" s="436">
        <f t="shared" si="23"/>
        <v>0</v>
      </c>
      <c r="T9" s="437">
        <f t="shared" si="24"/>
        <v>0</v>
      </c>
      <c r="U9" s="437">
        <f t="shared" si="25"/>
        <v>0</v>
      </c>
      <c r="V9" s="437">
        <f t="shared" si="26"/>
        <v>0</v>
      </c>
      <c r="W9" s="300"/>
      <c r="X9" s="131"/>
      <c r="Z9" s="162"/>
      <c r="AA9" s="162"/>
      <c r="AB9" s="162"/>
      <c r="AC9" s="162"/>
      <c r="AD9" s="162"/>
      <c r="AE9" s="163"/>
      <c r="AF9" s="162"/>
      <c r="AG9" s="162"/>
      <c r="AH9" s="162"/>
      <c r="AI9" s="162"/>
      <c r="AJ9" s="162"/>
      <c r="AK9" s="162"/>
      <c r="AL9" s="162"/>
      <c r="AM9" s="162"/>
      <c r="AN9" s="164"/>
      <c r="AO9" s="164"/>
      <c r="AP9" s="165"/>
      <c r="AQ9" s="161"/>
      <c r="AR9" s="161"/>
      <c r="AS9" s="161"/>
      <c r="AT9" s="161"/>
      <c r="AU9" s="161"/>
    </row>
    <row r="10" spans="1:47">
      <c r="A10" s="471">
        <f t="shared" si="27"/>
        <v>46204</v>
      </c>
      <c r="B10" s="497" t="s">
        <v>187</v>
      </c>
      <c r="C10" s="426">
        <v>102</v>
      </c>
      <c r="D10" s="427">
        <f t="shared" si="11"/>
        <v>395.25</v>
      </c>
      <c r="E10" s="428">
        <f t="shared" si="12"/>
        <v>3952.5</v>
      </c>
      <c r="F10" s="428">
        <f t="shared" si="13"/>
        <v>2.6349999999999998</v>
      </c>
      <c r="G10" s="428">
        <f t="shared" si="14"/>
        <v>10.055159999999999</v>
      </c>
      <c r="H10" s="429"/>
      <c r="I10" s="430">
        <f t="shared" si="15"/>
        <v>0</v>
      </c>
      <c r="J10" s="431">
        <f t="shared" si="16"/>
        <v>0</v>
      </c>
      <c r="K10" s="431">
        <f t="shared" si="17"/>
        <v>0</v>
      </c>
      <c r="L10" s="431">
        <f t="shared" si="18"/>
        <v>0</v>
      </c>
      <c r="M10" s="432"/>
      <c r="N10" s="433">
        <f t="shared" si="19"/>
        <v>0</v>
      </c>
      <c r="O10" s="434">
        <f t="shared" si="20"/>
        <v>0</v>
      </c>
      <c r="P10" s="434">
        <f t="shared" si="21"/>
        <v>0</v>
      </c>
      <c r="Q10" s="434">
        <f t="shared" si="22"/>
        <v>0</v>
      </c>
      <c r="R10" s="435"/>
      <c r="S10" s="436">
        <f t="shared" si="23"/>
        <v>0</v>
      </c>
      <c r="T10" s="437">
        <f t="shared" si="24"/>
        <v>0</v>
      </c>
      <c r="U10" s="437">
        <f t="shared" si="25"/>
        <v>0</v>
      </c>
      <c r="V10" s="437">
        <f t="shared" si="26"/>
        <v>0</v>
      </c>
      <c r="W10" s="300"/>
      <c r="X10" s="131"/>
      <c r="Z10" s="162"/>
      <c r="AA10" s="162"/>
      <c r="AB10" s="162"/>
      <c r="AC10" s="162"/>
      <c r="AD10" s="162"/>
      <c r="AE10" s="163"/>
      <c r="AF10" s="162"/>
      <c r="AG10" s="162"/>
      <c r="AH10" s="162"/>
      <c r="AI10" s="162"/>
      <c r="AJ10" s="162"/>
      <c r="AK10" s="162"/>
      <c r="AL10" s="162"/>
      <c r="AM10" s="162"/>
      <c r="AN10" s="164"/>
      <c r="AO10" s="164"/>
      <c r="AP10" s="165"/>
      <c r="AQ10" s="161"/>
      <c r="AR10" s="161"/>
      <c r="AS10" s="161"/>
      <c r="AT10" s="161"/>
      <c r="AU10" s="161"/>
    </row>
    <row r="11" spans="1:47">
      <c r="A11" s="471">
        <f t="shared" si="27"/>
        <v>46204</v>
      </c>
      <c r="B11" s="497"/>
      <c r="C11" s="426"/>
      <c r="D11" s="427">
        <f t="shared" si="11"/>
        <v>0</v>
      </c>
      <c r="E11" s="428">
        <f t="shared" si="12"/>
        <v>0</v>
      </c>
      <c r="F11" s="428">
        <f t="shared" si="13"/>
        <v>0</v>
      </c>
      <c r="G11" s="428">
        <f t="shared" si="14"/>
        <v>0</v>
      </c>
      <c r="H11" s="429"/>
      <c r="I11" s="430">
        <f t="shared" si="15"/>
        <v>0</v>
      </c>
      <c r="J11" s="431">
        <f t="shared" si="16"/>
        <v>0</v>
      </c>
      <c r="K11" s="431">
        <f t="shared" si="17"/>
        <v>0</v>
      </c>
      <c r="L11" s="431">
        <f t="shared" si="18"/>
        <v>0</v>
      </c>
      <c r="M11" s="432"/>
      <c r="N11" s="433">
        <f t="shared" si="19"/>
        <v>0</v>
      </c>
      <c r="O11" s="434">
        <f t="shared" si="20"/>
        <v>0</v>
      </c>
      <c r="P11" s="434">
        <f t="shared" si="21"/>
        <v>0</v>
      </c>
      <c r="Q11" s="434">
        <f t="shared" si="22"/>
        <v>0</v>
      </c>
      <c r="R11" s="435"/>
      <c r="S11" s="436">
        <f t="shared" si="23"/>
        <v>0</v>
      </c>
      <c r="T11" s="437">
        <f t="shared" si="24"/>
        <v>0</v>
      </c>
      <c r="U11" s="437">
        <f t="shared" si="25"/>
        <v>0</v>
      </c>
      <c r="V11" s="437">
        <f t="shared" si="26"/>
        <v>0</v>
      </c>
      <c r="W11" s="300"/>
      <c r="X11" s="131"/>
      <c r="Z11" s="162"/>
      <c r="AA11" s="162"/>
      <c r="AB11" s="162"/>
      <c r="AC11" s="162"/>
      <c r="AD11" s="162"/>
      <c r="AE11" s="163"/>
      <c r="AF11" s="162"/>
      <c r="AG11" s="162"/>
      <c r="AH11" s="162"/>
      <c r="AI11" s="162"/>
      <c r="AJ11" s="162"/>
      <c r="AK11" s="162"/>
      <c r="AL11" s="162"/>
      <c r="AM11" s="162"/>
      <c r="AN11" s="164"/>
      <c r="AO11" s="164"/>
      <c r="AP11" s="165"/>
      <c r="AQ11" s="161"/>
      <c r="AR11" s="161"/>
      <c r="AS11" s="161"/>
      <c r="AT11" s="161"/>
      <c r="AU11" s="161"/>
    </row>
    <row r="12" spans="1:47">
      <c r="A12" s="471">
        <f t="shared" si="27"/>
        <v>46204</v>
      </c>
      <c r="B12" s="497"/>
      <c r="C12" s="426"/>
      <c r="D12" s="427">
        <f t="shared" si="11"/>
        <v>0</v>
      </c>
      <c r="E12" s="428">
        <f t="shared" si="12"/>
        <v>0</v>
      </c>
      <c r="F12" s="428">
        <f t="shared" si="13"/>
        <v>0</v>
      </c>
      <c r="G12" s="428">
        <f t="shared" si="14"/>
        <v>0</v>
      </c>
      <c r="H12" s="429"/>
      <c r="I12" s="430">
        <f t="shared" si="15"/>
        <v>0</v>
      </c>
      <c r="J12" s="431">
        <f t="shared" si="16"/>
        <v>0</v>
      </c>
      <c r="K12" s="431">
        <f t="shared" si="17"/>
        <v>0</v>
      </c>
      <c r="L12" s="431">
        <f t="shared" si="18"/>
        <v>0</v>
      </c>
      <c r="M12" s="432"/>
      <c r="N12" s="433">
        <f t="shared" si="19"/>
        <v>0</v>
      </c>
      <c r="O12" s="434">
        <f t="shared" si="20"/>
        <v>0</v>
      </c>
      <c r="P12" s="434">
        <f t="shared" si="21"/>
        <v>0</v>
      </c>
      <c r="Q12" s="434">
        <f t="shared" si="22"/>
        <v>0</v>
      </c>
      <c r="R12" s="435"/>
      <c r="S12" s="436">
        <f t="shared" si="23"/>
        <v>0</v>
      </c>
      <c r="T12" s="437">
        <f t="shared" si="24"/>
        <v>0</v>
      </c>
      <c r="U12" s="437">
        <f t="shared" si="25"/>
        <v>0</v>
      </c>
      <c r="V12" s="437">
        <f t="shared" si="26"/>
        <v>0</v>
      </c>
      <c r="W12" s="300"/>
      <c r="X12" s="131"/>
      <c r="Z12" s="162"/>
      <c r="AA12" s="162"/>
      <c r="AB12" s="162"/>
      <c r="AC12" s="162"/>
      <c r="AD12" s="162"/>
      <c r="AE12" s="163"/>
      <c r="AF12" s="162"/>
      <c r="AG12" s="162"/>
      <c r="AH12" s="162"/>
      <c r="AI12" s="162"/>
      <c r="AJ12" s="162"/>
      <c r="AK12" s="162"/>
      <c r="AL12" s="162"/>
      <c r="AM12" s="162"/>
      <c r="AN12" s="164"/>
      <c r="AO12" s="164"/>
      <c r="AP12" s="165"/>
      <c r="AQ12" s="161"/>
      <c r="AR12" s="161"/>
      <c r="AS12" s="161"/>
      <c r="AT12" s="161"/>
      <c r="AU12" s="161"/>
    </row>
    <row r="13" spans="1:47">
      <c r="A13" s="471">
        <f t="shared" si="27"/>
        <v>46204</v>
      </c>
      <c r="B13" s="497"/>
      <c r="C13" s="426"/>
      <c r="D13" s="427">
        <f t="shared" si="11"/>
        <v>0</v>
      </c>
      <c r="E13" s="428">
        <f t="shared" si="12"/>
        <v>0</v>
      </c>
      <c r="F13" s="428">
        <f t="shared" si="13"/>
        <v>0</v>
      </c>
      <c r="G13" s="428">
        <f t="shared" si="14"/>
        <v>0</v>
      </c>
      <c r="H13" s="429"/>
      <c r="I13" s="430">
        <f t="shared" si="15"/>
        <v>0</v>
      </c>
      <c r="J13" s="431">
        <f t="shared" si="16"/>
        <v>0</v>
      </c>
      <c r="K13" s="431">
        <f t="shared" si="17"/>
        <v>0</v>
      </c>
      <c r="L13" s="431">
        <f t="shared" si="18"/>
        <v>0</v>
      </c>
      <c r="M13" s="432"/>
      <c r="N13" s="433">
        <f t="shared" si="19"/>
        <v>0</v>
      </c>
      <c r="O13" s="434">
        <f t="shared" si="20"/>
        <v>0</v>
      </c>
      <c r="P13" s="434">
        <f t="shared" si="21"/>
        <v>0</v>
      </c>
      <c r="Q13" s="434">
        <f t="shared" si="22"/>
        <v>0</v>
      </c>
      <c r="R13" s="435"/>
      <c r="S13" s="436">
        <f t="shared" si="23"/>
        <v>0</v>
      </c>
      <c r="T13" s="437">
        <f t="shared" si="24"/>
        <v>0</v>
      </c>
      <c r="U13" s="437">
        <f t="shared" si="25"/>
        <v>0</v>
      </c>
      <c r="V13" s="437">
        <f t="shared" si="26"/>
        <v>0</v>
      </c>
      <c r="W13" s="300"/>
      <c r="X13" s="131"/>
      <c r="Z13" s="162"/>
      <c r="AA13" s="162"/>
      <c r="AB13" s="162"/>
      <c r="AC13" s="162"/>
      <c r="AD13" s="162"/>
      <c r="AE13" s="163"/>
      <c r="AF13" s="162"/>
      <c r="AG13" s="162"/>
      <c r="AH13" s="162"/>
      <c r="AI13" s="162"/>
      <c r="AJ13" s="162"/>
      <c r="AK13" s="162"/>
      <c r="AL13" s="162"/>
      <c r="AM13" s="162"/>
      <c r="AN13" s="164"/>
      <c r="AO13" s="164"/>
      <c r="AP13" s="165"/>
      <c r="AQ13" s="161"/>
      <c r="AR13" s="161"/>
      <c r="AS13" s="161"/>
      <c r="AT13" s="161"/>
      <c r="AU13" s="161"/>
    </row>
    <row r="14" spans="1:47" ht="14.25">
      <c r="A14" s="471"/>
      <c r="B14" s="498" t="s">
        <v>118</v>
      </c>
      <c r="C14" s="438">
        <f>SUM(C4:C13)</f>
        <v>2635</v>
      </c>
      <c r="D14" s="439">
        <f>+C14*3.875</f>
        <v>10210.625</v>
      </c>
      <c r="E14" s="438">
        <f>SUM(E4:E13)</f>
        <v>102106.25</v>
      </c>
      <c r="F14" s="463">
        <f>SUM(F4:F13)</f>
        <v>68.070833333333326</v>
      </c>
      <c r="G14" s="463">
        <f>SUM(G4:G13)</f>
        <v>259.75829999999996</v>
      </c>
      <c r="H14" s="440">
        <f>SUM(H4:H13)</f>
        <v>463</v>
      </c>
      <c r="I14" s="441">
        <f>+H14*3.276</f>
        <v>1516.788</v>
      </c>
      <c r="J14" s="440">
        <f>SUM(J4:J13)</f>
        <v>15167.880000000001</v>
      </c>
      <c r="K14" s="466">
        <f>SUM(K4:K13)</f>
        <v>10.111920000000001</v>
      </c>
      <c r="L14" s="441">
        <f>SUM(L4:L13)</f>
        <v>26.072355891891892</v>
      </c>
      <c r="M14" s="442">
        <f>SUM(M4:M13)</f>
        <v>0</v>
      </c>
      <c r="N14" s="443">
        <f t="shared" si="19"/>
        <v>0</v>
      </c>
      <c r="O14" s="442">
        <f>SUM(O4:O13)</f>
        <v>0</v>
      </c>
      <c r="P14" s="468">
        <f>SUM(P4:P13)</f>
        <v>0</v>
      </c>
      <c r="Q14" s="468">
        <f>SUM(Q4:Q13)</f>
        <v>0</v>
      </c>
      <c r="R14" s="444">
        <f>SUM(R4:R13)</f>
        <v>0</v>
      </c>
      <c r="S14" s="445">
        <f t="shared" si="23"/>
        <v>0</v>
      </c>
      <c r="T14" s="444">
        <f>SUM(T4:T13)</f>
        <v>0</v>
      </c>
      <c r="U14" s="470">
        <f>SUM(U4:U13)</f>
        <v>0</v>
      </c>
      <c r="V14" s="470">
        <f>SUM(V4:V13)</f>
        <v>0</v>
      </c>
      <c r="W14" s="300"/>
      <c r="X14" s="131"/>
      <c r="Z14" s="162"/>
      <c r="AA14" s="162"/>
      <c r="AB14" s="162"/>
      <c r="AC14" s="162"/>
      <c r="AD14" s="162"/>
      <c r="AE14" s="163"/>
      <c r="AF14" s="162"/>
      <c r="AG14" s="162"/>
      <c r="AH14" s="162"/>
      <c r="AI14" s="162"/>
      <c r="AJ14" s="162"/>
      <c r="AK14" s="162"/>
      <c r="AL14" s="162"/>
      <c r="AM14" s="162"/>
      <c r="AN14" s="164"/>
      <c r="AO14" s="164"/>
      <c r="AP14" s="165"/>
      <c r="AQ14" s="161"/>
      <c r="AR14" s="161"/>
      <c r="AS14" s="161"/>
      <c r="AT14" s="161"/>
      <c r="AU14" s="161"/>
    </row>
    <row r="15" spans="1:47">
      <c r="A15" s="472">
        <f>+A4+1</f>
        <v>46205</v>
      </c>
      <c r="B15" s="497" t="s">
        <v>188</v>
      </c>
      <c r="C15" s="426"/>
      <c r="D15" s="427">
        <f t="shared" ref="D15:D25" si="28">+C15*3.875</f>
        <v>0</v>
      </c>
      <c r="E15" s="428">
        <f>+D15/0.0125*0.125</f>
        <v>0</v>
      </c>
      <c r="F15" s="428">
        <f>+E15/1500</f>
        <v>0</v>
      </c>
      <c r="G15" s="428">
        <f t="shared" ref="G15:G24" si="29">+D15/0.0125*0.000318</f>
        <v>0</v>
      </c>
      <c r="H15" s="429">
        <v>469</v>
      </c>
      <c r="I15" s="430">
        <f t="shared" ref="I15:I25" si="30">+H15*3.276</f>
        <v>1536.444</v>
      </c>
      <c r="J15" s="431">
        <f t="shared" ref="J15:J24" si="31">+I15/0.0185*0.185</f>
        <v>15364.44</v>
      </c>
      <c r="K15" s="431">
        <f>+J15/1500</f>
        <v>10.24296</v>
      </c>
      <c r="L15" s="431">
        <f t="shared" ref="L15:L24" si="32">+I15/0.0185*0.000318</f>
        <v>26.410226594594594</v>
      </c>
      <c r="M15" s="432"/>
      <c r="N15" s="433">
        <f t="shared" si="19"/>
        <v>0</v>
      </c>
      <c r="O15" s="434">
        <f t="shared" ref="O15:O24" si="33">+N15/0.0185*0.185</f>
        <v>0</v>
      </c>
      <c r="P15" s="434">
        <f t="shared" ref="P15:P78" si="34">+O15/1500</f>
        <v>0</v>
      </c>
      <c r="Q15" s="434">
        <f t="shared" ref="Q15:Q24" si="35">+N15/0.0185*0.000318</f>
        <v>0</v>
      </c>
      <c r="R15" s="435"/>
      <c r="S15" s="436">
        <f t="shared" si="23"/>
        <v>0</v>
      </c>
      <c r="T15" s="437">
        <f t="shared" ref="T15:T24" si="36">+S15/0.0185*0.185</f>
        <v>0</v>
      </c>
      <c r="U15" s="437">
        <f t="shared" ref="U15:U78" si="37">+T15/1500</f>
        <v>0</v>
      </c>
      <c r="V15" s="437">
        <f t="shared" ref="V15:V24" si="38">+S15/0.0185*0.000318</f>
        <v>0</v>
      </c>
      <c r="W15" s="300"/>
      <c r="X15" s="131">
        <f>+W15*2.4</f>
        <v>0</v>
      </c>
      <c r="Z15" s="162" t="str">
        <f>IFERROR((D15/'REKAPAN OKEY AYAM'!$AC5),"-")</f>
        <v>-</v>
      </c>
      <c r="AA15" s="162">
        <f>IFERROR((I15/'REKAPAN CHAMP AYAM'!$AC5),"-")</f>
        <v>0.1010919513003932</v>
      </c>
      <c r="AB15" s="162" t="str">
        <f>IFERROR((N15/'REKAPAN CHAMP SAPI'!AC5),"-")</f>
        <v>-</v>
      </c>
      <c r="AC15" s="162" t="str">
        <f>IFERROR((S15/'REKAPAN CHAMP OTAK-OTAK'!AC5),"-")</f>
        <v>-</v>
      </c>
      <c r="AD15" s="162" t="str">
        <f>IFERROR((X15/'REKAPAN FIESTA'!AC5),"-")</f>
        <v>-</v>
      </c>
      <c r="AE15" s="163"/>
      <c r="AF15" s="162" t="str">
        <f t="shared" ref="AF15:AF334" si="39">IFERROR(((D15/0.0125*0.125)/F15),"-")</f>
        <v>-</v>
      </c>
      <c r="AG15" s="162" t="str">
        <f>IFERROR(((D15/0.0125*0.000318)/#REF!),"-")</f>
        <v>-</v>
      </c>
      <c r="AH15" s="162">
        <f t="shared" ref="AH15:AH334" si="40">IFERROR(((I15/0.0185*0.185)/K15),"-")</f>
        <v>1500</v>
      </c>
      <c r="AI15" s="162" t="str">
        <f>IFERROR(((I15/0.0185*0.000318)/#REF!),"-")</f>
        <v>-</v>
      </c>
      <c r="AJ15" s="162" t="str">
        <f t="shared" ref="AJ15:AJ334" si="41">IFERROR(((N15/0.0185*0.185)/P15),"-")</f>
        <v>-</v>
      </c>
      <c r="AK15" s="162" t="str">
        <f>IFERROR(((N15/0.0185*0.000318)/#REF!),"-")</f>
        <v>-</v>
      </c>
      <c r="AL15" s="162" t="str">
        <f t="shared" ref="AL15:AL334" si="42">IFERROR(((S15/0.0185*0.185)/U15),"-")</f>
        <v>-</v>
      </c>
      <c r="AM15" s="162" t="str">
        <f>IFERROR(((S15/0.0185*0.000318)/#REF!),"-")</f>
        <v>-</v>
      </c>
      <c r="AN15" s="164"/>
      <c r="AO15" s="164"/>
      <c r="AP15" s="165"/>
      <c r="AQ15" s="161" t="str">
        <f>IFERROR(('REKAPAN OKEY AYAM'!$AD5),"-")</f>
        <v>-</v>
      </c>
      <c r="AR15" s="161">
        <f>IFERROR(('REKAPAN CHAMP AYAM'!$AD5),"-")</f>
        <v>0.90443886493912529</v>
      </c>
      <c r="AS15" s="161" t="str">
        <f>IFERROR(('REKAPAN CHAMP SAPI'!$AD5),"-")</f>
        <v>-</v>
      </c>
      <c r="AT15" s="161" t="str">
        <f>IFERROR(('REKAPAN CHAMP OTAK-OTAK'!$AD5),"-")</f>
        <v>-</v>
      </c>
      <c r="AU15" s="161" t="str">
        <f>IFERROR(('REKAPAN FIESTA'!$AD5),"-")</f>
        <v>-</v>
      </c>
    </row>
    <row r="16" spans="1:47">
      <c r="A16" s="471">
        <f>+$A15</f>
        <v>46205</v>
      </c>
      <c r="B16" s="497" t="s">
        <v>189</v>
      </c>
      <c r="C16" s="426"/>
      <c r="D16" s="427">
        <f t="shared" si="28"/>
        <v>0</v>
      </c>
      <c r="E16" s="428">
        <f t="shared" ref="E16:E24" si="43">+D16/0.0125*0.125</f>
        <v>0</v>
      </c>
      <c r="F16" s="428">
        <f t="shared" ref="F16:F24" si="44">+E16/1500</f>
        <v>0</v>
      </c>
      <c r="G16" s="428">
        <f t="shared" si="29"/>
        <v>0</v>
      </c>
      <c r="H16" s="429">
        <v>493</v>
      </c>
      <c r="I16" s="430">
        <f t="shared" si="30"/>
        <v>1615.068</v>
      </c>
      <c r="J16" s="431">
        <f t="shared" si="31"/>
        <v>16150.68</v>
      </c>
      <c r="K16" s="431">
        <f t="shared" ref="K16:K24" si="45">+J16/1500</f>
        <v>10.76712</v>
      </c>
      <c r="L16" s="431">
        <f t="shared" si="32"/>
        <v>27.761709405405405</v>
      </c>
      <c r="M16" s="432"/>
      <c r="N16" s="433">
        <f t="shared" ref="N16:N79" si="46">+M16*3.276</f>
        <v>0</v>
      </c>
      <c r="O16" s="434">
        <f t="shared" si="33"/>
        <v>0</v>
      </c>
      <c r="P16" s="434">
        <f t="shared" si="34"/>
        <v>0</v>
      </c>
      <c r="Q16" s="434">
        <f t="shared" si="35"/>
        <v>0</v>
      </c>
      <c r="R16" s="435"/>
      <c r="S16" s="436">
        <f t="shared" ref="S16:S79" si="47">+R16*3.276</f>
        <v>0</v>
      </c>
      <c r="T16" s="437">
        <f t="shared" si="36"/>
        <v>0</v>
      </c>
      <c r="U16" s="437">
        <f t="shared" si="37"/>
        <v>0</v>
      </c>
      <c r="V16" s="437">
        <f t="shared" si="38"/>
        <v>0</v>
      </c>
      <c r="W16" s="300"/>
      <c r="X16" s="131"/>
      <c r="Z16" s="162"/>
      <c r="AA16" s="162"/>
      <c r="AB16" s="162"/>
      <c r="AC16" s="162"/>
      <c r="AD16" s="162"/>
      <c r="AE16" s="163"/>
      <c r="AF16" s="162"/>
      <c r="AG16" s="162"/>
      <c r="AH16" s="162"/>
      <c r="AI16" s="162"/>
      <c r="AJ16" s="162"/>
      <c r="AK16" s="162"/>
      <c r="AL16" s="162"/>
      <c r="AM16" s="162"/>
      <c r="AN16" s="164"/>
      <c r="AO16" s="164"/>
      <c r="AP16" s="165"/>
      <c r="AQ16" s="161"/>
      <c r="AR16" s="161"/>
      <c r="AS16" s="161"/>
      <c r="AT16" s="161"/>
      <c r="AU16" s="161"/>
    </row>
    <row r="17" spans="1:47">
      <c r="A17" s="471">
        <f t="shared" ref="A17:A24" si="48">+$A16</f>
        <v>46205</v>
      </c>
      <c r="B17" s="497" t="s">
        <v>190</v>
      </c>
      <c r="C17" s="426"/>
      <c r="D17" s="427">
        <f t="shared" si="28"/>
        <v>0</v>
      </c>
      <c r="E17" s="428">
        <f t="shared" si="43"/>
        <v>0</v>
      </c>
      <c r="F17" s="428">
        <f t="shared" si="44"/>
        <v>0</v>
      </c>
      <c r="G17" s="428">
        <f t="shared" si="29"/>
        <v>0</v>
      </c>
      <c r="H17" s="429">
        <v>416</v>
      </c>
      <c r="I17" s="430">
        <f t="shared" si="30"/>
        <v>1362.8159999999998</v>
      </c>
      <c r="J17" s="431">
        <f t="shared" si="31"/>
        <v>13628.159999999998</v>
      </c>
      <c r="K17" s="431">
        <f t="shared" si="45"/>
        <v>9.0854399999999984</v>
      </c>
      <c r="L17" s="431">
        <f t="shared" si="32"/>
        <v>23.425702054054049</v>
      </c>
      <c r="M17" s="432"/>
      <c r="N17" s="433">
        <f t="shared" si="46"/>
        <v>0</v>
      </c>
      <c r="O17" s="434">
        <f t="shared" si="33"/>
        <v>0</v>
      </c>
      <c r="P17" s="434">
        <f t="shared" si="34"/>
        <v>0</v>
      </c>
      <c r="Q17" s="434">
        <f t="shared" si="35"/>
        <v>0</v>
      </c>
      <c r="R17" s="435"/>
      <c r="S17" s="436">
        <f t="shared" si="47"/>
        <v>0</v>
      </c>
      <c r="T17" s="437">
        <f t="shared" si="36"/>
        <v>0</v>
      </c>
      <c r="U17" s="437">
        <f t="shared" si="37"/>
        <v>0</v>
      </c>
      <c r="V17" s="437">
        <f t="shared" si="38"/>
        <v>0</v>
      </c>
      <c r="W17" s="300"/>
      <c r="X17" s="131"/>
      <c r="Z17" s="162"/>
      <c r="AA17" s="162"/>
      <c r="AB17" s="162"/>
      <c r="AC17" s="162"/>
      <c r="AD17" s="162"/>
      <c r="AE17" s="163"/>
      <c r="AF17" s="162"/>
      <c r="AG17" s="162"/>
      <c r="AH17" s="162"/>
      <c r="AI17" s="162"/>
      <c r="AJ17" s="162"/>
      <c r="AK17" s="162"/>
      <c r="AL17" s="162"/>
      <c r="AM17" s="162"/>
      <c r="AN17" s="164"/>
      <c r="AO17" s="164"/>
      <c r="AP17" s="165"/>
      <c r="AQ17" s="161"/>
      <c r="AR17" s="161"/>
      <c r="AS17" s="161"/>
      <c r="AT17" s="161"/>
      <c r="AU17" s="161"/>
    </row>
    <row r="18" spans="1:47">
      <c r="A18" s="471">
        <f t="shared" si="48"/>
        <v>46205</v>
      </c>
      <c r="B18" s="497" t="s">
        <v>191</v>
      </c>
      <c r="C18" s="426"/>
      <c r="D18" s="427">
        <f t="shared" si="28"/>
        <v>0</v>
      </c>
      <c r="E18" s="428">
        <f t="shared" si="43"/>
        <v>0</v>
      </c>
      <c r="F18" s="428">
        <f t="shared" si="44"/>
        <v>0</v>
      </c>
      <c r="G18" s="428">
        <f t="shared" si="29"/>
        <v>0</v>
      </c>
      <c r="H18" s="429">
        <v>503</v>
      </c>
      <c r="I18" s="430">
        <f t="shared" si="30"/>
        <v>1647.828</v>
      </c>
      <c r="J18" s="431">
        <f t="shared" si="31"/>
        <v>16478.28</v>
      </c>
      <c r="K18" s="431">
        <f t="shared" si="45"/>
        <v>10.985519999999999</v>
      </c>
      <c r="L18" s="431">
        <f t="shared" si="32"/>
        <v>28.324827243243242</v>
      </c>
      <c r="M18" s="432"/>
      <c r="N18" s="433">
        <f t="shared" si="46"/>
        <v>0</v>
      </c>
      <c r="O18" s="434">
        <f t="shared" si="33"/>
        <v>0</v>
      </c>
      <c r="P18" s="434">
        <f t="shared" si="34"/>
        <v>0</v>
      </c>
      <c r="Q18" s="434">
        <f t="shared" si="35"/>
        <v>0</v>
      </c>
      <c r="R18" s="435"/>
      <c r="S18" s="436">
        <f t="shared" si="47"/>
        <v>0</v>
      </c>
      <c r="T18" s="437">
        <f t="shared" si="36"/>
        <v>0</v>
      </c>
      <c r="U18" s="437">
        <f t="shared" si="37"/>
        <v>0</v>
      </c>
      <c r="V18" s="437">
        <f t="shared" si="38"/>
        <v>0</v>
      </c>
      <c r="W18" s="300"/>
      <c r="X18" s="131"/>
      <c r="Z18" s="162"/>
      <c r="AA18" s="162"/>
      <c r="AB18" s="162"/>
      <c r="AC18" s="162"/>
      <c r="AD18" s="162"/>
      <c r="AE18" s="163"/>
      <c r="AF18" s="162"/>
      <c r="AG18" s="162"/>
      <c r="AH18" s="162"/>
      <c r="AI18" s="162"/>
      <c r="AJ18" s="162"/>
      <c r="AK18" s="162"/>
      <c r="AL18" s="162"/>
      <c r="AM18" s="162"/>
      <c r="AN18" s="164"/>
      <c r="AO18" s="164"/>
      <c r="AP18" s="165"/>
      <c r="AQ18" s="161"/>
      <c r="AR18" s="161"/>
      <c r="AS18" s="161"/>
      <c r="AT18" s="161"/>
      <c r="AU18" s="161"/>
    </row>
    <row r="19" spans="1:47">
      <c r="A19" s="471">
        <f t="shared" si="48"/>
        <v>46205</v>
      </c>
      <c r="B19" s="497" t="s">
        <v>192</v>
      </c>
      <c r="C19" s="426"/>
      <c r="D19" s="427">
        <f t="shared" si="28"/>
        <v>0</v>
      </c>
      <c r="E19" s="428">
        <f t="shared" si="43"/>
        <v>0</v>
      </c>
      <c r="F19" s="428">
        <f t="shared" si="44"/>
        <v>0</v>
      </c>
      <c r="G19" s="428">
        <f t="shared" si="29"/>
        <v>0</v>
      </c>
      <c r="H19" s="429">
        <v>519</v>
      </c>
      <c r="I19" s="430">
        <f t="shared" si="30"/>
        <v>1700.2439999999999</v>
      </c>
      <c r="J19" s="431">
        <f t="shared" si="31"/>
        <v>17002.439999999999</v>
      </c>
      <c r="K19" s="431">
        <f t="shared" si="45"/>
        <v>11.334959999999999</v>
      </c>
      <c r="L19" s="431">
        <f t="shared" si="32"/>
        <v>29.22581578378378</v>
      </c>
      <c r="M19" s="432"/>
      <c r="N19" s="433">
        <f t="shared" si="46"/>
        <v>0</v>
      </c>
      <c r="O19" s="434">
        <f t="shared" si="33"/>
        <v>0</v>
      </c>
      <c r="P19" s="434">
        <f t="shared" si="34"/>
        <v>0</v>
      </c>
      <c r="Q19" s="434">
        <f t="shared" si="35"/>
        <v>0</v>
      </c>
      <c r="R19" s="435"/>
      <c r="S19" s="436">
        <f t="shared" si="47"/>
        <v>0</v>
      </c>
      <c r="T19" s="437">
        <f t="shared" si="36"/>
        <v>0</v>
      </c>
      <c r="U19" s="437">
        <f t="shared" si="37"/>
        <v>0</v>
      </c>
      <c r="V19" s="437">
        <f t="shared" si="38"/>
        <v>0</v>
      </c>
      <c r="W19" s="300"/>
      <c r="X19" s="131"/>
      <c r="Z19" s="162"/>
      <c r="AA19" s="162"/>
      <c r="AB19" s="162"/>
      <c r="AC19" s="162"/>
      <c r="AD19" s="162"/>
      <c r="AE19" s="163"/>
      <c r="AF19" s="162"/>
      <c r="AG19" s="162"/>
      <c r="AH19" s="162"/>
      <c r="AI19" s="162"/>
      <c r="AJ19" s="162"/>
      <c r="AK19" s="162"/>
      <c r="AL19" s="162"/>
      <c r="AM19" s="162"/>
      <c r="AN19" s="164"/>
      <c r="AO19" s="164"/>
      <c r="AP19" s="165"/>
      <c r="AQ19" s="161"/>
      <c r="AR19" s="161"/>
      <c r="AS19" s="161"/>
      <c r="AT19" s="161"/>
      <c r="AU19" s="161"/>
    </row>
    <row r="20" spans="1:47">
      <c r="A20" s="471">
        <f t="shared" si="48"/>
        <v>46205</v>
      </c>
      <c r="B20" s="497" t="s">
        <v>193</v>
      </c>
      <c r="C20" s="426"/>
      <c r="D20" s="427">
        <f t="shared" si="28"/>
        <v>0</v>
      </c>
      <c r="E20" s="428">
        <f t="shared" si="43"/>
        <v>0</v>
      </c>
      <c r="F20" s="428">
        <f t="shared" si="44"/>
        <v>0</v>
      </c>
      <c r="G20" s="428">
        <f t="shared" si="29"/>
        <v>0</v>
      </c>
      <c r="H20" s="429">
        <v>474</v>
      </c>
      <c r="I20" s="430">
        <f t="shared" si="30"/>
        <v>1552.8239999999998</v>
      </c>
      <c r="J20" s="431">
        <f t="shared" si="31"/>
        <v>15528.239999999998</v>
      </c>
      <c r="K20" s="431">
        <f t="shared" si="45"/>
        <v>10.352159999999998</v>
      </c>
      <c r="L20" s="431">
        <f t="shared" si="32"/>
        <v>26.691785513513508</v>
      </c>
      <c r="M20" s="432"/>
      <c r="N20" s="433">
        <f t="shared" si="46"/>
        <v>0</v>
      </c>
      <c r="O20" s="434">
        <f t="shared" si="33"/>
        <v>0</v>
      </c>
      <c r="P20" s="434">
        <f t="shared" si="34"/>
        <v>0</v>
      </c>
      <c r="Q20" s="434">
        <f t="shared" si="35"/>
        <v>0</v>
      </c>
      <c r="R20" s="435"/>
      <c r="S20" s="436">
        <f t="shared" si="47"/>
        <v>0</v>
      </c>
      <c r="T20" s="437">
        <f t="shared" si="36"/>
        <v>0</v>
      </c>
      <c r="U20" s="437">
        <f t="shared" si="37"/>
        <v>0</v>
      </c>
      <c r="V20" s="437">
        <f t="shared" si="38"/>
        <v>0</v>
      </c>
      <c r="W20" s="300"/>
      <c r="X20" s="131"/>
      <c r="Z20" s="162"/>
      <c r="AA20" s="162"/>
      <c r="AB20" s="162"/>
      <c r="AC20" s="162"/>
      <c r="AD20" s="162"/>
      <c r="AE20" s="163"/>
      <c r="AF20" s="162"/>
      <c r="AG20" s="162"/>
      <c r="AH20" s="162"/>
      <c r="AI20" s="162"/>
      <c r="AJ20" s="162"/>
      <c r="AK20" s="162"/>
      <c r="AL20" s="162"/>
      <c r="AM20" s="162"/>
      <c r="AN20" s="164"/>
      <c r="AO20" s="164"/>
      <c r="AP20" s="165"/>
      <c r="AQ20" s="161"/>
      <c r="AR20" s="161"/>
      <c r="AS20" s="161"/>
      <c r="AT20" s="161"/>
      <c r="AU20" s="161"/>
    </row>
    <row r="21" spans="1:47">
      <c r="A21" s="471">
        <f t="shared" si="48"/>
        <v>46205</v>
      </c>
      <c r="B21" s="497" t="s">
        <v>194</v>
      </c>
      <c r="C21" s="426"/>
      <c r="D21" s="427">
        <f t="shared" si="28"/>
        <v>0</v>
      </c>
      <c r="E21" s="428">
        <f t="shared" si="43"/>
        <v>0</v>
      </c>
      <c r="F21" s="428">
        <f t="shared" si="44"/>
        <v>0</v>
      </c>
      <c r="G21" s="428">
        <f t="shared" si="29"/>
        <v>0</v>
      </c>
      <c r="H21" s="429">
        <v>557</v>
      </c>
      <c r="I21" s="430">
        <f t="shared" si="30"/>
        <v>1824.732</v>
      </c>
      <c r="J21" s="431">
        <f t="shared" si="31"/>
        <v>18247.32</v>
      </c>
      <c r="K21" s="431">
        <f t="shared" si="45"/>
        <v>12.16488</v>
      </c>
      <c r="L21" s="431">
        <f t="shared" si="32"/>
        <v>31.365663567567566</v>
      </c>
      <c r="M21" s="432"/>
      <c r="N21" s="433">
        <f t="shared" si="46"/>
        <v>0</v>
      </c>
      <c r="O21" s="434">
        <f t="shared" si="33"/>
        <v>0</v>
      </c>
      <c r="P21" s="434">
        <f t="shared" si="34"/>
        <v>0</v>
      </c>
      <c r="Q21" s="434">
        <f t="shared" si="35"/>
        <v>0</v>
      </c>
      <c r="R21" s="435"/>
      <c r="S21" s="436">
        <f t="shared" si="47"/>
        <v>0</v>
      </c>
      <c r="T21" s="437">
        <f t="shared" si="36"/>
        <v>0</v>
      </c>
      <c r="U21" s="437">
        <f t="shared" si="37"/>
        <v>0</v>
      </c>
      <c r="V21" s="437">
        <f t="shared" si="38"/>
        <v>0</v>
      </c>
      <c r="W21" s="300"/>
      <c r="X21" s="131"/>
      <c r="Z21" s="162"/>
      <c r="AA21" s="162"/>
      <c r="AB21" s="162"/>
      <c r="AC21" s="162"/>
      <c r="AD21" s="162"/>
      <c r="AE21" s="163"/>
      <c r="AF21" s="162"/>
      <c r="AG21" s="162"/>
      <c r="AH21" s="162"/>
      <c r="AI21" s="162"/>
      <c r="AJ21" s="162"/>
      <c r="AK21" s="162"/>
      <c r="AL21" s="162"/>
      <c r="AM21" s="162"/>
      <c r="AN21" s="164"/>
      <c r="AO21" s="164"/>
      <c r="AP21" s="165"/>
      <c r="AQ21" s="161"/>
      <c r="AR21" s="161"/>
      <c r="AS21" s="161"/>
      <c r="AT21" s="161"/>
      <c r="AU21" s="161"/>
    </row>
    <row r="22" spans="1:47">
      <c r="A22" s="471">
        <f t="shared" si="48"/>
        <v>46205</v>
      </c>
      <c r="B22" s="497" t="s">
        <v>195</v>
      </c>
      <c r="C22" s="426"/>
      <c r="D22" s="427">
        <f t="shared" si="28"/>
        <v>0</v>
      </c>
      <c r="E22" s="428">
        <f t="shared" si="43"/>
        <v>0</v>
      </c>
      <c r="F22" s="428">
        <f t="shared" si="44"/>
        <v>0</v>
      </c>
      <c r="G22" s="428">
        <f t="shared" si="29"/>
        <v>0</v>
      </c>
      <c r="H22" s="429">
        <v>586</v>
      </c>
      <c r="I22" s="430">
        <f t="shared" si="30"/>
        <v>1919.7359999999999</v>
      </c>
      <c r="J22" s="431">
        <f t="shared" si="31"/>
        <v>19197.359999999997</v>
      </c>
      <c r="K22" s="431">
        <f t="shared" si="45"/>
        <v>12.798239999999998</v>
      </c>
      <c r="L22" s="431">
        <f t="shared" si="32"/>
        <v>32.998705297297292</v>
      </c>
      <c r="M22" s="432"/>
      <c r="N22" s="433">
        <f t="shared" si="46"/>
        <v>0</v>
      </c>
      <c r="O22" s="434">
        <f t="shared" si="33"/>
        <v>0</v>
      </c>
      <c r="P22" s="434">
        <f t="shared" si="34"/>
        <v>0</v>
      </c>
      <c r="Q22" s="434">
        <f t="shared" si="35"/>
        <v>0</v>
      </c>
      <c r="R22" s="435"/>
      <c r="S22" s="436">
        <f t="shared" si="47"/>
        <v>0</v>
      </c>
      <c r="T22" s="437">
        <f t="shared" si="36"/>
        <v>0</v>
      </c>
      <c r="U22" s="437">
        <f t="shared" si="37"/>
        <v>0</v>
      </c>
      <c r="V22" s="437">
        <f t="shared" si="38"/>
        <v>0</v>
      </c>
      <c r="W22" s="300"/>
      <c r="X22" s="131"/>
      <c r="Z22" s="162"/>
      <c r="AA22" s="162"/>
      <c r="AB22" s="162"/>
      <c r="AC22" s="162"/>
      <c r="AD22" s="162"/>
      <c r="AE22" s="163"/>
      <c r="AF22" s="162"/>
      <c r="AG22" s="162"/>
      <c r="AH22" s="162"/>
      <c r="AI22" s="162"/>
      <c r="AJ22" s="162"/>
      <c r="AK22" s="162"/>
      <c r="AL22" s="162"/>
      <c r="AM22" s="162"/>
      <c r="AN22" s="164"/>
      <c r="AO22" s="164"/>
      <c r="AP22" s="165"/>
      <c r="AQ22" s="161"/>
      <c r="AR22" s="161"/>
      <c r="AS22" s="161"/>
      <c r="AT22" s="161"/>
      <c r="AU22" s="161"/>
    </row>
    <row r="23" spans="1:47">
      <c r="A23" s="471">
        <f t="shared" si="48"/>
        <v>46205</v>
      </c>
      <c r="B23" s="497" t="s">
        <v>196</v>
      </c>
      <c r="C23" s="426"/>
      <c r="D23" s="427">
        <f t="shared" si="28"/>
        <v>0</v>
      </c>
      <c r="E23" s="428">
        <f t="shared" si="43"/>
        <v>0</v>
      </c>
      <c r="F23" s="428">
        <f t="shared" si="44"/>
        <v>0</v>
      </c>
      <c r="G23" s="428">
        <f t="shared" si="29"/>
        <v>0</v>
      </c>
      <c r="H23" s="429">
        <v>393</v>
      </c>
      <c r="I23" s="430">
        <f t="shared" si="30"/>
        <v>1287.4679999999998</v>
      </c>
      <c r="J23" s="431">
        <f t="shared" si="31"/>
        <v>12874.68</v>
      </c>
      <c r="K23" s="431">
        <f t="shared" si="45"/>
        <v>8.583120000000001</v>
      </c>
      <c r="L23" s="431">
        <f t="shared" si="32"/>
        <v>22.130531027027025</v>
      </c>
      <c r="M23" s="432"/>
      <c r="N23" s="433">
        <f t="shared" si="46"/>
        <v>0</v>
      </c>
      <c r="O23" s="434">
        <f t="shared" si="33"/>
        <v>0</v>
      </c>
      <c r="P23" s="434">
        <f t="shared" si="34"/>
        <v>0</v>
      </c>
      <c r="Q23" s="434">
        <f t="shared" si="35"/>
        <v>0</v>
      </c>
      <c r="R23" s="435"/>
      <c r="S23" s="436">
        <f t="shared" si="47"/>
        <v>0</v>
      </c>
      <c r="T23" s="437">
        <f t="shared" si="36"/>
        <v>0</v>
      </c>
      <c r="U23" s="437">
        <f t="shared" si="37"/>
        <v>0</v>
      </c>
      <c r="V23" s="437">
        <f t="shared" si="38"/>
        <v>0</v>
      </c>
      <c r="W23" s="300"/>
      <c r="X23" s="131"/>
      <c r="Z23" s="162"/>
      <c r="AA23" s="162"/>
      <c r="AB23" s="162"/>
      <c r="AC23" s="162"/>
      <c r="AD23" s="162"/>
      <c r="AE23" s="163"/>
      <c r="AF23" s="162"/>
      <c r="AG23" s="162"/>
      <c r="AH23" s="162"/>
      <c r="AI23" s="162"/>
      <c r="AJ23" s="162"/>
      <c r="AK23" s="162"/>
      <c r="AL23" s="162"/>
      <c r="AM23" s="162"/>
      <c r="AN23" s="164"/>
      <c r="AO23" s="164"/>
      <c r="AP23" s="165"/>
      <c r="AQ23" s="161"/>
      <c r="AR23" s="161"/>
      <c r="AS23" s="161"/>
      <c r="AT23" s="161"/>
      <c r="AU23" s="161"/>
    </row>
    <row r="24" spans="1:47">
      <c r="A24" s="471">
        <f t="shared" si="48"/>
        <v>46205</v>
      </c>
      <c r="B24" s="497"/>
      <c r="C24" s="426"/>
      <c r="D24" s="427">
        <f t="shared" si="28"/>
        <v>0</v>
      </c>
      <c r="E24" s="428">
        <f t="shared" si="43"/>
        <v>0</v>
      </c>
      <c r="F24" s="428">
        <f t="shared" si="44"/>
        <v>0</v>
      </c>
      <c r="G24" s="428">
        <f t="shared" si="29"/>
        <v>0</v>
      </c>
      <c r="H24" s="429"/>
      <c r="I24" s="430">
        <f t="shared" si="30"/>
        <v>0</v>
      </c>
      <c r="J24" s="431">
        <f t="shared" si="31"/>
        <v>0</v>
      </c>
      <c r="K24" s="431">
        <f t="shared" si="45"/>
        <v>0</v>
      </c>
      <c r="L24" s="431">
        <f t="shared" si="32"/>
        <v>0</v>
      </c>
      <c r="M24" s="432"/>
      <c r="N24" s="433">
        <f t="shared" si="46"/>
        <v>0</v>
      </c>
      <c r="O24" s="434">
        <f t="shared" si="33"/>
        <v>0</v>
      </c>
      <c r="P24" s="434">
        <f t="shared" si="34"/>
        <v>0</v>
      </c>
      <c r="Q24" s="434">
        <f t="shared" si="35"/>
        <v>0</v>
      </c>
      <c r="R24" s="435"/>
      <c r="S24" s="436">
        <f t="shared" si="47"/>
        <v>0</v>
      </c>
      <c r="T24" s="437">
        <f t="shared" si="36"/>
        <v>0</v>
      </c>
      <c r="U24" s="437">
        <f t="shared" si="37"/>
        <v>0</v>
      </c>
      <c r="V24" s="437">
        <f t="shared" si="38"/>
        <v>0</v>
      </c>
      <c r="W24" s="300"/>
      <c r="X24" s="131"/>
      <c r="Z24" s="162"/>
      <c r="AA24" s="162"/>
      <c r="AB24" s="162"/>
      <c r="AC24" s="162"/>
      <c r="AD24" s="162"/>
      <c r="AE24" s="163"/>
      <c r="AF24" s="162"/>
      <c r="AG24" s="162"/>
      <c r="AH24" s="162"/>
      <c r="AI24" s="162"/>
      <c r="AJ24" s="162"/>
      <c r="AK24" s="162"/>
      <c r="AL24" s="162"/>
      <c r="AM24" s="162"/>
      <c r="AN24" s="164"/>
      <c r="AO24" s="164"/>
      <c r="AP24" s="165"/>
      <c r="AQ24" s="161"/>
      <c r="AR24" s="161"/>
      <c r="AS24" s="161"/>
      <c r="AT24" s="161"/>
      <c r="AU24" s="161"/>
    </row>
    <row r="25" spans="1:47" ht="14.25">
      <c r="A25" s="471"/>
      <c r="B25" s="498" t="s">
        <v>118</v>
      </c>
      <c r="C25" s="438">
        <f>SUM(C15:C24)</f>
        <v>0</v>
      </c>
      <c r="D25" s="439">
        <f t="shared" si="28"/>
        <v>0</v>
      </c>
      <c r="E25" s="438">
        <f>SUM(E15:E24)</f>
        <v>0</v>
      </c>
      <c r="F25" s="463">
        <f>SUM(F15:F24)</f>
        <v>0</v>
      </c>
      <c r="G25" s="463">
        <f>SUM(G15:G24)</f>
        <v>0</v>
      </c>
      <c r="H25" s="440">
        <f>SUM(H15:H24)</f>
        <v>4410</v>
      </c>
      <c r="I25" s="441">
        <f t="shared" si="30"/>
        <v>14447.16</v>
      </c>
      <c r="J25" s="440">
        <f>SUM(J15:J24)</f>
        <v>144471.59999999998</v>
      </c>
      <c r="K25" s="466">
        <f>SUM(K15:K24)</f>
        <v>96.314399999999978</v>
      </c>
      <c r="L25" s="466">
        <f>SUM(L15:L24)</f>
        <v>248.33496648648645</v>
      </c>
      <c r="M25" s="442">
        <f t="shared" ref="M25" si="49">SUM(M15:M24)</f>
        <v>0</v>
      </c>
      <c r="N25" s="443">
        <f t="shared" si="46"/>
        <v>0</v>
      </c>
      <c r="O25" s="442">
        <f t="shared" ref="O25:R25" si="50">SUM(O15:O24)</f>
        <v>0</v>
      </c>
      <c r="P25" s="468">
        <f t="shared" si="50"/>
        <v>0</v>
      </c>
      <c r="Q25" s="468">
        <f t="shared" si="50"/>
        <v>0</v>
      </c>
      <c r="R25" s="444">
        <f t="shared" si="50"/>
        <v>0</v>
      </c>
      <c r="S25" s="445">
        <f t="shared" si="47"/>
        <v>0</v>
      </c>
      <c r="T25" s="444">
        <f t="shared" ref="T25:V25" si="51">SUM(T15:T24)</f>
        <v>0</v>
      </c>
      <c r="U25" s="470">
        <f t="shared" si="51"/>
        <v>0</v>
      </c>
      <c r="V25" s="470">
        <f t="shared" si="51"/>
        <v>0</v>
      </c>
      <c r="W25" s="300"/>
      <c r="X25" s="131"/>
      <c r="Z25" s="162"/>
      <c r="AA25" s="162"/>
      <c r="AB25" s="162"/>
      <c r="AC25" s="162"/>
      <c r="AD25" s="162"/>
      <c r="AE25" s="163"/>
      <c r="AF25" s="162"/>
      <c r="AG25" s="162"/>
      <c r="AH25" s="162"/>
      <c r="AI25" s="162"/>
      <c r="AJ25" s="162"/>
      <c r="AK25" s="162"/>
      <c r="AL25" s="162"/>
      <c r="AM25" s="162"/>
      <c r="AN25" s="164"/>
      <c r="AO25" s="164"/>
      <c r="AP25" s="165"/>
      <c r="AQ25" s="161"/>
      <c r="AR25" s="161"/>
      <c r="AS25" s="161"/>
      <c r="AT25" s="161"/>
      <c r="AU25" s="161"/>
    </row>
    <row r="26" spans="1:47">
      <c r="A26" s="472">
        <f>+A15+1</f>
        <v>46206</v>
      </c>
      <c r="B26" s="497" t="s">
        <v>197</v>
      </c>
      <c r="C26" s="426"/>
      <c r="D26" s="427">
        <f t="shared" ref="D26:D89" si="52">+C26*3.875</f>
        <v>0</v>
      </c>
      <c r="E26" s="428">
        <f>+D26/0.0125*0.125</f>
        <v>0</v>
      </c>
      <c r="F26" s="428">
        <f>+E26/1500</f>
        <v>0</v>
      </c>
      <c r="G26" s="428">
        <f t="shared" ref="G26:G35" si="53">+D26/0.0125*0.000318</f>
        <v>0</v>
      </c>
      <c r="H26" s="429">
        <v>521</v>
      </c>
      <c r="I26" s="430">
        <f t="shared" ref="I26:I47" si="54">+H26*3.276</f>
        <v>1706.7959999999998</v>
      </c>
      <c r="J26" s="431">
        <f t="shared" ref="J26:J35" si="55">+I26/0.0185*0.185</f>
        <v>17067.96</v>
      </c>
      <c r="K26" s="431">
        <f>+J26/1500</f>
        <v>11.378639999999999</v>
      </c>
      <c r="L26" s="431">
        <f t="shared" ref="L26:L35" si="56">+I26/0.0185*0.000318</f>
        <v>29.338439351351347</v>
      </c>
      <c r="M26" s="432"/>
      <c r="N26" s="433">
        <f t="shared" si="46"/>
        <v>0</v>
      </c>
      <c r="O26" s="434">
        <f t="shared" ref="O26:O35" si="57">+N26/0.0185*0.185</f>
        <v>0</v>
      </c>
      <c r="P26" s="434">
        <f t="shared" ref="P26" si="58">+O26/1500</f>
        <v>0</v>
      </c>
      <c r="Q26" s="434">
        <f t="shared" ref="Q26:Q35" si="59">+N26/0.0185*0.000318</f>
        <v>0</v>
      </c>
      <c r="R26" s="435"/>
      <c r="S26" s="436">
        <f t="shared" si="47"/>
        <v>0</v>
      </c>
      <c r="T26" s="437">
        <f t="shared" ref="T26:T35" si="60">+S26/0.0185*0.185</f>
        <v>0</v>
      </c>
      <c r="U26" s="437">
        <f t="shared" ref="U26" si="61">+T26/1500</f>
        <v>0</v>
      </c>
      <c r="V26" s="437">
        <f t="shared" ref="V26:V35" si="62">+S26/0.0185*0.000318</f>
        <v>0</v>
      </c>
      <c r="W26" s="300"/>
      <c r="X26" s="131">
        <f>+W26*2.4</f>
        <v>0</v>
      </c>
      <c r="Z26" s="162" t="str">
        <f>IFERROR((D26/'REKAPAN OKEY AYAM'!$AC6),"-")</f>
        <v>-</v>
      </c>
      <c r="AA26" s="162">
        <f>IFERROR((I26/'REKAPAN CHAMP AYAM'!$AC6),"-")</f>
        <v>0.12633799564166942</v>
      </c>
      <c r="AB26" s="162" t="str">
        <f>IFERROR((N26/'REKAPAN CHAMP SAPI'!AC6),"-")</f>
        <v>-</v>
      </c>
      <c r="AC26" s="162" t="str">
        <f>IFERROR((S26/'REKAPAN CHAMP OTAK-OTAK'!AC6),"-")</f>
        <v>-</v>
      </c>
      <c r="AD26" s="162" t="str">
        <f>IFERROR((X26/'REKAPAN FIESTA'!AC6),"-")</f>
        <v>-</v>
      </c>
      <c r="AE26" s="163"/>
      <c r="AF26" s="162" t="str">
        <f t="shared" si="39"/>
        <v>-</v>
      </c>
      <c r="AG26" s="162" t="str">
        <f>IFERROR(((D26/0.0125*0.000318)/#REF!),"-")</f>
        <v>-</v>
      </c>
      <c r="AH26" s="162">
        <f t="shared" si="40"/>
        <v>1500</v>
      </c>
      <c r="AI26" s="162" t="str">
        <f>IFERROR(((I26/0.0185*0.000318)/#REF!),"-")</f>
        <v>-</v>
      </c>
      <c r="AJ26" s="162" t="str">
        <f t="shared" si="41"/>
        <v>-</v>
      </c>
      <c r="AK26" s="162" t="str">
        <f>IFERROR(((N26/0.0185*0.000318)/#REF!),"-")</f>
        <v>-</v>
      </c>
      <c r="AL26" s="162" t="str">
        <f t="shared" si="42"/>
        <v>-</v>
      </c>
      <c r="AM26" s="162" t="str">
        <f>IFERROR(((S26/0.0185*0.000318)/#REF!),"-")</f>
        <v>-</v>
      </c>
      <c r="AN26" s="164"/>
      <c r="AO26" s="164"/>
      <c r="AP26" s="165"/>
      <c r="AQ26" s="161" t="str">
        <f>IFERROR(('REKAPAN OKEY AYAM'!$AD6),"-")</f>
        <v>-</v>
      </c>
      <c r="AR26" s="161">
        <f>IFERROR(('REKAPAN CHAMP AYAM'!$AD6),"-")</f>
        <v>1.0099764910701594</v>
      </c>
      <c r="AS26" s="161" t="str">
        <f>IFERROR(('REKAPAN CHAMP SAPI'!$AD6),"-")</f>
        <v>-</v>
      </c>
      <c r="AT26" s="161" t="str">
        <f>IFERROR(('REKAPAN CHAMP OTAK-OTAK'!$AD6),"-")</f>
        <v>-</v>
      </c>
      <c r="AU26" s="161" t="str">
        <f>IFERROR(('REKAPAN FIESTA'!$AD6),"-")</f>
        <v>-</v>
      </c>
    </row>
    <row r="27" spans="1:47">
      <c r="A27" s="471">
        <f>+$A26</f>
        <v>46206</v>
      </c>
      <c r="B27" s="497" t="s">
        <v>198</v>
      </c>
      <c r="C27" s="426"/>
      <c r="D27" s="427">
        <f t="shared" si="52"/>
        <v>0</v>
      </c>
      <c r="E27" s="428">
        <f t="shared" ref="E27:E35" si="63">+D27/0.0125*0.125</f>
        <v>0</v>
      </c>
      <c r="F27" s="428">
        <f t="shared" ref="F27:F35" si="64">+E27/1500</f>
        <v>0</v>
      </c>
      <c r="G27" s="428">
        <f t="shared" si="53"/>
        <v>0</v>
      </c>
      <c r="H27" s="429">
        <v>527</v>
      </c>
      <c r="I27" s="430">
        <f t="shared" si="54"/>
        <v>1726.452</v>
      </c>
      <c r="J27" s="431">
        <f t="shared" si="55"/>
        <v>17264.52</v>
      </c>
      <c r="K27" s="431">
        <f t="shared" ref="K27:K35" si="65">+J27/1500</f>
        <v>11.509679999999999</v>
      </c>
      <c r="L27" s="431">
        <f t="shared" si="56"/>
        <v>29.676310054054053</v>
      </c>
      <c r="M27" s="432"/>
      <c r="N27" s="433">
        <f t="shared" si="46"/>
        <v>0</v>
      </c>
      <c r="O27" s="434">
        <f t="shared" si="57"/>
        <v>0</v>
      </c>
      <c r="P27" s="434">
        <f t="shared" si="34"/>
        <v>0</v>
      </c>
      <c r="Q27" s="434">
        <f t="shared" si="59"/>
        <v>0</v>
      </c>
      <c r="R27" s="435"/>
      <c r="S27" s="436">
        <f t="shared" si="47"/>
        <v>0</v>
      </c>
      <c r="T27" s="437">
        <f t="shared" si="60"/>
        <v>0</v>
      </c>
      <c r="U27" s="437">
        <f t="shared" si="37"/>
        <v>0</v>
      </c>
      <c r="V27" s="437">
        <f t="shared" si="62"/>
        <v>0</v>
      </c>
      <c r="W27" s="300"/>
      <c r="X27" s="131"/>
      <c r="Z27" s="162"/>
      <c r="AA27" s="162"/>
      <c r="AB27" s="162"/>
      <c r="AC27" s="162"/>
      <c r="AD27" s="162"/>
      <c r="AE27" s="163"/>
      <c r="AF27" s="162"/>
      <c r="AG27" s="162"/>
      <c r="AH27" s="162"/>
      <c r="AI27" s="162"/>
      <c r="AJ27" s="162"/>
      <c r="AK27" s="162"/>
      <c r="AL27" s="162"/>
      <c r="AM27" s="162"/>
      <c r="AN27" s="164"/>
      <c r="AO27" s="164"/>
      <c r="AP27" s="165"/>
      <c r="AQ27" s="161"/>
      <c r="AR27" s="161"/>
      <c r="AS27" s="161"/>
      <c r="AT27" s="161"/>
      <c r="AU27" s="161"/>
    </row>
    <row r="28" spans="1:47">
      <c r="A28" s="471">
        <f t="shared" ref="A28:A35" si="66">+$A27</f>
        <v>46206</v>
      </c>
      <c r="B28" s="497" t="s">
        <v>199</v>
      </c>
      <c r="C28" s="426"/>
      <c r="D28" s="427">
        <f t="shared" si="52"/>
        <v>0</v>
      </c>
      <c r="E28" s="428">
        <f t="shared" si="63"/>
        <v>0</v>
      </c>
      <c r="F28" s="428">
        <f t="shared" si="64"/>
        <v>0</v>
      </c>
      <c r="G28" s="428">
        <f t="shared" si="53"/>
        <v>0</v>
      </c>
      <c r="H28" s="429">
        <v>485</v>
      </c>
      <c r="I28" s="430">
        <f t="shared" si="54"/>
        <v>1588.86</v>
      </c>
      <c r="J28" s="431">
        <f t="shared" si="55"/>
        <v>15888.599999999999</v>
      </c>
      <c r="K28" s="431">
        <f t="shared" si="65"/>
        <v>10.5924</v>
      </c>
      <c r="L28" s="431">
        <f t="shared" si="56"/>
        <v>27.311215135135132</v>
      </c>
      <c r="M28" s="432"/>
      <c r="N28" s="433">
        <f t="shared" si="46"/>
        <v>0</v>
      </c>
      <c r="O28" s="434">
        <f t="shared" si="57"/>
        <v>0</v>
      </c>
      <c r="P28" s="434">
        <f t="shared" si="34"/>
        <v>0</v>
      </c>
      <c r="Q28" s="434">
        <f t="shared" si="59"/>
        <v>0</v>
      </c>
      <c r="R28" s="435"/>
      <c r="S28" s="436">
        <f t="shared" si="47"/>
        <v>0</v>
      </c>
      <c r="T28" s="437">
        <f t="shared" si="60"/>
        <v>0</v>
      </c>
      <c r="U28" s="437">
        <f t="shared" si="37"/>
        <v>0</v>
      </c>
      <c r="V28" s="437">
        <f t="shared" si="62"/>
        <v>0</v>
      </c>
      <c r="W28" s="300"/>
      <c r="X28" s="131"/>
      <c r="Z28" s="162"/>
      <c r="AA28" s="162"/>
      <c r="AB28" s="162"/>
      <c r="AC28" s="162"/>
      <c r="AD28" s="162"/>
      <c r="AE28" s="163"/>
      <c r="AF28" s="162"/>
      <c r="AG28" s="162"/>
      <c r="AH28" s="162"/>
      <c r="AI28" s="162"/>
      <c r="AJ28" s="162"/>
      <c r="AK28" s="162"/>
      <c r="AL28" s="162"/>
      <c r="AM28" s="162"/>
      <c r="AN28" s="164"/>
      <c r="AO28" s="164"/>
      <c r="AP28" s="165"/>
      <c r="AQ28" s="161"/>
      <c r="AR28" s="161"/>
      <c r="AS28" s="161"/>
      <c r="AT28" s="161"/>
      <c r="AU28" s="161"/>
    </row>
    <row r="29" spans="1:47">
      <c r="A29" s="471">
        <f t="shared" si="66"/>
        <v>46206</v>
      </c>
      <c r="B29" s="497" t="s">
        <v>200</v>
      </c>
      <c r="C29" s="426"/>
      <c r="D29" s="427">
        <f t="shared" si="52"/>
        <v>0</v>
      </c>
      <c r="E29" s="428">
        <f t="shared" si="63"/>
        <v>0</v>
      </c>
      <c r="F29" s="428">
        <f t="shared" si="64"/>
        <v>0</v>
      </c>
      <c r="G29" s="428">
        <f t="shared" si="53"/>
        <v>0</v>
      </c>
      <c r="H29" s="429">
        <v>534</v>
      </c>
      <c r="I29" s="430">
        <f t="shared" si="54"/>
        <v>1749.3839999999998</v>
      </c>
      <c r="J29" s="431">
        <f t="shared" si="55"/>
        <v>17493.84</v>
      </c>
      <c r="K29" s="431">
        <f t="shared" si="65"/>
        <v>11.662560000000001</v>
      </c>
      <c r="L29" s="431">
        <f t="shared" si="56"/>
        <v>30.070492540540538</v>
      </c>
      <c r="M29" s="432"/>
      <c r="N29" s="433">
        <f t="shared" si="46"/>
        <v>0</v>
      </c>
      <c r="O29" s="434">
        <f t="shared" si="57"/>
        <v>0</v>
      </c>
      <c r="P29" s="434">
        <f t="shared" si="34"/>
        <v>0</v>
      </c>
      <c r="Q29" s="434">
        <f t="shared" si="59"/>
        <v>0</v>
      </c>
      <c r="R29" s="435"/>
      <c r="S29" s="436">
        <f t="shared" si="47"/>
        <v>0</v>
      </c>
      <c r="T29" s="437">
        <f t="shared" si="60"/>
        <v>0</v>
      </c>
      <c r="U29" s="437">
        <f t="shared" si="37"/>
        <v>0</v>
      </c>
      <c r="V29" s="437">
        <f t="shared" si="62"/>
        <v>0</v>
      </c>
      <c r="W29" s="300"/>
      <c r="X29" s="131"/>
      <c r="Z29" s="162"/>
      <c r="AA29" s="162"/>
      <c r="AB29" s="162"/>
      <c r="AC29" s="162"/>
      <c r="AD29" s="162"/>
      <c r="AE29" s="163"/>
      <c r="AF29" s="162"/>
      <c r="AG29" s="162"/>
      <c r="AH29" s="162"/>
      <c r="AI29" s="162"/>
      <c r="AJ29" s="162"/>
      <c r="AK29" s="162"/>
      <c r="AL29" s="162"/>
      <c r="AM29" s="162"/>
      <c r="AN29" s="164"/>
      <c r="AO29" s="164"/>
      <c r="AP29" s="165"/>
      <c r="AQ29" s="161"/>
      <c r="AR29" s="161"/>
      <c r="AS29" s="161"/>
      <c r="AT29" s="161"/>
      <c r="AU29" s="161"/>
    </row>
    <row r="30" spans="1:47">
      <c r="A30" s="471">
        <f t="shared" si="66"/>
        <v>46206</v>
      </c>
      <c r="B30" s="497" t="s">
        <v>201</v>
      </c>
      <c r="C30" s="426"/>
      <c r="D30" s="427">
        <f t="shared" si="52"/>
        <v>0</v>
      </c>
      <c r="E30" s="428">
        <f t="shared" si="63"/>
        <v>0</v>
      </c>
      <c r="F30" s="428">
        <f t="shared" si="64"/>
        <v>0</v>
      </c>
      <c r="G30" s="428">
        <f t="shared" si="53"/>
        <v>0</v>
      </c>
      <c r="H30" s="429">
        <v>587</v>
      </c>
      <c r="I30" s="430">
        <f t="shared" si="54"/>
        <v>1923.0119999999999</v>
      </c>
      <c r="J30" s="431">
        <f t="shared" si="55"/>
        <v>19230.120000000003</v>
      </c>
      <c r="K30" s="431">
        <f t="shared" si="65"/>
        <v>12.820080000000003</v>
      </c>
      <c r="L30" s="431">
        <f t="shared" si="56"/>
        <v>33.055017081081083</v>
      </c>
      <c r="M30" s="432"/>
      <c r="N30" s="433">
        <f t="shared" si="46"/>
        <v>0</v>
      </c>
      <c r="O30" s="434">
        <f t="shared" si="57"/>
        <v>0</v>
      </c>
      <c r="P30" s="434">
        <f t="shared" si="34"/>
        <v>0</v>
      </c>
      <c r="Q30" s="434">
        <f t="shared" si="59"/>
        <v>0</v>
      </c>
      <c r="R30" s="435"/>
      <c r="S30" s="436">
        <f t="shared" si="47"/>
        <v>0</v>
      </c>
      <c r="T30" s="437">
        <f t="shared" si="60"/>
        <v>0</v>
      </c>
      <c r="U30" s="437">
        <f t="shared" si="37"/>
        <v>0</v>
      </c>
      <c r="V30" s="437">
        <f t="shared" si="62"/>
        <v>0</v>
      </c>
      <c r="W30" s="300"/>
      <c r="X30" s="131"/>
      <c r="Z30" s="162"/>
      <c r="AA30" s="162"/>
      <c r="AB30" s="162"/>
      <c r="AC30" s="162"/>
      <c r="AD30" s="162"/>
      <c r="AE30" s="163"/>
      <c r="AF30" s="162"/>
      <c r="AG30" s="162"/>
      <c r="AH30" s="162"/>
      <c r="AI30" s="162"/>
      <c r="AJ30" s="162"/>
      <c r="AK30" s="162"/>
      <c r="AL30" s="162"/>
      <c r="AM30" s="162"/>
      <c r="AN30" s="164"/>
      <c r="AO30" s="164"/>
      <c r="AP30" s="165"/>
      <c r="AQ30" s="161"/>
      <c r="AR30" s="161"/>
      <c r="AS30" s="161"/>
      <c r="AT30" s="161"/>
      <c r="AU30" s="161"/>
    </row>
    <row r="31" spans="1:47">
      <c r="A31" s="471">
        <f t="shared" si="66"/>
        <v>46206</v>
      </c>
      <c r="B31" s="497" t="s">
        <v>202</v>
      </c>
      <c r="C31" s="426"/>
      <c r="D31" s="427">
        <f t="shared" si="52"/>
        <v>0</v>
      </c>
      <c r="E31" s="428">
        <f t="shared" si="63"/>
        <v>0</v>
      </c>
      <c r="F31" s="428">
        <f t="shared" si="64"/>
        <v>0</v>
      </c>
      <c r="G31" s="428">
        <f t="shared" si="53"/>
        <v>0</v>
      </c>
      <c r="H31" s="429">
        <v>517</v>
      </c>
      <c r="I31" s="430">
        <f t="shared" si="54"/>
        <v>1693.692</v>
      </c>
      <c r="J31" s="431">
        <f t="shared" si="55"/>
        <v>16936.919999999998</v>
      </c>
      <c r="K31" s="431">
        <f t="shared" si="65"/>
        <v>11.291279999999999</v>
      </c>
      <c r="L31" s="431">
        <f t="shared" si="56"/>
        <v>29.113192216216216</v>
      </c>
      <c r="M31" s="432"/>
      <c r="N31" s="433">
        <f t="shared" si="46"/>
        <v>0</v>
      </c>
      <c r="O31" s="434">
        <f t="shared" si="57"/>
        <v>0</v>
      </c>
      <c r="P31" s="434">
        <f t="shared" si="34"/>
        <v>0</v>
      </c>
      <c r="Q31" s="434">
        <f t="shared" si="59"/>
        <v>0</v>
      </c>
      <c r="R31" s="435"/>
      <c r="S31" s="436">
        <f t="shared" si="47"/>
        <v>0</v>
      </c>
      <c r="T31" s="437">
        <f t="shared" si="60"/>
        <v>0</v>
      </c>
      <c r="U31" s="437">
        <f t="shared" si="37"/>
        <v>0</v>
      </c>
      <c r="V31" s="437">
        <f t="shared" si="62"/>
        <v>0</v>
      </c>
      <c r="W31" s="300"/>
      <c r="X31" s="131"/>
      <c r="Z31" s="162"/>
      <c r="AA31" s="162"/>
      <c r="AB31" s="162"/>
      <c r="AC31" s="162"/>
      <c r="AD31" s="162"/>
      <c r="AE31" s="163"/>
      <c r="AF31" s="162"/>
      <c r="AG31" s="162"/>
      <c r="AH31" s="162"/>
      <c r="AI31" s="162"/>
      <c r="AJ31" s="162"/>
      <c r="AK31" s="162"/>
      <c r="AL31" s="162"/>
      <c r="AM31" s="162"/>
      <c r="AN31" s="164"/>
      <c r="AO31" s="164"/>
      <c r="AP31" s="165"/>
      <c r="AQ31" s="161"/>
      <c r="AR31" s="161"/>
      <c r="AS31" s="161"/>
      <c r="AT31" s="161"/>
      <c r="AU31" s="161"/>
    </row>
    <row r="32" spans="1:47">
      <c r="A32" s="471">
        <f t="shared" si="66"/>
        <v>46206</v>
      </c>
      <c r="B32" s="497" t="s">
        <v>203</v>
      </c>
      <c r="C32" s="426"/>
      <c r="D32" s="427">
        <f t="shared" si="52"/>
        <v>0</v>
      </c>
      <c r="E32" s="428">
        <f t="shared" si="63"/>
        <v>0</v>
      </c>
      <c r="F32" s="428">
        <f t="shared" si="64"/>
        <v>0</v>
      </c>
      <c r="G32" s="428">
        <f t="shared" si="53"/>
        <v>0</v>
      </c>
      <c r="H32" s="429">
        <v>685</v>
      </c>
      <c r="I32" s="430">
        <f t="shared" si="54"/>
        <v>2244.06</v>
      </c>
      <c r="J32" s="431">
        <f t="shared" si="55"/>
        <v>22440.600000000002</v>
      </c>
      <c r="K32" s="431">
        <f t="shared" si="65"/>
        <v>14.960400000000002</v>
      </c>
      <c r="L32" s="431">
        <f t="shared" si="56"/>
        <v>38.573571891891895</v>
      </c>
      <c r="M32" s="432"/>
      <c r="N32" s="433">
        <f t="shared" si="46"/>
        <v>0</v>
      </c>
      <c r="O32" s="434">
        <f t="shared" si="57"/>
        <v>0</v>
      </c>
      <c r="P32" s="434">
        <f t="shared" si="34"/>
        <v>0</v>
      </c>
      <c r="Q32" s="434">
        <f t="shared" si="59"/>
        <v>0</v>
      </c>
      <c r="R32" s="435"/>
      <c r="S32" s="436">
        <f t="shared" si="47"/>
        <v>0</v>
      </c>
      <c r="T32" s="437">
        <f t="shared" si="60"/>
        <v>0</v>
      </c>
      <c r="U32" s="437">
        <f t="shared" si="37"/>
        <v>0</v>
      </c>
      <c r="V32" s="437">
        <f t="shared" si="62"/>
        <v>0</v>
      </c>
      <c r="W32" s="300"/>
      <c r="X32" s="131"/>
      <c r="Z32" s="162"/>
      <c r="AA32" s="162"/>
      <c r="AB32" s="162"/>
      <c r="AC32" s="162"/>
      <c r="AD32" s="162"/>
      <c r="AE32" s="163"/>
      <c r="AF32" s="162"/>
      <c r="AG32" s="162"/>
      <c r="AH32" s="162"/>
      <c r="AI32" s="162"/>
      <c r="AJ32" s="162"/>
      <c r="AK32" s="162"/>
      <c r="AL32" s="162"/>
      <c r="AM32" s="162"/>
      <c r="AN32" s="164"/>
      <c r="AO32" s="164"/>
      <c r="AP32" s="165"/>
      <c r="AQ32" s="161"/>
      <c r="AR32" s="161"/>
      <c r="AS32" s="161"/>
      <c r="AT32" s="161"/>
      <c r="AU32" s="161"/>
    </row>
    <row r="33" spans="1:47">
      <c r="A33" s="471">
        <f t="shared" si="66"/>
        <v>46206</v>
      </c>
      <c r="B33" s="497" t="s">
        <v>204</v>
      </c>
      <c r="C33" s="426"/>
      <c r="D33" s="427">
        <f t="shared" si="52"/>
        <v>0</v>
      </c>
      <c r="E33" s="428">
        <f t="shared" si="63"/>
        <v>0</v>
      </c>
      <c r="F33" s="428">
        <f t="shared" si="64"/>
        <v>0</v>
      </c>
      <c r="G33" s="428">
        <f t="shared" si="53"/>
        <v>0</v>
      </c>
      <c r="H33" s="429">
        <v>465</v>
      </c>
      <c r="I33" s="430">
        <f t="shared" si="54"/>
        <v>1523.34</v>
      </c>
      <c r="J33" s="431">
        <f t="shared" si="55"/>
        <v>15233.400000000001</v>
      </c>
      <c r="K33" s="431">
        <f t="shared" si="65"/>
        <v>10.155600000000002</v>
      </c>
      <c r="L33" s="431">
        <f t="shared" si="56"/>
        <v>26.184979459459459</v>
      </c>
      <c r="M33" s="432"/>
      <c r="N33" s="433">
        <f t="shared" si="46"/>
        <v>0</v>
      </c>
      <c r="O33" s="434">
        <f t="shared" si="57"/>
        <v>0</v>
      </c>
      <c r="P33" s="434">
        <f t="shared" si="34"/>
        <v>0</v>
      </c>
      <c r="Q33" s="434">
        <f t="shared" si="59"/>
        <v>0</v>
      </c>
      <c r="R33" s="435"/>
      <c r="S33" s="436">
        <f t="shared" si="47"/>
        <v>0</v>
      </c>
      <c r="T33" s="437">
        <f t="shared" si="60"/>
        <v>0</v>
      </c>
      <c r="U33" s="437">
        <f t="shared" si="37"/>
        <v>0</v>
      </c>
      <c r="V33" s="437">
        <f t="shared" si="62"/>
        <v>0</v>
      </c>
      <c r="W33" s="300"/>
      <c r="X33" s="131"/>
      <c r="Z33" s="162"/>
      <c r="AA33" s="162"/>
      <c r="AB33" s="162"/>
      <c r="AC33" s="162"/>
      <c r="AD33" s="162"/>
      <c r="AE33" s="163"/>
      <c r="AF33" s="162"/>
      <c r="AG33" s="162"/>
      <c r="AH33" s="162"/>
      <c r="AI33" s="162"/>
      <c r="AJ33" s="162"/>
      <c r="AK33" s="162"/>
      <c r="AL33" s="162"/>
      <c r="AM33" s="162"/>
      <c r="AN33" s="164"/>
      <c r="AO33" s="164"/>
      <c r="AP33" s="165"/>
      <c r="AQ33" s="161"/>
      <c r="AR33" s="161"/>
      <c r="AS33" s="161"/>
      <c r="AT33" s="161"/>
      <c r="AU33" s="161"/>
    </row>
    <row r="34" spans="1:47">
      <c r="A34" s="471">
        <f t="shared" si="66"/>
        <v>46206</v>
      </c>
      <c r="B34" s="497"/>
      <c r="C34" s="426"/>
      <c r="D34" s="427">
        <f t="shared" si="52"/>
        <v>0</v>
      </c>
      <c r="E34" s="428">
        <f t="shared" si="63"/>
        <v>0</v>
      </c>
      <c r="F34" s="428">
        <f t="shared" si="64"/>
        <v>0</v>
      </c>
      <c r="G34" s="428">
        <f t="shared" si="53"/>
        <v>0</v>
      </c>
      <c r="H34" s="429"/>
      <c r="I34" s="430">
        <f t="shared" si="54"/>
        <v>0</v>
      </c>
      <c r="J34" s="431">
        <f t="shared" si="55"/>
        <v>0</v>
      </c>
      <c r="K34" s="431">
        <f t="shared" si="65"/>
        <v>0</v>
      </c>
      <c r="L34" s="431">
        <f t="shared" si="56"/>
        <v>0</v>
      </c>
      <c r="M34" s="432"/>
      <c r="N34" s="433">
        <f t="shared" si="46"/>
        <v>0</v>
      </c>
      <c r="O34" s="434">
        <f t="shared" si="57"/>
        <v>0</v>
      </c>
      <c r="P34" s="434">
        <f t="shared" si="34"/>
        <v>0</v>
      </c>
      <c r="Q34" s="434">
        <f t="shared" si="59"/>
        <v>0</v>
      </c>
      <c r="R34" s="435"/>
      <c r="S34" s="436">
        <f t="shared" si="47"/>
        <v>0</v>
      </c>
      <c r="T34" s="437">
        <f t="shared" si="60"/>
        <v>0</v>
      </c>
      <c r="U34" s="437">
        <f t="shared" si="37"/>
        <v>0</v>
      </c>
      <c r="V34" s="437">
        <f t="shared" si="62"/>
        <v>0</v>
      </c>
      <c r="W34" s="300"/>
      <c r="X34" s="131"/>
      <c r="Z34" s="162"/>
      <c r="AA34" s="162"/>
      <c r="AB34" s="162"/>
      <c r="AC34" s="162"/>
      <c r="AD34" s="162"/>
      <c r="AE34" s="163"/>
      <c r="AF34" s="162"/>
      <c r="AG34" s="162"/>
      <c r="AH34" s="162"/>
      <c r="AI34" s="162"/>
      <c r="AJ34" s="162"/>
      <c r="AK34" s="162"/>
      <c r="AL34" s="162"/>
      <c r="AM34" s="162"/>
      <c r="AN34" s="164"/>
      <c r="AO34" s="164"/>
      <c r="AP34" s="165"/>
      <c r="AQ34" s="161"/>
      <c r="AR34" s="161"/>
      <c r="AS34" s="161"/>
      <c r="AT34" s="161"/>
      <c r="AU34" s="161"/>
    </row>
    <row r="35" spans="1:47">
      <c r="A35" s="471">
        <f t="shared" si="66"/>
        <v>46206</v>
      </c>
      <c r="B35" s="497"/>
      <c r="C35" s="426"/>
      <c r="D35" s="427">
        <f t="shared" si="52"/>
        <v>0</v>
      </c>
      <c r="E35" s="428">
        <f t="shared" si="63"/>
        <v>0</v>
      </c>
      <c r="F35" s="428">
        <f t="shared" si="64"/>
        <v>0</v>
      </c>
      <c r="G35" s="428">
        <f t="shared" si="53"/>
        <v>0</v>
      </c>
      <c r="H35" s="429"/>
      <c r="I35" s="430">
        <f t="shared" si="54"/>
        <v>0</v>
      </c>
      <c r="J35" s="431">
        <f t="shared" si="55"/>
        <v>0</v>
      </c>
      <c r="K35" s="431">
        <f t="shared" si="65"/>
        <v>0</v>
      </c>
      <c r="L35" s="431">
        <f t="shared" si="56"/>
        <v>0</v>
      </c>
      <c r="M35" s="432"/>
      <c r="N35" s="433">
        <f t="shared" si="46"/>
        <v>0</v>
      </c>
      <c r="O35" s="434">
        <f t="shared" si="57"/>
        <v>0</v>
      </c>
      <c r="P35" s="434">
        <f t="shared" si="34"/>
        <v>0</v>
      </c>
      <c r="Q35" s="434">
        <f t="shared" si="59"/>
        <v>0</v>
      </c>
      <c r="R35" s="435"/>
      <c r="S35" s="436">
        <f t="shared" si="47"/>
        <v>0</v>
      </c>
      <c r="T35" s="437">
        <f t="shared" si="60"/>
        <v>0</v>
      </c>
      <c r="U35" s="437">
        <f t="shared" si="37"/>
        <v>0</v>
      </c>
      <c r="V35" s="437">
        <f t="shared" si="62"/>
        <v>0</v>
      </c>
      <c r="W35" s="300"/>
      <c r="X35" s="131"/>
      <c r="Z35" s="162"/>
      <c r="AA35" s="162"/>
      <c r="AB35" s="162"/>
      <c r="AC35" s="162"/>
      <c r="AD35" s="162"/>
      <c r="AE35" s="163"/>
      <c r="AF35" s="162"/>
      <c r="AG35" s="162"/>
      <c r="AH35" s="162"/>
      <c r="AI35" s="162"/>
      <c r="AJ35" s="162"/>
      <c r="AK35" s="162"/>
      <c r="AL35" s="162"/>
      <c r="AM35" s="162"/>
      <c r="AN35" s="164"/>
      <c r="AO35" s="164"/>
      <c r="AP35" s="165"/>
      <c r="AQ35" s="161"/>
      <c r="AR35" s="161"/>
      <c r="AS35" s="161"/>
      <c r="AT35" s="161"/>
      <c r="AU35" s="161"/>
    </row>
    <row r="36" spans="1:47" ht="14.25">
      <c r="A36" s="471"/>
      <c r="B36" s="498" t="s">
        <v>118</v>
      </c>
      <c r="C36" s="438">
        <f>SUM(C26:C35)</f>
        <v>0</v>
      </c>
      <c r="D36" s="439">
        <f t="shared" si="52"/>
        <v>0</v>
      </c>
      <c r="E36" s="438">
        <f>SUM(E26:E35)</f>
        <v>0</v>
      </c>
      <c r="F36" s="463">
        <f>SUM(F26:F35)</f>
        <v>0</v>
      </c>
      <c r="G36" s="463">
        <f>SUM(G26:G35)</f>
        <v>0</v>
      </c>
      <c r="H36" s="440">
        <f>SUM(H26:H35)</f>
        <v>4321</v>
      </c>
      <c r="I36" s="441">
        <f t="shared" si="54"/>
        <v>14155.596</v>
      </c>
      <c r="J36" s="440">
        <f>SUM(J26:J35)</f>
        <v>141555.96000000002</v>
      </c>
      <c r="K36" s="466">
        <f>SUM(K26:K35)</f>
        <v>94.370640000000009</v>
      </c>
      <c r="L36" s="466">
        <f>SUM(L26:L35)</f>
        <v>243.32321772972975</v>
      </c>
      <c r="M36" s="442">
        <f t="shared" ref="M36" si="67">SUM(M26:M35)</f>
        <v>0</v>
      </c>
      <c r="N36" s="443">
        <f t="shared" si="46"/>
        <v>0</v>
      </c>
      <c r="O36" s="442">
        <f t="shared" ref="O36:R36" si="68">SUM(O26:O35)</f>
        <v>0</v>
      </c>
      <c r="P36" s="468">
        <f t="shared" si="68"/>
        <v>0</v>
      </c>
      <c r="Q36" s="468">
        <f t="shared" si="68"/>
        <v>0</v>
      </c>
      <c r="R36" s="444">
        <f t="shared" si="68"/>
        <v>0</v>
      </c>
      <c r="S36" s="445">
        <f t="shared" si="47"/>
        <v>0</v>
      </c>
      <c r="T36" s="444">
        <f t="shared" ref="T36:V36" si="69">SUM(T26:T35)</f>
        <v>0</v>
      </c>
      <c r="U36" s="470">
        <f t="shared" si="69"/>
        <v>0</v>
      </c>
      <c r="V36" s="470">
        <f t="shared" si="69"/>
        <v>0</v>
      </c>
      <c r="W36" s="300"/>
      <c r="X36" s="131"/>
      <c r="Z36" s="162"/>
      <c r="AA36" s="162"/>
      <c r="AB36" s="162"/>
      <c r="AC36" s="162"/>
      <c r="AD36" s="162"/>
      <c r="AE36" s="163"/>
      <c r="AF36" s="162"/>
      <c r="AG36" s="162"/>
      <c r="AH36" s="162"/>
      <c r="AI36" s="162"/>
      <c r="AJ36" s="162"/>
      <c r="AK36" s="162"/>
      <c r="AL36" s="162"/>
      <c r="AM36" s="162"/>
      <c r="AN36" s="164"/>
      <c r="AO36" s="164"/>
      <c r="AP36" s="165"/>
      <c r="AQ36" s="161"/>
      <c r="AR36" s="161"/>
      <c r="AS36" s="161"/>
      <c r="AT36" s="161"/>
      <c r="AU36" s="161"/>
    </row>
    <row r="37" spans="1:47">
      <c r="A37" s="472">
        <f>+A26+1</f>
        <v>46207</v>
      </c>
      <c r="B37" s="497"/>
      <c r="C37" s="426"/>
      <c r="D37" s="427">
        <f t="shared" si="52"/>
        <v>0</v>
      </c>
      <c r="E37" s="428">
        <f>+D37/0.0125*0.125</f>
        <v>0</v>
      </c>
      <c r="F37" s="428">
        <f>+E37/1500</f>
        <v>0</v>
      </c>
      <c r="G37" s="428">
        <f t="shared" ref="G37:G46" si="70">+D37/0.0125*0.000318</f>
        <v>0</v>
      </c>
      <c r="H37" s="429"/>
      <c r="I37" s="430">
        <f t="shared" si="54"/>
        <v>0</v>
      </c>
      <c r="J37" s="431">
        <f t="shared" ref="J37:J46" si="71">+I37/0.0185*0.185</f>
        <v>0</v>
      </c>
      <c r="K37" s="431">
        <f>+J37/1500</f>
        <v>0</v>
      </c>
      <c r="L37" s="431">
        <f t="shared" ref="L37:L46" si="72">+I37/0.0185*0.000318</f>
        <v>0</v>
      </c>
      <c r="M37" s="432"/>
      <c r="N37" s="433">
        <f t="shared" si="46"/>
        <v>0</v>
      </c>
      <c r="O37" s="434">
        <f t="shared" ref="O37:O46" si="73">+N37/0.0185*0.185</f>
        <v>0</v>
      </c>
      <c r="P37" s="434">
        <f t="shared" ref="P37" si="74">+O37/1500</f>
        <v>0</v>
      </c>
      <c r="Q37" s="434">
        <f t="shared" ref="Q37:Q46" si="75">+N37/0.0185*0.000318</f>
        <v>0</v>
      </c>
      <c r="R37" s="435"/>
      <c r="S37" s="436">
        <f t="shared" si="47"/>
        <v>0</v>
      </c>
      <c r="T37" s="437">
        <f t="shared" ref="T37:T46" si="76">+S37/0.0185*0.185</f>
        <v>0</v>
      </c>
      <c r="U37" s="437">
        <f t="shared" ref="U37" si="77">+T37/1500</f>
        <v>0</v>
      </c>
      <c r="V37" s="437">
        <f t="shared" ref="V37:V46" si="78">+S37/0.0185*0.000318</f>
        <v>0</v>
      </c>
      <c r="W37" s="300"/>
      <c r="X37" s="131">
        <f>+W37*2.4</f>
        <v>0</v>
      </c>
      <c r="Z37" s="162" t="str">
        <f>IFERROR((D37/'REKAPAN OKEY AYAM'!$AC7),"-")</f>
        <v>-</v>
      </c>
      <c r="AA37" s="162" t="str">
        <f>IFERROR((I37/'REKAPAN CHAMP AYAM'!$AC7),"-")</f>
        <v>-</v>
      </c>
      <c r="AB37" s="162" t="str">
        <f>IFERROR((N37/'REKAPAN CHAMP SAPI'!AC7),"-")</f>
        <v>-</v>
      </c>
      <c r="AC37" s="162" t="str">
        <f>IFERROR((S37/'REKAPAN CHAMP OTAK-OTAK'!AC7),"-")</f>
        <v>-</v>
      </c>
      <c r="AD37" s="162" t="str">
        <f>IFERROR((X37/'REKAPAN FIESTA'!AC7),"-")</f>
        <v>-</v>
      </c>
      <c r="AE37" s="163"/>
      <c r="AF37" s="162" t="str">
        <f t="shared" si="39"/>
        <v>-</v>
      </c>
      <c r="AG37" s="162" t="str">
        <f>IFERROR(((D37/0.0125*0.000318)/#REF!),"-")</f>
        <v>-</v>
      </c>
      <c r="AH37" s="162" t="str">
        <f t="shared" si="40"/>
        <v>-</v>
      </c>
      <c r="AI37" s="162" t="str">
        <f>IFERROR(((I37/0.0185*0.000318)/#REF!),"-")</f>
        <v>-</v>
      </c>
      <c r="AJ37" s="162" t="str">
        <f t="shared" si="41"/>
        <v>-</v>
      </c>
      <c r="AK37" s="162" t="str">
        <f>IFERROR(((N37/0.0185*0.000318)/#REF!),"-")</f>
        <v>-</v>
      </c>
      <c r="AL37" s="162" t="str">
        <f t="shared" si="42"/>
        <v>-</v>
      </c>
      <c r="AM37" s="162" t="str">
        <f>IFERROR(((S37/0.0185*0.000318)/#REF!),"-")</f>
        <v>-</v>
      </c>
      <c r="AN37" s="164"/>
      <c r="AO37" s="164"/>
      <c r="AP37" s="165"/>
      <c r="AQ37" s="161" t="str">
        <f>IFERROR(('REKAPAN OKEY AYAM'!$AD7),"-")</f>
        <v>-</v>
      </c>
      <c r="AR37" s="161" t="str">
        <f>IFERROR(('REKAPAN CHAMP AYAM'!$AD7),"-")</f>
        <v>-</v>
      </c>
      <c r="AS37" s="161" t="str">
        <f>IFERROR(('REKAPAN CHAMP SAPI'!$AD7),"-")</f>
        <v>-</v>
      </c>
      <c r="AT37" s="161" t="str">
        <f>IFERROR(('REKAPAN CHAMP OTAK-OTAK'!$AD7),"-")</f>
        <v>-</v>
      </c>
      <c r="AU37" s="161" t="str">
        <f>IFERROR(('REKAPAN FIESTA'!$AD7),"-")</f>
        <v>-</v>
      </c>
    </row>
    <row r="38" spans="1:47">
      <c r="A38" s="471">
        <f>+$A37</f>
        <v>46207</v>
      </c>
      <c r="B38" s="497"/>
      <c r="C38" s="426"/>
      <c r="D38" s="427">
        <f t="shared" si="52"/>
        <v>0</v>
      </c>
      <c r="E38" s="428">
        <f t="shared" ref="E38:E46" si="79">+D38/0.0125*0.125</f>
        <v>0</v>
      </c>
      <c r="F38" s="428">
        <f t="shared" ref="F38:F46" si="80">+E38/1500</f>
        <v>0</v>
      </c>
      <c r="G38" s="428">
        <f t="shared" si="70"/>
        <v>0</v>
      </c>
      <c r="H38" s="429"/>
      <c r="I38" s="430">
        <f t="shared" si="54"/>
        <v>0</v>
      </c>
      <c r="J38" s="431">
        <f t="shared" si="71"/>
        <v>0</v>
      </c>
      <c r="K38" s="431">
        <f t="shared" ref="K38:K46" si="81">+J38/1500</f>
        <v>0</v>
      </c>
      <c r="L38" s="431">
        <f t="shared" si="72"/>
        <v>0</v>
      </c>
      <c r="M38" s="432"/>
      <c r="N38" s="433">
        <f t="shared" si="46"/>
        <v>0</v>
      </c>
      <c r="O38" s="434">
        <f t="shared" si="73"/>
        <v>0</v>
      </c>
      <c r="P38" s="434">
        <f t="shared" si="34"/>
        <v>0</v>
      </c>
      <c r="Q38" s="434">
        <f t="shared" si="75"/>
        <v>0</v>
      </c>
      <c r="R38" s="435"/>
      <c r="S38" s="436">
        <f t="shared" si="47"/>
        <v>0</v>
      </c>
      <c r="T38" s="437">
        <f t="shared" si="76"/>
        <v>0</v>
      </c>
      <c r="U38" s="437">
        <f t="shared" si="37"/>
        <v>0</v>
      </c>
      <c r="V38" s="437">
        <f t="shared" si="78"/>
        <v>0</v>
      </c>
      <c r="W38" s="300"/>
      <c r="X38" s="131"/>
      <c r="Z38" s="162"/>
      <c r="AA38" s="162"/>
      <c r="AB38" s="162"/>
      <c r="AC38" s="162"/>
      <c r="AD38" s="162"/>
      <c r="AE38" s="163"/>
      <c r="AF38" s="162"/>
      <c r="AG38" s="162"/>
      <c r="AH38" s="162"/>
      <c r="AI38" s="162"/>
      <c r="AJ38" s="162"/>
      <c r="AK38" s="162"/>
      <c r="AL38" s="162"/>
      <c r="AM38" s="162"/>
      <c r="AN38" s="164"/>
      <c r="AO38" s="164"/>
      <c r="AP38" s="165"/>
      <c r="AQ38" s="161"/>
      <c r="AR38" s="161"/>
      <c r="AS38" s="161"/>
      <c r="AT38" s="161"/>
      <c r="AU38" s="161"/>
    </row>
    <row r="39" spans="1:47">
      <c r="A39" s="471">
        <f t="shared" ref="A39:A46" si="82">+$A38</f>
        <v>46207</v>
      </c>
      <c r="B39" s="497"/>
      <c r="C39" s="426"/>
      <c r="D39" s="427">
        <f t="shared" si="52"/>
        <v>0</v>
      </c>
      <c r="E39" s="428">
        <f t="shared" si="79"/>
        <v>0</v>
      </c>
      <c r="F39" s="428">
        <f t="shared" si="80"/>
        <v>0</v>
      </c>
      <c r="G39" s="428">
        <f t="shared" si="70"/>
        <v>0</v>
      </c>
      <c r="H39" s="429"/>
      <c r="I39" s="430">
        <f t="shared" si="54"/>
        <v>0</v>
      </c>
      <c r="J39" s="431">
        <f t="shared" si="71"/>
        <v>0</v>
      </c>
      <c r="K39" s="431">
        <f t="shared" si="81"/>
        <v>0</v>
      </c>
      <c r="L39" s="431">
        <f t="shared" si="72"/>
        <v>0</v>
      </c>
      <c r="M39" s="432"/>
      <c r="N39" s="433">
        <f t="shared" si="46"/>
        <v>0</v>
      </c>
      <c r="O39" s="434">
        <f t="shared" si="73"/>
        <v>0</v>
      </c>
      <c r="P39" s="434">
        <f t="shared" si="34"/>
        <v>0</v>
      </c>
      <c r="Q39" s="434">
        <f t="shared" si="75"/>
        <v>0</v>
      </c>
      <c r="R39" s="435"/>
      <c r="S39" s="436">
        <f t="shared" si="47"/>
        <v>0</v>
      </c>
      <c r="T39" s="437">
        <f t="shared" si="76"/>
        <v>0</v>
      </c>
      <c r="U39" s="437">
        <f t="shared" si="37"/>
        <v>0</v>
      </c>
      <c r="V39" s="437">
        <f t="shared" si="78"/>
        <v>0</v>
      </c>
      <c r="W39" s="300"/>
      <c r="X39" s="131"/>
      <c r="Z39" s="162"/>
      <c r="AA39" s="162"/>
      <c r="AB39" s="162"/>
      <c r="AC39" s="162"/>
      <c r="AD39" s="162"/>
      <c r="AE39" s="163"/>
      <c r="AF39" s="162"/>
      <c r="AG39" s="162"/>
      <c r="AH39" s="162"/>
      <c r="AI39" s="162"/>
      <c r="AJ39" s="162"/>
      <c r="AK39" s="162"/>
      <c r="AL39" s="162"/>
      <c r="AM39" s="162"/>
      <c r="AN39" s="164"/>
      <c r="AO39" s="164"/>
      <c r="AP39" s="165"/>
      <c r="AQ39" s="161"/>
      <c r="AR39" s="161"/>
      <c r="AS39" s="161"/>
      <c r="AT39" s="161"/>
      <c r="AU39" s="161"/>
    </row>
    <row r="40" spans="1:47">
      <c r="A40" s="471">
        <f t="shared" si="82"/>
        <v>46207</v>
      </c>
      <c r="B40" s="497"/>
      <c r="C40" s="426"/>
      <c r="D40" s="427">
        <f t="shared" si="52"/>
        <v>0</v>
      </c>
      <c r="E40" s="428">
        <f t="shared" si="79"/>
        <v>0</v>
      </c>
      <c r="F40" s="428">
        <f t="shared" si="80"/>
        <v>0</v>
      </c>
      <c r="G40" s="428">
        <f t="shared" si="70"/>
        <v>0</v>
      </c>
      <c r="H40" s="429"/>
      <c r="I40" s="430">
        <f t="shared" si="54"/>
        <v>0</v>
      </c>
      <c r="J40" s="431">
        <f t="shared" si="71"/>
        <v>0</v>
      </c>
      <c r="K40" s="431">
        <f t="shared" si="81"/>
        <v>0</v>
      </c>
      <c r="L40" s="431">
        <f t="shared" si="72"/>
        <v>0</v>
      </c>
      <c r="M40" s="432"/>
      <c r="N40" s="433">
        <f t="shared" si="46"/>
        <v>0</v>
      </c>
      <c r="O40" s="434">
        <f t="shared" si="73"/>
        <v>0</v>
      </c>
      <c r="P40" s="434">
        <f t="shared" si="34"/>
        <v>0</v>
      </c>
      <c r="Q40" s="434">
        <f t="shared" si="75"/>
        <v>0</v>
      </c>
      <c r="R40" s="435"/>
      <c r="S40" s="436">
        <f t="shared" si="47"/>
        <v>0</v>
      </c>
      <c r="T40" s="437">
        <f t="shared" si="76"/>
        <v>0</v>
      </c>
      <c r="U40" s="437">
        <f t="shared" si="37"/>
        <v>0</v>
      </c>
      <c r="V40" s="437">
        <f t="shared" si="78"/>
        <v>0</v>
      </c>
      <c r="W40" s="300"/>
      <c r="X40" s="131"/>
      <c r="Z40" s="162"/>
      <c r="AA40" s="162"/>
      <c r="AB40" s="162"/>
      <c r="AC40" s="162"/>
      <c r="AD40" s="162"/>
      <c r="AE40" s="163"/>
      <c r="AF40" s="162"/>
      <c r="AG40" s="162"/>
      <c r="AH40" s="162"/>
      <c r="AI40" s="162"/>
      <c r="AJ40" s="162"/>
      <c r="AK40" s="162"/>
      <c r="AL40" s="162"/>
      <c r="AM40" s="162"/>
      <c r="AN40" s="164"/>
      <c r="AO40" s="164"/>
      <c r="AP40" s="165"/>
      <c r="AQ40" s="161"/>
      <c r="AR40" s="161"/>
      <c r="AS40" s="161"/>
      <c r="AT40" s="161"/>
      <c r="AU40" s="161"/>
    </row>
    <row r="41" spans="1:47">
      <c r="A41" s="471">
        <f t="shared" si="82"/>
        <v>46207</v>
      </c>
      <c r="B41" s="497"/>
      <c r="C41" s="426"/>
      <c r="D41" s="427">
        <f t="shared" si="52"/>
        <v>0</v>
      </c>
      <c r="E41" s="428">
        <f t="shared" si="79"/>
        <v>0</v>
      </c>
      <c r="F41" s="428">
        <f t="shared" si="80"/>
        <v>0</v>
      </c>
      <c r="G41" s="428">
        <f t="shared" si="70"/>
        <v>0</v>
      </c>
      <c r="H41" s="429"/>
      <c r="I41" s="430">
        <f t="shared" si="54"/>
        <v>0</v>
      </c>
      <c r="J41" s="431">
        <f t="shared" si="71"/>
        <v>0</v>
      </c>
      <c r="K41" s="431">
        <f t="shared" si="81"/>
        <v>0</v>
      </c>
      <c r="L41" s="431">
        <f t="shared" si="72"/>
        <v>0</v>
      </c>
      <c r="M41" s="432"/>
      <c r="N41" s="433">
        <f t="shared" si="46"/>
        <v>0</v>
      </c>
      <c r="O41" s="434">
        <f t="shared" si="73"/>
        <v>0</v>
      </c>
      <c r="P41" s="434">
        <f t="shared" si="34"/>
        <v>0</v>
      </c>
      <c r="Q41" s="434">
        <f t="shared" si="75"/>
        <v>0</v>
      </c>
      <c r="R41" s="435"/>
      <c r="S41" s="436">
        <f t="shared" si="47"/>
        <v>0</v>
      </c>
      <c r="T41" s="437">
        <f t="shared" si="76"/>
        <v>0</v>
      </c>
      <c r="U41" s="437">
        <f t="shared" si="37"/>
        <v>0</v>
      </c>
      <c r="V41" s="437">
        <f t="shared" si="78"/>
        <v>0</v>
      </c>
      <c r="W41" s="300"/>
      <c r="X41" s="131"/>
      <c r="Z41" s="162"/>
      <c r="AA41" s="162"/>
      <c r="AB41" s="162"/>
      <c r="AC41" s="162"/>
      <c r="AD41" s="162"/>
      <c r="AE41" s="163"/>
      <c r="AF41" s="162"/>
      <c r="AG41" s="162"/>
      <c r="AH41" s="162"/>
      <c r="AI41" s="162"/>
      <c r="AJ41" s="162"/>
      <c r="AK41" s="162"/>
      <c r="AL41" s="162"/>
      <c r="AM41" s="162"/>
      <c r="AN41" s="164"/>
      <c r="AO41" s="164"/>
      <c r="AP41" s="165"/>
      <c r="AQ41" s="161"/>
      <c r="AR41" s="161"/>
      <c r="AS41" s="161"/>
      <c r="AT41" s="161"/>
      <c r="AU41" s="161"/>
    </row>
    <row r="42" spans="1:47">
      <c r="A42" s="471">
        <f t="shared" si="82"/>
        <v>46207</v>
      </c>
      <c r="B42" s="497"/>
      <c r="C42" s="426"/>
      <c r="D42" s="427">
        <f t="shared" si="52"/>
        <v>0</v>
      </c>
      <c r="E42" s="428">
        <f t="shared" si="79"/>
        <v>0</v>
      </c>
      <c r="F42" s="428">
        <f t="shared" si="80"/>
        <v>0</v>
      </c>
      <c r="G42" s="428">
        <f t="shared" si="70"/>
        <v>0</v>
      </c>
      <c r="H42" s="429"/>
      <c r="I42" s="430">
        <f t="shared" si="54"/>
        <v>0</v>
      </c>
      <c r="J42" s="431">
        <f t="shared" si="71"/>
        <v>0</v>
      </c>
      <c r="K42" s="431">
        <f t="shared" si="81"/>
        <v>0</v>
      </c>
      <c r="L42" s="431">
        <f t="shared" si="72"/>
        <v>0</v>
      </c>
      <c r="M42" s="432"/>
      <c r="N42" s="433">
        <f t="shared" si="46"/>
        <v>0</v>
      </c>
      <c r="O42" s="434">
        <f t="shared" si="73"/>
        <v>0</v>
      </c>
      <c r="P42" s="434">
        <f t="shared" si="34"/>
        <v>0</v>
      </c>
      <c r="Q42" s="434">
        <f t="shared" si="75"/>
        <v>0</v>
      </c>
      <c r="R42" s="435"/>
      <c r="S42" s="436">
        <f t="shared" si="47"/>
        <v>0</v>
      </c>
      <c r="T42" s="437">
        <f t="shared" si="76"/>
        <v>0</v>
      </c>
      <c r="U42" s="437">
        <f t="shared" si="37"/>
        <v>0</v>
      </c>
      <c r="V42" s="437">
        <f t="shared" si="78"/>
        <v>0</v>
      </c>
      <c r="W42" s="300"/>
      <c r="X42" s="131"/>
      <c r="Z42" s="162"/>
      <c r="AA42" s="162"/>
      <c r="AB42" s="162"/>
      <c r="AC42" s="162"/>
      <c r="AD42" s="162"/>
      <c r="AE42" s="163"/>
      <c r="AF42" s="162"/>
      <c r="AG42" s="162"/>
      <c r="AH42" s="162"/>
      <c r="AI42" s="162"/>
      <c r="AJ42" s="162"/>
      <c r="AK42" s="162"/>
      <c r="AL42" s="162"/>
      <c r="AM42" s="162"/>
      <c r="AN42" s="164"/>
      <c r="AO42" s="164"/>
      <c r="AP42" s="165"/>
      <c r="AQ42" s="161"/>
      <c r="AR42" s="161"/>
      <c r="AS42" s="161"/>
      <c r="AT42" s="161"/>
      <c r="AU42" s="161"/>
    </row>
    <row r="43" spans="1:47">
      <c r="A43" s="471">
        <f t="shared" si="82"/>
        <v>46207</v>
      </c>
      <c r="B43" s="497"/>
      <c r="C43" s="426"/>
      <c r="D43" s="427">
        <f t="shared" si="52"/>
        <v>0</v>
      </c>
      <c r="E43" s="428">
        <f t="shared" si="79"/>
        <v>0</v>
      </c>
      <c r="F43" s="428">
        <f t="shared" si="80"/>
        <v>0</v>
      </c>
      <c r="G43" s="428">
        <f t="shared" si="70"/>
        <v>0</v>
      </c>
      <c r="H43" s="429"/>
      <c r="I43" s="430">
        <f t="shared" si="54"/>
        <v>0</v>
      </c>
      <c r="J43" s="431">
        <f t="shared" si="71"/>
        <v>0</v>
      </c>
      <c r="K43" s="431">
        <f t="shared" si="81"/>
        <v>0</v>
      </c>
      <c r="L43" s="431">
        <f t="shared" si="72"/>
        <v>0</v>
      </c>
      <c r="M43" s="432"/>
      <c r="N43" s="433">
        <f t="shared" si="46"/>
        <v>0</v>
      </c>
      <c r="O43" s="434">
        <f t="shared" si="73"/>
        <v>0</v>
      </c>
      <c r="P43" s="434">
        <f t="shared" si="34"/>
        <v>0</v>
      </c>
      <c r="Q43" s="434">
        <f t="shared" si="75"/>
        <v>0</v>
      </c>
      <c r="R43" s="435"/>
      <c r="S43" s="436">
        <f t="shared" si="47"/>
        <v>0</v>
      </c>
      <c r="T43" s="437">
        <f t="shared" si="76"/>
        <v>0</v>
      </c>
      <c r="U43" s="437">
        <f t="shared" si="37"/>
        <v>0</v>
      </c>
      <c r="V43" s="437">
        <f t="shared" si="78"/>
        <v>0</v>
      </c>
      <c r="W43" s="300"/>
      <c r="X43" s="131"/>
      <c r="Z43" s="162"/>
      <c r="AA43" s="162"/>
      <c r="AB43" s="162"/>
      <c r="AC43" s="162"/>
      <c r="AD43" s="162"/>
      <c r="AE43" s="163"/>
      <c r="AF43" s="162"/>
      <c r="AG43" s="162"/>
      <c r="AH43" s="162"/>
      <c r="AI43" s="162"/>
      <c r="AJ43" s="162"/>
      <c r="AK43" s="162"/>
      <c r="AL43" s="162"/>
      <c r="AM43" s="162"/>
      <c r="AN43" s="164"/>
      <c r="AO43" s="164"/>
      <c r="AP43" s="165"/>
      <c r="AQ43" s="161"/>
      <c r="AR43" s="161"/>
      <c r="AS43" s="161"/>
      <c r="AT43" s="161"/>
      <c r="AU43" s="161"/>
    </row>
    <row r="44" spans="1:47">
      <c r="A44" s="471">
        <f t="shared" si="82"/>
        <v>46207</v>
      </c>
      <c r="B44" s="497"/>
      <c r="C44" s="426"/>
      <c r="D44" s="427">
        <f t="shared" si="52"/>
        <v>0</v>
      </c>
      <c r="E44" s="428">
        <f t="shared" si="79"/>
        <v>0</v>
      </c>
      <c r="F44" s="428">
        <f t="shared" si="80"/>
        <v>0</v>
      </c>
      <c r="G44" s="428">
        <f t="shared" si="70"/>
        <v>0</v>
      </c>
      <c r="H44" s="429"/>
      <c r="I44" s="430">
        <f t="shared" si="54"/>
        <v>0</v>
      </c>
      <c r="J44" s="431">
        <f t="shared" si="71"/>
        <v>0</v>
      </c>
      <c r="K44" s="431">
        <f t="shared" si="81"/>
        <v>0</v>
      </c>
      <c r="L44" s="431">
        <f t="shared" si="72"/>
        <v>0</v>
      </c>
      <c r="M44" s="432"/>
      <c r="N44" s="433">
        <f t="shared" si="46"/>
        <v>0</v>
      </c>
      <c r="O44" s="434">
        <f t="shared" si="73"/>
        <v>0</v>
      </c>
      <c r="P44" s="434">
        <f t="shared" si="34"/>
        <v>0</v>
      </c>
      <c r="Q44" s="434">
        <f t="shared" si="75"/>
        <v>0</v>
      </c>
      <c r="R44" s="435"/>
      <c r="S44" s="436">
        <f t="shared" si="47"/>
        <v>0</v>
      </c>
      <c r="T44" s="437">
        <f t="shared" si="76"/>
        <v>0</v>
      </c>
      <c r="U44" s="437">
        <f t="shared" si="37"/>
        <v>0</v>
      </c>
      <c r="V44" s="437">
        <f t="shared" si="78"/>
        <v>0</v>
      </c>
      <c r="W44" s="300"/>
      <c r="X44" s="131"/>
      <c r="Z44" s="162"/>
      <c r="AA44" s="162"/>
      <c r="AB44" s="162"/>
      <c r="AC44" s="162"/>
      <c r="AD44" s="162"/>
      <c r="AE44" s="163"/>
      <c r="AF44" s="162"/>
      <c r="AG44" s="162"/>
      <c r="AH44" s="162"/>
      <c r="AI44" s="162"/>
      <c r="AJ44" s="162"/>
      <c r="AK44" s="162"/>
      <c r="AL44" s="162"/>
      <c r="AM44" s="162"/>
      <c r="AN44" s="164"/>
      <c r="AO44" s="164"/>
      <c r="AP44" s="165"/>
      <c r="AQ44" s="161"/>
      <c r="AR44" s="161"/>
      <c r="AS44" s="161"/>
      <c r="AT44" s="161"/>
      <c r="AU44" s="161"/>
    </row>
    <row r="45" spans="1:47">
      <c r="A45" s="471">
        <f t="shared" si="82"/>
        <v>46207</v>
      </c>
      <c r="B45" s="497"/>
      <c r="C45" s="426"/>
      <c r="D45" s="427">
        <f t="shared" si="52"/>
        <v>0</v>
      </c>
      <c r="E45" s="428">
        <f t="shared" si="79"/>
        <v>0</v>
      </c>
      <c r="F45" s="428">
        <f t="shared" si="80"/>
        <v>0</v>
      </c>
      <c r="G45" s="428">
        <f t="shared" si="70"/>
        <v>0</v>
      </c>
      <c r="H45" s="429"/>
      <c r="I45" s="430">
        <f t="shared" si="54"/>
        <v>0</v>
      </c>
      <c r="J45" s="431">
        <f t="shared" si="71"/>
        <v>0</v>
      </c>
      <c r="K45" s="431">
        <f t="shared" si="81"/>
        <v>0</v>
      </c>
      <c r="L45" s="431">
        <f t="shared" si="72"/>
        <v>0</v>
      </c>
      <c r="M45" s="432"/>
      <c r="N45" s="433">
        <f t="shared" si="46"/>
        <v>0</v>
      </c>
      <c r="O45" s="434">
        <f t="shared" si="73"/>
        <v>0</v>
      </c>
      <c r="P45" s="434">
        <f t="shared" si="34"/>
        <v>0</v>
      </c>
      <c r="Q45" s="434">
        <f t="shared" si="75"/>
        <v>0</v>
      </c>
      <c r="R45" s="435"/>
      <c r="S45" s="436">
        <f t="shared" si="47"/>
        <v>0</v>
      </c>
      <c r="T45" s="437">
        <f t="shared" si="76"/>
        <v>0</v>
      </c>
      <c r="U45" s="437">
        <f t="shared" si="37"/>
        <v>0</v>
      </c>
      <c r="V45" s="437">
        <f t="shared" si="78"/>
        <v>0</v>
      </c>
      <c r="W45" s="300"/>
      <c r="X45" s="131"/>
      <c r="Z45" s="162"/>
      <c r="AA45" s="162"/>
      <c r="AB45" s="162"/>
      <c r="AC45" s="162"/>
      <c r="AD45" s="162"/>
      <c r="AE45" s="163"/>
      <c r="AF45" s="162"/>
      <c r="AG45" s="162"/>
      <c r="AH45" s="162"/>
      <c r="AI45" s="162"/>
      <c r="AJ45" s="162"/>
      <c r="AK45" s="162"/>
      <c r="AL45" s="162"/>
      <c r="AM45" s="162"/>
      <c r="AN45" s="164"/>
      <c r="AO45" s="164"/>
      <c r="AP45" s="165"/>
      <c r="AQ45" s="161"/>
      <c r="AR45" s="161"/>
      <c r="AS45" s="161"/>
      <c r="AT45" s="161"/>
      <c r="AU45" s="161"/>
    </row>
    <row r="46" spans="1:47">
      <c r="A46" s="471">
        <f t="shared" si="82"/>
        <v>46207</v>
      </c>
      <c r="B46" s="497"/>
      <c r="C46" s="426"/>
      <c r="D46" s="427">
        <f t="shared" si="52"/>
        <v>0</v>
      </c>
      <c r="E46" s="428">
        <f t="shared" si="79"/>
        <v>0</v>
      </c>
      <c r="F46" s="428">
        <f t="shared" si="80"/>
        <v>0</v>
      </c>
      <c r="G46" s="428">
        <f t="shared" si="70"/>
        <v>0</v>
      </c>
      <c r="H46" s="429"/>
      <c r="I46" s="430">
        <f t="shared" si="54"/>
        <v>0</v>
      </c>
      <c r="J46" s="431">
        <f t="shared" si="71"/>
        <v>0</v>
      </c>
      <c r="K46" s="431">
        <f t="shared" si="81"/>
        <v>0</v>
      </c>
      <c r="L46" s="431">
        <f t="shared" si="72"/>
        <v>0</v>
      </c>
      <c r="M46" s="432"/>
      <c r="N46" s="433">
        <f t="shared" si="46"/>
        <v>0</v>
      </c>
      <c r="O46" s="434">
        <f t="shared" si="73"/>
        <v>0</v>
      </c>
      <c r="P46" s="434">
        <f t="shared" si="34"/>
        <v>0</v>
      </c>
      <c r="Q46" s="434">
        <f t="shared" si="75"/>
        <v>0</v>
      </c>
      <c r="R46" s="435"/>
      <c r="S46" s="436">
        <f t="shared" si="47"/>
        <v>0</v>
      </c>
      <c r="T46" s="437">
        <f t="shared" si="76"/>
        <v>0</v>
      </c>
      <c r="U46" s="437">
        <f t="shared" si="37"/>
        <v>0</v>
      </c>
      <c r="V46" s="437">
        <f t="shared" si="78"/>
        <v>0</v>
      </c>
      <c r="W46" s="300"/>
      <c r="X46" s="131"/>
      <c r="Z46" s="162"/>
      <c r="AA46" s="162"/>
      <c r="AB46" s="162"/>
      <c r="AC46" s="162"/>
      <c r="AD46" s="162"/>
      <c r="AE46" s="163"/>
      <c r="AF46" s="162"/>
      <c r="AG46" s="162"/>
      <c r="AH46" s="162"/>
      <c r="AI46" s="162"/>
      <c r="AJ46" s="162"/>
      <c r="AK46" s="162"/>
      <c r="AL46" s="162"/>
      <c r="AM46" s="162"/>
      <c r="AN46" s="164"/>
      <c r="AO46" s="164"/>
      <c r="AP46" s="165"/>
      <c r="AQ46" s="161"/>
      <c r="AR46" s="161"/>
      <c r="AS46" s="161"/>
      <c r="AT46" s="161"/>
      <c r="AU46" s="161"/>
    </row>
    <row r="47" spans="1:47" ht="14.25">
      <c r="A47" s="471"/>
      <c r="B47" s="498" t="s">
        <v>118</v>
      </c>
      <c r="C47" s="438">
        <f>SUM(C37:C46)</f>
        <v>0</v>
      </c>
      <c r="D47" s="439">
        <f t="shared" si="52"/>
        <v>0</v>
      </c>
      <c r="E47" s="438">
        <f>SUM(E37:E46)</f>
        <v>0</v>
      </c>
      <c r="F47" s="463">
        <f>SUM(F37:F46)</f>
        <v>0</v>
      </c>
      <c r="G47" s="463">
        <f>SUM(G37:G46)</f>
        <v>0</v>
      </c>
      <c r="H47" s="440">
        <f>SUM(H37:H46)</f>
        <v>0</v>
      </c>
      <c r="I47" s="441">
        <f t="shared" si="54"/>
        <v>0</v>
      </c>
      <c r="J47" s="440">
        <f>SUM(J37:J46)</f>
        <v>0</v>
      </c>
      <c r="K47" s="466">
        <f>SUM(K37:K46)</f>
        <v>0</v>
      </c>
      <c r="L47" s="466">
        <f>SUM(L37:L46)</f>
        <v>0</v>
      </c>
      <c r="M47" s="442">
        <f t="shared" ref="M47" si="83">SUM(M37:M46)</f>
        <v>0</v>
      </c>
      <c r="N47" s="443">
        <f t="shared" si="46"/>
        <v>0</v>
      </c>
      <c r="O47" s="442">
        <f t="shared" ref="O47:R47" si="84">SUM(O37:O46)</f>
        <v>0</v>
      </c>
      <c r="P47" s="468">
        <f t="shared" si="84"/>
        <v>0</v>
      </c>
      <c r="Q47" s="468">
        <f t="shared" si="84"/>
        <v>0</v>
      </c>
      <c r="R47" s="444">
        <f t="shared" si="84"/>
        <v>0</v>
      </c>
      <c r="S47" s="445">
        <f t="shared" si="47"/>
        <v>0</v>
      </c>
      <c r="T47" s="444">
        <f t="shared" ref="T47:V47" si="85">SUM(T37:T46)</f>
        <v>0</v>
      </c>
      <c r="U47" s="470">
        <f t="shared" si="85"/>
        <v>0</v>
      </c>
      <c r="V47" s="470">
        <f t="shared" si="85"/>
        <v>0</v>
      </c>
      <c r="W47" s="300"/>
      <c r="X47" s="131"/>
      <c r="Z47" s="162"/>
      <c r="AA47" s="162"/>
      <c r="AB47" s="162"/>
      <c r="AC47" s="162"/>
      <c r="AD47" s="162"/>
      <c r="AE47" s="163"/>
      <c r="AF47" s="162"/>
      <c r="AG47" s="162"/>
      <c r="AH47" s="162"/>
      <c r="AI47" s="162"/>
      <c r="AJ47" s="162"/>
      <c r="AK47" s="162"/>
      <c r="AL47" s="162"/>
      <c r="AM47" s="162"/>
      <c r="AN47" s="164"/>
      <c r="AO47" s="164"/>
      <c r="AP47" s="165"/>
      <c r="AQ47" s="161"/>
      <c r="AR47" s="161"/>
      <c r="AS47" s="161"/>
      <c r="AT47" s="161"/>
      <c r="AU47" s="161"/>
    </row>
    <row r="48" spans="1:47">
      <c r="A48" s="472">
        <f>+A37+1</f>
        <v>46208</v>
      </c>
      <c r="B48" s="497"/>
      <c r="C48" s="426"/>
      <c r="D48" s="427">
        <f t="shared" si="52"/>
        <v>0</v>
      </c>
      <c r="E48" s="428">
        <f>+D48/0.0125*0.125</f>
        <v>0</v>
      </c>
      <c r="F48" s="428">
        <f>+E48/1500</f>
        <v>0</v>
      </c>
      <c r="G48" s="428">
        <f t="shared" ref="G48:G57" si="86">+D48/0.0125*0.000318</f>
        <v>0</v>
      </c>
      <c r="H48" s="429"/>
      <c r="I48" s="430">
        <f t="shared" ref="I48:I111" si="87">+H48*3.276</f>
        <v>0</v>
      </c>
      <c r="J48" s="431">
        <f t="shared" ref="J48:J57" si="88">+I48/0.0185*0.185</f>
        <v>0</v>
      </c>
      <c r="K48" s="431">
        <f>+J48/1500</f>
        <v>0</v>
      </c>
      <c r="L48" s="431">
        <f t="shared" ref="L48:L57" si="89">+I48/0.0185*0.000318</f>
        <v>0</v>
      </c>
      <c r="M48" s="432"/>
      <c r="N48" s="433">
        <f t="shared" si="46"/>
        <v>0</v>
      </c>
      <c r="O48" s="434">
        <f t="shared" ref="O48:O57" si="90">+N48/0.0185*0.185</f>
        <v>0</v>
      </c>
      <c r="P48" s="434">
        <f t="shared" ref="P48" si="91">+O48/1500</f>
        <v>0</v>
      </c>
      <c r="Q48" s="434">
        <f t="shared" ref="Q48:Q57" si="92">+N48/0.0185*0.000318</f>
        <v>0</v>
      </c>
      <c r="R48" s="435"/>
      <c r="S48" s="436">
        <f t="shared" si="47"/>
        <v>0</v>
      </c>
      <c r="T48" s="437">
        <f t="shared" ref="T48:T57" si="93">+S48/0.0185*0.185</f>
        <v>0</v>
      </c>
      <c r="U48" s="437">
        <f t="shared" ref="U48" si="94">+T48/1500</f>
        <v>0</v>
      </c>
      <c r="V48" s="437">
        <f t="shared" ref="V48:V57" si="95">+S48/0.0185*0.000318</f>
        <v>0</v>
      </c>
      <c r="W48" s="300"/>
      <c r="X48" s="131">
        <f>+W48*2.4</f>
        <v>0</v>
      </c>
      <c r="Z48" s="162" t="str">
        <f>IFERROR((D48/'REKAPAN OKEY AYAM'!$AC8),"-")</f>
        <v>-</v>
      </c>
      <c r="AA48" s="162" t="str">
        <f>IFERROR((I48/'REKAPAN CHAMP AYAM'!$AC8),"-")</f>
        <v>-</v>
      </c>
      <c r="AB48" s="162" t="str">
        <f>IFERROR((N48/'REKAPAN CHAMP SAPI'!AC8),"-")</f>
        <v>-</v>
      </c>
      <c r="AC48" s="162" t="str">
        <f>IFERROR((S48/'REKAPAN CHAMP OTAK-OTAK'!AC8),"-")</f>
        <v>-</v>
      </c>
      <c r="AD48" s="162" t="str">
        <f>IFERROR((X48/'REKAPAN FIESTA'!AC8),"-")</f>
        <v>-</v>
      </c>
      <c r="AE48" s="163"/>
      <c r="AF48" s="162" t="str">
        <f t="shared" si="39"/>
        <v>-</v>
      </c>
      <c r="AG48" s="162" t="str">
        <f>IFERROR(((D48/0.0125*0.000318)/#REF!),"-")</f>
        <v>-</v>
      </c>
      <c r="AH48" s="162" t="str">
        <f t="shared" si="40"/>
        <v>-</v>
      </c>
      <c r="AI48" s="162" t="str">
        <f>IFERROR(((I48/0.0185*0.000318)/#REF!),"-")</f>
        <v>-</v>
      </c>
      <c r="AJ48" s="162" t="str">
        <f t="shared" si="41"/>
        <v>-</v>
      </c>
      <c r="AK48" s="162" t="str">
        <f>IFERROR(((N48/0.0185*0.000318)/#REF!),"-")</f>
        <v>-</v>
      </c>
      <c r="AL48" s="162" t="str">
        <f t="shared" si="42"/>
        <v>-</v>
      </c>
      <c r="AM48" s="162" t="str">
        <f>IFERROR(((S48/0.0185*0.000318)/#REF!),"-")</f>
        <v>-</v>
      </c>
      <c r="AN48" s="164"/>
      <c r="AO48" s="164"/>
      <c r="AP48" s="165"/>
      <c r="AQ48" s="161" t="str">
        <f>IFERROR(('REKAPAN OKEY AYAM'!$AD8),"-")</f>
        <v>-</v>
      </c>
      <c r="AR48" s="161" t="str">
        <f>IFERROR(('REKAPAN CHAMP AYAM'!$AD8),"-")</f>
        <v>-</v>
      </c>
      <c r="AS48" s="161" t="str">
        <f>IFERROR(('REKAPAN CHAMP SAPI'!$AD8),"-")</f>
        <v>-</v>
      </c>
      <c r="AT48" s="161" t="str">
        <f>IFERROR(('REKAPAN CHAMP OTAK-OTAK'!$AD8),"-")</f>
        <v>-</v>
      </c>
      <c r="AU48" s="161" t="str">
        <f>IFERROR(('REKAPAN FIESTA'!$AD8),"-")</f>
        <v>-</v>
      </c>
    </row>
    <row r="49" spans="1:47">
      <c r="A49" s="471">
        <f>+$A48</f>
        <v>46208</v>
      </c>
      <c r="B49" s="497"/>
      <c r="C49" s="426"/>
      <c r="D49" s="427">
        <f t="shared" si="52"/>
        <v>0</v>
      </c>
      <c r="E49" s="428">
        <f t="shared" ref="E49:E57" si="96">+D49/0.0125*0.125</f>
        <v>0</v>
      </c>
      <c r="F49" s="428">
        <f t="shared" ref="F49:F57" si="97">+E49/1500</f>
        <v>0</v>
      </c>
      <c r="G49" s="428">
        <f t="shared" si="86"/>
        <v>0</v>
      </c>
      <c r="H49" s="429"/>
      <c r="I49" s="430">
        <f t="shared" si="87"/>
        <v>0</v>
      </c>
      <c r="J49" s="431">
        <f t="shared" si="88"/>
        <v>0</v>
      </c>
      <c r="K49" s="431">
        <f t="shared" ref="K49:K57" si="98">+J49/1500</f>
        <v>0</v>
      </c>
      <c r="L49" s="431">
        <f t="shared" si="89"/>
        <v>0</v>
      </c>
      <c r="M49" s="432"/>
      <c r="N49" s="433">
        <f t="shared" si="46"/>
        <v>0</v>
      </c>
      <c r="O49" s="434">
        <f t="shared" si="90"/>
        <v>0</v>
      </c>
      <c r="P49" s="434">
        <f t="shared" si="34"/>
        <v>0</v>
      </c>
      <c r="Q49" s="434">
        <f t="shared" si="92"/>
        <v>0</v>
      </c>
      <c r="R49" s="435"/>
      <c r="S49" s="436">
        <f t="shared" si="47"/>
        <v>0</v>
      </c>
      <c r="T49" s="437">
        <f t="shared" si="93"/>
        <v>0</v>
      </c>
      <c r="U49" s="437">
        <f t="shared" si="37"/>
        <v>0</v>
      </c>
      <c r="V49" s="437">
        <f t="shared" si="95"/>
        <v>0</v>
      </c>
      <c r="W49" s="300"/>
      <c r="X49" s="131"/>
      <c r="Z49" s="162"/>
      <c r="AA49" s="162"/>
      <c r="AB49" s="162"/>
      <c r="AC49" s="162"/>
      <c r="AD49" s="162"/>
      <c r="AE49" s="163"/>
      <c r="AF49" s="162"/>
      <c r="AG49" s="162"/>
      <c r="AH49" s="162"/>
      <c r="AI49" s="162"/>
      <c r="AJ49" s="162"/>
      <c r="AK49" s="162"/>
      <c r="AL49" s="162"/>
      <c r="AM49" s="162"/>
      <c r="AN49" s="164"/>
      <c r="AO49" s="164"/>
      <c r="AP49" s="165"/>
      <c r="AQ49" s="161"/>
      <c r="AR49" s="161"/>
      <c r="AS49" s="161"/>
      <c r="AT49" s="161"/>
      <c r="AU49" s="161"/>
    </row>
    <row r="50" spans="1:47">
      <c r="A50" s="471">
        <f t="shared" ref="A50:A57" si="99">+$A49</f>
        <v>46208</v>
      </c>
      <c r="B50" s="497"/>
      <c r="C50" s="426"/>
      <c r="D50" s="427">
        <f t="shared" si="52"/>
        <v>0</v>
      </c>
      <c r="E50" s="428">
        <f t="shared" si="96"/>
        <v>0</v>
      </c>
      <c r="F50" s="428">
        <f t="shared" si="97"/>
        <v>0</v>
      </c>
      <c r="G50" s="428">
        <f t="shared" si="86"/>
        <v>0</v>
      </c>
      <c r="H50" s="429"/>
      <c r="I50" s="430">
        <f t="shared" si="87"/>
        <v>0</v>
      </c>
      <c r="J50" s="431">
        <f t="shared" si="88"/>
        <v>0</v>
      </c>
      <c r="K50" s="431">
        <f t="shared" si="98"/>
        <v>0</v>
      </c>
      <c r="L50" s="431">
        <f t="shared" si="89"/>
        <v>0</v>
      </c>
      <c r="M50" s="432"/>
      <c r="N50" s="433">
        <f t="shared" si="46"/>
        <v>0</v>
      </c>
      <c r="O50" s="434">
        <f t="shared" si="90"/>
        <v>0</v>
      </c>
      <c r="P50" s="434">
        <f t="shared" si="34"/>
        <v>0</v>
      </c>
      <c r="Q50" s="434">
        <f t="shared" si="92"/>
        <v>0</v>
      </c>
      <c r="R50" s="435"/>
      <c r="S50" s="436">
        <f t="shared" si="47"/>
        <v>0</v>
      </c>
      <c r="T50" s="437">
        <f t="shared" si="93"/>
        <v>0</v>
      </c>
      <c r="U50" s="437">
        <f t="shared" si="37"/>
        <v>0</v>
      </c>
      <c r="V50" s="437">
        <f t="shared" si="95"/>
        <v>0</v>
      </c>
      <c r="W50" s="300"/>
      <c r="X50" s="131"/>
      <c r="Z50" s="162"/>
      <c r="AA50" s="162"/>
      <c r="AB50" s="162"/>
      <c r="AC50" s="162"/>
      <c r="AD50" s="162"/>
      <c r="AE50" s="163"/>
      <c r="AF50" s="162"/>
      <c r="AG50" s="162"/>
      <c r="AH50" s="162"/>
      <c r="AI50" s="162"/>
      <c r="AJ50" s="162"/>
      <c r="AK50" s="162"/>
      <c r="AL50" s="162"/>
      <c r="AM50" s="162"/>
      <c r="AN50" s="164"/>
      <c r="AO50" s="164"/>
      <c r="AP50" s="165"/>
      <c r="AQ50" s="161"/>
      <c r="AR50" s="161"/>
      <c r="AS50" s="161"/>
      <c r="AT50" s="161"/>
      <c r="AU50" s="161"/>
    </row>
    <row r="51" spans="1:47">
      <c r="A51" s="471">
        <f t="shared" si="99"/>
        <v>46208</v>
      </c>
      <c r="B51" s="497"/>
      <c r="C51" s="426"/>
      <c r="D51" s="427">
        <f t="shared" si="52"/>
        <v>0</v>
      </c>
      <c r="E51" s="428">
        <f t="shared" si="96"/>
        <v>0</v>
      </c>
      <c r="F51" s="428">
        <f t="shared" si="97"/>
        <v>0</v>
      </c>
      <c r="G51" s="428">
        <f t="shared" si="86"/>
        <v>0</v>
      </c>
      <c r="H51" s="429"/>
      <c r="I51" s="430">
        <f t="shared" si="87"/>
        <v>0</v>
      </c>
      <c r="J51" s="431">
        <f t="shared" si="88"/>
        <v>0</v>
      </c>
      <c r="K51" s="431">
        <f t="shared" si="98"/>
        <v>0</v>
      </c>
      <c r="L51" s="431">
        <f t="shared" si="89"/>
        <v>0</v>
      </c>
      <c r="M51" s="432"/>
      <c r="N51" s="433">
        <f t="shared" si="46"/>
        <v>0</v>
      </c>
      <c r="O51" s="434">
        <f t="shared" si="90"/>
        <v>0</v>
      </c>
      <c r="P51" s="434">
        <f t="shared" si="34"/>
        <v>0</v>
      </c>
      <c r="Q51" s="434">
        <f t="shared" si="92"/>
        <v>0</v>
      </c>
      <c r="R51" s="435"/>
      <c r="S51" s="436">
        <f t="shared" si="47"/>
        <v>0</v>
      </c>
      <c r="T51" s="437">
        <f t="shared" si="93"/>
        <v>0</v>
      </c>
      <c r="U51" s="437">
        <f t="shared" si="37"/>
        <v>0</v>
      </c>
      <c r="V51" s="437">
        <f t="shared" si="95"/>
        <v>0</v>
      </c>
      <c r="W51" s="300"/>
      <c r="X51" s="131"/>
      <c r="Z51" s="162"/>
      <c r="AA51" s="162"/>
      <c r="AB51" s="162"/>
      <c r="AC51" s="162"/>
      <c r="AD51" s="162"/>
      <c r="AE51" s="163"/>
      <c r="AF51" s="162"/>
      <c r="AG51" s="162"/>
      <c r="AH51" s="162"/>
      <c r="AI51" s="162"/>
      <c r="AJ51" s="162"/>
      <c r="AK51" s="162"/>
      <c r="AL51" s="162"/>
      <c r="AM51" s="162"/>
      <c r="AN51" s="164"/>
      <c r="AO51" s="164"/>
      <c r="AP51" s="165"/>
      <c r="AQ51" s="161"/>
      <c r="AR51" s="161"/>
      <c r="AS51" s="161"/>
      <c r="AT51" s="161"/>
      <c r="AU51" s="161"/>
    </row>
    <row r="52" spans="1:47">
      <c r="A52" s="471">
        <f t="shared" si="99"/>
        <v>46208</v>
      </c>
      <c r="B52" s="497"/>
      <c r="C52" s="426"/>
      <c r="D52" s="427">
        <f t="shared" si="52"/>
        <v>0</v>
      </c>
      <c r="E52" s="428">
        <f t="shared" si="96"/>
        <v>0</v>
      </c>
      <c r="F52" s="428">
        <f t="shared" si="97"/>
        <v>0</v>
      </c>
      <c r="G52" s="428">
        <f t="shared" si="86"/>
        <v>0</v>
      </c>
      <c r="H52" s="429"/>
      <c r="I52" s="430">
        <f t="shared" si="87"/>
        <v>0</v>
      </c>
      <c r="J52" s="431">
        <f t="shared" si="88"/>
        <v>0</v>
      </c>
      <c r="K52" s="431">
        <f t="shared" si="98"/>
        <v>0</v>
      </c>
      <c r="L52" s="431">
        <f t="shared" si="89"/>
        <v>0</v>
      </c>
      <c r="M52" s="432"/>
      <c r="N52" s="433">
        <f t="shared" si="46"/>
        <v>0</v>
      </c>
      <c r="O52" s="434">
        <f t="shared" si="90"/>
        <v>0</v>
      </c>
      <c r="P52" s="434">
        <f t="shared" si="34"/>
        <v>0</v>
      </c>
      <c r="Q52" s="434">
        <f t="shared" si="92"/>
        <v>0</v>
      </c>
      <c r="R52" s="435"/>
      <c r="S52" s="436">
        <f t="shared" si="47"/>
        <v>0</v>
      </c>
      <c r="T52" s="437">
        <f t="shared" si="93"/>
        <v>0</v>
      </c>
      <c r="U52" s="437">
        <f t="shared" si="37"/>
        <v>0</v>
      </c>
      <c r="V52" s="437">
        <f t="shared" si="95"/>
        <v>0</v>
      </c>
      <c r="W52" s="300"/>
      <c r="X52" s="131"/>
      <c r="Z52" s="162"/>
      <c r="AA52" s="162"/>
      <c r="AB52" s="162"/>
      <c r="AC52" s="162"/>
      <c r="AD52" s="162"/>
      <c r="AE52" s="163"/>
      <c r="AF52" s="162"/>
      <c r="AG52" s="162"/>
      <c r="AH52" s="162"/>
      <c r="AI52" s="162"/>
      <c r="AJ52" s="162"/>
      <c r="AK52" s="162"/>
      <c r="AL52" s="162"/>
      <c r="AM52" s="162"/>
      <c r="AN52" s="164"/>
      <c r="AO52" s="164"/>
      <c r="AP52" s="165"/>
      <c r="AQ52" s="161"/>
      <c r="AR52" s="161"/>
      <c r="AS52" s="161"/>
      <c r="AT52" s="161"/>
      <c r="AU52" s="161"/>
    </row>
    <row r="53" spans="1:47">
      <c r="A53" s="471">
        <f t="shared" si="99"/>
        <v>46208</v>
      </c>
      <c r="B53" s="497"/>
      <c r="C53" s="426"/>
      <c r="D53" s="427">
        <f t="shared" si="52"/>
        <v>0</v>
      </c>
      <c r="E53" s="428">
        <f t="shared" si="96"/>
        <v>0</v>
      </c>
      <c r="F53" s="428">
        <f t="shared" si="97"/>
        <v>0</v>
      </c>
      <c r="G53" s="428">
        <f t="shared" si="86"/>
        <v>0</v>
      </c>
      <c r="H53" s="429"/>
      <c r="I53" s="430">
        <f t="shared" si="87"/>
        <v>0</v>
      </c>
      <c r="J53" s="431">
        <f t="shared" si="88"/>
        <v>0</v>
      </c>
      <c r="K53" s="431">
        <f t="shared" si="98"/>
        <v>0</v>
      </c>
      <c r="L53" s="431">
        <f t="shared" si="89"/>
        <v>0</v>
      </c>
      <c r="M53" s="432"/>
      <c r="N53" s="433">
        <f t="shared" si="46"/>
        <v>0</v>
      </c>
      <c r="O53" s="434">
        <f t="shared" si="90"/>
        <v>0</v>
      </c>
      <c r="P53" s="434">
        <f t="shared" si="34"/>
        <v>0</v>
      </c>
      <c r="Q53" s="434">
        <f t="shared" si="92"/>
        <v>0</v>
      </c>
      <c r="R53" s="435"/>
      <c r="S53" s="436">
        <f t="shared" si="47"/>
        <v>0</v>
      </c>
      <c r="T53" s="437">
        <f t="shared" si="93"/>
        <v>0</v>
      </c>
      <c r="U53" s="437">
        <f t="shared" si="37"/>
        <v>0</v>
      </c>
      <c r="V53" s="437">
        <f t="shared" si="95"/>
        <v>0</v>
      </c>
      <c r="W53" s="300"/>
      <c r="X53" s="131"/>
      <c r="Z53" s="162"/>
      <c r="AA53" s="162"/>
      <c r="AB53" s="162"/>
      <c r="AC53" s="162"/>
      <c r="AD53" s="162"/>
      <c r="AE53" s="163"/>
      <c r="AF53" s="162"/>
      <c r="AG53" s="162"/>
      <c r="AH53" s="162"/>
      <c r="AI53" s="162"/>
      <c r="AJ53" s="162"/>
      <c r="AK53" s="162"/>
      <c r="AL53" s="162"/>
      <c r="AM53" s="162"/>
      <c r="AN53" s="164"/>
      <c r="AO53" s="164"/>
      <c r="AP53" s="165"/>
      <c r="AQ53" s="161"/>
      <c r="AR53" s="161"/>
      <c r="AS53" s="161"/>
      <c r="AT53" s="161"/>
      <c r="AU53" s="161"/>
    </row>
    <row r="54" spans="1:47">
      <c r="A54" s="471">
        <f t="shared" si="99"/>
        <v>46208</v>
      </c>
      <c r="B54" s="497"/>
      <c r="C54" s="426"/>
      <c r="D54" s="427">
        <f t="shared" si="52"/>
        <v>0</v>
      </c>
      <c r="E54" s="428">
        <f t="shared" si="96"/>
        <v>0</v>
      </c>
      <c r="F54" s="428">
        <f t="shared" si="97"/>
        <v>0</v>
      </c>
      <c r="G54" s="428">
        <f t="shared" si="86"/>
        <v>0</v>
      </c>
      <c r="H54" s="429"/>
      <c r="I54" s="430">
        <f t="shared" si="87"/>
        <v>0</v>
      </c>
      <c r="J54" s="431">
        <f t="shared" si="88"/>
        <v>0</v>
      </c>
      <c r="K54" s="431">
        <f t="shared" si="98"/>
        <v>0</v>
      </c>
      <c r="L54" s="431">
        <f t="shared" si="89"/>
        <v>0</v>
      </c>
      <c r="M54" s="432"/>
      <c r="N54" s="433">
        <f t="shared" si="46"/>
        <v>0</v>
      </c>
      <c r="O54" s="434">
        <f t="shared" si="90"/>
        <v>0</v>
      </c>
      <c r="P54" s="434">
        <f t="shared" si="34"/>
        <v>0</v>
      </c>
      <c r="Q54" s="434">
        <f t="shared" si="92"/>
        <v>0</v>
      </c>
      <c r="R54" s="435"/>
      <c r="S54" s="436">
        <f t="shared" si="47"/>
        <v>0</v>
      </c>
      <c r="T54" s="437">
        <f t="shared" si="93"/>
        <v>0</v>
      </c>
      <c r="U54" s="437">
        <f t="shared" si="37"/>
        <v>0</v>
      </c>
      <c r="V54" s="437">
        <f t="shared" si="95"/>
        <v>0</v>
      </c>
      <c r="W54" s="300"/>
      <c r="X54" s="131"/>
      <c r="Z54" s="162"/>
      <c r="AA54" s="162"/>
      <c r="AB54" s="162"/>
      <c r="AC54" s="162"/>
      <c r="AD54" s="162"/>
      <c r="AE54" s="163"/>
      <c r="AF54" s="162"/>
      <c r="AG54" s="162"/>
      <c r="AH54" s="162"/>
      <c r="AI54" s="162"/>
      <c r="AJ54" s="162"/>
      <c r="AK54" s="162"/>
      <c r="AL54" s="162"/>
      <c r="AM54" s="162"/>
      <c r="AN54" s="164"/>
      <c r="AO54" s="164"/>
      <c r="AP54" s="165"/>
      <c r="AQ54" s="161"/>
      <c r="AR54" s="161"/>
      <c r="AS54" s="161"/>
      <c r="AT54" s="161"/>
      <c r="AU54" s="161"/>
    </row>
    <row r="55" spans="1:47">
      <c r="A55" s="471">
        <f t="shared" si="99"/>
        <v>46208</v>
      </c>
      <c r="B55" s="497"/>
      <c r="C55" s="426"/>
      <c r="D55" s="427">
        <f t="shared" si="52"/>
        <v>0</v>
      </c>
      <c r="E55" s="428">
        <f t="shared" si="96"/>
        <v>0</v>
      </c>
      <c r="F55" s="428">
        <f t="shared" si="97"/>
        <v>0</v>
      </c>
      <c r="G55" s="428">
        <f t="shared" si="86"/>
        <v>0</v>
      </c>
      <c r="H55" s="429"/>
      <c r="I55" s="430">
        <f t="shared" si="87"/>
        <v>0</v>
      </c>
      <c r="J55" s="431">
        <f t="shared" si="88"/>
        <v>0</v>
      </c>
      <c r="K55" s="431">
        <f t="shared" si="98"/>
        <v>0</v>
      </c>
      <c r="L55" s="431">
        <f t="shared" si="89"/>
        <v>0</v>
      </c>
      <c r="M55" s="432"/>
      <c r="N55" s="433">
        <f t="shared" si="46"/>
        <v>0</v>
      </c>
      <c r="O55" s="434">
        <f t="shared" si="90"/>
        <v>0</v>
      </c>
      <c r="P55" s="434">
        <f t="shared" si="34"/>
        <v>0</v>
      </c>
      <c r="Q55" s="434">
        <f t="shared" si="92"/>
        <v>0</v>
      </c>
      <c r="R55" s="435"/>
      <c r="S55" s="436">
        <f t="shared" si="47"/>
        <v>0</v>
      </c>
      <c r="T55" s="437">
        <f t="shared" si="93"/>
        <v>0</v>
      </c>
      <c r="U55" s="437">
        <f t="shared" si="37"/>
        <v>0</v>
      </c>
      <c r="V55" s="437">
        <f t="shared" si="95"/>
        <v>0</v>
      </c>
      <c r="W55" s="300"/>
      <c r="X55" s="131"/>
      <c r="Z55" s="162"/>
      <c r="AA55" s="162"/>
      <c r="AB55" s="162"/>
      <c r="AC55" s="162"/>
      <c r="AD55" s="162"/>
      <c r="AE55" s="163"/>
      <c r="AF55" s="162"/>
      <c r="AG55" s="162"/>
      <c r="AH55" s="162"/>
      <c r="AI55" s="162"/>
      <c r="AJ55" s="162"/>
      <c r="AK55" s="162"/>
      <c r="AL55" s="162"/>
      <c r="AM55" s="162"/>
      <c r="AN55" s="164"/>
      <c r="AO55" s="164"/>
      <c r="AP55" s="165"/>
      <c r="AQ55" s="161"/>
      <c r="AR55" s="161"/>
      <c r="AS55" s="161"/>
      <c r="AT55" s="161"/>
      <c r="AU55" s="161"/>
    </row>
    <row r="56" spans="1:47">
      <c r="A56" s="471">
        <f t="shared" si="99"/>
        <v>46208</v>
      </c>
      <c r="B56" s="497"/>
      <c r="C56" s="426"/>
      <c r="D56" s="427">
        <f t="shared" si="52"/>
        <v>0</v>
      </c>
      <c r="E56" s="428">
        <f t="shared" si="96"/>
        <v>0</v>
      </c>
      <c r="F56" s="428">
        <f t="shared" si="97"/>
        <v>0</v>
      </c>
      <c r="G56" s="428">
        <f t="shared" si="86"/>
        <v>0</v>
      </c>
      <c r="H56" s="429"/>
      <c r="I56" s="430">
        <f t="shared" si="87"/>
        <v>0</v>
      </c>
      <c r="J56" s="431">
        <f t="shared" si="88"/>
        <v>0</v>
      </c>
      <c r="K56" s="431">
        <f t="shared" si="98"/>
        <v>0</v>
      </c>
      <c r="L56" s="431">
        <f t="shared" si="89"/>
        <v>0</v>
      </c>
      <c r="M56" s="432"/>
      <c r="N56" s="433">
        <f t="shared" si="46"/>
        <v>0</v>
      </c>
      <c r="O56" s="434">
        <f t="shared" si="90"/>
        <v>0</v>
      </c>
      <c r="P56" s="434">
        <f t="shared" si="34"/>
        <v>0</v>
      </c>
      <c r="Q56" s="434">
        <f t="shared" si="92"/>
        <v>0</v>
      </c>
      <c r="R56" s="435"/>
      <c r="S56" s="436">
        <f t="shared" si="47"/>
        <v>0</v>
      </c>
      <c r="T56" s="437">
        <f t="shared" si="93"/>
        <v>0</v>
      </c>
      <c r="U56" s="437">
        <f t="shared" si="37"/>
        <v>0</v>
      </c>
      <c r="V56" s="437">
        <f t="shared" si="95"/>
        <v>0</v>
      </c>
      <c r="W56" s="300"/>
      <c r="X56" s="131"/>
      <c r="Z56" s="162"/>
      <c r="AA56" s="162"/>
      <c r="AB56" s="162"/>
      <c r="AC56" s="162"/>
      <c r="AD56" s="162"/>
      <c r="AE56" s="163"/>
      <c r="AF56" s="162"/>
      <c r="AG56" s="162"/>
      <c r="AH56" s="162"/>
      <c r="AI56" s="162"/>
      <c r="AJ56" s="162"/>
      <c r="AK56" s="162"/>
      <c r="AL56" s="162"/>
      <c r="AM56" s="162"/>
      <c r="AN56" s="164"/>
      <c r="AO56" s="164"/>
      <c r="AP56" s="165"/>
      <c r="AQ56" s="161"/>
      <c r="AR56" s="161"/>
      <c r="AS56" s="161"/>
      <c r="AT56" s="161"/>
      <c r="AU56" s="161"/>
    </row>
    <row r="57" spans="1:47">
      <c r="A57" s="471">
        <f t="shared" si="99"/>
        <v>46208</v>
      </c>
      <c r="B57" s="497"/>
      <c r="C57" s="426"/>
      <c r="D57" s="427">
        <f t="shared" si="52"/>
        <v>0</v>
      </c>
      <c r="E57" s="428">
        <f t="shared" si="96"/>
        <v>0</v>
      </c>
      <c r="F57" s="428">
        <f t="shared" si="97"/>
        <v>0</v>
      </c>
      <c r="G57" s="428">
        <f t="shared" si="86"/>
        <v>0</v>
      </c>
      <c r="H57" s="429"/>
      <c r="I57" s="430">
        <f t="shared" si="87"/>
        <v>0</v>
      </c>
      <c r="J57" s="431">
        <f t="shared" si="88"/>
        <v>0</v>
      </c>
      <c r="K57" s="431">
        <f t="shared" si="98"/>
        <v>0</v>
      </c>
      <c r="L57" s="431">
        <f t="shared" si="89"/>
        <v>0</v>
      </c>
      <c r="M57" s="432"/>
      <c r="N57" s="433">
        <f t="shared" si="46"/>
        <v>0</v>
      </c>
      <c r="O57" s="434">
        <f t="shared" si="90"/>
        <v>0</v>
      </c>
      <c r="P57" s="434">
        <f t="shared" si="34"/>
        <v>0</v>
      </c>
      <c r="Q57" s="434">
        <f t="shared" si="92"/>
        <v>0</v>
      </c>
      <c r="R57" s="435"/>
      <c r="S57" s="436">
        <f t="shared" si="47"/>
        <v>0</v>
      </c>
      <c r="T57" s="437">
        <f t="shared" si="93"/>
        <v>0</v>
      </c>
      <c r="U57" s="437">
        <f t="shared" si="37"/>
        <v>0</v>
      </c>
      <c r="V57" s="437">
        <f t="shared" si="95"/>
        <v>0</v>
      </c>
      <c r="W57" s="300"/>
      <c r="X57" s="131"/>
      <c r="Z57" s="162"/>
      <c r="AA57" s="162"/>
      <c r="AB57" s="162"/>
      <c r="AC57" s="162"/>
      <c r="AD57" s="162"/>
      <c r="AE57" s="163"/>
      <c r="AF57" s="162"/>
      <c r="AG57" s="162"/>
      <c r="AH57" s="162"/>
      <c r="AI57" s="162"/>
      <c r="AJ57" s="162"/>
      <c r="AK57" s="162"/>
      <c r="AL57" s="162"/>
      <c r="AM57" s="162"/>
      <c r="AN57" s="164"/>
      <c r="AO57" s="164"/>
      <c r="AP57" s="165"/>
      <c r="AQ57" s="161"/>
      <c r="AR57" s="161"/>
      <c r="AS57" s="161"/>
      <c r="AT57" s="161"/>
      <c r="AU57" s="161"/>
    </row>
    <row r="58" spans="1:47" ht="14.25">
      <c r="A58" s="471"/>
      <c r="B58" s="498" t="s">
        <v>118</v>
      </c>
      <c r="C58" s="438">
        <f>SUM(C48:C57)</f>
        <v>0</v>
      </c>
      <c r="D58" s="439">
        <f t="shared" si="52"/>
        <v>0</v>
      </c>
      <c r="E58" s="438">
        <f>SUM(E48:E57)</f>
        <v>0</v>
      </c>
      <c r="F58" s="463">
        <f>SUM(F48:F57)</f>
        <v>0</v>
      </c>
      <c r="G58" s="463">
        <f>SUM(G48:G57)</f>
        <v>0</v>
      </c>
      <c r="H58" s="440">
        <f>SUM(H48:H57)</f>
        <v>0</v>
      </c>
      <c r="I58" s="441">
        <f t="shared" si="87"/>
        <v>0</v>
      </c>
      <c r="J58" s="440">
        <f>SUM(J48:J57)</f>
        <v>0</v>
      </c>
      <c r="K58" s="466">
        <f>SUM(K48:K57)</f>
        <v>0</v>
      </c>
      <c r="L58" s="466">
        <f>SUM(L48:L57)</f>
        <v>0</v>
      </c>
      <c r="M58" s="442">
        <f t="shared" ref="M58" si="100">SUM(M48:M57)</f>
        <v>0</v>
      </c>
      <c r="N58" s="443">
        <f t="shared" si="46"/>
        <v>0</v>
      </c>
      <c r="O58" s="442">
        <f t="shared" ref="O58:R58" si="101">SUM(O48:O57)</f>
        <v>0</v>
      </c>
      <c r="P58" s="468">
        <f t="shared" si="101"/>
        <v>0</v>
      </c>
      <c r="Q58" s="468">
        <f t="shared" si="101"/>
        <v>0</v>
      </c>
      <c r="R58" s="444">
        <f t="shared" si="101"/>
        <v>0</v>
      </c>
      <c r="S58" s="445">
        <f t="shared" si="47"/>
        <v>0</v>
      </c>
      <c r="T58" s="444">
        <f t="shared" ref="T58:V58" si="102">SUM(T48:T57)</f>
        <v>0</v>
      </c>
      <c r="U58" s="470">
        <f t="shared" si="102"/>
        <v>0</v>
      </c>
      <c r="V58" s="470">
        <f t="shared" si="102"/>
        <v>0</v>
      </c>
      <c r="W58" s="300"/>
      <c r="X58" s="131"/>
      <c r="Z58" s="162"/>
      <c r="AA58" s="162"/>
      <c r="AB58" s="162"/>
      <c r="AC58" s="162"/>
      <c r="AD58" s="162"/>
      <c r="AE58" s="163"/>
      <c r="AF58" s="162"/>
      <c r="AG58" s="162"/>
      <c r="AH58" s="162"/>
      <c r="AI58" s="162"/>
      <c r="AJ58" s="162"/>
      <c r="AK58" s="162"/>
      <c r="AL58" s="162"/>
      <c r="AM58" s="162"/>
      <c r="AN58" s="164"/>
      <c r="AO58" s="164"/>
      <c r="AP58" s="165"/>
      <c r="AQ58" s="161"/>
      <c r="AR58" s="161"/>
      <c r="AS58" s="161"/>
      <c r="AT58" s="161"/>
      <c r="AU58" s="161"/>
    </row>
    <row r="59" spans="1:47">
      <c r="A59" s="472">
        <f>+A48+1</f>
        <v>46209</v>
      </c>
      <c r="B59" s="497" t="s">
        <v>205</v>
      </c>
      <c r="C59" s="426">
        <v>386</v>
      </c>
      <c r="D59" s="427">
        <f t="shared" si="52"/>
        <v>1495.75</v>
      </c>
      <c r="E59" s="428">
        <f>+D59/0.0125*0.125</f>
        <v>14957.5</v>
      </c>
      <c r="F59" s="428">
        <f>+E59/1500</f>
        <v>9.9716666666666658</v>
      </c>
      <c r="G59" s="428">
        <f t="shared" ref="G59:G68" si="103">+D59/0.0125*0.000318</f>
        <v>38.051879999999997</v>
      </c>
      <c r="H59" s="429"/>
      <c r="I59" s="430">
        <f t="shared" si="87"/>
        <v>0</v>
      </c>
      <c r="J59" s="431">
        <f t="shared" ref="J59:J68" si="104">+I59/0.0185*0.185</f>
        <v>0</v>
      </c>
      <c r="K59" s="431">
        <f>+J59/1500</f>
        <v>0</v>
      </c>
      <c r="L59" s="431">
        <f t="shared" ref="L59:L68" si="105">+I59/0.0185*0.000318</f>
        <v>0</v>
      </c>
      <c r="M59" s="432"/>
      <c r="N59" s="433">
        <f t="shared" si="46"/>
        <v>0</v>
      </c>
      <c r="O59" s="434">
        <f t="shared" ref="O59:O68" si="106">+N59/0.0185*0.185</f>
        <v>0</v>
      </c>
      <c r="P59" s="434">
        <f t="shared" ref="P59" si="107">+O59/1500</f>
        <v>0</v>
      </c>
      <c r="Q59" s="434">
        <f t="shared" ref="Q59:Q68" si="108">+N59/0.0185*0.000318</f>
        <v>0</v>
      </c>
      <c r="R59" s="435"/>
      <c r="S59" s="436">
        <f t="shared" si="47"/>
        <v>0</v>
      </c>
      <c r="T59" s="437">
        <f t="shared" ref="T59:T68" si="109">+S59/0.0185*0.185</f>
        <v>0</v>
      </c>
      <c r="U59" s="437">
        <f t="shared" ref="U59" si="110">+T59/1500</f>
        <v>0</v>
      </c>
      <c r="V59" s="437">
        <f t="shared" ref="V59:V68" si="111">+S59/0.0185*0.000318</f>
        <v>0</v>
      </c>
      <c r="W59" s="300"/>
      <c r="X59" s="131">
        <f>+W59*2.4</f>
        <v>0</v>
      </c>
      <c r="Z59" s="162">
        <f>IFERROR((D59/'REKAPAN OKEY AYAM'!$AC9),"-")</f>
        <v>0.94746877137862007</v>
      </c>
      <c r="AA59" s="162" t="str">
        <f>IFERROR((I59/'REKAPAN CHAMP AYAM'!$AC9),"-")</f>
        <v>-</v>
      </c>
      <c r="AB59" s="162" t="str">
        <f>IFERROR((N59/'REKAPAN CHAMP SAPI'!AC9),"-")</f>
        <v>-</v>
      </c>
      <c r="AC59" s="162" t="str">
        <f>IFERROR((S59/'REKAPAN CHAMP OTAK-OTAK'!AC9),"-")</f>
        <v>-</v>
      </c>
      <c r="AD59" s="162" t="str">
        <f>IFERROR((X59/'REKAPAN FIESTA'!AC9),"-")</f>
        <v>-</v>
      </c>
      <c r="AE59" s="163"/>
      <c r="AF59" s="162">
        <f t="shared" si="39"/>
        <v>1500.0000000000002</v>
      </c>
      <c r="AG59" s="162" t="str">
        <f>IFERROR(((D59/0.0125*0.000318)/#REF!),"-")</f>
        <v>-</v>
      </c>
      <c r="AH59" s="162" t="str">
        <f t="shared" si="40"/>
        <v>-</v>
      </c>
      <c r="AI59" s="162" t="str">
        <f>IFERROR(((I59/0.0185*0.000318)/#REF!),"-")</f>
        <v>-</v>
      </c>
      <c r="AJ59" s="162" t="str">
        <f t="shared" si="41"/>
        <v>-</v>
      </c>
      <c r="AK59" s="162" t="str">
        <f>IFERROR(((N59/0.0185*0.000318)/#REF!),"-")</f>
        <v>-</v>
      </c>
      <c r="AL59" s="162" t="str">
        <f t="shared" si="42"/>
        <v>-</v>
      </c>
      <c r="AM59" s="162" t="str">
        <f>IFERROR(((S59/0.0185*0.000318)/#REF!),"-")</f>
        <v>-</v>
      </c>
      <c r="AN59" s="164"/>
      <c r="AO59" s="164"/>
      <c r="AP59" s="165"/>
      <c r="AQ59" s="161">
        <f>IFERROR(('REKAPAN OKEY AYAM'!$AD9),"-")</f>
        <v>0.92783211290445178</v>
      </c>
      <c r="AR59" s="161" t="str">
        <f>IFERROR(('REKAPAN CHAMP AYAM'!$AD9),"-")</f>
        <v>-</v>
      </c>
      <c r="AS59" s="161" t="str">
        <f>IFERROR(('REKAPAN CHAMP SAPI'!$AD9),"-")</f>
        <v>-</v>
      </c>
      <c r="AT59" s="161" t="str">
        <f>IFERROR(('REKAPAN CHAMP OTAK-OTAK'!$AD9),"-")</f>
        <v>-</v>
      </c>
      <c r="AU59" s="161" t="str">
        <f>IFERROR(('REKAPAN FIESTA'!$AD9),"-")</f>
        <v>-</v>
      </c>
    </row>
    <row r="60" spans="1:47">
      <c r="A60" s="471">
        <f>+$A59</f>
        <v>46209</v>
      </c>
      <c r="B60" s="497"/>
      <c r="C60" s="426"/>
      <c r="D60" s="427">
        <f t="shared" si="52"/>
        <v>0</v>
      </c>
      <c r="E60" s="428">
        <f t="shared" ref="E60:E68" si="112">+D60/0.0125*0.125</f>
        <v>0</v>
      </c>
      <c r="F60" s="428">
        <f t="shared" ref="F60:F68" si="113">+E60/1500</f>
        <v>0</v>
      </c>
      <c r="G60" s="428">
        <f t="shared" si="103"/>
        <v>0</v>
      </c>
      <c r="H60" s="429"/>
      <c r="I60" s="430">
        <f t="shared" si="87"/>
        <v>0</v>
      </c>
      <c r="J60" s="431">
        <f t="shared" si="104"/>
        <v>0</v>
      </c>
      <c r="K60" s="431">
        <f t="shared" ref="K60:K68" si="114">+J60/1500</f>
        <v>0</v>
      </c>
      <c r="L60" s="431">
        <f t="shared" si="105"/>
        <v>0</v>
      </c>
      <c r="M60" s="432"/>
      <c r="N60" s="433">
        <f t="shared" si="46"/>
        <v>0</v>
      </c>
      <c r="O60" s="434">
        <f t="shared" si="106"/>
        <v>0</v>
      </c>
      <c r="P60" s="434">
        <f t="shared" si="34"/>
        <v>0</v>
      </c>
      <c r="Q60" s="434">
        <f t="shared" si="108"/>
        <v>0</v>
      </c>
      <c r="R60" s="435"/>
      <c r="S60" s="436">
        <f t="shared" si="47"/>
        <v>0</v>
      </c>
      <c r="T60" s="437">
        <f t="shared" si="109"/>
        <v>0</v>
      </c>
      <c r="U60" s="437">
        <f t="shared" si="37"/>
        <v>0</v>
      </c>
      <c r="V60" s="437">
        <f t="shared" si="111"/>
        <v>0</v>
      </c>
      <c r="W60" s="300"/>
      <c r="X60" s="131"/>
      <c r="Z60" s="162"/>
      <c r="AA60" s="162"/>
      <c r="AB60" s="162"/>
      <c r="AC60" s="162"/>
      <c r="AD60" s="162"/>
      <c r="AE60" s="163"/>
      <c r="AF60" s="162"/>
      <c r="AG60" s="162"/>
      <c r="AH60" s="162"/>
      <c r="AI60" s="162"/>
      <c r="AJ60" s="162"/>
      <c r="AK60" s="162"/>
      <c r="AL60" s="162"/>
      <c r="AM60" s="162"/>
      <c r="AN60" s="164"/>
      <c r="AO60" s="164"/>
      <c r="AP60" s="165"/>
      <c r="AQ60" s="161"/>
      <c r="AR60" s="161"/>
      <c r="AS60" s="161"/>
      <c r="AT60" s="161"/>
      <c r="AU60" s="161"/>
    </row>
    <row r="61" spans="1:47">
      <c r="A61" s="471">
        <f t="shared" ref="A61:A68" si="115">+$A60</f>
        <v>46209</v>
      </c>
      <c r="B61" s="497"/>
      <c r="C61" s="426"/>
      <c r="D61" s="427">
        <f t="shared" si="52"/>
        <v>0</v>
      </c>
      <c r="E61" s="428">
        <f t="shared" si="112"/>
        <v>0</v>
      </c>
      <c r="F61" s="428">
        <f t="shared" si="113"/>
        <v>0</v>
      </c>
      <c r="G61" s="428">
        <f t="shared" si="103"/>
        <v>0</v>
      </c>
      <c r="H61" s="429"/>
      <c r="I61" s="430">
        <f t="shared" si="87"/>
        <v>0</v>
      </c>
      <c r="J61" s="431">
        <f t="shared" si="104"/>
        <v>0</v>
      </c>
      <c r="K61" s="431">
        <f t="shared" si="114"/>
        <v>0</v>
      </c>
      <c r="L61" s="431">
        <f t="shared" si="105"/>
        <v>0</v>
      </c>
      <c r="M61" s="432"/>
      <c r="N61" s="433">
        <f t="shared" si="46"/>
        <v>0</v>
      </c>
      <c r="O61" s="434">
        <f t="shared" si="106"/>
        <v>0</v>
      </c>
      <c r="P61" s="434">
        <f t="shared" si="34"/>
        <v>0</v>
      </c>
      <c r="Q61" s="434">
        <f t="shared" si="108"/>
        <v>0</v>
      </c>
      <c r="R61" s="435"/>
      <c r="S61" s="436">
        <f t="shared" si="47"/>
        <v>0</v>
      </c>
      <c r="T61" s="437">
        <f t="shared" si="109"/>
        <v>0</v>
      </c>
      <c r="U61" s="437">
        <f t="shared" si="37"/>
        <v>0</v>
      </c>
      <c r="V61" s="437">
        <f t="shared" si="111"/>
        <v>0</v>
      </c>
      <c r="W61" s="300"/>
      <c r="X61" s="131"/>
      <c r="Z61" s="162"/>
      <c r="AA61" s="162"/>
      <c r="AB61" s="162"/>
      <c r="AC61" s="162"/>
      <c r="AD61" s="162"/>
      <c r="AE61" s="163"/>
      <c r="AF61" s="162"/>
      <c r="AG61" s="162"/>
      <c r="AH61" s="162"/>
      <c r="AI61" s="162"/>
      <c r="AJ61" s="162"/>
      <c r="AK61" s="162"/>
      <c r="AL61" s="162"/>
      <c r="AM61" s="162"/>
      <c r="AN61" s="164"/>
      <c r="AO61" s="164"/>
      <c r="AP61" s="165"/>
      <c r="AQ61" s="161"/>
      <c r="AR61" s="161"/>
      <c r="AS61" s="161"/>
      <c r="AT61" s="161"/>
      <c r="AU61" s="161"/>
    </row>
    <row r="62" spans="1:47">
      <c r="A62" s="471">
        <f t="shared" si="115"/>
        <v>46209</v>
      </c>
      <c r="B62" s="497"/>
      <c r="C62" s="426"/>
      <c r="D62" s="427">
        <f t="shared" si="52"/>
        <v>0</v>
      </c>
      <c r="E62" s="428">
        <f t="shared" si="112"/>
        <v>0</v>
      </c>
      <c r="F62" s="428">
        <f t="shared" si="113"/>
        <v>0</v>
      </c>
      <c r="G62" s="428">
        <f t="shared" si="103"/>
        <v>0</v>
      </c>
      <c r="H62" s="429"/>
      <c r="I62" s="430">
        <f t="shared" si="87"/>
        <v>0</v>
      </c>
      <c r="J62" s="431">
        <f t="shared" si="104"/>
        <v>0</v>
      </c>
      <c r="K62" s="431">
        <f t="shared" si="114"/>
        <v>0</v>
      </c>
      <c r="L62" s="431">
        <f t="shared" si="105"/>
        <v>0</v>
      </c>
      <c r="M62" s="432"/>
      <c r="N62" s="433">
        <f t="shared" si="46"/>
        <v>0</v>
      </c>
      <c r="O62" s="434">
        <f t="shared" si="106"/>
        <v>0</v>
      </c>
      <c r="P62" s="434">
        <f t="shared" si="34"/>
        <v>0</v>
      </c>
      <c r="Q62" s="434">
        <f t="shared" si="108"/>
        <v>0</v>
      </c>
      <c r="R62" s="435"/>
      <c r="S62" s="436">
        <f t="shared" si="47"/>
        <v>0</v>
      </c>
      <c r="T62" s="437">
        <f t="shared" si="109"/>
        <v>0</v>
      </c>
      <c r="U62" s="437">
        <f t="shared" si="37"/>
        <v>0</v>
      </c>
      <c r="V62" s="437">
        <f t="shared" si="111"/>
        <v>0</v>
      </c>
      <c r="W62" s="300"/>
      <c r="X62" s="131"/>
      <c r="Z62" s="162"/>
      <c r="AA62" s="162"/>
      <c r="AB62" s="162"/>
      <c r="AC62" s="162"/>
      <c r="AD62" s="162"/>
      <c r="AE62" s="163"/>
      <c r="AF62" s="162"/>
      <c r="AG62" s="162"/>
      <c r="AH62" s="162"/>
      <c r="AI62" s="162"/>
      <c r="AJ62" s="162"/>
      <c r="AK62" s="162"/>
      <c r="AL62" s="162"/>
      <c r="AM62" s="162"/>
      <c r="AN62" s="164"/>
      <c r="AO62" s="164"/>
      <c r="AP62" s="165"/>
      <c r="AQ62" s="161"/>
      <c r="AR62" s="161"/>
      <c r="AS62" s="161"/>
      <c r="AT62" s="161"/>
      <c r="AU62" s="161"/>
    </row>
    <row r="63" spans="1:47">
      <c r="A63" s="471">
        <f t="shared" si="115"/>
        <v>46209</v>
      </c>
      <c r="B63" s="497"/>
      <c r="C63" s="426"/>
      <c r="D63" s="427">
        <f t="shared" si="52"/>
        <v>0</v>
      </c>
      <c r="E63" s="428">
        <f t="shared" si="112"/>
        <v>0</v>
      </c>
      <c r="F63" s="428">
        <f t="shared" si="113"/>
        <v>0</v>
      </c>
      <c r="G63" s="428">
        <f t="shared" si="103"/>
        <v>0</v>
      </c>
      <c r="H63" s="429"/>
      <c r="I63" s="430">
        <f t="shared" si="87"/>
        <v>0</v>
      </c>
      <c r="J63" s="431">
        <f t="shared" si="104"/>
        <v>0</v>
      </c>
      <c r="K63" s="431">
        <f t="shared" si="114"/>
        <v>0</v>
      </c>
      <c r="L63" s="431">
        <f t="shared" si="105"/>
        <v>0</v>
      </c>
      <c r="M63" s="432"/>
      <c r="N63" s="433">
        <f t="shared" si="46"/>
        <v>0</v>
      </c>
      <c r="O63" s="434">
        <f t="shared" si="106"/>
        <v>0</v>
      </c>
      <c r="P63" s="434">
        <f t="shared" si="34"/>
        <v>0</v>
      </c>
      <c r="Q63" s="434">
        <f t="shared" si="108"/>
        <v>0</v>
      </c>
      <c r="R63" s="435"/>
      <c r="S63" s="436">
        <f t="shared" si="47"/>
        <v>0</v>
      </c>
      <c r="T63" s="437">
        <f t="shared" si="109"/>
        <v>0</v>
      </c>
      <c r="U63" s="437">
        <f t="shared" si="37"/>
        <v>0</v>
      </c>
      <c r="V63" s="437">
        <f t="shared" si="111"/>
        <v>0</v>
      </c>
      <c r="W63" s="300"/>
      <c r="X63" s="131"/>
      <c r="Z63" s="162"/>
      <c r="AA63" s="162"/>
      <c r="AB63" s="162"/>
      <c r="AC63" s="162"/>
      <c r="AD63" s="162"/>
      <c r="AE63" s="163"/>
      <c r="AF63" s="162"/>
      <c r="AG63" s="162"/>
      <c r="AH63" s="162"/>
      <c r="AI63" s="162"/>
      <c r="AJ63" s="162"/>
      <c r="AK63" s="162"/>
      <c r="AL63" s="162"/>
      <c r="AM63" s="162"/>
      <c r="AN63" s="164"/>
      <c r="AO63" s="164"/>
      <c r="AP63" s="165"/>
      <c r="AQ63" s="161"/>
      <c r="AR63" s="161"/>
      <c r="AS63" s="161"/>
      <c r="AT63" s="161"/>
      <c r="AU63" s="161"/>
    </row>
    <row r="64" spans="1:47">
      <c r="A64" s="471">
        <f t="shared" si="115"/>
        <v>46209</v>
      </c>
      <c r="B64" s="497"/>
      <c r="C64" s="426"/>
      <c r="D64" s="427">
        <f t="shared" si="52"/>
        <v>0</v>
      </c>
      <c r="E64" s="428">
        <f t="shared" si="112"/>
        <v>0</v>
      </c>
      <c r="F64" s="428">
        <f t="shared" si="113"/>
        <v>0</v>
      </c>
      <c r="G64" s="428">
        <f t="shared" si="103"/>
        <v>0</v>
      </c>
      <c r="H64" s="429"/>
      <c r="I64" s="430">
        <f t="shared" si="87"/>
        <v>0</v>
      </c>
      <c r="J64" s="431">
        <f t="shared" si="104"/>
        <v>0</v>
      </c>
      <c r="K64" s="431">
        <f t="shared" si="114"/>
        <v>0</v>
      </c>
      <c r="L64" s="431">
        <f t="shared" si="105"/>
        <v>0</v>
      </c>
      <c r="M64" s="432"/>
      <c r="N64" s="433">
        <f t="shared" si="46"/>
        <v>0</v>
      </c>
      <c r="O64" s="434">
        <f t="shared" si="106"/>
        <v>0</v>
      </c>
      <c r="P64" s="434">
        <f t="shared" si="34"/>
        <v>0</v>
      </c>
      <c r="Q64" s="434">
        <f t="shared" si="108"/>
        <v>0</v>
      </c>
      <c r="R64" s="435"/>
      <c r="S64" s="436">
        <f t="shared" si="47"/>
        <v>0</v>
      </c>
      <c r="T64" s="437">
        <f t="shared" si="109"/>
        <v>0</v>
      </c>
      <c r="U64" s="437">
        <f t="shared" si="37"/>
        <v>0</v>
      </c>
      <c r="V64" s="437">
        <f t="shared" si="111"/>
        <v>0</v>
      </c>
      <c r="W64" s="300"/>
      <c r="X64" s="131"/>
      <c r="Z64" s="162"/>
      <c r="AA64" s="162"/>
      <c r="AB64" s="162"/>
      <c r="AC64" s="162"/>
      <c r="AD64" s="162"/>
      <c r="AE64" s="163"/>
      <c r="AF64" s="162"/>
      <c r="AG64" s="162"/>
      <c r="AH64" s="162"/>
      <c r="AI64" s="162"/>
      <c r="AJ64" s="162"/>
      <c r="AK64" s="162"/>
      <c r="AL64" s="162"/>
      <c r="AM64" s="162"/>
      <c r="AN64" s="164"/>
      <c r="AO64" s="164"/>
      <c r="AP64" s="165"/>
      <c r="AQ64" s="161"/>
      <c r="AR64" s="161"/>
      <c r="AS64" s="161"/>
      <c r="AT64" s="161"/>
      <c r="AU64" s="161"/>
    </row>
    <row r="65" spans="1:47">
      <c r="A65" s="471">
        <f t="shared" si="115"/>
        <v>46209</v>
      </c>
      <c r="B65" s="497"/>
      <c r="C65" s="426"/>
      <c r="D65" s="427">
        <f t="shared" si="52"/>
        <v>0</v>
      </c>
      <c r="E65" s="428">
        <f t="shared" si="112"/>
        <v>0</v>
      </c>
      <c r="F65" s="428">
        <f t="shared" si="113"/>
        <v>0</v>
      </c>
      <c r="G65" s="428">
        <f t="shared" si="103"/>
        <v>0</v>
      </c>
      <c r="H65" s="429"/>
      <c r="I65" s="430">
        <f t="shared" si="87"/>
        <v>0</v>
      </c>
      <c r="J65" s="431">
        <f t="shared" si="104"/>
        <v>0</v>
      </c>
      <c r="K65" s="431">
        <f t="shared" si="114"/>
        <v>0</v>
      </c>
      <c r="L65" s="431">
        <f t="shared" si="105"/>
        <v>0</v>
      </c>
      <c r="M65" s="432"/>
      <c r="N65" s="433">
        <f t="shared" si="46"/>
        <v>0</v>
      </c>
      <c r="O65" s="434">
        <f t="shared" si="106"/>
        <v>0</v>
      </c>
      <c r="P65" s="434">
        <f t="shared" si="34"/>
        <v>0</v>
      </c>
      <c r="Q65" s="434">
        <f t="shared" si="108"/>
        <v>0</v>
      </c>
      <c r="R65" s="435"/>
      <c r="S65" s="436">
        <f t="shared" si="47"/>
        <v>0</v>
      </c>
      <c r="T65" s="437">
        <f t="shared" si="109"/>
        <v>0</v>
      </c>
      <c r="U65" s="437">
        <f t="shared" si="37"/>
        <v>0</v>
      </c>
      <c r="V65" s="437">
        <f t="shared" si="111"/>
        <v>0</v>
      </c>
      <c r="W65" s="300"/>
      <c r="X65" s="131"/>
      <c r="Z65" s="162"/>
      <c r="AA65" s="162"/>
      <c r="AB65" s="162"/>
      <c r="AC65" s="162"/>
      <c r="AD65" s="162"/>
      <c r="AE65" s="163"/>
      <c r="AF65" s="162"/>
      <c r="AG65" s="162"/>
      <c r="AH65" s="162"/>
      <c r="AI65" s="162"/>
      <c r="AJ65" s="162"/>
      <c r="AK65" s="162"/>
      <c r="AL65" s="162"/>
      <c r="AM65" s="162"/>
      <c r="AN65" s="164"/>
      <c r="AO65" s="164"/>
      <c r="AP65" s="165"/>
      <c r="AQ65" s="161"/>
      <c r="AR65" s="161"/>
      <c r="AS65" s="161"/>
      <c r="AT65" s="161"/>
      <c r="AU65" s="161"/>
    </row>
    <row r="66" spans="1:47">
      <c r="A66" s="471">
        <f t="shared" si="115"/>
        <v>46209</v>
      </c>
      <c r="B66" s="497"/>
      <c r="C66" s="426"/>
      <c r="D66" s="427">
        <f t="shared" si="52"/>
        <v>0</v>
      </c>
      <c r="E66" s="428">
        <f t="shared" si="112"/>
        <v>0</v>
      </c>
      <c r="F66" s="428">
        <f t="shared" si="113"/>
        <v>0</v>
      </c>
      <c r="G66" s="428">
        <f t="shared" si="103"/>
        <v>0</v>
      </c>
      <c r="H66" s="429"/>
      <c r="I66" s="430">
        <f t="shared" si="87"/>
        <v>0</v>
      </c>
      <c r="J66" s="431">
        <f t="shared" si="104"/>
        <v>0</v>
      </c>
      <c r="K66" s="431">
        <f t="shared" si="114"/>
        <v>0</v>
      </c>
      <c r="L66" s="431">
        <f t="shared" si="105"/>
        <v>0</v>
      </c>
      <c r="M66" s="432"/>
      <c r="N66" s="433">
        <f t="shared" si="46"/>
        <v>0</v>
      </c>
      <c r="O66" s="434">
        <f t="shared" si="106"/>
        <v>0</v>
      </c>
      <c r="P66" s="434">
        <f t="shared" si="34"/>
        <v>0</v>
      </c>
      <c r="Q66" s="434">
        <f t="shared" si="108"/>
        <v>0</v>
      </c>
      <c r="R66" s="435"/>
      <c r="S66" s="436">
        <f t="shared" si="47"/>
        <v>0</v>
      </c>
      <c r="T66" s="437">
        <f t="shared" si="109"/>
        <v>0</v>
      </c>
      <c r="U66" s="437">
        <f t="shared" si="37"/>
        <v>0</v>
      </c>
      <c r="V66" s="437">
        <f t="shared" si="111"/>
        <v>0</v>
      </c>
      <c r="W66" s="300"/>
      <c r="X66" s="131"/>
      <c r="Z66" s="162"/>
      <c r="AA66" s="162"/>
      <c r="AB66" s="162"/>
      <c r="AC66" s="162"/>
      <c r="AD66" s="162"/>
      <c r="AE66" s="163"/>
      <c r="AF66" s="162"/>
      <c r="AG66" s="162"/>
      <c r="AH66" s="162"/>
      <c r="AI66" s="162"/>
      <c r="AJ66" s="162"/>
      <c r="AK66" s="162"/>
      <c r="AL66" s="162"/>
      <c r="AM66" s="162"/>
      <c r="AN66" s="164"/>
      <c r="AO66" s="164"/>
      <c r="AP66" s="165"/>
      <c r="AQ66" s="161"/>
      <c r="AR66" s="161"/>
      <c r="AS66" s="161"/>
      <c r="AT66" s="161"/>
      <c r="AU66" s="161"/>
    </row>
    <row r="67" spans="1:47">
      <c r="A67" s="471">
        <f t="shared" si="115"/>
        <v>46209</v>
      </c>
      <c r="B67" s="497"/>
      <c r="C67" s="426"/>
      <c r="D67" s="427">
        <f t="shared" si="52"/>
        <v>0</v>
      </c>
      <c r="E67" s="428">
        <f t="shared" si="112"/>
        <v>0</v>
      </c>
      <c r="F67" s="428">
        <f t="shared" si="113"/>
        <v>0</v>
      </c>
      <c r="G67" s="428">
        <f t="shared" si="103"/>
        <v>0</v>
      </c>
      <c r="H67" s="429"/>
      <c r="I67" s="430">
        <f t="shared" si="87"/>
        <v>0</v>
      </c>
      <c r="J67" s="431">
        <f t="shared" si="104"/>
        <v>0</v>
      </c>
      <c r="K67" s="431">
        <f t="shared" si="114"/>
        <v>0</v>
      </c>
      <c r="L67" s="431">
        <f t="shared" si="105"/>
        <v>0</v>
      </c>
      <c r="M67" s="432"/>
      <c r="N67" s="433">
        <f t="shared" si="46"/>
        <v>0</v>
      </c>
      <c r="O67" s="434">
        <f t="shared" si="106"/>
        <v>0</v>
      </c>
      <c r="P67" s="434">
        <f t="shared" si="34"/>
        <v>0</v>
      </c>
      <c r="Q67" s="434">
        <f t="shared" si="108"/>
        <v>0</v>
      </c>
      <c r="R67" s="435"/>
      <c r="S67" s="436">
        <f t="shared" si="47"/>
        <v>0</v>
      </c>
      <c r="T67" s="437">
        <f t="shared" si="109"/>
        <v>0</v>
      </c>
      <c r="U67" s="437">
        <f t="shared" si="37"/>
        <v>0</v>
      </c>
      <c r="V67" s="437">
        <f t="shared" si="111"/>
        <v>0</v>
      </c>
      <c r="W67" s="300"/>
      <c r="X67" s="131"/>
      <c r="Z67" s="162"/>
      <c r="AA67" s="162"/>
      <c r="AB67" s="162"/>
      <c r="AC67" s="162"/>
      <c r="AD67" s="162"/>
      <c r="AE67" s="163"/>
      <c r="AF67" s="162"/>
      <c r="AG67" s="162"/>
      <c r="AH67" s="162"/>
      <c r="AI67" s="162"/>
      <c r="AJ67" s="162"/>
      <c r="AK67" s="162"/>
      <c r="AL67" s="162"/>
      <c r="AM67" s="162"/>
      <c r="AN67" s="164"/>
      <c r="AO67" s="164"/>
      <c r="AP67" s="165"/>
      <c r="AQ67" s="161"/>
      <c r="AR67" s="161"/>
      <c r="AS67" s="161"/>
      <c r="AT67" s="161"/>
      <c r="AU67" s="161"/>
    </row>
    <row r="68" spans="1:47">
      <c r="A68" s="471">
        <f t="shared" si="115"/>
        <v>46209</v>
      </c>
      <c r="B68" s="497"/>
      <c r="C68" s="426"/>
      <c r="D68" s="427">
        <f t="shared" si="52"/>
        <v>0</v>
      </c>
      <c r="E68" s="428">
        <f t="shared" si="112"/>
        <v>0</v>
      </c>
      <c r="F68" s="428">
        <f t="shared" si="113"/>
        <v>0</v>
      </c>
      <c r="G68" s="428">
        <f t="shared" si="103"/>
        <v>0</v>
      </c>
      <c r="H68" s="429"/>
      <c r="I68" s="430">
        <f t="shared" si="87"/>
        <v>0</v>
      </c>
      <c r="J68" s="431">
        <f t="shared" si="104"/>
        <v>0</v>
      </c>
      <c r="K68" s="431">
        <f t="shared" si="114"/>
        <v>0</v>
      </c>
      <c r="L68" s="431">
        <f t="shared" si="105"/>
        <v>0</v>
      </c>
      <c r="M68" s="432"/>
      <c r="N68" s="433">
        <f t="shared" si="46"/>
        <v>0</v>
      </c>
      <c r="O68" s="434">
        <f t="shared" si="106"/>
        <v>0</v>
      </c>
      <c r="P68" s="434">
        <f t="shared" si="34"/>
        <v>0</v>
      </c>
      <c r="Q68" s="434">
        <f t="shared" si="108"/>
        <v>0</v>
      </c>
      <c r="R68" s="435"/>
      <c r="S68" s="436">
        <f t="shared" si="47"/>
        <v>0</v>
      </c>
      <c r="T68" s="437">
        <f t="shared" si="109"/>
        <v>0</v>
      </c>
      <c r="U68" s="437">
        <f t="shared" si="37"/>
        <v>0</v>
      </c>
      <c r="V68" s="437">
        <f t="shared" si="111"/>
        <v>0</v>
      </c>
      <c r="W68" s="300"/>
      <c r="X68" s="131"/>
      <c r="Z68" s="162"/>
      <c r="AA68" s="162"/>
      <c r="AB68" s="162"/>
      <c r="AC68" s="162"/>
      <c r="AD68" s="162"/>
      <c r="AE68" s="163"/>
      <c r="AF68" s="162"/>
      <c r="AG68" s="162"/>
      <c r="AH68" s="162"/>
      <c r="AI68" s="162"/>
      <c r="AJ68" s="162"/>
      <c r="AK68" s="162"/>
      <c r="AL68" s="162"/>
      <c r="AM68" s="162"/>
      <c r="AN68" s="164"/>
      <c r="AO68" s="164"/>
      <c r="AP68" s="165"/>
      <c r="AQ68" s="161"/>
      <c r="AR68" s="161"/>
      <c r="AS68" s="161"/>
      <c r="AT68" s="161"/>
      <c r="AU68" s="161"/>
    </row>
    <row r="69" spans="1:47" ht="14.25">
      <c r="A69" s="471"/>
      <c r="B69" s="498" t="s">
        <v>118</v>
      </c>
      <c r="C69" s="438">
        <f>SUM(C59:C68)</f>
        <v>386</v>
      </c>
      <c r="D69" s="439">
        <f t="shared" si="52"/>
        <v>1495.75</v>
      </c>
      <c r="E69" s="438">
        <f>SUM(E59:E68)</f>
        <v>14957.5</v>
      </c>
      <c r="F69" s="463">
        <f>SUM(F59:F68)</f>
        <v>9.9716666666666658</v>
      </c>
      <c r="G69" s="463">
        <f>SUM(G59:G68)</f>
        <v>38.051879999999997</v>
      </c>
      <c r="H69" s="440">
        <f>SUM(H59:H68)</f>
        <v>0</v>
      </c>
      <c r="I69" s="441">
        <f t="shared" si="87"/>
        <v>0</v>
      </c>
      <c r="J69" s="440">
        <f>SUM(J59:J68)</f>
        <v>0</v>
      </c>
      <c r="K69" s="466">
        <f>SUM(K59:K68)</f>
        <v>0</v>
      </c>
      <c r="L69" s="466">
        <f>SUM(L59:L68)</f>
        <v>0</v>
      </c>
      <c r="M69" s="442">
        <f t="shared" ref="M69" si="116">SUM(M59:M68)</f>
        <v>0</v>
      </c>
      <c r="N69" s="443">
        <f t="shared" si="46"/>
        <v>0</v>
      </c>
      <c r="O69" s="442">
        <f t="shared" ref="O69:R69" si="117">SUM(O59:O68)</f>
        <v>0</v>
      </c>
      <c r="P69" s="468">
        <f t="shared" si="117"/>
        <v>0</v>
      </c>
      <c r="Q69" s="468">
        <f t="shared" si="117"/>
        <v>0</v>
      </c>
      <c r="R69" s="444">
        <f t="shared" si="117"/>
        <v>0</v>
      </c>
      <c r="S69" s="445">
        <f t="shared" si="47"/>
        <v>0</v>
      </c>
      <c r="T69" s="444">
        <f t="shared" ref="T69:V69" si="118">SUM(T59:T68)</f>
        <v>0</v>
      </c>
      <c r="U69" s="470">
        <f t="shared" si="118"/>
        <v>0</v>
      </c>
      <c r="V69" s="470">
        <f t="shared" si="118"/>
        <v>0</v>
      </c>
      <c r="W69" s="300"/>
      <c r="X69" s="131"/>
      <c r="Z69" s="162"/>
      <c r="AA69" s="162"/>
      <c r="AB69" s="162"/>
      <c r="AC69" s="162"/>
      <c r="AD69" s="162"/>
      <c r="AE69" s="163"/>
      <c r="AF69" s="162"/>
      <c r="AG69" s="162"/>
      <c r="AH69" s="162"/>
      <c r="AI69" s="162"/>
      <c r="AJ69" s="162"/>
      <c r="AK69" s="162"/>
      <c r="AL69" s="162"/>
      <c r="AM69" s="162"/>
      <c r="AN69" s="164"/>
      <c r="AO69" s="164"/>
      <c r="AP69" s="165"/>
      <c r="AQ69" s="161"/>
      <c r="AR69" s="161"/>
      <c r="AS69" s="161"/>
      <c r="AT69" s="161"/>
      <c r="AU69" s="161"/>
    </row>
    <row r="70" spans="1:47">
      <c r="A70" s="472">
        <f>+A59+1</f>
        <v>46210</v>
      </c>
      <c r="B70" s="497" t="s">
        <v>206</v>
      </c>
      <c r="C70" s="426">
        <v>466</v>
      </c>
      <c r="D70" s="427">
        <f t="shared" si="52"/>
        <v>1805.75</v>
      </c>
      <c r="E70" s="428">
        <f>+D70/0.0125*0.125</f>
        <v>18057.5</v>
      </c>
      <c r="F70" s="428">
        <f>+E70/1500</f>
        <v>12.038333333333334</v>
      </c>
      <c r="G70" s="428">
        <f t="shared" ref="G70:G79" si="119">+D70/0.0125*0.000318</f>
        <v>45.938279999999999</v>
      </c>
      <c r="H70" s="429"/>
      <c r="I70" s="430">
        <f t="shared" si="87"/>
        <v>0</v>
      </c>
      <c r="J70" s="431">
        <f t="shared" ref="J70:J79" si="120">+I70/0.0185*0.185</f>
        <v>0</v>
      </c>
      <c r="K70" s="431">
        <f>+J70/1500</f>
        <v>0</v>
      </c>
      <c r="L70" s="431">
        <f t="shared" ref="L70:L79" si="121">+I70/0.0185*0.000318</f>
        <v>0</v>
      </c>
      <c r="M70" s="432"/>
      <c r="N70" s="433">
        <f t="shared" si="46"/>
        <v>0</v>
      </c>
      <c r="O70" s="434">
        <f t="shared" ref="O70:O79" si="122">+N70/0.0185*0.185</f>
        <v>0</v>
      </c>
      <c r="P70" s="434">
        <f t="shared" ref="P70" si="123">+O70/1500</f>
        <v>0</v>
      </c>
      <c r="Q70" s="434">
        <f t="shared" ref="Q70:Q79" si="124">+N70/0.0185*0.000318</f>
        <v>0</v>
      </c>
      <c r="R70" s="435"/>
      <c r="S70" s="436">
        <f t="shared" si="47"/>
        <v>0</v>
      </c>
      <c r="T70" s="437">
        <f t="shared" ref="T70:T79" si="125">+S70/0.0185*0.185</f>
        <v>0</v>
      </c>
      <c r="U70" s="437">
        <f t="shared" ref="U70" si="126">+T70/1500</f>
        <v>0</v>
      </c>
      <c r="V70" s="437">
        <f t="shared" ref="V70:V79" si="127">+S70/0.0185*0.000318</f>
        <v>0</v>
      </c>
      <c r="W70" s="300"/>
      <c r="X70" s="131">
        <f>+W70*2.4</f>
        <v>0</v>
      </c>
      <c r="Z70" s="162">
        <f>IFERROR((D70/'REKAPAN OKEY AYAM'!$AC10),"-")</f>
        <v>0.14297941951503787</v>
      </c>
      <c r="AA70" s="162" t="str">
        <f>IFERROR((I70/'REKAPAN CHAMP AYAM'!$AC10),"-")</f>
        <v>-</v>
      </c>
      <c r="AB70" s="162" t="str">
        <f>IFERROR((N70/'REKAPAN CHAMP SAPI'!AC10),"-")</f>
        <v>-</v>
      </c>
      <c r="AC70" s="162" t="str">
        <f>IFERROR((S70/'REKAPAN CHAMP OTAK-OTAK'!AC10),"-")</f>
        <v>-</v>
      </c>
      <c r="AD70" s="162" t="str">
        <f>IFERROR((X70/'REKAPAN FIESTA'!AC10),"-")</f>
        <v>-</v>
      </c>
      <c r="AE70" s="163"/>
      <c r="AF70" s="162">
        <f t="shared" si="39"/>
        <v>1500</v>
      </c>
      <c r="AG70" s="162" t="str">
        <f>IFERROR(((D70/0.0125*0.000318)/#REF!),"-")</f>
        <v>-</v>
      </c>
      <c r="AH70" s="162" t="str">
        <f t="shared" si="40"/>
        <v>-</v>
      </c>
      <c r="AI70" s="162" t="str">
        <f>IFERROR(((I70/0.0185*0.000318)/#REF!),"-")</f>
        <v>-</v>
      </c>
      <c r="AJ70" s="162" t="str">
        <f t="shared" si="41"/>
        <v>-</v>
      </c>
      <c r="AK70" s="162" t="str">
        <f>IFERROR(((N70/0.0185*0.000318)/#REF!),"-")</f>
        <v>-</v>
      </c>
      <c r="AL70" s="162" t="str">
        <f t="shared" si="42"/>
        <v>-</v>
      </c>
      <c r="AM70" s="162" t="str">
        <f>IFERROR(((S70/0.0185*0.000318)/#REF!),"-")</f>
        <v>-</v>
      </c>
      <c r="AN70" s="164"/>
      <c r="AO70" s="164"/>
      <c r="AP70" s="165"/>
      <c r="AQ70" s="161">
        <f>IFERROR(('REKAPAN OKEY AYAM'!$AD10),"-")</f>
        <v>0.98336703765170896</v>
      </c>
      <c r="AR70" s="161" t="str">
        <f>IFERROR(('REKAPAN CHAMP AYAM'!$AD10),"-")</f>
        <v>-</v>
      </c>
      <c r="AS70" s="161" t="str">
        <f>IFERROR(('REKAPAN CHAMP SAPI'!$AD10),"-")</f>
        <v>-</v>
      </c>
      <c r="AT70" s="161" t="str">
        <f>IFERROR(('REKAPAN CHAMP OTAK-OTAK'!$AD10),"-")</f>
        <v>-</v>
      </c>
      <c r="AU70" s="161" t="str">
        <f>IFERROR(('REKAPAN FIESTA'!$AD10),"-")</f>
        <v>-</v>
      </c>
    </row>
    <row r="71" spans="1:47">
      <c r="A71" s="471">
        <f>+$A70</f>
        <v>46210</v>
      </c>
      <c r="B71" s="497" t="s">
        <v>207</v>
      </c>
      <c r="C71" s="426">
        <v>426</v>
      </c>
      <c r="D71" s="427">
        <f t="shared" si="52"/>
        <v>1650.75</v>
      </c>
      <c r="E71" s="428">
        <f t="shared" ref="E71:E79" si="128">+D71/0.0125*0.125</f>
        <v>16507.5</v>
      </c>
      <c r="F71" s="428">
        <f t="shared" ref="F71:F79" si="129">+E71/1500</f>
        <v>11.005000000000001</v>
      </c>
      <c r="G71" s="428">
        <f t="shared" si="119"/>
        <v>41.995079999999994</v>
      </c>
      <c r="H71" s="429"/>
      <c r="I71" s="430">
        <f t="shared" si="87"/>
        <v>0</v>
      </c>
      <c r="J71" s="431">
        <f t="shared" si="120"/>
        <v>0</v>
      </c>
      <c r="K71" s="431">
        <f t="shared" ref="K71:K79" si="130">+J71/1500</f>
        <v>0</v>
      </c>
      <c r="L71" s="431">
        <f t="shared" si="121"/>
        <v>0</v>
      </c>
      <c r="M71" s="432"/>
      <c r="N71" s="433">
        <f t="shared" si="46"/>
        <v>0</v>
      </c>
      <c r="O71" s="434">
        <f t="shared" si="122"/>
        <v>0</v>
      </c>
      <c r="P71" s="434">
        <f t="shared" si="34"/>
        <v>0</v>
      </c>
      <c r="Q71" s="434">
        <f t="shared" si="124"/>
        <v>0</v>
      </c>
      <c r="R71" s="435"/>
      <c r="S71" s="436">
        <f t="shared" si="47"/>
        <v>0</v>
      </c>
      <c r="T71" s="437">
        <f t="shared" si="125"/>
        <v>0</v>
      </c>
      <c r="U71" s="437">
        <f t="shared" si="37"/>
        <v>0</v>
      </c>
      <c r="V71" s="437">
        <f t="shared" si="127"/>
        <v>0</v>
      </c>
      <c r="W71" s="300"/>
      <c r="X71" s="131"/>
      <c r="Z71" s="162"/>
      <c r="AA71" s="162"/>
      <c r="AB71" s="162"/>
      <c r="AC71" s="162"/>
      <c r="AD71" s="162"/>
      <c r="AE71" s="163"/>
      <c r="AF71" s="162"/>
      <c r="AG71" s="162"/>
      <c r="AH71" s="162"/>
      <c r="AI71" s="162"/>
      <c r="AJ71" s="162"/>
      <c r="AK71" s="162"/>
      <c r="AL71" s="162"/>
      <c r="AM71" s="162"/>
      <c r="AN71" s="164"/>
      <c r="AO71" s="164"/>
      <c r="AP71" s="165"/>
      <c r="AQ71" s="161"/>
      <c r="AR71" s="161"/>
      <c r="AS71" s="161"/>
      <c r="AT71" s="161"/>
      <c r="AU71" s="161"/>
    </row>
    <row r="72" spans="1:47">
      <c r="A72" s="471">
        <f t="shared" ref="A72:A79" si="131">+$A71</f>
        <v>46210</v>
      </c>
      <c r="B72" s="497" t="s">
        <v>208</v>
      </c>
      <c r="C72" s="426">
        <v>435</v>
      </c>
      <c r="D72" s="427">
        <f t="shared" si="52"/>
        <v>1685.625</v>
      </c>
      <c r="E72" s="428">
        <f t="shared" si="128"/>
        <v>16856.25</v>
      </c>
      <c r="F72" s="428">
        <f t="shared" si="129"/>
        <v>11.237500000000001</v>
      </c>
      <c r="G72" s="428">
        <f t="shared" si="119"/>
        <v>42.882299999999994</v>
      </c>
      <c r="H72" s="429"/>
      <c r="I72" s="430">
        <f t="shared" si="87"/>
        <v>0</v>
      </c>
      <c r="J72" s="431">
        <f t="shared" si="120"/>
        <v>0</v>
      </c>
      <c r="K72" s="431">
        <f t="shared" si="130"/>
        <v>0</v>
      </c>
      <c r="L72" s="431">
        <f t="shared" si="121"/>
        <v>0</v>
      </c>
      <c r="M72" s="432"/>
      <c r="N72" s="433">
        <f t="shared" si="46"/>
        <v>0</v>
      </c>
      <c r="O72" s="434">
        <f t="shared" si="122"/>
        <v>0</v>
      </c>
      <c r="P72" s="434">
        <f t="shared" si="34"/>
        <v>0</v>
      </c>
      <c r="Q72" s="434">
        <f t="shared" si="124"/>
        <v>0</v>
      </c>
      <c r="R72" s="435"/>
      <c r="S72" s="436">
        <f t="shared" si="47"/>
        <v>0</v>
      </c>
      <c r="T72" s="437">
        <f t="shared" si="125"/>
        <v>0</v>
      </c>
      <c r="U72" s="437">
        <f t="shared" si="37"/>
        <v>0</v>
      </c>
      <c r="V72" s="437">
        <f t="shared" si="127"/>
        <v>0</v>
      </c>
      <c r="W72" s="300"/>
      <c r="X72" s="131"/>
      <c r="Z72" s="162"/>
      <c r="AA72" s="162"/>
      <c r="AB72" s="162"/>
      <c r="AC72" s="162"/>
      <c r="AD72" s="162"/>
      <c r="AE72" s="163"/>
      <c r="AF72" s="162"/>
      <c r="AG72" s="162"/>
      <c r="AH72" s="162"/>
      <c r="AI72" s="162"/>
      <c r="AJ72" s="162"/>
      <c r="AK72" s="162"/>
      <c r="AL72" s="162"/>
      <c r="AM72" s="162"/>
      <c r="AN72" s="164"/>
      <c r="AO72" s="164"/>
      <c r="AP72" s="165"/>
      <c r="AQ72" s="161"/>
      <c r="AR72" s="161"/>
      <c r="AS72" s="161"/>
      <c r="AT72" s="161"/>
      <c r="AU72" s="161"/>
    </row>
    <row r="73" spans="1:47">
      <c r="A73" s="471">
        <f t="shared" si="131"/>
        <v>46210</v>
      </c>
      <c r="B73" s="497" t="s">
        <v>209</v>
      </c>
      <c r="C73" s="426">
        <v>436</v>
      </c>
      <c r="D73" s="427">
        <f t="shared" si="52"/>
        <v>1689.5</v>
      </c>
      <c r="E73" s="428">
        <f t="shared" si="128"/>
        <v>16895</v>
      </c>
      <c r="F73" s="428">
        <f t="shared" si="129"/>
        <v>11.263333333333334</v>
      </c>
      <c r="G73" s="428">
        <f t="shared" si="119"/>
        <v>42.980879999999999</v>
      </c>
      <c r="H73" s="429"/>
      <c r="I73" s="430">
        <f t="shared" si="87"/>
        <v>0</v>
      </c>
      <c r="J73" s="431">
        <f t="shared" si="120"/>
        <v>0</v>
      </c>
      <c r="K73" s="431">
        <f t="shared" si="130"/>
        <v>0</v>
      </c>
      <c r="L73" s="431">
        <f t="shared" si="121"/>
        <v>0</v>
      </c>
      <c r="M73" s="432"/>
      <c r="N73" s="433">
        <f t="shared" si="46"/>
        <v>0</v>
      </c>
      <c r="O73" s="434">
        <f t="shared" si="122"/>
        <v>0</v>
      </c>
      <c r="P73" s="434">
        <f t="shared" si="34"/>
        <v>0</v>
      </c>
      <c r="Q73" s="434">
        <f t="shared" si="124"/>
        <v>0</v>
      </c>
      <c r="R73" s="435"/>
      <c r="S73" s="436">
        <f t="shared" si="47"/>
        <v>0</v>
      </c>
      <c r="T73" s="437">
        <f t="shared" si="125"/>
        <v>0</v>
      </c>
      <c r="U73" s="437">
        <f t="shared" si="37"/>
        <v>0</v>
      </c>
      <c r="V73" s="437">
        <f t="shared" si="127"/>
        <v>0</v>
      </c>
      <c r="W73" s="300"/>
      <c r="X73" s="131"/>
      <c r="Z73" s="162"/>
      <c r="AA73" s="162"/>
      <c r="AB73" s="162"/>
      <c r="AC73" s="162"/>
      <c r="AD73" s="162"/>
      <c r="AE73" s="163"/>
      <c r="AF73" s="162"/>
      <c r="AG73" s="162"/>
      <c r="AH73" s="162"/>
      <c r="AI73" s="162"/>
      <c r="AJ73" s="162"/>
      <c r="AK73" s="162"/>
      <c r="AL73" s="162"/>
      <c r="AM73" s="162"/>
      <c r="AN73" s="164"/>
      <c r="AO73" s="164"/>
      <c r="AP73" s="165"/>
      <c r="AQ73" s="161"/>
      <c r="AR73" s="161"/>
      <c r="AS73" s="161"/>
      <c r="AT73" s="161"/>
      <c r="AU73" s="161"/>
    </row>
    <row r="74" spans="1:47">
      <c r="A74" s="471">
        <f t="shared" si="131"/>
        <v>46210</v>
      </c>
      <c r="B74" s="497" t="s">
        <v>210</v>
      </c>
      <c r="C74" s="426">
        <v>448</v>
      </c>
      <c r="D74" s="427">
        <f t="shared" si="52"/>
        <v>1736</v>
      </c>
      <c r="E74" s="428">
        <f t="shared" si="128"/>
        <v>17360</v>
      </c>
      <c r="F74" s="428">
        <f t="shared" si="129"/>
        <v>11.573333333333334</v>
      </c>
      <c r="G74" s="428">
        <f t="shared" si="119"/>
        <v>44.16384</v>
      </c>
      <c r="H74" s="429"/>
      <c r="I74" s="430">
        <f t="shared" si="87"/>
        <v>0</v>
      </c>
      <c r="J74" s="431">
        <f t="shared" si="120"/>
        <v>0</v>
      </c>
      <c r="K74" s="431">
        <f t="shared" si="130"/>
        <v>0</v>
      </c>
      <c r="L74" s="431">
        <f t="shared" si="121"/>
        <v>0</v>
      </c>
      <c r="M74" s="432"/>
      <c r="N74" s="433">
        <f t="shared" si="46"/>
        <v>0</v>
      </c>
      <c r="O74" s="434">
        <f t="shared" si="122"/>
        <v>0</v>
      </c>
      <c r="P74" s="434">
        <f t="shared" si="34"/>
        <v>0</v>
      </c>
      <c r="Q74" s="434">
        <f t="shared" si="124"/>
        <v>0</v>
      </c>
      <c r="R74" s="435"/>
      <c r="S74" s="436">
        <f t="shared" si="47"/>
        <v>0</v>
      </c>
      <c r="T74" s="437">
        <f t="shared" si="125"/>
        <v>0</v>
      </c>
      <c r="U74" s="437">
        <f t="shared" si="37"/>
        <v>0</v>
      </c>
      <c r="V74" s="437">
        <f t="shared" si="127"/>
        <v>0</v>
      </c>
      <c r="W74" s="300"/>
      <c r="X74" s="131"/>
      <c r="Z74" s="162"/>
      <c r="AA74" s="162"/>
      <c r="AB74" s="162"/>
      <c r="AC74" s="162"/>
      <c r="AD74" s="162"/>
      <c r="AE74" s="163"/>
      <c r="AF74" s="162"/>
      <c r="AG74" s="162"/>
      <c r="AH74" s="162"/>
      <c r="AI74" s="162"/>
      <c r="AJ74" s="162"/>
      <c r="AK74" s="162"/>
      <c r="AL74" s="162"/>
      <c r="AM74" s="162"/>
      <c r="AN74" s="164"/>
      <c r="AO74" s="164"/>
      <c r="AP74" s="165"/>
      <c r="AQ74" s="161"/>
      <c r="AR74" s="161"/>
      <c r="AS74" s="161"/>
      <c r="AT74" s="161"/>
      <c r="AU74" s="161"/>
    </row>
    <row r="75" spans="1:47">
      <c r="A75" s="471">
        <f t="shared" si="131"/>
        <v>46210</v>
      </c>
      <c r="B75" s="497" t="s">
        <v>211</v>
      </c>
      <c r="C75" s="426">
        <v>401</v>
      </c>
      <c r="D75" s="427">
        <f t="shared" si="52"/>
        <v>1553.875</v>
      </c>
      <c r="E75" s="428">
        <f t="shared" si="128"/>
        <v>15538.75</v>
      </c>
      <c r="F75" s="428">
        <f t="shared" si="129"/>
        <v>10.359166666666667</v>
      </c>
      <c r="G75" s="428">
        <f t="shared" si="119"/>
        <v>39.53058</v>
      </c>
      <c r="H75" s="429"/>
      <c r="I75" s="430">
        <f t="shared" si="87"/>
        <v>0</v>
      </c>
      <c r="J75" s="431">
        <f t="shared" si="120"/>
        <v>0</v>
      </c>
      <c r="K75" s="431">
        <f t="shared" si="130"/>
        <v>0</v>
      </c>
      <c r="L75" s="431">
        <f t="shared" si="121"/>
        <v>0</v>
      </c>
      <c r="M75" s="432"/>
      <c r="N75" s="433">
        <f t="shared" si="46"/>
        <v>0</v>
      </c>
      <c r="O75" s="434">
        <f t="shared" si="122"/>
        <v>0</v>
      </c>
      <c r="P75" s="434">
        <f t="shared" si="34"/>
        <v>0</v>
      </c>
      <c r="Q75" s="434">
        <f t="shared" si="124"/>
        <v>0</v>
      </c>
      <c r="R75" s="435"/>
      <c r="S75" s="436">
        <f t="shared" si="47"/>
        <v>0</v>
      </c>
      <c r="T75" s="437">
        <f t="shared" si="125"/>
        <v>0</v>
      </c>
      <c r="U75" s="437">
        <f t="shared" si="37"/>
        <v>0</v>
      </c>
      <c r="V75" s="437">
        <f t="shared" si="127"/>
        <v>0</v>
      </c>
      <c r="W75" s="300"/>
      <c r="X75" s="131"/>
      <c r="Z75" s="162"/>
      <c r="AA75" s="162"/>
      <c r="AB75" s="162"/>
      <c r="AC75" s="162"/>
      <c r="AD75" s="162"/>
      <c r="AE75" s="163"/>
      <c r="AF75" s="162"/>
      <c r="AG75" s="162"/>
      <c r="AH75" s="162"/>
      <c r="AI75" s="162"/>
      <c r="AJ75" s="162"/>
      <c r="AK75" s="162"/>
      <c r="AL75" s="162"/>
      <c r="AM75" s="162"/>
      <c r="AN75" s="164"/>
      <c r="AO75" s="164"/>
      <c r="AP75" s="165"/>
      <c r="AQ75" s="161"/>
      <c r="AR75" s="161"/>
      <c r="AS75" s="161"/>
      <c r="AT75" s="161"/>
      <c r="AU75" s="161"/>
    </row>
    <row r="76" spans="1:47">
      <c r="A76" s="471">
        <f t="shared" si="131"/>
        <v>46210</v>
      </c>
      <c r="B76" s="497" t="s">
        <v>212</v>
      </c>
      <c r="C76" s="426">
        <v>226</v>
      </c>
      <c r="D76" s="427">
        <f t="shared" si="52"/>
        <v>875.75</v>
      </c>
      <c r="E76" s="428">
        <f t="shared" si="128"/>
        <v>8757.5</v>
      </c>
      <c r="F76" s="428">
        <f t="shared" si="129"/>
        <v>5.8383333333333329</v>
      </c>
      <c r="G76" s="428">
        <f t="shared" si="119"/>
        <v>22.279079999999997</v>
      </c>
      <c r="H76" s="429"/>
      <c r="I76" s="430">
        <f t="shared" si="87"/>
        <v>0</v>
      </c>
      <c r="J76" s="431">
        <f t="shared" si="120"/>
        <v>0</v>
      </c>
      <c r="K76" s="431">
        <f t="shared" si="130"/>
        <v>0</v>
      </c>
      <c r="L76" s="431">
        <f t="shared" si="121"/>
        <v>0</v>
      </c>
      <c r="M76" s="432"/>
      <c r="N76" s="433">
        <f t="shared" si="46"/>
        <v>0</v>
      </c>
      <c r="O76" s="434">
        <f t="shared" si="122"/>
        <v>0</v>
      </c>
      <c r="P76" s="434">
        <f t="shared" si="34"/>
        <v>0</v>
      </c>
      <c r="Q76" s="434">
        <f t="shared" si="124"/>
        <v>0</v>
      </c>
      <c r="R76" s="435"/>
      <c r="S76" s="436">
        <f t="shared" si="47"/>
        <v>0</v>
      </c>
      <c r="T76" s="437">
        <f t="shared" si="125"/>
        <v>0</v>
      </c>
      <c r="U76" s="437">
        <f t="shared" si="37"/>
        <v>0</v>
      </c>
      <c r="V76" s="437">
        <f t="shared" si="127"/>
        <v>0</v>
      </c>
      <c r="W76" s="300"/>
      <c r="X76" s="131"/>
      <c r="Z76" s="162"/>
      <c r="AA76" s="162"/>
      <c r="AB76" s="162"/>
      <c r="AC76" s="162"/>
      <c r="AD76" s="162"/>
      <c r="AE76" s="163"/>
      <c r="AF76" s="162"/>
      <c r="AG76" s="162"/>
      <c r="AH76" s="162"/>
      <c r="AI76" s="162"/>
      <c r="AJ76" s="162"/>
      <c r="AK76" s="162"/>
      <c r="AL76" s="162"/>
      <c r="AM76" s="162"/>
      <c r="AN76" s="164"/>
      <c r="AO76" s="164"/>
      <c r="AP76" s="165"/>
      <c r="AQ76" s="161"/>
      <c r="AR76" s="161"/>
      <c r="AS76" s="161"/>
      <c r="AT76" s="161"/>
      <c r="AU76" s="161"/>
    </row>
    <row r="77" spans="1:47">
      <c r="A77" s="471">
        <f t="shared" si="131"/>
        <v>46210</v>
      </c>
      <c r="B77" s="497" t="s">
        <v>213</v>
      </c>
      <c r="C77" s="426">
        <v>459</v>
      </c>
      <c r="D77" s="427">
        <f t="shared" si="52"/>
        <v>1778.625</v>
      </c>
      <c r="E77" s="428">
        <f t="shared" si="128"/>
        <v>17786.25</v>
      </c>
      <c r="F77" s="428">
        <f t="shared" si="129"/>
        <v>11.8575</v>
      </c>
      <c r="G77" s="428">
        <f t="shared" si="119"/>
        <v>45.248219999999996</v>
      </c>
      <c r="H77" s="429"/>
      <c r="I77" s="430">
        <f t="shared" si="87"/>
        <v>0</v>
      </c>
      <c r="J77" s="431">
        <f t="shared" si="120"/>
        <v>0</v>
      </c>
      <c r="K77" s="431">
        <f t="shared" si="130"/>
        <v>0</v>
      </c>
      <c r="L77" s="431">
        <f t="shared" si="121"/>
        <v>0</v>
      </c>
      <c r="M77" s="432"/>
      <c r="N77" s="433">
        <f t="shared" si="46"/>
        <v>0</v>
      </c>
      <c r="O77" s="434">
        <f t="shared" si="122"/>
        <v>0</v>
      </c>
      <c r="P77" s="434">
        <f t="shared" si="34"/>
        <v>0</v>
      </c>
      <c r="Q77" s="434">
        <f t="shared" si="124"/>
        <v>0</v>
      </c>
      <c r="R77" s="435"/>
      <c r="S77" s="436">
        <f t="shared" si="47"/>
        <v>0</v>
      </c>
      <c r="T77" s="437">
        <f t="shared" si="125"/>
        <v>0</v>
      </c>
      <c r="U77" s="437">
        <f t="shared" si="37"/>
        <v>0</v>
      </c>
      <c r="V77" s="437">
        <f t="shared" si="127"/>
        <v>0</v>
      </c>
      <c r="W77" s="300"/>
      <c r="X77" s="131"/>
      <c r="Z77" s="162"/>
      <c r="AA77" s="162"/>
      <c r="AB77" s="162"/>
      <c r="AC77" s="162"/>
      <c r="AD77" s="162"/>
      <c r="AE77" s="163"/>
      <c r="AF77" s="162"/>
      <c r="AG77" s="162"/>
      <c r="AH77" s="162"/>
      <c r="AI77" s="162"/>
      <c r="AJ77" s="162"/>
      <c r="AK77" s="162"/>
      <c r="AL77" s="162"/>
      <c r="AM77" s="162"/>
      <c r="AN77" s="164"/>
      <c r="AO77" s="164"/>
      <c r="AP77" s="165"/>
      <c r="AQ77" s="161"/>
      <c r="AR77" s="161"/>
      <c r="AS77" s="161"/>
      <c r="AT77" s="161"/>
      <c r="AU77" s="161"/>
    </row>
    <row r="78" spans="1:47">
      <c r="A78" s="471">
        <f t="shared" si="131"/>
        <v>46210</v>
      </c>
      <c r="B78" s="497"/>
      <c r="C78" s="426"/>
      <c r="D78" s="427">
        <f t="shared" si="52"/>
        <v>0</v>
      </c>
      <c r="E78" s="428">
        <f t="shared" si="128"/>
        <v>0</v>
      </c>
      <c r="F78" s="428">
        <f t="shared" si="129"/>
        <v>0</v>
      </c>
      <c r="G78" s="428">
        <f t="shared" si="119"/>
        <v>0</v>
      </c>
      <c r="H78" s="429"/>
      <c r="I78" s="430">
        <f t="shared" si="87"/>
        <v>0</v>
      </c>
      <c r="J78" s="431">
        <f t="shared" si="120"/>
        <v>0</v>
      </c>
      <c r="K78" s="431">
        <f t="shared" si="130"/>
        <v>0</v>
      </c>
      <c r="L78" s="431">
        <f t="shared" si="121"/>
        <v>0</v>
      </c>
      <c r="M78" s="432"/>
      <c r="N78" s="433">
        <f t="shared" si="46"/>
        <v>0</v>
      </c>
      <c r="O78" s="434">
        <f t="shared" si="122"/>
        <v>0</v>
      </c>
      <c r="P78" s="434">
        <f t="shared" si="34"/>
        <v>0</v>
      </c>
      <c r="Q78" s="434">
        <f t="shared" si="124"/>
        <v>0</v>
      </c>
      <c r="R78" s="435"/>
      <c r="S78" s="436">
        <f t="shared" si="47"/>
        <v>0</v>
      </c>
      <c r="T78" s="437">
        <f t="shared" si="125"/>
        <v>0</v>
      </c>
      <c r="U78" s="437">
        <f t="shared" si="37"/>
        <v>0</v>
      </c>
      <c r="V78" s="437">
        <f t="shared" si="127"/>
        <v>0</v>
      </c>
      <c r="W78" s="300"/>
      <c r="X78" s="131"/>
      <c r="Z78" s="162"/>
      <c r="AA78" s="162"/>
      <c r="AB78" s="162"/>
      <c r="AC78" s="162"/>
      <c r="AD78" s="162"/>
      <c r="AE78" s="163"/>
      <c r="AF78" s="162"/>
      <c r="AG78" s="162"/>
      <c r="AH78" s="162"/>
      <c r="AI78" s="162"/>
      <c r="AJ78" s="162"/>
      <c r="AK78" s="162"/>
      <c r="AL78" s="162"/>
      <c r="AM78" s="162"/>
      <c r="AN78" s="164"/>
      <c r="AO78" s="164"/>
      <c r="AP78" s="165"/>
      <c r="AQ78" s="161"/>
      <c r="AR78" s="161"/>
      <c r="AS78" s="161"/>
      <c r="AT78" s="161"/>
      <c r="AU78" s="161"/>
    </row>
    <row r="79" spans="1:47">
      <c r="A79" s="471">
        <f t="shared" si="131"/>
        <v>46210</v>
      </c>
      <c r="B79" s="497"/>
      <c r="C79" s="426"/>
      <c r="D79" s="427">
        <f t="shared" si="52"/>
        <v>0</v>
      </c>
      <c r="E79" s="428">
        <f t="shared" si="128"/>
        <v>0</v>
      </c>
      <c r="F79" s="428">
        <f t="shared" si="129"/>
        <v>0</v>
      </c>
      <c r="G79" s="428">
        <f t="shared" si="119"/>
        <v>0</v>
      </c>
      <c r="H79" s="429"/>
      <c r="I79" s="430">
        <f t="shared" si="87"/>
        <v>0</v>
      </c>
      <c r="J79" s="431">
        <f t="shared" si="120"/>
        <v>0</v>
      </c>
      <c r="K79" s="431">
        <f t="shared" si="130"/>
        <v>0</v>
      </c>
      <c r="L79" s="431">
        <f t="shared" si="121"/>
        <v>0</v>
      </c>
      <c r="M79" s="432"/>
      <c r="N79" s="433">
        <f t="shared" si="46"/>
        <v>0</v>
      </c>
      <c r="O79" s="434">
        <f t="shared" si="122"/>
        <v>0</v>
      </c>
      <c r="P79" s="434">
        <f t="shared" ref="P79:P142" si="132">+O79/1500</f>
        <v>0</v>
      </c>
      <c r="Q79" s="434">
        <f t="shared" si="124"/>
        <v>0</v>
      </c>
      <c r="R79" s="435"/>
      <c r="S79" s="436">
        <f t="shared" si="47"/>
        <v>0</v>
      </c>
      <c r="T79" s="437">
        <f t="shared" si="125"/>
        <v>0</v>
      </c>
      <c r="U79" s="437">
        <f t="shared" ref="U79:U142" si="133">+T79/1500</f>
        <v>0</v>
      </c>
      <c r="V79" s="437">
        <f t="shared" si="127"/>
        <v>0</v>
      </c>
      <c r="W79" s="300"/>
      <c r="X79" s="131"/>
      <c r="Z79" s="162"/>
      <c r="AA79" s="162"/>
      <c r="AB79" s="162"/>
      <c r="AC79" s="162"/>
      <c r="AD79" s="162"/>
      <c r="AE79" s="163"/>
      <c r="AF79" s="162"/>
      <c r="AG79" s="162"/>
      <c r="AH79" s="162"/>
      <c r="AI79" s="162"/>
      <c r="AJ79" s="162"/>
      <c r="AK79" s="162"/>
      <c r="AL79" s="162"/>
      <c r="AM79" s="162"/>
      <c r="AN79" s="164"/>
      <c r="AO79" s="164"/>
      <c r="AP79" s="165"/>
      <c r="AQ79" s="161"/>
      <c r="AR79" s="161"/>
      <c r="AS79" s="161"/>
      <c r="AT79" s="161"/>
      <c r="AU79" s="161"/>
    </row>
    <row r="80" spans="1:47" ht="14.25">
      <c r="A80" s="471"/>
      <c r="B80" s="498" t="s">
        <v>118</v>
      </c>
      <c r="C80" s="438">
        <f>SUM(C70:C79)</f>
        <v>3297</v>
      </c>
      <c r="D80" s="439">
        <f t="shared" si="52"/>
        <v>12775.875</v>
      </c>
      <c r="E80" s="438">
        <f>SUM(E70:E79)</f>
        <v>127758.75</v>
      </c>
      <c r="F80" s="463">
        <f>SUM(F70:F79)</f>
        <v>85.172500000000014</v>
      </c>
      <c r="G80" s="463">
        <f>SUM(G70:G79)</f>
        <v>325.01826</v>
      </c>
      <c r="H80" s="440">
        <f>SUM(H70:H79)</f>
        <v>0</v>
      </c>
      <c r="I80" s="441">
        <f t="shared" si="87"/>
        <v>0</v>
      </c>
      <c r="J80" s="440">
        <f>SUM(J70:J79)</f>
        <v>0</v>
      </c>
      <c r="K80" s="466">
        <f>SUM(K70:K79)</f>
        <v>0</v>
      </c>
      <c r="L80" s="466">
        <f>SUM(L70:L79)</f>
        <v>0</v>
      </c>
      <c r="M80" s="442">
        <f t="shared" ref="M80" si="134">SUM(M70:M79)</f>
        <v>0</v>
      </c>
      <c r="N80" s="443">
        <f t="shared" ref="N80:N143" si="135">+M80*3.276</f>
        <v>0</v>
      </c>
      <c r="O80" s="442">
        <f t="shared" ref="O80:R80" si="136">SUM(O70:O79)</f>
        <v>0</v>
      </c>
      <c r="P80" s="468">
        <f t="shared" si="136"/>
        <v>0</v>
      </c>
      <c r="Q80" s="468">
        <f t="shared" si="136"/>
        <v>0</v>
      </c>
      <c r="R80" s="444">
        <f t="shared" si="136"/>
        <v>0</v>
      </c>
      <c r="S80" s="445">
        <f t="shared" ref="S80:S143" si="137">+R80*3.276</f>
        <v>0</v>
      </c>
      <c r="T80" s="444">
        <f t="shared" ref="T80:V80" si="138">SUM(T70:T79)</f>
        <v>0</v>
      </c>
      <c r="U80" s="470">
        <f t="shared" si="138"/>
        <v>0</v>
      </c>
      <c r="V80" s="470">
        <f t="shared" si="138"/>
        <v>0</v>
      </c>
      <c r="W80" s="300"/>
      <c r="X80" s="131"/>
      <c r="Z80" s="162"/>
      <c r="AA80" s="162"/>
      <c r="AB80" s="162"/>
      <c r="AC80" s="162"/>
      <c r="AD80" s="162"/>
      <c r="AE80" s="163"/>
      <c r="AF80" s="162"/>
      <c r="AG80" s="162"/>
      <c r="AH80" s="162"/>
      <c r="AI80" s="162"/>
      <c r="AJ80" s="162"/>
      <c r="AK80" s="162"/>
      <c r="AL80" s="162"/>
      <c r="AM80" s="162"/>
      <c r="AN80" s="164"/>
      <c r="AO80" s="164"/>
      <c r="AP80" s="165"/>
      <c r="AQ80" s="161"/>
      <c r="AR80" s="161"/>
      <c r="AS80" s="161"/>
      <c r="AT80" s="161"/>
      <c r="AU80" s="161"/>
    </row>
    <row r="81" spans="1:47">
      <c r="A81" s="472">
        <f>+A70+1</f>
        <v>46211</v>
      </c>
      <c r="B81" s="497" t="s">
        <v>219</v>
      </c>
      <c r="C81" s="426">
        <v>501</v>
      </c>
      <c r="D81" s="427">
        <f t="shared" si="52"/>
        <v>1941.375</v>
      </c>
      <c r="E81" s="428">
        <f>+D81/0.0125*0.125</f>
        <v>19413.75</v>
      </c>
      <c r="F81" s="428">
        <f>+E81/1500</f>
        <v>12.942500000000001</v>
      </c>
      <c r="G81" s="428">
        <f t="shared" ref="G81:G90" si="139">+D81/0.0125*0.000318</f>
        <v>49.388579999999997</v>
      </c>
      <c r="H81" s="429"/>
      <c r="I81" s="430">
        <f t="shared" si="87"/>
        <v>0</v>
      </c>
      <c r="J81" s="431">
        <f t="shared" ref="J81:J90" si="140">+I81/0.0185*0.185</f>
        <v>0</v>
      </c>
      <c r="K81" s="431">
        <f>+J81/1500</f>
        <v>0</v>
      </c>
      <c r="L81" s="431">
        <f t="shared" ref="L81:L90" si="141">+I81/0.0185*0.000318</f>
        <v>0</v>
      </c>
      <c r="M81" s="432"/>
      <c r="N81" s="433">
        <f t="shared" si="135"/>
        <v>0</v>
      </c>
      <c r="O81" s="434">
        <f t="shared" ref="O81:O90" si="142">+N81/0.0185*0.185</f>
        <v>0</v>
      </c>
      <c r="P81" s="434">
        <f t="shared" ref="P81" si="143">+O81/1500</f>
        <v>0</v>
      </c>
      <c r="Q81" s="434">
        <f t="shared" ref="Q81:Q90" si="144">+N81/0.0185*0.000318</f>
        <v>0</v>
      </c>
      <c r="R81" s="435"/>
      <c r="S81" s="436">
        <f t="shared" si="137"/>
        <v>0</v>
      </c>
      <c r="T81" s="437">
        <f t="shared" ref="T81:T90" si="145">+S81/0.0185*0.185</f>
        <v>0</v>
      </c>
      <c r="U81" s="437">
        <f t="shared" ref="U81" si="146">+T81/1500</f>
        <v>0</v>
      </c>
      <c r="V81" s="437">
        <f t="shared" ref="V81:V90" si="147">+S81/0.0185*0.000318</f>
        <v>0</v>
      </c>
      <c r="W81" s="300"/>
      <c r="X81" s="131">
        <f>+W81*2.4</f>
        <v>0</v>
      </c>
      <c r="Z81" s="162">
        <f>IFERROR((D81/'REKAPAN OKEY AYAM'!$AC11),"-")</f>
        <v>0.13663841521608769</v>
      </c>
      <c r="AA81" s="162" t="str">
        <f>IFERROR((I81/'REKAPAN CHAMP AYAM'!$AC11),"-")</f>
        <v>-</v>
      </c>
      <c r="AB81" s="162" t="str">
        <f>IFERROR((N81/'REKAPAN CHAMP SAPI'!AC11),"-")</f>
        <v>-</v>
      </c>
      <c r="AC81" s="162" t="str">
        <f>IFERROR((S81/'REKAPAN CHAMP OTAK-OTAK'!AC11),"-")</f>
        <v>-</v>
      </c>
      <c r="AD81" s="162" t="str">
        <f>IFERROR((X81/'REKAPAN FIESTA'!AC11),"-")</f>
        <v>-</v>
      </c>
      <c r="AE81" s="163"/>
      <c r="AF81" s="162">
        <f t="shared" si="39"/>
        <v>1500</v>
      </c>
      <c r="AG81" s="162" t="str">
        <f>IFERROR(((D81/0.0125*0.000318)/#REF!),"-")</f>
        <v>-</v>
      </c>
      <c r="AH81" s="162" t="str">
        <f t="shared" si="40"/>
        <v>-</v>
      </c>
      <c r="AI81" s="162" t="str">
        <f>IFERROR(((I81/0.0185*0.000318)/#REF!),"-")</f>
        <v>-</v>
      </c>
      <c r="AJ81" s="162" t="str">
        <f t="shared" si="41"/>
        <v>-</v>
      </c>
      <c r="AK81" s="162" t="str">
        <f>IFERROR(((N81/0.0185*0.000318)/#REF!),"-")</f>
        <v>-</v>
      </c>
      <c r="AL81" s="162" t="str">
        <f t="shared" si="42"/>
        <v>-</v>
      </c>
      <c r="AM81" s="162" t="str">
        <f>IFERROR(((S81/0.0185*0.000318)/#REF!),"-")</f>
        <v>-</v>
      </c>
      <c r="AN81" s="164"/>
      <c r="AO81" s="164"/>
      <c r="AP81" s="165"/>
      <c r="AQ81" s="161">
        <f>IFERROR(('REKAPAN OKEY AYAM'!$AD11),"-")</f>
        <v>0.98428750601768555</v>
      </c>
      <c r="AR81" s="161" t="str">
        <f>IFERROR(('REKAPAN CHAMP AYAM'!$AD11),"-")</f>
        <v>-</v>
      </c>
      <c r="AS81" s="161" t="str">
        <f>IFERROR(('REKAPAN CHAMP SAPI'!$AD11),"-")</f>
        <v>-</v>
      </c>
      <c r="AT81" s="161" t="str">
        <f>IFERROR(('REKAPAN CHAMP OTAK-OTAK'!$AD11),"-")</f>
        <v>-</v>
      </c>
      <c r="AU81" s="161" t="str">
        <f>IFERROR(('REKAPAN FIESTA'!$AD11),"-")</f>
        <v>-</v>
      </c>
    </row>
    <row r="82" spans="1:47">
      <c r="A82" s="471">
        <f>+$A81</f>
        <v>46211</v>
      </c>
      <c r="B82" s="497" t="s">
        <v>220</v>
      </c>
      <c r="C82" s="426">
        <v>483</v>
      </c>
      <c r="D82" s="427">
        <f t="shared" si="52"/>
        <v>1871.625</v>
      </c>
      <c r="E82" s="428">
        <f t="shared" ref="E82:E90" si="148">+D82/0.0125*0.125</f>
        <v>18716.25</v>
      </c>
      <c r="F82" s="428">
        <f t="shared" ref="F82:F90" si="149">+E82/1500</f>
        <v>12.477499999999999</v>
      </c>
      <c r="G82" s="428">
        <f t="shared" si="139"/>
        <v>47.614139999999999</v>
      </c>
      <c r="H82" s="429"/>
      <c r="I82" s="430">
        <f t="shared" si="87"/>
        <v>0</v>
      </c>
      <c r="J82" s="431">
        <f t="shared" si="140"/>
        <v>0</v>
      </c>
      <c r="K82" s="431">
        <f t="shared" ref="K82:K90" si="150">+J82/1500</f>
        <v>0</v>
      </c>
      <c r="L82" s="431">
        <f t="shared" si="141"/>
        <v>0</v>
      </c>
      <c r="M82" s="432"/>
      <c r="N82" s="433">
        <f t="shared" si="135"/>
        <v>0</v>
      </c>
      <c r="O82" s="434">
        <f t="shared" si="142"/>
        <v>0</v>
      </c>
      <c r="P82" s="434">
        <f t="shared" si="132"/>
        <v>0</v>
      </c>
      <c r="Q82" s="434">
        <f t="shared" si="144"/>
        <v>0</v>
      </c>
      <c r="R82" s="435"/>
      <c r="S82" s="436">
        <f t="shared" si="137"/>
        <v>0</v>
      </c>
      <c r="T82" s="437">
        <f t="shared" si="145"/>
        <v>0</v>
      </c>
      <c r="U82" s="437">
        <f t="shared" si="133"/>
        <v>0</v>
      </c>
      <c r="V82" s="437">
        <f t="shared" si="147"/>
        <v>0</v>
      </c>
      <c r="W82" s="300"/>
      <c r="X82" s="131"/>
      <c r="Z82" s="162"/>
      <c r="AA82" s="162"/>
      <c r="AB82" s="162"/>
      <c r="AC82" s="162"/>
      <c r="AD82" s="162"/>
      <c r="AE82" s="163"/>
      <c r="AF82" s="162"/>
      <c r="AG82" s="162"/>
      <c r="AH82" s="162"/>
      <c r="AI82" s="162"/>
      <c r="AJ82" s="162"/>
      <c r="AK82" s="162"/>
      <c r="AL82" s="162"/>
      <c r="AM82" s="162"/>
      <c r="AN82" s="164"/>
      <c r="AO82" s="164"/>
      <c r="AP82" s="165"/>
      <c r="AQ82" s="161"/>
      <c r="AR82" s="161"/>
      <c r="AS82" s="161"/>
      <c r="AT82" s="161"/>
      <c r="AU82" s="161"/>
    </row>
    <row r="83" spans="1:47">
      <c r="A83" s="471">
        <f t="shared" ref="A83:A90" si="151">+$A82</f>
        <v>46211</v>
      </c>
      <c r="B83" s="497" t="s">
        <v>221</v>
      </c>
      <c r="C83" s="426">
        <f>576-199</f>
        <v>377</v>
      </c>
      <c r="D83" s="427">
        <f t="shared" si="52"/>
        <v>1460.875</v>
      </c>
      <c r="E83" s="428">
        <f t="shared" si="148"/>
        <v>14608.75</v>
      </c>
      <c r="F83" s="428">
        <f t="shared" si="149"/>
        <v>9.7391666666666659</v>
      </c>
      <c r="G83" s="428">
        <f t="shared" si="139"/>
        <v>37.164659999999998</v>
      </c>
      <c r="H83" s="429"/>
      <c r="I83" s="430">
        <f t="shared" si="87"/>
        <v>0</v>
      </c>
      <c r="J83" s="431">
        <f t="shared" si="140"/>
        <v>0</v>
      </c>
      <c r="K83" s="431">
        <f t="shared" si="150"/>
        <v>0</v>
      </c>
      <c r="L83" s="431">
        <f t="shared" si="141"/>
        <v>0</v>
      </c>
      <c r="M83" s="432"/>
      <c r="N83" s="433">
        <f t="shared" si="135"/>
        <v>0</v>
      </c>
      <c r="O83" s="434">
        <f t="shared" si="142"/>
        <v>0</v>
      </c>
      <c r="P83" s="434">
        <f t="shared" si="132"/>
        <v>0</v>
      </c>
      <c r="Q83" s="434">
        <f t="shared" si="144"/>
        <v>0</v>
      </c>
      <c r="R83" s="435"/>
      <c r="S83" s="436">
        <f t="shared" si="137"/>
        <v>0</v>
      </c>
      <c r="T83" s="437">
        <f t="shared" si="145"/>
        <v>0</v>
      </c>
      <c r="U83" s="437">
        <f t="shared" si="133"/>
        <v>0</v>
      </c>
      <c r="V83" s="437">
        <f t="shared" si="147"/>
        <v>0</v>
      </c>
      <c r="W83" s="300"/>
      <c r="X83" s="131"/>
      <c r="Z83" s="162"/>
      <c r="AA83" s="162"/>
      <c r="AB83" s="162"/>
      <c r="AC83" s="162"/>
      <c r="AD83" s="162"/>
      <c r="AE83" s="163"/>
      <c r="AF83" s="162"/>
      <c r="AG83" s="162"/>
      <c r="AH83" s="162"/>
      <c r="AI83" s="162"/>
      <c r="AJ83" s="162"/>
      <c r="AK83" s="162"/>
      <c r="AL83" s="162"/>
      <c r="AM83" s="162"/>
      <c r="AN83" s="164"/>
      <c r="AO83" s="164"/>
      <c r="AP83" s="165"/>
      <c r="AQ83" s="161"/>
      <c r="AR83" s="161"/>
      <c r="AS83" s="161"/>
      <c r="AT83" s="161"/>
      <c r="AU83" s="161"/>
    </row>
    <row r="84" spans="1:47">
      <c r="A84" s="471">
        <f t="shared" si="151"/>
        <v>46211</v>
      </c>
      <c r="B84" s="497" t="s">
        <v>222</v>
      </c>
      <c r="C84" s="426">
        <v>357</v>
      </c>
      <c r="D84" s="427">
        <f t="shared" si="52"/>
        <v>1383.375</v>
      </c>
      <c r="E84" s="428">
        <f t="shared" si="148"/>
        <v>13833.75</v>
      </c>
      <c r="F84" s="428">
        <f t="shared" si="149"/>
        <v>9.2225000000000001</v>
      </c>
      <c r="G84" s="428">
        <f t="shared" si="139"/>
        <v>35.193059999999996</v>
      </c>
      <c r="H84" s="429"/>
      <c r="I84" s="430">
        <f t="shared" si="87"/>
        <v>0</v>
      </c>
      <c r="J84" s="431">
        <f t="shared" si="140"/>
        <v>0</v>
      </c>
      <c r="K84" s="431">
        <f t="shared" si="150"/>
        <v>0</v>
      </c>
      <c r="L84" s="431">
        <f t="shared" si="141"/>
        <v>0</v>
      </c>
      <c r="M84" s="432"/>
      <c r="N84" s="433">
        <f t="shared" si="135"/>
        <v>0</v>
      </c>
      <c r="O84" s="434">
        <f t="shared" si="142"/>
        <v>0</v>
      </c>
      <c r="P84" s="434">
        <f t="shared" si="132"/>
        <v>0</v>
      </c>
      <c r="Q84" s="434">
        <f t="shared" si="144"/>
        <v>0</v>
      </c>
      <c r="R84" s="435"/>
      <c r="S84" s="436">
        <f t="shared" si="137"/>
        <v>0</v>
      </c>
      <c r="T84" s="437">
        <f t="shared" si="145"/>
        <v>0</v>
      </c>
      <c r="U84" s="437">
        <f t="shared" si="133"/>
        <v>0</v>
      </c>
      <c r="V84" s="437">
        <f t="shared" si="147"/>
        <v>0</v>
      </c>
      <c r="W84" s="300"/>
      <c r="X84" s="131"/>
      <c r="Z84" s="162"/>
      <c r="AA84" s="162"/>
      <c r="AB84" s="162"/>
      <c r="AC84" s="162"/>
      <c r="AD84" s="162"/>
      <c r="AE84" s="163"/>
      <c r="AF84" s="162"/>
      <c r="AG84" s="162"/>
      <c r="AH84" s="162"/>
      <c r="AI84" s="162"/>
      <c r="AJ84" s="162"/>
      <c r="AK84" s="162"/>
      <c r="AL84" s="162"/>
      <c r="AM84" s="162"/>
      <c r="AN84" s="164"/>
      <c r="AO84" s="164"/>
      <c r="AP84" s="165"/>
      <c r="AQ84" s="161"/>
      <c r="AR84" s="161"/>
      <c r="AS84" s="161"/>
      <c r="AT84" s="161"/>
      <c r="AU84" s="161"/>
    </row>
    <row r="85" spans="1:47">
      <c r="A85" s="471">
        <f t="shared" si="151"/>
        <v>46211</v>
      </c>
      <c r="B85" s="497" t="s">
        <v>223</v>
      </c>
      <c r="C85" s="426">
        <v>528</v>
      </c>
      <c r="D85" s="427">
        <f t="shared" si="52"/>
        <v>2046</v>
      </c>
      <c r="E85" s="428">
        <f t="shared" si="148"/>
        <v>20460</v>
      </c>
      <c r="F85" s="428">
        <f t="shared" si="149"/>
        <v>13.64</v>
      </c>
      <c r="G85" s="428">
        <f t="shared" si="139"/>
        <v>52.050239999999995</v>
      </c>
      <c r="H85" s="429"/>
      <c r="I85" s="430">
        <f t="shared" si="87"/>
        <v>0</v>
      </c>
      <c r="J85" s="431">
        <f t="shared" si="140"/>
        <v>0</v>
      </c>
      <c r="K85" s="431">
        <f t="shared" si="150"/>
        <v>0</v>
      </c>
      <c r="L85" s="431">
        <f t="shared" si="141"/>
        <v>0</v>
      </c>
      <c r="M85" s="432"/>
      <c r="N85" s="433">
        <f t="shared" si="135"/>
        <v>0</v>
      </c>
      <c r="O85" s="434">
        <f t="shared" si="142"/>
        <v>0</v>
      </c>
      <c r="P85" s="434">
        <f t="shared" si="132"/>
        <v>0</v>
      </c>
      <c r="Q85" s="434">
        <f t="shared" si="144"/>
        <v>0</v>
      </c>
      <c r="R85" s="435"/>
      <c r="S85" s="436">
        <f t="shared" si="137"/>
        <v>0</v>
      </c>
      <c r="T85" s="437">
        <f t="shared" si="145"/>
        <v>0</v>
      </c>
      <c r="U85" s="437">
        <f t="shared" si="133"/>
        <v>0</v>
      </c>
      <c r="V85" s="437">
        <f t="shared" si="147"/>
        <v>0</v>
      </c>
      <c r="W85" s="300"/>
      <c r="X85" s="131"/>
      <c r="Z85" s="162"/>
      <c r="AA85" s="162"/>
      <c r="AB85" s="162"/>
      <c r="AC85" s="162"/>
      <c r="AD85" s="162"/>
      <c r="AE85" s="163"/>
      <c r="AF85" s="162"/>
      <c r="AG85" s="162"/>
      <c r="AH85" s="162"/>
      <c r="AI85" s="162"/>
      <c r="AJ85" s="162"/>
      <c r="AK85" s="162"/>
      <c r="AL85" s="162"/>
      <c r="AM85" s="162"/>
      <c r="AN85" s="164"/>
      <c r="AO85" s="164"/>
      <c r="AP85" s="165"/>
      <c r="AQ85" s="161"/>
      <c r="AR85" s="161"/>
      <c r="AS85" s="161"/>
      <c r="AT85" s="161"/>
      <c r="AU85" s="161"/>
    </row>
    <row r="86" spans="1:47">
      <c r="A86" s="471">
        <f t="shared" si="151"/>
        <v>46211</v>
      </c>
      <c r="B86" s="497" t="s">
        <v>224</v>
      </c>
      <c r="C86" s="426">
        <v>474</v>
      </c>
      <c r="D86" s="427">
        <f t="shared" si="52"/>
        <v>1836.75</v>
      </c>
      <c r="E86" s="428">
        <f t="shared" si="148"/>
        <v>18367.5</v>
      </c>
      <c r="F86" s="428">
        <f t="shared" si="149"/>
        <v>12.244999999999999</v>
      </c>
      <c r="G86" s="428">
        <f t="shared" si="139"/>
        <v>46.72692</v>
      </c>
      <c r="H86" s="429"/>
      <c r="I86" s="430">
        <f t="shared" si="87"/>
        <v>0</v>
      </c>
      <c r="J86" s="431">
        <f t="shared" si="140"/>
        <v>0</v>
      </c>
      <c r="K86" s="431">
        <f t="shared" si="150"/>
        <v>0</v>
      </c>
      <c r="L86" s="431">
        <f t="shared" si="141"/>
        <v>0</v>
      </c>
      <c r="M86" s="432"/>
      <c r="N86" s="433">
        <f t="shared" si="135"/>
        <v>0</v>
      </c>
      <c r="O86" s="434">
        <f t="shared" si="142"/>
        <v>0</v>
      </c>
      <c r="P86" s="434">
        <f t="shared" si="132"/>
        <v>0</v>
      </c>
      <c r="Q86" s="434">
        <f t="shared" si="144"/>
        <v>0</v>
      </c>
      <c r="R86" s="435"/>
      <c r="S86" s="436">
        <f t="shared" si="137"/>
        <v>0</v>
      </c>
      <c r="T86" s="437">
        <f t="shared" si="145"/>
        <v>0</v>
      </c>
      <c r="U86" s="437">
        <f t="shared" si="133"/>
        <v>0</v>
      </c>
      <c r="V86" s="437">
        <f t="shared" si="147"/>
        <v>0</v>
      </c>
      <c r="W86" s="300"/>
      <c r="X86" s="131"/>
      <c r="Z86" s="162"/>
      <c r="AA86" s="162"/>
      <c r="AB86" s="162"/>
      <c r="AC86" s="162"/>
      <c r="AD86" s="162"/>
      <c r="AE86" s="163"/>
      <c r="AF86" s="162"/>
      <c r="AG86" s="162"/>
      <c r="AH86" s="162"/>
      <c r="AI86" s="162"/>
      <c r="AJ86" s="162"/>
      <c r="AK86" s="162"/>
      <c r="AL86" s="162"/>
      <c r="AM86" s="162"/>
      <c r="AN86" s="164"/>
      <c r="AO86" s="164"/>
      <c r="AP86" s="165"/>
      <c r="AQ86" s="161"/>
      <c r="AR86" s="161"/>
      <c r="AS86" s="161"/>
      <c r="AT86" s="161"/>
      <c r="AU86" s="161"/>
    </row>
    <row r="87" spans="1:47">
      <c r="A87" s="471">
        <f t="shared" si="151"/>
        <v>46211</v>
      </c>
      <c r="B87" s="497" t="s">
        <v>225</v>
      </c>
      <c r="C87" s="426">
        <v>365</v>
      </c>
      <c r="D87" s="427">
        <f t="shared" si="52"/>
        <v>1414.375</v>
      </c>
      <c r="E87" s="428">
        <f t="shared" si="148"/>
        <v>14143.75</v>
      </c>
      <c r="F87" s="428">
        <f t="shared" si="149"/>
        <v>9.4291666666666671</v>
      </c>
      <c r="G87" s="428">
        <f t="shared" si="139"/>
        <v>35.981699999999996</v>
      </c>
      <c r="H87" s="429"/>
      <c r="I87" s="430">
        <f t="shared" si="87"/>
        <v>0</v>
      </c>
      <c r="J87" s="431">
        <f t="shared" si="140"/>
        <v>0</v>
      </c>
      <c r="K87" s="431">
        <f t="shared" si="150"/>
        <v>0</v>
      </c>
      <c r="L87" s="431">
        <f t="shared" si="141"/>
        <v>0</v>
      </c>
      <c r="M87" s="432"/>
      <c r="N87" s="433">
        <f t="shared" si="135"/>
        <v>0</v>
      </c>
      <c r="O87" s="434">
        <f t="shared" si="142"/>
        <v>0</v>
      </c>
      <c r="P87" s="434">
        <f t="shared" si="132"/>
        <v>0</v>
      </c>
      <c r="Q87" s="434">
        <f t="shared" si="144"/>
        <v>0</v>
      </c>
      <c r="R87" s="435"/>
      <c r="S87" s="436">
        <f t="shared" si="137"/>
        <v>0</v>
      </c>
      <c r="T87" s="437">
        <f t="shared" si="145"/>
        <v>0</v>
      </c>
      <c r="U87" s="437">
        <f t="shared" si="133"/>
        <v>0</v>
      </c>
      <c r="V87" s="437">
        <f t="shared" si="147"/>
        <v>0</v>
      </c>
      <c r="W87" s="300"/>
      <c r="X87" s="131"/>
      <c r="Z87" s="162"/>
      <c r="AA87" s="162"/>
      <c r="AB87" s="162"/>
      <c r="AC87" s="162"/>
      <c r="AD87" s="162"/>
      <c r="AE87" s="163"/>
      <c r="AF87" s="162"/>
      <c r="AG87" s="162"/>
      <c r="AH87" s="162"/>
      <c r="AI87" s="162"/>
      <c r="AJ87" s="162"/>
      <c r="AK87" s="162"/>
      <c r="AL87" s="162"/>
      <c r="AM87" s="162"/>
      <c r="AN87" s="164"/>
      <c r="AO87" s="164"/>
      <c r="AP87" s="165"/>
      <c r="AQ87" s="161"/>
      <c r="AR87" s="161"/>
      <c r="AS87" s="161"/>
      <c r="AT87" s="161"/>
      <c r="AU87" s="161"/>
    </row>
    <row r="88" spans="1:47">
      <c r="A88" s="471">
        <f t="shared" si="151"/>
        <v>46211</v>
      </c>
      <c r="B88" s="497" t="s">
        <v>226</v>
      </c>
      <c r="C88" s="426">
        <v>185</v>
      </c>
      <c r="D88" s="427">
        <f t="shared" si="52"/>
        <v>716.875</v>
      </c>
      <c r="E88" s="428">
        <f t="shared" si="148"/>
        <v>7168.75</v>
      </c>
      <c r="F88" s="428">
        <f t="shared" si="149"/>
        <v>4.7791666666666668</v>
      </c>
      <c r="G88" s="428">
        <f t="shared" si="139"/>
        <v>18.237299999999998</v>
      </c>
      <c r="H88" s="429"/>
      <c r="I88" s="430">
        <f t="shared" si="87"/>
        <v>0</v>
      </c>
      <c r="J88" s="431">
        <f t="shared" si="140"/>
        <v>0</v>
      </c>
      <c r="K88" s="431">
        <f t="shared" si="150"/>
        <v>0</v>
      </c>
      <c r="L88" s="431">
        <f t="shared" si="141"/>
        <v>0</v>
      </c>
      <c r="M88" s="432"/>
      <c r="N88" s="433">
        <f t="shared" si="135"/>
        <v>0</v>
      </c>
      <c r="O88" s="434">
        <f t="shared" si="142"/>
        <v>0</v>
      </c>
      <c r="P88" s="434">
        <f t="shared" si="132"/>
        <v>0</v>
      </c>
      <c r="Q88" s="434">
        <f t="shared" si="144"/>
        <v>0</v>
      </c>
      <c r="R88" s="435"/>
      <c r="S88" s="436">
        <f t="shared" si="137"/>
        <v>0</v>
      </c>
      <c r="T88" s="437">
        <f t="shared" si="145"/>
        <v>0</v>
      </c>
      <c r="U88" s="437">
        <f t="shared" si="133"/>
        <v>0</v>
      </c>
      <c r="V88" s="437">
        <f t="shared" si="147"/>
        <v>0</v>
      </c>
      <c r="W88" s="300"/>
      <c r="X88" s="131"/>
      <c r="Z88" s="162"/>
      <c r="AA88" s="162"/>
      <c r="AB88" s="162"/>
      <c r="AC88" s="162"/>
      <c r="AD88" s="162"/>
      <c r="AE88" s="163"/>
      <c r="AF88" s="162"/>
      <c r="AG88" s="162"/>
      <c r="AH88" s="162"/>
      <c r="AI88" s="162"/>
      <c r="AJ88" s="162"/>
      <c r="AK88" s="162"/>
      <c r="AL88" s="162"/>
      <c r="AM88" s="162"/>
      <c r="AN88" s="164"/>
      <c r="AO88" s="164"/>
      <c r="AP88" s="165"/>
      <c r="AQ88" s="161"/>
      <c r="AR88" s="161"/>
      <c r="AS88" s="161"/>
      <c r="AT88" s="161"/>
      <c r="AU88" s="161"/>
    </row>
    <row r="89" spans="1:47">
      <c r="A89" s="471">
        <f t="shared" si="151"/>
        <v>46211</v>
      </c>
      <c r="B89" s="497" t="s">
        <v>227</v>
      </c>
      <c r="C89" s="426">
        <v>453</v>
      </c>
      <c r="D89" s="427">
        <f t="shared" si="52"/>
        <v>1755.375</v>
      </c>
      <c r="E89" s="428">
        <f t="shared" si="148"/>
        <v>17553.75</v>
      </c>
      <c r="F89" s="428">
        <f t="shared" si="149"/>
        <v>11.702500000000001</v>
      </c>
      <c r="G89" s="428">
        <f t="shared" si="139"/>
        <v>44.656739999999999</v>
      </c>
      <c r="H89" s="429"/>
      <c r="I89" s="430">
        <f t="shared" si="87"/>
        <v>0</v>
      </c>
      <c r="J89" s="431">
        <f t="shared" si="140"/>
        <v>0</v>
      </c>
      <c r="K89" s="431">
        <f t="shared" si="150"/>
        <v>0</v>
      </c>
      <c r="L89" s="431">
        <f t="shared" si="141"/>
        <v>0</v>
      </c>
      <c r="M89" s="432"/>
      <c r="N89" s="433">
        <f t="shared" si="135"/>
        <v>0</v>
      </c>
      <c r="O89" s="434">
        <f t="shared" si="142"/>
        <v>0</v>
      </c>
      <c r="P89" s="434">
        <f t="shared" si="132"/>
        <v>0</v>
      </c>
      <c r="Q89" s="434">
        <f t="shared" si="144"/>
        <v>0</v>
      </c>
      <c r="R89" s="435"/>
      <c r="S89" s="436">
        <f t="shared" si="137"/>
        <v>0</v>
      </c>
      <c r="T89" s="437">
        <f t="shared" si="145"/>
        <v>0</v>
      </c>
      <c r="U89" s="437">
        <f t="shared" si="133"/>
        <v>0</v>
      </c>
      <c r="V89" s="437">
        <f t="shared" si="147"/>
        <v>0</v>
      </c>
      <c r="W89" s="300"/>
      <c r="X89" s="131"/>
      <c r="Z89" s="162"/>
      <c r="AA89" s="162"/>
      <c r="AB89" s="162"/>
      <c r="AC89" s="162"/>
      <c r="AD89" s="162"/>
      <c r="AE89" s="163"/>
      <c r="AF89" s="162"/>
      <c r="AG89" s="162"/>
      <c r="AH89" s="162"/>
      <c r="AI89" s="162"/>
      <c r="AJ89" s="162"/>
      <c r="AK89" s="162"/>
      <c r="AL89" s="162"/>
      <c r="AM89" s="162"/>
      <c r="AN89" s="164"/>
      <c r="AO89" s="164"/>
      <c r="AP89" s="165"/>
      <c r="AQ89" s="161"/>
      <c r="AR89" s="161"/>
      <c r="AS89" s="161"/>
      <c r="AT89" s="161"/>
      <c r="AU89" s="161"/>
    </row>
    <row r="90" spans="1:47">
      <c r="A90" s="471">
        <f t="shared" si="151"/>
        <v>46211</v>
      </c>
      <c r="B90" s="497"/>
      <c r="C90" s="426"/>
      <c r="D90" s="427">
        <f t="shared" ref="D90:D153" si="152">+C90*3.875</f>
        <v>0</v>
      </c>
      <c r="E90" s="428">
        <f t="shared" si="148"/>
        <v>0</v>
      </c>
      <c r="F90" s="428">
        <f t="shared" si="149"/>
        <v>0</v>
      </c>
      <c r="G90" s="428">
        <f t="shared" si="139"/>
        <v>0</v>
      </c>
      <c r="H90" s="429"/>
      <c r="I90" s="430">
        <f t="shared" si="87"/>
        <v>0</v>
      </c>
      <c r="J90" s="431">
        <f t="shared" si="140"/>
        <v>0</v>
      </c>
      <c r="K90" s="431">
        <f t="shared" si="150"/>
        <v>0</v>
      </c>
      <c r="L90" s="431">
        <f t="shared" si="141"/>
        <v>0</v>
      </c>
      <c r="M90" s="432"/>
      <c r="N90" s="433">
        <f t="shared" si="135"/>
        <v>0</v>
      </c>
      <c r="O90" s="434">
        <f t="shared" si="142"/>
        <v>0</v>
      </c>
      <c r="P90" s="434">
        <f t="shared" si="132"/>
        <v>0</v>
      </c>
      <c r="Q90" s="434">
        <f t="shared" si="144"/>
        <v>0</v>
      </c>
      <c r="R90" s="435"/>
      <c r="S90" s="436">
        <f t="shared" si="137"/>
        <v>0</v>
      </c>
      <c r="T90" s="437">
        <f t="shared" si="145"/>
        <v>0</v>
      </c>
      <c r="U90" s="437">
        <f t="shared" si="133"/>
        <v>0</v>
      </c>
      <c r="V90" s="437">
        <f t="shared" si="147"/>
        <v>0</v>
      </c>
      <c r="W90" s="300"/>
      <c r="X90" s="131"/>
      <c r="Z90" s="162"/>
      <c r="AA90" s="162"/>
      <c r="AB90" s="162"/>
      <c r="AC90" s="162"/>
      <c r="AD90" s="162"/>
      <c r="AE90" s="163"/>
      <c r="AF90" s="162"/>
      <c r="AG90" s="162"/>
      <c r="AH90" s="162"/>
      <c r="AI90" s="162"/>
      <c r="AJ90" s="162"/>
      <c r="AK90" s="162"/>
      <c r="AL90" s="162"/>
      <c r="AM90" s="162"/>
      <c r="AN90" s="164"/>
      <c r="AO90" s="164"/>
      <c r="AP90" s="165"/>
      <c r="AQ90" s="161"/>
      <c r="AR90" s="161"/>
      <c r="AS90" s="161"/>
      <c r="AT90" s="161"/>
      <c r="AU90" s="161"/>
    </row>
    <row r="91" spans="1:47" ht="14.25">
      <c r="A91" s="471"/>
      <c r="B91" s="498" t="s">
        <v>118</v>
      </c>
      <c r="C91" s="438">
        <f>SUM(C81:C90)</f>
        <v>3723</v>
      </c>
      <c r="D91" s="439">
        <f t="shared" si="152"/>
        <v>14426.625</v>
      </c>
      <c r="E91" s="438">
        <f>SUM(E81:E90)</f>
        <v>144266.25</v>
      </c>
      <c r="F91" s="463">
        <f>SUM(F81:F90)</f>
        <v>96.177499999999995</v>
      </c>
      <c r="G91" s="463">
        <f>SUM(G81:G90)</f>
        <v>367.01333999999997</v>
      </c>
      <c r="H91" s="440">
        <f>SUM(H81:H90)</f>
        <v>0</v>
      </c>
      <c r="I91" s="441">
        <f t="shared" si="87"/>
        <v>0</v>
      </c>
      <c r="J91" s="440">
        <f>SUM(J81:J90)</f>
        <v>0</v>
      </c>
      <c r="K91" s="466">
        <f>SUM(K81:K90)</f>
        <v>0</v>
      </c>
      <c r="L91" s="466">
        <f>SUM(L81:L90)</f>
        <v>0</v>
      </c>
      <c r="M91" s="442">
        <f t="shared" ref="M91" si="153">SUM(M81:M90)</f>
        <v>0</v>
      </c>
      <c r="N91" s="443">
        <f t="shared" si="135"/>
        <v>0</v>
      </c>
      <c r="O91" s="442">
        <f t="shared" ref="O91:R91" si="154">SUM(O81:O90)</f>
        <v>0</v>
      </c>
      <c r="P91" s="468">
        <f t="shared" si="154"/>
        <v>0</v>
      </c>
      <c r="Q91" s="468">
        <f t="shared" si="154"/>
        <v>0</v>
      </c>
      <c r="R91" s="444">
        <f t="shared" si="154"/>
        <v>0</v>
      </c>
      <c r="S91" s="445">
        <f t="shared" si="137"/>
        <v>0</v>
      </c>
      <c r="T91" s="444">
        <f t="shared" ref="T91:V91" si="155">SUM(T81:T90)</f>
        <v>0</v>
      </c>
      <c r="U91" s="470">
        <f t="shared" si="155"/>
        <v>0</v>
      </c>
      <c r="V91" s="470">
        <f t="shared" si="155"/>
        <v>0</v>
      </c>
      <c r="W91" s="300"/>
      <c r="X91" s="131"/>
      <c r="Z91" s="162"/>
      <c r="AA91" s="162"/>
      <c r="AB91" s="162"/>
      <c r="AC91" s="162"/>
      <c r="AD91" s="162"/>
      <c r="AE91" s="163"/>
      <c r="AF91" s="162"/>
      <c r="AG91" s="162"/>
      <c r="AH91" s="162"/>
      <c r="AI91" s="162"/>
      <c r="AJ91" s="162"/>
      <c r="AK91" s="162"/>
      <c r="AL91" s="162"/>
      <c r="AM91" s="162"/>
      <c r="AN91" s="164"/>
      <c r="AO91" s="164"/>
      <c r="AP91" s="165"/>
      <c r="AQ91" s="161"/>
      <c r="AR91" s="161"/>
      <c r="AS91" s="161"/>
      <c r="AT91" s="161"/>
      <c r="AU91" s="161"/>
    </row>
    <row r="92" spans="1:47">
      <c r="A92" s="472">
        <f>+A81+1</f>
        <v>46212</v>
      </c>
      <c r="B92" s="497" t="s">
        <v>232</v>
      </c>
      <c r="C92" s="426">
        <v>434</v>
      </c>
      <c r="D92" s="427">
        <f t="shared" si="152"/>
        <v>1681.75</v>
      </c>
      <c r="E92" s="428">
        <f>+D92/0.0125*0.125</f>
        <v>16817.5</v>
      </c>
      <c r="F92" s="428">
        <f>+E92/1500</f>
        <v>11.211666666666666</v>
      </c>
      <c r="G92" s="428">
        <f t="shared" ref="G92:G101" si="156">+D92/0.0125*0.000318</f>
        <v>42.783719999999995</v>
      </c>
      <c r="H92" s="429"/>
      <c r="I92" s="430">
        <f t="shared" si="87"/>
        <v>0</v>
      </c>
      <c r="J92" s="431">
        <f t="shared" ref="J92:J101" si="157">+I92/0.0185*0.185</f>
        <v>0</v>
      </c>
      <c r="K92" s="431">
        <f>+J92/1500</f>
        <v>0</v>
      </c>
      <c r="L92" s="431">
        <f t="shared" ref="L92:L101" si="158">+I92/0.0185*0.000318</f>
        <v>0</v>
      </c>
      <c r="M92" s="432"/>
      <c r="N92" s="433">
        <f t="shared" si="135"/>
        <v>0</v>
      </c>
      <c r="O92" s="434">
        <f t="shared" ref="O92:O101" si="159">+N92/0.0185*0.185</f>
        <v>0</v>
      </c>
      <c r="P92" s="434">
        <f t="shared" ref="P92" si="160">+O92/1500</f>
        <v>0</v>
      </c>
      <c r="Q92" s="434">
        <f t="shared" ref="Q92:Q101" si="161">+N92/0.0185*0.000318</f>
        <v>0</v>
      </c>
      <c r="R92" s="435"/>
      <c r="S92" s="436">
        <f t="shared" si="137"/>
        <v>0</v>
      </c>
      <c r="T92" s="437">
        <f t="shared" ref="T92:T101" si="162">+S92/0.0185*0.185</f>
        <v>0</v>
      </c>
      <c r="U92" s="437">
        <f t="shared" ref="U92" si="163">+T92/1500</f>
        <v>0</v>
      </c>
      <c r="V92" s="437">
        <f t="shared" ref="V92:V101" si="164">+S92/0.0185*0.000318</f>
        <v>0</v>
      </c>
      <c r="W92" s="300"/>
      <c r="X92" s="131">
        <f>+W92*2.4</f>
        <v>0</v>
      </c>
      <c r="Z92" s="162">
        <f>IFERROR((D92/'REKAPAN OKEY AYAM'!$AC12),"-")</f>
        <v>0.11836541358040331</v>
      </c>
      <c r="AA92" s="162" t="str">
        <f>IFERROR((I92/'REKAPAN CHAMP AYAM'!$AC12),"-")</f>
        <v>-</v>
      </c>
      <c r="AB92" s="162" t="str">
        <f>IFERROR((N92/'REKAPAN CHAMP SAPI'!AC12),"-")</f>
        <v>-</v>
      </c>
      <c r="AC92" s="162" t="str">
        <f>IFERROR((S92/'REKAPAN CHAMP OTAK-OTAK'!AC12),"-")</f>
        <v>-</v>
      </c>
      <c r="AD92" s="162" t="str">
        <f>IFERROR((X92/'REKAPAN FIESTA'!AC12),"-")</f>
        <v>-</v>
      </c>
      <c r="AE92" s="163"/>
      <c r="AF92" s="162">
        <f t="shared" si="39"/>
        <v>1500</v>
      </c>
      <c r="AG92" s="162" t="str">
        <f>IFERROR(((D92/0.0125*0.000318)/#REF!),"-")</f>
        <v>-</v>
      </c>
      <c r="AH92" s="162" t="str">
        <f t="shared" si="40"/>
        <v>-</v>
      </c>
      <c r="AI92" s="162" t="str">
        <f>IFERROR(((I92/0.0185*0.000318)/#REF!),"-")</f>
        <v>-</v>
      </c>
      <c r="AJ92" s="162" t="str">
        <f t="shared" si="41"/>
        <v>-</v>
      </c>
      <c r="AK92" s="162" t="str">
        <f>IFERROR(((N92/0.0185*0.000318)/#REF!),"-")</f>
        <v>-</v>
      </c>
      <c r="AL92" s="162" t="str">
        <f t="shared" si="42"/>
        <v>-</v>
      </c>
      <c r="AM92" s="162" t="str">
        <f>IFERROR(((S92/0.0185*0.000318)/#REF!),"-")</f>
        <v>-</v>
      </c>
      <c r="AN92" s="164"/>
      <c r="AO92" s="164"/>
      <c r="AP92" s="165"/>
      <c r="AQ92" s="161">
        <f>IFERROR(('REKAPAN OKEY AYAM'!$AD12),"-")</f>
        <v>1.0202880465536608</v>
      </c>
      <c r="AR92" s="161" t="str">
        <f>IFERROR(('REKAPAN CHAMP AYAM'!$AD12),"-")</f>
        <v>-</v>
      </c>
      <c r="AS92" s="161" t="str">
        <f>IFERROR(('REKAPAN CHAMP SAPI'!$AD12),"-")</f>
        <v>-</v>
      </c>
      <c r="AT92" s="161" t="str">
        <f>IFERROR(('REKAPAN CHAMP OTAK-OTAK'!$AD12),"-")</f>
        <v>-</v>
      </c>
      <c r="AU92" s="161" t="str">
        <f>IFERROR(('REKAPAN FIESTA'!$AD12),"-")</f>
        <v>-</v>
      </c>
    </row>
    <row r="93" spans="1:47">
      <c r="A93" s="471">
        <f>+$A92</f>
        <v>46212</v>
      </c>
      <c r="B93" s="497" t="s">
        <v>233</v>
      </c>
      <c r="C93" s="426">
        <v>450</v>
      </c>
      <c r="D93" s="427">
        <f t="shared" si="152"/>
        <v>1743.75</v>
      </c>
      <c r="E93" s="428">
        <f t="shared" ref="E93:E101" si="165">+D93/0.0125*0.125</f>
        <v>17437.5</v>
      </c>
      <c r="F93" s="428">
        <f t="shared" ref="F93:F101" si="166">+E93/1500</f>
        <v>11.625</v>
      </c>
      <c r="G93" s="428">
        <f t="shared" si="156"/>
        <v>44.360999999999997</v>
      </c>
      <c r="H93" s="429"/>
      <c r="I93" s="430">
        <f t="shared" si="87"/>
        <v>0</v>
      </c>
      <c r="J93" s="431">
        <f t="shared" si="157"/>
        <v>0</v>
      </c>
      <c r="K93" s="431">
        <f t="shared" ref="K93:K101" si="167">+J93/1500</f>
        <v>0</v>
      </c>
      <c r="L93" s="431">
        <f t="shared" si="158"/>
        <v>0</v>
      </c>
      <c r="M93" s="432"/>
      <c r="N93" s="433">
        <f t="shared" si="135"/>
        <v>0</v>
      </c>
      <c r="O93" s="434">
        <f t="shared" si="159"/>
        <v>0</v>
      </c>
      <c r="P93" s="434">
        <f t="shared" si="132"/>
        <v>0</v>
      </c>
      <c r="Q93" s="434">
        <f t="shared" si="161"/>
        <v>0</v>
      </c>
      <c r="R93" s="435"/>
      <c r="S93" s="436">
        <f t="shared" si="137"/>
        <v>0</v>
      </c>
      <c r="T93" s="437">
        <f t="shared" si="162"/>
        <v>0</v>
      </c>
      <c r="U93" s="437">
        <f t="shared" si="133"/>
        <v>0</v>
      </c>
      <c r="V93" s="437">
        <f t="shared" si="164"/>
        <v>0</v>
      </c>
      <c r="W93" s="300"/>
      <c r="X93" s="131"/>
      <c r="Z93" s="162"/>
      <c r="AA93" s="162"/>
      <c r="AB93" s="162"/>
      <c r="AC93" s="162"/>
      <c r="AD93" s="162"/>
      <c r="AE93" s="163"/>
      <c r="AF93" s="162"/>
      <c r="AG93" s="162"/>
      <c r="AH93" s="162"/>
      <c r="AI93" s="162"/>
      <c r="AJ93" s="162"/>
      <c r="AK93" s="162"/>
      <c r="AL93" s="162"/>
      <c r="AM93" s="162"/>
      <c r="AN93" s="164"/>
      <c r="AO93" s="164"/>
      <c r="AP93" s="165"/>
      <c r="AQ93" s="161"/>
      <c r="AR93" s="161"/>
      <c r="AS93" s="161"/>
      <c r="AT93" s="161"/>
      <c r="AU93" s="161"/>
    </row>
    <row r="94" spans="1:47">
      <c r="A94" s="471">
        <f t="shared" ref="A94:A101" si="168">+$A93</f>
        <v>46212</v>
      </c>
      <c r="B94" s="497" t="s">
        <v>234</v>
      </c>
      <c r="C94" s="426">
        <v>469</v>
      </c>
      <c r="D94" s="427">
        <f t="shared" si="152"/>
        <v>1817.375</v>
      </c>
      <c r="E94" s="428">
        <f t="shared" si="165"/>
        <v>18173.75</v>
      </c>
      <c r="F94" s="428">
        <f t="shared" si="166"/>
        <v>12.115833333333333</v>
      </c>
      <c r="G94" s="428">
        <f t="shared" si="156"/>
        <v>46.234019999999994</v>
      </c>
      <c r="H94" s="429"/>
      <c r="I94" s="430">
        <f t="shared" si="87"/>
        <v>0</v>
      </c>
      <c r="J94" s="431">
        <f t="shared" si="157"/>
        <v>0</v>
      </c>
      <c r="K94" s="431">
        <f t="shared" si="167"/>
        <v>0</v>
      </c>
      <c r="L94" s="431">
        <f t="shared" si="158"/>
        <v>0</v>
      </c>
      <c r="M94" s="432"/>
      <c r="N94" s="433">
        <f t="shared" si="135"/>
        <v>0</v>
      </c>
      <c r="O94" s="434">
        <f t="shared" si="159"/>
        <v>0</v>
      </c>
      <c r="P94" s="434">
        <f t="shared" si="132"/>
        <v>0</v>
      </c>
      <c r="Q94" s="434">
        <f t="shared" si="161"/>
        <v>0</v>
      </c>
      <c r="R94" s="435"/>
      <c r="S94" s="436">
        <f t="shared" si="137"/>
        <v>0</v>
      </c>
      <c r="T94" s="437">
        <f t="shared" si="162"/>
        <v>0</v>
      </c>
      <c r="U94" s="437">
        <f t="shared" si="133"/>
        <v>0</v>
      </c>
      <c r="V94" s="437">
        <f t="shared" si="164"/>
        <v>0</v>
      </c>
      <c r="W94" s="300"/>
      <c r="X94" s="131"/>
      <c r="Z94" s="162"/>
      <c r="AA94" s="162"/>
      <c r="AB94" s="162"/>
      <c r="AC94" s="162"/>
      <c r="AD94" s="162"/>
      <c r="AE94" s="163"/>
      <c r="AF94" s="162"/>
      <c r="AG94" s="162"/>
      <c r="AH94" s="162"/>
      <c r="AI94" s="162"/>
      <c r="AJ94" s="162"/>
      <c r="AK94" s="162"/>
      <c r="AL94" s="162"/>
      <c r="AM94" s="162"/>
      <c r="AN94" s="164"/>
      <c r="AO94" s="164"/>
      <c r="AP94" s="165"/>
      <c r="AQ94" s="161"/>
      <c r="AR94" s="161"/>
      <c r="AS94" s="161"/>
      <c r="AT94" s="161"/>
      <c r="AU94" s="161"/>
    </row>
    <row r="95" spans="1:47">
      <c r="A95" s="471">
        <f t="shared" si="168"/>
        <v>46212</v>
      </c>
      <c r="B95" s="497" t="s">
        <v>235</v>
      </c>
      <c r="C95" s="426">
        <v>436</v>
      </c>
      <c r="D95" s="427">
        <f t="shared" si="152"/>
        <v>1689.5</v>
      </c>
      <c r="E95" s="428">
        <f t="shared" si="165"/>
        <v>16895</v>
      </c>
      <c r="F95" s="428">
        <f t="shared" si="166"/>
        <v>11.263333333333334</v>
      </c>
      <c r="G95" s="428">
        <f t="shared" si="156"/>
        <v>42.980879999999999</v>
      </c>
      <c r="H95" s="429"/>
      <c r="I95" s="430">
        <f t="shared" si="87"/>
        <v>0</v>
      </c>
      <c r="J95" s="431">
        <f t="shared" si="157"/>
        <v>0</v>
      </c>
      <c r="K95" s="431">
        <f t="shared" si="167"/>
        <v>0</v>
      </c>
      <c r="L95" s="431">
        <f t="shared" si="158"/>
        <v>0</v>
      </c>
      <c r="M95" s="432"/>
      <c r="N95" s="433">
        <f t="shared" si="135"/>
        <v>0</v>
      </c>
      <c r="O95" s="434">
        <f t="shared" si="159"/>
        <v>0</v>
      </c>
      <c r="P95" s="434">
        <f t="shared" si="132"/>
        <v>0</v>
      </c>
      <c r="Q95" s="434">
        <f t="shared" si="161"/>
        <v>0</v>
      </c>
      <c r="R95" s="435"/>
      <c r="S95" s="436">
        <f t="shared" si="137"/>
        <v>0</v>
      </c>
      <c r="T95" s="437">
        <f t="shared" si="162"/>
        <v>0</v>
      </c>
      <c r="U95" s="437">
        <f t="shared" si="133"/>
        <v>0</v>
      </c>
      <c r="V95" s="437">
        <f t="shared" si="164"/>
        <v>0</v>
      </c>
      <c r="W95" s="300"/>
      <c r="X95" s="131"/>
      <c r="Z95" s="162"/>
      <c r="AA95" s="162"/>
      <c r="AB95" s="162"/>
      <c r="AC95" s="162"/>
      <c r="AD95" s="162"/>
      <c r="AE95" s="163"/>
      <c r="AF95" s="162"/>
      <c r="AG95" s="162"/>
      <c r="AH95" s="162"/>
      <c r="AI95" s="162"/>
      <c r="AJ95" s="162"/>
      <c r="AK95" s="162"/>
      <c r="AL95" s="162"/>
      <c r="AM95" s="162"/>
      <c r="AN95" s="164"/>
      <c r="AO95" s="164"/>
      <c r="AP95" s="165"/>
      <c r="AQ95" s="161"/>
      <c r="AR95" s="161"/>
      <c r="AS95" s="161"/>
      <c r="AT95" s="161"/>
      <c r="AU95" s="161"/>
    </row>
    <row r="96" spans="1:47">
      <c r="A96" s="471">
        <f t="shared" si="168"/>
        <v>46212</v>
      </c>
      <c r="B96" s="497" t="s">
        <v>236</v>
      </c>
      <c r="C96" s="426">
        <v>490</v>
      </c>
      <c r="D96" s="427">
        <f t="shared" si="152"/>
        <v>1898.75</v>
      </c>
      <c r="E96" s="428">
        <f t="shared" si="165"/>
        <v>18987.5</v>
      </c>
      <c r="F96" s="428">
        <f t="shared" si="166"/>
        <v>12.658333333333333</v>
      </c>
      <c r="G96" s="428">
        <f t="shared" si="156"/>
        <v>48.304199999999994</v>
      </c>
      <c r="H96" s="429"/>
      <c r="I96" s="430">
        <f t="shared" si="87"/>
        <v>0</v>
      </c>
      <c r="J96" s="431">
        <f t="shared" si="157"/>
        <v>0</v>
      </c>
      <c r="K96" s="431">
        <f t="shared" si="167"/>
        <v>0</v>
      </c>
      <c r="L96" s="431">
        <f t="shared" si="158"/>
        <v>0</v>
      </c>
      <c r="M96" s="432"/>
      <c r="N96" s="433">
        <f t="shared" si="135"/>
        <v>0</v>
      </c>
      <c r="O96" s="434">
        <f t="shared" si="159"/>
        <v>0</v>
      </c>
      <c r="P96" s="434">
        <f t="shared" si="132"/>
        <v>0</v>
      </c>
      <c r="Q96" s="434">
        <f t="shared" si="161"/>
        <v>0</v>
      </c>
      <c r="R96" s="435"/>
      <c r="S96" s="436">
        <f t="shared" si="137"/>
        <v>0</v>
      </c>
      <c r="T96" s="437">
        <f t="shared" si="162"/>
        <v>0</v>
      </c>
      <c r="U96" s="437">
        <f t="shared" si="133"/>
        <v>0</v>
      </c>
      <c r="V96" s="437">
        <f t="shared" si="164"/>
        <v>0</v>
      </c>
      <c r="W96" s="300"/>
      <c r="X96" s="131"/>
      <c r="Z96" s="162"/>
      <c r="AA96" s="162"/>
      <c r="AB96" s="162"/>
      <c r="AC96" s="162"/>
      <c r="AD96" s="162"/>
      <c r="AE96" s="163"/>
      <c r="AF96" s="162"/>
      <c r="AG96" s="162"/>
      <c r="AH96" s="162"/>
      <c r="AI96" s="162"/>
      <c r="AJ96" s="162"/>
      <c r="AK96" s="162"/>
      <c r="AL96" s="162"/>
      <c r="AM96" s="162"/>
      <c r="AN96" s="164"/>
      <c r="AO96" s="164"/>
      <c r="AP96" s="165"/>
      <c r="AQ96" s="161"/>
      <c r="AR96" s="161"/>
      <c r="AS96" s="161"/>
      <c r="AT96" s="161"/>
      <c r="AU96" s="161"/>
    </row>
    <row r="97" spans="1:47">
      <c r="A97" s="471">
        <f t="shared" si="168"/>
        <v>46212</v>
      </c>
      <c r="B97" s="497" t="s">
        <v>237</v>
      </c>
      <c r="C97" s="426">
        <v>446</v>
      </c>
      <c r="D97" s="427">
        <f t="shared" si="152"/>
        <v>1728.25</v>
      </c>
      <c r="E97" s="428">
        <f t="shared" si="165"/>
        <v>17282.5</v>
      </c>
      <c r="F97" s="428">
        <f t="shared" si="166"/>
        <v>11.521666666666667</v>
      </c>
      <c r="G97" s="428">
        <f t="shared" si="156"/>
        <v>43.966679999999997</v>
      </c>
      <c r="H97" s="429"/>
      <c r="I97" s="430">
        <f t="shared" si="87"/>
        <v>0</v>
      </c>
      <c r="J97" s="431">
        <f t="shared" si="157"/>
        <v>0</v>
      </c>
      <c r="K97" s="431">
        <f t="shared" si="167"/>
        <v>0</v>
      </c>
      <c r="L97" s="431">
        <f t="shared" si="158"/>
        <v>0</v>
      </c>
      <c r="M97" s="432"/>
      <c r="N97" s="433">
        <f t="shared" si="135"/>
        <v>0</v>
      </c>
      <c r="O97" s="434">
        <f t="shared" si="159"/>
        <v>0</v>
      </c>
      <c r="P97" s="434">
        <f t="shared" si="132"/>
        <v>0</v>
      </c>
      <c r="Q97" s="434">
        <f t="shared" si="161"/>
        <v>0</v>
      </c>
      <c r="R97" s="435"/>
      <c r="S97" s="436">
        <f t="shared" si="137"/>
        <v>0</v>
      </c>
      <c r="T97" s="437">
        <f t="shared" si="162"/>
        <v>0</v>
      </c>
      <c r="U97" s="437">
        <f t="shared" si="133"/>
        <v>0</v>
      </c>
      <c r="V97" s="437">
        <f t="shared" si="164"/>
        <v>0</v>
      </c>
      <c r="W97" s="300"/>
      <c r="X97" s="131"/>
      <c r="Z97" s="162"/>
      <c r="AA97" s="162"/>
      <c r="AB97" s="162"/>
      <c r="AC97" s="162"/>
      <c r="AD97" s="162"/>
      <c r="AE97" s="163"/>
      <c r="AF97" s="162"/>
      <c r="AG97" s="162"/>
      <c r="AH97" s="162"/>
      <c r="AI97" s="162"/>
      <c r="AJ97" s="162"/>
      <c r="AK97" s="162"/>
      <c r="AL97" s="162"/>
      <c r="AM97" s="162"/>
      <c r="AN97" s="164"/>
      <c r="AO97" s="164"/>
      <c r="AP97" s="165"/>
      <c r="AQ97" s="161"/>
      <c r="AR97" s="161"/>
      <c r="AS97" s="161"/>
      <c r="AT97" s="161"/>
      <c r="AU97" s="161"/>
    </row>
    <row r="98" spans="1:47">
      <c r="A98" s="471">
        <f t="shared" si="168"/>
        <v>46212</v>
      </c>
      <c r="B98" s="497" t="s">
        <v>238</v>
      </c>
      <c r="C98" s="426">
        <v>427</v>
      </c>
      <c r="D98" s="427">
        <f t="shared" si="152"/>
        <v>1654.625</v>
      </c>
      <c r="E98" s="428">
        <f t="shared" si="165"/>
        <v>16546.25</v>
      </c>
      <c r="F98" s="428">
        <f t="shared" si="166"/>
        <v>11.030833333333334</v>
      </c>
      <c r="G98" s="428">
        <f t="shared" si="156"/>
        <v>42.09366</v>
      </c>
      <c r="H98" s="429"/>
      <c r="I98" s="430">
        <f t="shared" si="87"/>
        <v>0</v>
      </c>
      <c r="J98" s="431">
        <f t="shared" si="157"/>
        <v>0</v>
      </c>
      <c r="K98" s="431">
        <f t="shared" si="167"/>
        <v>0</v>
      </c>
      <c r="L98" s="431">
        <f t="shared" si="158"/>
        <v>0</v>
      </c>
      <c r="M98" s="432"/>
      <c r="N98" s="433">
        <f t="shared" si="135"/>
        <v>0</v>
      </c>
      <c r="O98" s="434">
        <f t="shared" si="159"/>
        <v>0</v>
      </c>
      <c r="P98" s="434">
        <f t="shared" si="132"/>
        <v>0</v>
      </c>
      <c r="Q98" s="434">
        <f t="shared" si="161"/>
        <v>0</v>
      </c>
      <c r="R98" s="435"/>
      <c r="S98" s="436">
        <f t="shared" si="137"/>
        <v>0</v>
      </c>
      <c r="T98" s="437">
        <f t="shared" si="162"/>
        <v>0</v>
      </c>
      <c r="U98" s="437">
        <f t="shared" si="133"/>
        <v>0</v>
      </c>
      <c r="V98" s="437">
        <f t="shared" si="164"/>
        <v>0</v>
      </c>
      <c r="W98" s="300"/>
      <c r="X98" s="131"/>
      <c r="Z98" s="162"/>
      <c r="AA98" s="162"/>
      <c r="AB98" s="162"/>
      <c r="AC98" s="162"/>
      <c r="AD98" s="162"/>
      <c r="AE98" s="163"/>
      <c r="AF98" s="162"/>
      <c r="AG98" s="162"/>
      <c r="AH98" s="162"/>
      <c r="AI98" s="162"/>
      <c r="AJ98" s="162"/>
      <c r="AK98" s="162"/>
      <c r="AL98" s="162"/>
      <c r="AM98" s="162"/>
      <c r="AN98" s="164"/>
      <c r="AO98" s="164"/>
      <c r="AP98" s="165"/>
      <c r="AQ98" s="161"/>
      <c r="AR98" s="161"/>
      <c r="AS98" s="161"/>
      <c r="AT98" s="161"/>
      <c r="AU98" s="161"/>
    </row>
    <row r="99" spans="1:47">
      <c r="A99" s="471">
        <f t="shared" si="168"/>
        <v>46212</v>
      </c>
      <c r="B99" s="497" t="s">
        <v>239</v>
      </c>
      <c r="C99" s="426">
        <v>310</v>
      </c>
      <c r="D99" s="427">
        <f t="shared" si="152"/>
        <v>1201.25</v>
      </c>
      <c r="E99" s="428">
        <f t="shared" si="165"/>
        <v>12012.5</v>
      </c>
      <c r="F99" s="428">
        <f t="shared" si="166"/>
        <v>8.0083333333333329</v>
      </c>
      <c r="G99" s="428">
        <f t="shared" si="156"/>
        <v>30.559799999999999</v>
      </c>
      <c r="H99" s="429"/>
      <c r="I99" s="430">
        <f t="shared" si="87"/>
        <v>0</v>
      </c>
      <c r="J99" s="431">
        <f t="shared" si="157"/>
        <v>0</v>
      </c>
      <c r="K99" s="431">
        <f t="shared" si="167"/>
        <v>0</v>
      </c>
      <c r="L99" s="431">
        <f t="shared" si="158"/>
        <v>0</v>
      </c>
      <c r="M99" s="432"/>
      <c r="N99" s="433">
        <f t="shared" si="135"/>
        <v>0</v>
      </c>
      <c r="O99" s="434">
        <f t="shared" si="159"/>
        <v>0</v>
      </c>
      <c r="P99" s="434">
        <f t="shared" si="132"/>
        <v>0</v>
      </c>
      <c r="Q99" s="434">
        <f t="shared" si="161"/>
        <v>0</v>
      </c>
      <c r="R99" s="435"/>
      <c r="S99" s="436">
        <f t="shared" si="137"/>
        <v>0</v>
      </c>
      <c r="T99" s="437">
        <f t="shared" si="162"/>
        <v>0</v>
      </c>
      <c r="U99" s="437">
        <f t="shared" si="133"/>
        <v>0</v>
      </c>
      <c r="V99" s="437">
        <f t="shared" si="164"/>
        <v>0</v>
      </c>
      <c r="W99" s="300"/>
      <c r="X99" s="131"/>
      <c r="Z99" s="162"/>
      <c r="AA99" s="162"/>
      <c r="AB99" s="162"/>
      <c r="AC99" s="162"/>
      <c r="AD99" s="162"/>
      <c r="AE99" s="163"/>
      <c r="AF99" s="162"/>
      <c r="AG99" s="162"/>
      <c r="AH99" s="162"/>
      <c r="AI99" s="162"/>
      <c r="AJ99" s="162"/>
      <c r="AK99" s="162"/>
      <c r="AL99" s="162"/>
      <c r="AM99" s="162"/>
      <c r="AN99" s="164"/>
      <c r="AO99" s="164"/>
      <c r="AP99" s="165"/>
      <c r="AQ99" s="161"/>
      <c r="AR99" s="161"/>
      <c r="AS99" s="161"/>
      <c r="AT99" s="161"/>
      <c r="AU99" s="161"/>
    </row>
    <row r="100" spans="1:47">
      <c r="A100" s="471">
        <f t="shared" si="168"/>
        <v>46212</v>
      </c>
      <c r="B100" s="497" t="s">
        <v>240</v>
      </c>
      <c r="C100" s="426">
        <v>463</v>
      </c>
      <c r="D100" s="427">
        <f t="shared" si="152"/>
        <v>1794.125</v>
      </c>
      <c r="E100" s="428">
        <f t="shared" si="165"/>
        <v>17941.25</v>
      </c>
      <c r="F100" s="428">
        <f t="shared" si="166"/>
        <v>11.960833333333333</v>
      </c>
      <c r="G100" s="428">
        <f t="shared" si="156"/>
        <v>45.642539999999997</v>
      </c>
      <c r="H100" s="429"/>
      <c r="I100" s="430">
        <f t="shared" si="87"/>
        <v>0</v>
      </c>
      <c r="J100" s="431">
        <f t="shared" si="157"/>
        <v>0</v>
      </c>
      <c r="K100" s="431">
        <f t="shared" si="167"/>
        <v>0</v>
      </c>
      <c r="L100" s="431">
        <f t="shared" si="158"/>
        <v>0</v>
      </c>
      <c r="M100" s="432"/>
      <c r="N100" s="433">
        <f t="shared" si="135"/>
        <v>0</v>
      </c>
      <c r="O100" s="434">
        <f t="shared" si="159"/>
        <v>0</v>
      </c>
      <c r="P100" s="434">
        <f t="shared" si="132"/>
        <v>0</v>
      </c>
      <c r="Q100" s="434">
        <f t="shared" si="161"/>
        <v>0</v>
      </c>
      <c r="R100" s="435"/>
      <c r="S100" s="436">
        <f t="shared" si="137"/>
        <v>0</v>
      </c>
      <c r="T100" s="437">
        <f t="shared" si="162"/>
        <v>0</v>
      </c>
      <c r="U100" s="437">
        <f t="shared" si="133"/>
        <v>0</v>
      </c>
      <c r="V100" s="437">
        <f t="shared" si="164"/>
        <v>0</v>
      </c>
      <c r="W100" s="300"/>
      <c r="X100" s="131"/>
      <c r="Z100" s="162"/>
      <c r="AA100" s="162"/>
      <c r="AB100" s="162"/>
      <c r="AC100" s="162"/>
      <c r="AD100" s="162"/>
      <c r="AE100" s="163"/>
      <c r="AF100" s="162"/>
      <c r="AG100" s="162"/>
      <c r="AH100" s="162"/>
      <c r="AI100" s="162"/>
      <c r="AJ100" s="162"/>
      <c r="AK100" s="162"/>
      <c r="AL100" s="162"/>
      <c r="AM100" s="162"/>
      <c r="AN100" s="164"/>
      <c r="AO100" s="164"/>
      <c r="AP100" s="165"/>
      <c r="AQ100" s="161"/>
      <c r="AR100" s="161"/>
      <c r="AS100" s="161"/>
      <c r="AT100" s="161"/>
      <c r="AU100" s="161"/>
    </row>
    <row r="101" spans="1:47">
      <c r="A101" s="471">
        <f t="shared" si="168"/>
        <v>46212</v>
      </c>
      <c r="B101" s="497"/>
      <c r="C101" s="426"/>
      <c r="D101" s="427">
        <f t="shared" si="152"/>
        <v>0</v>
      </c>
      <c r="E101" s="428">
        <f t="shared" si="165"/>
        <v>0</v>
      </c>
      <c r="F101" s="428">
        <f t="shared" si="166"/>
        <v>0</v>
      </c>
      <c r="G101" s="428">
        <f t="shared" si="156"/>
        <v>0</v>
      </c>
      <c r="H101" s="429"/>
      <c r="I101" s="430">
        <f t="shared" si="87"/>
        <v>0</v>
      </c>
      <c r="J101" s="431">
        <f t="shared" si="157"/>
        <v>0</v>
      </c>
      <c r="K101" s="431">
        <f t="shared" si="167"/>
        <v>0</v>
      </c>
      <c r="L101" s="431">
        <f t="shared" si="158"/>
        <v>0</v>
      </c>
      <c r="M101" s="432"/>
      <c r="N101" s="433">
        <f t="shared" si="135"/>
        <v>0</v>
      </c>
      <c r="O101" s="434">
        <f t="shared" si="159"/>
        <v>0</v>
      </c>
      <c r="P101" s="434">
        <f t="shared" si="132"/>
        <v>0</v>
      </c>
      <c r="Q101" s="434">
        <f t="shared" si="161"/>
        <v>0</v>
      </c>
      <c r="R101" s="435"/>
      <c r="S101" s="436">
        <f t="shared" si="137"/>
        <v>0</v>
      </c>
      <c r="T101" s="437">
        <f t="shared" si="162"/>
        <v>0</v>
      </c>
      <c r="U101" s="437">
        <f t="shared" si="133"/>
        <v>0</v>
      </c>
      <c r="V101" s="437">
        <f t="shared" si="164"/>
        <v>0</v>
      </c>
      <c r="W101" s="300"/>
      <c r="X101" s="131"/>
      <c r="Z101" s="162"/>
      <c r="AA101" s="162"/>
      <c r="AB101" s="162"/>
      <c r="AC101" s="162"/>
      <c r="AD101" s="162"/>
      <c r="AE101" s="163"/>
      <c r="AF101" s="162"/>
      <c r="AG101" s="162"/>
      <c r="AH101" s="162"/>
      <c r="AI101" s="162"/>
      <c r="AJ101" s="162"/>
      <c r="AK101" s="162"/>
      <c r="AL101" s="162"/>
      <c r="AM101" s="162"/>
      <c r="AN101" s="164"/>
      <c r="AO101" s="164"/>
      <c r="AP101" s="165"/>
      <c r="AQ101" s="161"/>
      <c r="AR101" s="161"/>
      <c r="AS101" s="161"/>
      <c r="AT101" s="161"/>
      <c r="AU101" s="161"/>
    </row>
    <row r="102" spans="1:47" ht="14.25">
      <c r="A102" s="471"/>
      <c r="B102" s="498" t="s">
        <v>118</v>
      </c>
      <c r="C102" s="438">
        <f>SUM(C92:C101)</f>
        <v>3925</v>
      </c>
      <c r="D102" s="439">
        <f t="shared" si="152"/>
        <v>15209.375</v>
      </c>
      <c r="E102" s="438">
        <f>SUM(E92:E101)</f>
        <v>152093.75</v>
      </c>
      <c r="F102" s="463">
        <f>SUM(F92:F101)</f>
        <v>101.39583333333334</v>
      </c>
      <c r="G102" s="463">
        <f>SUM(G92:G101)</f>
        <v>386.92649999999998</v>
      </c>
      <c r="H102" s="440">
        <f>SUM(H92:H101)</f>
        <v>0</v>
      </c>
      <c r="I102" s="441">
        <f t="shared" si="87"/>
        <v>0</v>
      </c>
      <c r="J102" s="440">
        <f>SUM(J92:J101)</f>
        <v>0</v>
      </c>
      <c r="K102" s="466">
        <f>SUM(K92:K101)</f>
        <v>0</v>
      </c>
      <c r="L102" s="466">
        <f>SUM(L92:L101)</f>
        <v>0</v>
      </c>
      <c r="M102" s="442">
        <f t="shared" ref="M102" si="169">SUM(M92:M101)</f>
        <v>0</v>
      </c>
      <c r="N102" s="443">
        <f t="shared" si="135"/>
        <v>0</v>
      </c>
      <c r="O102" s="442">
        <f t="shared" ref="O102:R102" si="170">SUM(O92:O101)</f>
        <v>0</v>
      </c>
      <c r="P102" s="468">
        <f t="shared" si="170"/>
        <v>0</v>
      </c>
      <c r="Q102" s="468">
        <f t="shared" si="170"/>
        <v>0</v>
      </c>
      <c r="R102" s="444">
        <f t="shared" si="170"/>
        <v>0</v>
      </c>
      <c r="S102" s="445">
        <f t="shared" si="137"/>
        <v>0</v>
      </c>
      <c r="T102" s="444">
        <f t="shared" ref="T102:V102" si="171">SUM(T92:T101)</f>
        <v>0</v>
      </c>
      <c r="U102" s="470">
        <f t="shared" si="171"/>
        <v>0</v>
      </c>
      <c r="V102" s="470">
        <f t="shared" si="171"/>
        <v>0</v>
      </c>
      <c r="W102" s="300"/>
      <c r="X102" s="131"/>
      <c r="Z102" s="162"/>
      <c r="AA102" s="162"/>
      <c r="AB102" s="162"/>
      <c r="AC102" s="162"/>
      <c r="AD102" s="162"/>
      <c r="AE102" s="163"/>
      <c r="AF102" s="162"/>
      <c r="AG102" s="162"/>
      <c r="AH102" s="162"/>
      <c r="AI102" s="162"/>
      <c r="AJ102" s="162"/>
      <c r="AK102" s="162"/>
      <c r="AL102" s="162"/>
      <c r="AM102" s="162"/>
      <c r="AN102" s="164"/>
      <c r="AO102" s="164"/>
      <c r="AP102" s="165"/>
      <c r="AQ102" s="161"/>
      <c r="AR102" s="161"/>
      <c r="AS102" s="161"/>
      <c r="AT102" s="161"/>
      <c r="AU102" s="161"/>
    </row>
    <row r="103" spans="1:47">
      <c r="A103" s="472">
        <f>+A92+1</f>
        <v>46213</v>
      </c>
      <c r="B103" s="497" t="s">
        <v>241</v>
      </c>
      <c r="C103" s="426">
        <v>447</v>
      </c>
      <c r="D103" s="427">
        <f t="shared" si="152"/>
        <v>1732.125</v>
      </c>
      <c r="E103" s="428">
        <f>+D103/0.0125*0.125</f>
        <v>17321.25</v>
      </c>
      <c r="F103" s="428">
        <f>+E103/1500</f>
        <v>11.547499999999999</v>
      </c>
      <c r="G103" s="428">
        <f t="shared" ref="G103:G112" si="172">+D103/0.0125*0.000318</f>
        <v>44.065259999999995</v>
      </c>
      <c r="H103" s="429"/>
      <c r="I103" s="430">
        <f t="shared" si="87"/>
        <v>0</v>
      </c>
      <c r="J103" s="431">
        <f t="shared" ref="J103:J112" si="173">+I103/0.0185*0.185</f>
        <v>0</v>
      </c>
      <c r="K103" s="431">
        <f>+J103/1500</f>
        <v>0</v>
      </c>
      <c r="L103" s="431">
        <f t="shared" ref="L103:L112" si="174">+I103/0.0185*0.000318</f>
        <v>0</v>
      </c>
      <c r="M103" s="432"/>
      <c r="N103" s="433">
        <f t="shared" si="135"/>
        <v>0</v>
      </c>
      <c r="O103" s="434">
        <f t="shared" ref="O103:O112" si="175">+N103/0.0185*0.185</f>
        <v>0</v>
      </c>
      <c r="P103" s="434">
        <f t="shared" ref="P103" si="176">+O103/1500</f>
        <v>0</v>
      </c>
      <c r="Q103" s="434">
        <f t="shared" ref="Q103:Q112" si="177">+N103/0.0185*0.000318</f>
        <v>0</v>
      </c>
      <c r="R103" s="435"/>
      <c r="S103" s="436">
        <f t="shared" si="137"/>
        <v>0</v>
      </c>
      <c r="T103" s="437">
        <f t="shared" ref="T103:T112" si="178">+S103/0.0185*0.185</f>
        <v>0</v>
      </c>
      <c r="U103" s="437">
        <f t="shared" ref="U103" si="179">+T103/1500</f>
        <v>0</v>
      </c>
      <c r="V103" s="437">
        <f t="shared" ref="V103:V112" si="180">+S103/0.0185*0.000318</f>
        <v>0</v>
      </c>
      <c r="W103" s="300"/>
      <c r="X103" s="131">
        <f>+W103*2.4</f>
        <v>0</v>
      </c>
      <c r="Z103" s="162">
        <f>IFERROR((D103/'REKAPAN OKEY AYAM'!$AC13),"-")</f>
        <v>0.12191092136046147</v>
      </c>
      <c r="AA103" s="162" t="str">
        <f>IFERROR((I103/'REKAPAN CHAMP AYAM'!$AC13),"-")</f>
        <v>-</v>
      </c>
      <c r="AB103" s="162" t="str">
        <f>IFERROR((N103/'REKAPAN CHAMP SAPI'!AC13),"-")</f>
        <v>-</v>
      </c>
      <c r="AC103" s="162" t="str">
        <f>IFERROR((S103/'REKAPAN CHAMP OTAK-OTAK'!AC13),"-")</f>
        <v>-</v>
      </c>
      <c r="AD103" s="162" t="str">
        <f>IFERROR((X103/'REKAPAN FIESTA'!AC13),"-")</f>
        <v>-</v>
      </c>
      <c r="AE103" s="163"/>
      <c r="AF103" s="162">
        <f t="shared" si="39"/>
        <v>1500</v>
      </c>
      <c r="AG103" s="162" t="str">
        <f>IFERROR(((D103/0.0125*0.000318)/#REF!),"-")</f>
        <v>-</v>
      </c>
      <c r="AH103" s="162" t="str">
        <f t="shared" si="40"/>
        <v>-</v>
      </c>
      <c r="AI103" s="162" t="str">
        <f>IFERROR(((I103/0.0185*0.000318)/#REF!),"-")</f>
        <v>-</v>
      </c>
      <c r="AJ103" s="162" t="str">
        <f t="shared" si="41"/>
        <v>-</v>
      </c>
      <c r="AK103" s="162" t="str">
        <f>IFERROR(((N103/0.0185*0.000318)/#REF!),"-")</f>
        <v>-</v>
      </c>
      <c r="AL103" s="162" t="str">
        <f t="shared" si="42"/>
        <v>-</v>
      </c>
      <c r="AM103" s="162" t="str">
        <f>IFERROR(((S103/0.0185*0.000318)/#REF!),"-")</f>
        <v>-</v>
      </c>
      <c r="AN103" s="164"/>
      <c r="AO103" s="164"/>
      <c r="AP103" s="165"/>
      <c r="AQ103" s="161">
        <f>IFERROR(('REKAPAN OKEY AYAM'!$AD13),"-")</f>
        <v>0.92919576974293572</v>
      </c>
      <c r="AR103" s="161" t="str">
        <f>IFERROR(('REKAPAN CHAMP AYAM'!$AD13),"-")</f>
        <v>-</v>
      </c>
      <c r="AS103" s="161" t="str">
        <f>IFERROR(('REKAPAN CHAMP SAPI'!$AD13),"-")</f>
        <v>-</v>
      </c>
      <c r="AT103" s="161" t="str">
        <f>IFERROR(('REKAPAN CHAMP OTAK-OTAK'!$AD13),"-")</f>
        <v>-</v>
      </c>
      <c r="AU103" s="161" t="str">
        <f>IFERROR(('REKAPAN FIESTA'!$AD13),"-")</f>
        <v>-</v>
      </c>
    </row>
    <row r="104" spans="1:47">
      <c r="A104" s="471">
        <f>+$A103</f>
        <v>46213</v>
      </c>
      <c r="B104" s="497" t="s">
        <v>242</v>
      </c>
      <c r="C104" s="426">
        <v>425</v>
      </c>
      <c r="D104" s="427">
        <f t="shared" si="152"/>
        <v>1646.875</v>
      </c>
      <c r="E104" s="428">
        <f t="shared" ref="E104:E112" si="181">+D104/0.0125*0.125</f>
        <v>16468.75</v>
      </c>
      <c r="F104" s="428">
        <f t="shared" ref="F104:F112" si="182">+E104/1500</f>
        <v>10.979166666666666</v>
      </c>
      <c r="G104" s="428">
        <f t="shared" si="172"/>
        <v>41.896499999999996</v>
      </c>
      <c r="H104" s="429"/>
      <c r="I104" s="430">
        <f t="shared" si="87"/>
        <v>0</v>
      </c>
      <c r="J104" s="431">
        <f t="shared" si="173"/>
        <v>0</v>
      </c>
      <c r="K104" s="431">
        <f t="shared" ref="K104:K112" si="183">+J104/1500</f>
        <v>0</v>
      </c>
      <c r="L104" s="431">
        <f t="shared" si="174"/>
        <v>0</v>
      </c>
      <c r="M104" s="432"/>
      <c r="N104" s="433">
        <f t="shared" si="135"/>
        <v>0</v>
      </c>
      <c r="O104" s="434">
        <f t="shared" si="175"/>
        <v>0</v>
      </c>
      <c r="P104" s="434">
        <f t="shared" si="132"/>
        <v>0</v>
      </c>
      <c r="Q104" s="434">
        <f t="shared" si="177"/>
        <v>0</v>
      </c>
      <c r="R104" s="435"/>
      <c r="S104" s="436">
        <f t="shared" si="137"/>
        <v>0</v>
      </c>
      <c r="T104" s="437">
        <f t="shared" si="178"/>
        <v>0</v>
      </c>
      <c r="U104" s="437">
        <f t="shared" si="133"/>
        <v>0</v>
      </c>
      <c r="V104" s="437">
        <f t="shared" si="180"/>
        <v>0</v>
      </c>
      <c r="W104" s="300"/>
      <c r="X104" s="131"/>
      <c r="Z104" s="162"/>
      <c r="AA104" s="162"/>
      <c r="AB104" s="162"/>
      <c r="AC104" s="162"/>
      <c r="AD104" s="162"/>
      <c r="AE104" s="163"/>
      <c r="AF104" s="162"/>
      <c r="AG104" s="162"/>
      <c r="AH104" s="162"/>
      <c r="AI104" s="162"/>
      <c r="AJ104" s="162"/>
      <c r="AK104" s="162"/>
      <c r="AL104" s="162"/>
      <c r="AM104" s="162"/>
      <c r="AN104" s="164"/>
      <c r="AO104" s="164"/>
      <c r="AP104" s="165"/>
      <c r="AQ104" s="161"/>
      <c r="AR104" s="161"/>
      <c r="AS104" s="161"/>
      <c r="AT104" s="161"/>
      <c r="AU104" s="161"/>
    </row>
    <row r="105" spans="1:47">
      <c r="A105" s="471">
        <f t="shared" ref="A105:A112" si="184">+$A104</f>
        <v>46213</v>
      </c>
      <c r="B105" s="497" t="s">
        <v>243</v>
      </c>
      <c r="C105" s="426">
        <v>469</v>
      </c>
      <c r="D105" s="427">
        <f t="shared" si="152"/>
        <v>1817.375</v>
      </c>
      <c r="E105" s="428">
        <f t="shared" si="181"/>
        <v>18173.75</v>
      </c>
      <c r="F105" s="428">
        <f t="shared" si="182"/>
        <v>12.115833333333333</v>
      </c>
      <c r="G105" s="428">
        <f t="shared" si="172"/>
        <v>46.234019999999994</v>
      </c>
      <c r="H105" s="429"/>
      <c r="I105" s="430">
        <f t="shared" si="87"/>
        <v>0</v>
      </c>
      <c r="J105" s="431">
        <f t="shared" si="173"/>
        <v>0</v>
      </c>
      <c r="K105" s="431">
        <f t="shared" si="183"/>
        <v>0</v>
      </c>
      <c r="L105" s="431">
        <f t="shared" si="174"/>
        <v>0</v>
      </c>
      <c r="M105" s="432"/>
      <c r="N105" s="433">
        <f t="shared" si="135"/>
        <v>0</v>
      </c>
      <c r="O105" s="434">
        <f t="shared" si="175"/>
        <v>0</v>
      </c>
      <c r="P105" s="434">
        <f t="shared" si="132"/>
        <v>0</v>
      </c>
      <c r="Q105" s="434">
        <f t="shared" si="177"/>
        <v>0</v>
      </c>
      <c r="R105" s="435"/>
      <c r="S105" s="436">
        <f t="shared" si="137"/>
        <v>0</v>
      </c>
      <c r="T105" s="437">
        <f t="shared" si="178"/>
        <v>0</v>
      </c>
      <c r="U105" s="437">
        <f t="shared" si="133"/>
        <v>0</v>
      </c>
      <c r="V105" s="437">
        <f t="shared" si="180"/>
        <v>0</v>
      </c>
      <c r="W105" s="300"/>
      <c r="X105" s="131"/>
      <c r="Z105" s="162"/>
      <c r="AA105" s="162"/>
      <c r="AB105" s="162"/>
      <c r="AC105" s="162"/>
      <c r="AD105" s="162"/>
      <c r="AE105" s="163"/>
      <c r="AF105" s="162"/>
      <c r="AG105" s="162"/>
      <c r="AH105" s="162"/>
      <c r="AI105" s="162"/>
      <c r="AJ105" s="162"/>
      <c r="AK105" s="162"/>
      <c r="AL105" s="162"/>
      <c r="AM105" s="162"/>
      <c r="AN105" s="164"/>
      <c r="AO105" s="164"/>
      <c r="AP105" s="165"/>
      <c r="AQ105" s="161"/>
      <c r="AR105" s="161"/>
      <c r="AS105" s="161"/>
      <c r="AT105" s="161"/>
      <c r="AU105" s="161"/>
    </row>
    <row r="106" spans="1:47">
      <c r="A106" s="471">
        <f t="shared" si="184"/>
        <v>46213</v>
      </c>
      <c r="B106" s="497" t="s">
        <v>244</v>
      </c>
      <c r="C106" s="426">
        <v>436</v>
      </c>
      <c r="D106" s="427">
        <f t="shared" si="152"/>
        <v>1689.5</v>
      </c>
      <c r="E106" s="428">
        <f t="shared" si="181"/>
        <v>16895</v>
      </c>
      <c r="F106" s="428">
        <f t="shared" si="182"/>
        <v>11.263333333333334</v>
      </c>
      <c r="G106" s="428">
        <f t="shared" si="172"/>
        <v>42.980879999999999</v>
      </c>
      <c r="H106" s="429"/>
      <c r="I106" s="430">
        <f t="shared" si="87"/>
        <v>0</v>
      </c>
      <c r="J106" s="431">
        <f t="shared" si="173"/>
        <v>0</v>
      </c>
      <c r="K106" s="431">
        <f t="shared" si="183"/>
        <v>0</v>
      </c>
      <c r="L106" s="431">
        <f t="shared" si="174"/>
        <v>0</v>
      </c>
      <c r="M106" s="432"/>
      <c r="N106" s="433">
        <f t="shared" si="135"/>
        <v>0</v>
      </c>
      <c r="O106" s="434">
        <f t="shared" si="175"/>
        <v>0</v>
      </c>
      <c r="P106" s="434">
        <f t="shared" si="132"/>
        <v>0</v>
      </c>
      <c r="Q106" s="434">
        <f t="shared" si="177"/>
        <v>0</v>
      </c>
      <c r="R106" s="435"/>
      <c r="S106" s="436">
        <f t="shared" si="137"/>
        <v>0</v>
      </c>
      <c r="T106" s="437">
        <f t="shared" si="178"/>
        <v>0</v>
      </c>
      <c r="U106" s="437">
        <f t="shared" si="133"/>
        <v>0</v>
      </c>
      <c r="V106" s="437">
        <f t="shared" si="180"/>
        <v>0</v>
      </c>
      <c r="W106" s="300"/>
      <c r="X106" s="131"/>
      <c r="Z106" s="162"/>
      <c r="AA106" s="162"/>
      <c r="AB106" s="162"/>
      <c r="AC106" s="162"/>
      <c r="AD106" s="162"/>
      <c r="AE106" s="163"/>
      <c r="AF106" s="162"/>
      <c r="AG106" s="162"/>
      <c r="AH106" s="162"/>
      <c r="AI106" s="162"/>
      <c r="AJ106" s="162"/>
      <c r="AK106" s="162"/>
      <c r="AL106" s="162"/>
      <c r="AM106" s="162"/>
      <c r="AN106" s="164"/>
      <c r="AO106" s="164"/>
      <c r="AP106" s="165"/>
      <c r="AQ106" s="161"/>
      <c r="AR106" s="161"/>
      <c r="AS106" s="161"/>
      <c r="AT106" s="161"/>
      <c r="AU106" s="161"/>
    </row>
    <row r="107" spans="1:47">
      <c r="A107" s="471">
        <f t="shared" si="184"/>
        <v>46213</v>
      </c>
      <c r="B107" s="497" t="s">
        <v>245</v>
      </c>
      <c r="C107" s="426">
        <v>469</v>
      </c>
      <c r="D107" s="427">
        <f t="shared" si="152"/>
        <v>1817.375</v>
      </c>
      <c r="E107" s="428">
        <f t="shared" si="181"/>
        <v>18173.75</v>
      </c>
      <c r="F107" s="428">
        <f t="shared" si="182"/>
        <v>12.115833333333333</v>
      </c>
      <c r="G107" s="428">
        <f t="shared" si="172"/>
        <v>46.234019999999994</v>
      </c>
      <c r="H107" s="429"/>
      <c r="I107" s="430">
        <f t="shared" si="87"/>
        <v>0</v>
      </c>
      <c r="J107" s="431">
        <f t="shared" si="173"/>
        <v>0</v>
      </c>
      <c r="K107" s="431">
        <f t="shared" si="183"/>
        <v>0</v>
      </c>
      <c r="L107" s="431">
        <f t="shared" si="174"/>
        <v>0</v>
      </c>
      <c r="M107" s="432"/>
      <c r="N107" s="433">
        <f t="shared" si="135"/>
        <v>0</v>
      </c>
      <c r="O107" s="434">
        <f t="shared" si="175"/>
        <v>0</v>
      </c>
      <c r="P107" s="434">
        <f t="shared" si="132"/>
        <v>0</v>
      </c>
      <c r="Q107" s="434">
        <f t="shared" si="177"/>
        <v>0</v>
      </c>
      <c r="R107" s="435"/>
      <c r="S107" s="436">
        <f t="shared" si="137"/>
        <v>0</v>
      </c>
      <c r="T107" s="437">
        <f t="shared" si="178"/>
        <v>0</v>
      </c>
      <c r="U107" s="437">
        <f t="shared" si="133"/>
        <v>0</v>
      </c>
      <c r="V107" s="437">
        <f t="shared" si="180"/>
        <v>0</v>
      </c>
      <c r="W107" s="300"/>
      <c r="X107" s="131"/>
      <c r="Z107" s="162"/>
      <c r="AA107" s="162"/>
      <c r="AB107" s="162"/>
      <c r="AC107" s="162"/>
      <c r="AD107" s="162"/>
      <c r="AE107" s="163"/>
      <c r="AF107" s="162"/>
      <c r="AG107" s="162"/>
      <c r="AH107" s="162"/>
      <c r="AI107" s="162"/>
      <c r="AJ107" s="162"/>
      <c r="AK107" s="162"/>
      <c r="AL107" s="162"/>
      <c r="AM107" s="162"/>
      <c r="AN107" s="164"/>
      <c r="AO107" s="164"/>
      <c r="AP107" s="165"/>
      <c r="AQ107" s="161"/>
      <c r="AR107" s="161"/>
      <c r="AS107" s="161"/>
      <c r="AT107" s="161"/>
      <c r="AU107" s="161"/>
    </row>
    <row r="108" spans="1:47">
      <c r="A108" s="471">
        <f t="shared" si="184"/>
        <v>46213</v>
      </c>
      <c r="B108" s="497" t="s">
        <v>246</v>
      </c>
      <c r="C108" s="426">
        <v>432</v>
      </c>
      <c r="D108" s="427">
        <f t="shared" si="152"/>
        <v>1674</v>
      </c>
      <c r="E108" s="428">
        <f t="shared" si="181"/>
        <v>16740</v>
      </c>
      <c r="F108" s="428">
        <f t="shared" si="182"/>
        <v>11.16</v>
      </c>
      <c r="G108" s="428">
        <f t="shared" si="172"/>
        <v>42.586559999999999</v>
      </c>
      <c r="H108" s="429"/>
      <c r="I108" s="430">
        <f t="shared" si="87"/>
        <v>0</v>
      </c>
      <c r="J108" s="431">
        <f t="shared" si="173"/>
        <v>0</v>
      </c>
      <c r="K108" s="431">
        <f t="shared" si="183"/>
        <v>0</v>
      </c>
      <c r="L108" s="431">
        <f t="shared" si="174"/>
        <v>0</v>
      </c>
      <c r="M108" s="432"/>
      <c r="N108" s="433">
        <f t="shared" si="135"/>
        <v>0</v>
      </c>
      <c r="O108" s="434">
        <f t="shared" si="175"/>
        <v>0</v>
      </c>
      <c r="P108" s="434">
        <f t="shared" si="132"/>
        <v>0</v>
      </c>
      <c r="Q108" s="434">
        <f t="shared" si="177"/>
        <v>0</v>
      </c>
      <c r="R108" s="435"/>
      <c r="S108" s="436">
        <f t="shared" si="137"/>
        <v>0</v>
      </c>
      <c r="T108" s="437">
        <f t="shared" si="178"/>
        <v>0</v>
      </c>
      <c r="U108" s="437">
        <f t="shared" si="133"/>
        <v>0</v>
      </c>
      <c r="V108" s="437">
        <f t="shared" si="180"/>
        <v>0</v>
      </c>
      <c r="W108" s="300"/>
      <c r="X108" s="131"/>
      <c r="Z108" s="162"/>
      <c r="AA108" s="162"/>
      <c r="AB108" s="162"/>
      <c r="AC108" s="162"/>
      <c r="AD108" s="162"/>
      <c r="AE108" s="163"/>
      <c r="AF108" s="162"/>
      <c r="AG108" s="162"/>
      <c r="AH108" s="162"/>
      <c r="AI108" s="162"/>
      <c r="AJ108" s="162"/>
      <c r="AK108" s="162"/>
      <c r="AL108" s="162"/>
      <c r="AM108" s="162"/>
      <c r="AN108" s="164"/>
      <c r="AO108" s="164"/>
      <c r="AP108" s="165"/>
      <c r="AQ108" s="161"/>
      <c r="AR108" s="161"/>
      <c r="AS108" s="161"/>
      <c r="AT108" s="161"/>
      <c r="AU108" s="161"/>
    </row>
    <row r="109" spans="1:47">
      <c r="A109" s="471">
        <f t="shared" si="184"/>
        <v>46213</v>
      </c>
      <c r="B109" s="497" t="s">
        <v>247</v>
      </c>
      <c r="C109" s="426">
        <v>417</v>
      </c>
      <c r="D109" s="427">
        <f t="shared" si="152"/>
        <v>1615.875</v>
      </c>
      <c r="E109" s="428">
        <f t="shared" si="181"/>
        <v>16158.75</v>
      </c>
      <c r="F109" s="428">
        <f t="shared" si="182"/>
        <v>10.772500000000001</v>
      </c>
      <c r="G109" s="428">
        <f t="shared" si="172"/>
        <v>41.107859999999995</v>
      </c>
      <c r="H109" s="429"/>
      <c r="I109" s="430">
        <f t="shared" si="87"/>
        <v>0</v>
      </c>
      <c r="J109" s="431">
        <f t="shared" si="173"/>
        <v>0</v>
      </c>
      <c r="K109" s="431">
        <f t="shared" si="183"/>
        <v>0</v>
      </c>
      <c r="L109" s="431">
        <f t="shared" si="174"/>
        <v>0</v>
      </c>
      <c r="M109" s="432"/>
      <c r="N109" s="433">
        <f t="shared" si="135"/>
        <v>0</v>
      </c>
      <c r="O109" s="434">
        <f t="shared" si="175"/>
        <v>0</v>
      </c>
      <c r="P109" s="434">
        <f t="shared" si="132"/>
        <v>0</v>
      </c>
      <c r="Q109" s="434">
        <f t="shared" si="177"/>
        <v>0</v>
      </c>
      <c r="R109" s="435"/>
      <c r="S109" s="436">
        <f t="shared" si="137"/>
        <v>0</v>
      </c>
      <c r="T109" s="437">
        <f t="shared" si="178"/>
        <v>0</v>
      </c>
      <c r="U109" s="437">
        <f t="shared" si="133"/>
        <v>0</v>
      </c>
      <c r="V109" s="437">
        <f t="shared" si="180"/>
        <v>0</v>
      </c>
      <c r="W109" s="300"/>
      <c r="X109" s="131"/>
      <c r="Z109" s="162"/>
      <c r="AA109" s="162"/>
      <c r="AB109" s="162"/>
      <c r="AC109" s="162"/>
      <c r="AD109" s="162"/>
      <c r="AE109" s="163"/>
      <c r="AF109" s="162"/>
      <c r="AG109" s="162"/>
      <c r="AH109" s="162"/>
      <c r="AI109" s="162"/>
      <c r="AJ109" s="162"/>
      <c r="AK109" s="162"/>
      <c r="AL109" s="162"/>
      <c r="AM109" s="162"/>
      <c r="AN109" s="164"/>
      <c r="AO109" s="164"/>
      <c r="AP109" s="165"/>
      <c r="AQ109" s="161"/>
      <c r="AR109" s="161"/>
      <c r="AS109" s="161"/>
      <c r="AT109" s="161"/>
      <c r="AU109" s="161"/>
    </row>
    <row r="110" spans="1:47">
      <c r="A110" s="471">
        <f t="shared" si="184"/>
        <v>46213</v>
      </c>
      <c r="B110" s="497" t="s">
        <v>248</v>
      </c>
      <c r="C110" s="426">
        <f>363+20</f>
        <v>383</v>
      </c>
      <c r="D110" s="427">
        <f t="shared" si="152"/>
        <v>1484.125</v>
      </c>
      <c r="E110" s="428">
        <f t="shared" si="181"/>
        <v>14841.25</v>
      </c>
      <c r="F110" s="428">
        <f t="shared" si="182"/>
        <v>9.894166666666667</v>
      </c>
      <c r="G110" s="428">
        <f t="shared" si="172"/>
        <v>37.756139999999995</v>
      </c>
      <c r="H110" s="429"/>
      <c r="I110" s="430">
        <f t="shared" si="87"/>
        <v>0</v>
      </c>
      <c r="J110" s="431">
        <f t="shared" si="173"/>
        <v>0</v>
      </c>
      <c r="K110" s="431">
        <f t="shared" si="183"/>
        <v>0</v>
      </c>
      <c r="L110" s="431">
        <f t="shared" si="174"/>
        <v>0</v>
      </c>
      <c r="M110" s="432"/>
      <c r="N110" s="433">
        <f t="shared" si="135"/>
        <v>0</v>
      </c>
      <c r="O110" s="434">
        <f t="shared" si="175"/>
        <v>0</v>
      </c>
      <c r="P110" s="434">
        <f t="shared" si="132"/>
        <v>0</v>
      </c>
      <c r="Q110" s="434">
        <f t="shared" si="177"/>
        <v>0</v>
      </c>
      <c r="R110" s="435"/>
      <c r="S110" s="436">
        <f t="shared" si="137"/>
        <v>0</v>
      </c>
      <c r="T110" s="437">
        <f t="shared" si="178"/>
        <v>0</v>
      </c>
      <c r="U110" s="437">
        <f t="shared" si="133"/>
        <v>0</v>
      </c>
      <c r="V110" s="437">
        <f t="shared" si="180"/>
        <v>0</v>
      </c>
      <c r="W110" s="300"/>
      <c r="X110" s="131"/>
      <c r="Z110" s="162"/>
      <c r="AA110" s="162"/>
      <c r="AB110" s="162"/>
      <c r="AC110" s="162"/>
      <c r="AD110" s="162"/>
      <c r="AE110" s="163"/>
      <c r="AF110" s="162"/>
      <c r="AG110" s="162"/>
      <c r="AH110" s="162"/>
      <c r="AI110" s="162"/>
      <c r="AJ110" s="162"/>
      <c r="AK110" s="162"/>
      <c r="AL110" s="162"/>
      <c r="AM110" s="162"/>
      <c r="AN110" s="164"/>
      <c r="AO110" s="164"/>
      <c r="AP110" s="165"/>
      <c r="AQ110" s="161"/>
      <c r="AR110" s="161"/>
      <c r="AS110" s="161"/>
      <c r="AT110" s="161"/>
      <c r="AU110" s="161"/>
    </row>
    <row r="111" spans="1:47">
      <c r="A111" s="471">
        <f t="shared" si="184"/>
        <v>46213</v>
      </c>
      <c r="B111" s="497" t="s">
        <v>249</v>
      </c>
      <c r="C111" s="426">
        <v>243</v>
      </c>
      <c r="D111" s="427">
        <f t="shared" si="152"/>
        <v>941.625</v>
      </c>
      <c r="E111" s="428">
        <f t="shared" si="181"/>
        <v>9416.25</v>
      </c>
      <c r="F111" s="428">
        <f t="shared" si="182"/>
        <v>6.2774999999999999</v>
      </c>
      <c r="G111" s="428">
        <f t="shared" si="172"/>
        <v>23.954939999999997</v>
      </c>
      <c r="H111" s="429"/>
      <c r="I111" s="430">
        <f t="shared" si="87"/>
        <v>0</v>
      </c>
      <c r="J111" s="431">
        <f t="shared" si="173"/>
        <v>0</v>
      </c>
      <c r="K111" s="431">
        <f t="shared" si="183"/>
        <v>0</v>
      </c>
      <c r="L111" s="431">
        <f t="shared" si="174"/>
        <v>0</v>
      </c>
      <c r="M111" s="432"/>
      <c r="N111" s="433">
        <f t="shared" si="135"/>
        <v>0</v>
      </c>
      <c r="O111" s="434">
        <f t="shared" si="175"/>
        <v>0</v>
      </c>
      <c r="P111" s="434">
        <f t="shared" si="132"/>
        <v>0</v>
      </c>
      <c r="Q111" s="434">
        <f t="shared" si="177"/>
        <v>0</v>
      </c>
      <c r="R111" s="435"/>
      <c r="S111" s="436">
        <f t="shared" si="137"/>
        <v>0</v>
      </c>
      <c r="T111" s="437">
        <f t="shared" si="178"/>
        <v>0</v>
      </c>
      <c r="U111" s="437">
        <f t="shared" si="133"/>
        <v>0</v>
      </c>
      <c r="V111" s="437">
        <f t="shared" si="180"/>
        <v>0</v>
      </c>
      <c r="W111" s="300"/>
      <c r="X111" s="131"/>
      <c r="Z111" s="162"/>
      <c r="AA111" s="162"/>
      <c r="AB111" s="162"/>
      <c r="AC111" s="162"/>
      <c r="AD111" s="162"/>
      <c r="AE111" s="163"/>
      <c r="AF111" s="162"/>
      <c r="AG111" s="162"/>
      <c r="AH111" s="162"/>
      <c r="AI111" s="162"/>
      <c r="AJ111" s="162"/>
      <c r="AK111" s="162"/>
      <c r="AL111" s="162"/>
      <c r="AM111" s="162"/>
      <c r="AN111" s="164"/>
      <c r="AO111" s="164"/>
      <c r="AP111" s="165"/>
      <c r="AQ111" s="161"/>
      <c r="AR111" s="161"/>
      <c r="AS111" s="161"/>
      <c r="AT111" s="161"/>
      <c r="AU111" s="161"/>
    </row>
    <row r="112" spans="1:47">
      <c r="A112" s="471">
        <f t="shared" si="184"/>
        <v>46213</v>
      </c>
      <c r="B112" s="497"/>
      <c r="C112" s="426"/>
      <c r="D112" s="427">
        <f t="shared" si="152"/>
        <v>0</v>
      </c>
      <c r="E112" s="428">
        <f t="shared" si="181"/>
        <v>0</v>
      </c>
      <c r="F112" s="428">
        <f t="shared" si="182"/>
        <v>0</v>
      </c>
      <c r="G112" s="428">
        <f t="shared" si="172"/>
        <v>0</v>
      </c>
      <c r="H112" s="429"/>
      <c r="I112" s="430">
        <f t="shared" ref="I112:I175" si="185">+H112*3.276</f>
        <v>0</v>
      </c>
      <c r="J112" s="431">
        <f t="shared" si="173"/>
        <v>0</v>
      </c>
      <c r="K112" s="431">
        <f t="shared" si="183"/>
        <v>0</v>
      </c>
      <c r="L112" s="431">
        <f t="shared" si="174"/>
        <v>0</v>
      </c>
      <c r="M112" s="432"/>
      <c r="N112" s="433">
        <f t="shared" si="135"/>
        <v>0</v>
      </c>
      <c r="O112" s="434">
        <f t="shared" si="175"/>
        <v>0</v>
      </c>
      <c r="P112" s="434">
        <f t="shared" si="132"/>
        <v>0</v>
      </c>
      <c r="Q112" s="434">
        <f t="shared" si="177"/>
        <v>0</v>
      </c>
      <c r="R112" s="435"/>
      <c r="S112" s="436">
        <f t="shared" si="137"/>
        <v>0</v>
      </c>
      <c r="T112" s="437">
        <f t="shared" si="178"/>
        <v>0</v>
      </c>
      <c r="U112" s="437">
        <f t="shared" si="133"/>
        <v>0</v>
      </c>
      <c r="V112" s="437">
        <f t="shared" si="180"/>
        <v>0</v>
      </c>
      <c r="W112" s="300"/>
      <c r="X112" s="131"/>
      <c r="Z112" s="162"/>
      <c r="AA112" s="162"/>
      <c r="AB112" s="162"/>
      <c r="AC112" s="162"/>
      <c r="AD112" s="162"/>
      <c r="AE112" s="163"/>
      <c r="AF112" s="162"/>
      <c r="AG112" s="162"/>
      <c r="AH112" s="162"/>
      <c r="AI112" s="162"/>
      <c r="AJ112" s="162"/>
      <c r="AK112" s="162"/>
      <c r="AL112" s="162"/>
      <c r="AM112" s="162"/>
      <c r="AN112" s="164"/>
      <c r="AO112" s="164"/>
      <c r="AP112" s="165"/>
      <c r="AQ112" s="161"/>
      <c r="AR112" s="161"/>
      <c r="AS112" s="161"/>
      <c r="AT112" s="161"/>
      <c r="AU112" s="161"/>
    </row>
    <row r="113" spans="1:47" ht="14.25">
      <c r="A113" s="471"/>
      <c r="B113" s="498" t="s">
        <v>118</v>
      </c>
      <c r="C113" s="438">
        <f>SUM(C103:C112)</f>
        <v>3721</v>
      </c>
      <c r="D113" s="439">
        <f t="shared" si="152"/>
        <v>14418.875</v>
      </c>
      <c r="E113" s="438">
        <f>SUM(E103:E112)</f>
        <v>144188.75</v>
      </c>
      <c r="F113" s="463">
        <f>SUM(F103:F112)</f>
        <v>96.125833333333347</v>
      </c>
      <c r="G113" s="463">
        <f>SUM(G103:G112)</f>
        <v>366.81618000000003</v>
      </c>
      <c r="H113" s="440">
        <f>SUM(H103:H112)</f>
        <v>0</v>
      </c>
      <c r="I113" s="441">
        <f t="shared" si="185"/>
        <v>0</v>
      </c>
      <c r="J113" s="440">
        <f>SUM(J103:J112)</f>
        <v>0</v>
      </c>
      <c r="K113" s="466">
        <f>SUM(K103:K112)</f>
        <v>0</v>
      </c>
      <c r="L113" s="466">
        <f>SUM(L103:L112)</f>
        <v>0</v>
      </c>
      <c r="M113" s="442">
        <f t="shared" ref="M113" si="186">SUM(M103:M112)</f>
        <v>0</v>
      </c>
      <c r="N113" s="443">
        <f t="shared" si="135"/>
        <v>0</v>
      </c>
      <c r="O113" s="442">
        <f t="shared" ref="O113:R113" si="187">SUM(O103:O112)</f>
        <v>0</v>
      </c>
      <c r="P113" s="468">
        <f t="shared" si="187"/>
        <v>0</v>
      </c>
      <c r="Q113" s="468">
        <f t="shared" si="187"/>
        <v>0</v>
      </c>
      <c r="R113" s="444">
        <f t="shared" si="187"/>
        <v>0</v>
      </c>
      <c r="S113" s="445">
        <f t="shared" si="137"/>
        <v>0</v>
      </c>
      <c r="T113" s="444">
        <f t="shared" ref="T113:V113" si="188">SUM(T103:T112)</f>
        <v>0</v>
      </c>
      <c r="U113" s="470">
        <f t="shared" si="188"/>
        <v>0</v>
      </c>
      <c r="V113" s="470">
        <f t="shared" si="188"/>
        <v>0</v>
      </c>
      <c r="W113" s="300"/>
      <c r="X113" s="131"/>
      <c r="Z113" s="162"/>
      <c r="AA113" s="162"/>
      <c r="AB113" s="162"/>
      <c r="AC113" s="162"/>
      <c r="AD113" s="162"/>
      <c r="AE113" s="163"/>
      <c r="AF113" s="162"/>
      <c r="AG113" s="162"/>
      <c r="AH113" s="162"/>
      <c r="AI113" s="162"/>
      <c r="AJ113" s="162"/>
      <c r="AK113" s="162"/>
      <c r="AL113" s="162"/>
      <c r="AM113" s="162"/>
      <c r="AN113" s="164"/>
      <c r="AO113" s="164"/>
      <c r="AP113" s="165"/>
      <c r="AQ113" s="161"/>
      <c r="AR113" s="161"/>
      <c r="AS113" s="161"/>
      <c r="AT113" s="161"/>
      <c r="AU113" s="161"/>
    </row>
    <row r="114" spans="1:47">
      <c r="A114" s="472">
        <f>+A103+1</f>
        <v>46214</v>
      </c>
      <c r="B114" s="497"/>
      <c r="C114" s="426"/>
      <c r="D114" s="427">
        <f t="shared" si="152"/>
        <v>0</v>
      </c>
      <c r="E114" s="428">
        <f>+D114/0.0125*0.125</f>
        <v>0</v>
      </c>
      <c r="F114" s="428">
        <f>+E114/1500</f>
        <v>0</v>
      </c>
      <c r="G114" s="428">
        <f t="shared" ref="G114:G123" si="189">+D114/0.0125*0.000318</f>
        <v>0</v>
      </c>
      <c r="H114" s="429"/>
      <c r="I114" s="430">
        <f t="shared" si="185"/>
        <v>0</v>
      </c>
      <c r="J114" s="431">
        <f t="shared" ref="J114:J123" si="190">+I114/0.0185*0.185</f>
        <v>0</v>
      </c>
      <c r="K114" s="431">
        <f>+J114/1500</f>
        <v>0</v>
      </c>
      <c r="L114" s="431">
        <f t="shared" ref="L114:L123" si="191">+I114/0.0185*0.000318</f>
        <v>0</v>
      </c>
      <c r="M114" s="432"/>
      <c r="N114" s="433">
        <f t="shared" si="135"/>
        <v>0</v>
      </c>
      <c r="O114" s="434">
        <f t="shared" ref="O114:O123" si="192">+N114/0.0185*0.185</f>
        <v>0</v>
      </c>
      <c r="P114" s="434">
        <f t="shared" ref="P114" si="193">+O114/1500</f>
        <v>0</v>
      </c>
      <c r="Q114" s="434">
        <f t="shared" ref="Q114:Q123" si="194">+N114/0.0185*0.000318</f>
        <v>0</v>
      </c>
      <c r="R114" s="435"/>
      <c r="S114" s="436">
        <f t="shared" si="137"/>
        <v>0</v>
      </c>
      <c r="T114" s="437">
        <f t="shared" ref="T114:T123" si="195">+S114/0.0185*0.185</f>
        <v>0</v>
      </c>
      <c r="U114" s="437">
        <f t="shared" ref="U114" si="196">+T114/1500</f>
        <v>0</v>
      </c>
      <c r="V114" s="437">
        <f t="shared" ref="V114:V123" si="197">+S114/0.0185*0.000318</f>
        <v>0</v>
      </c>
      <c r="W114" s="300"/>
      <c r="X114" s="131">
        <f>+W114*2.4</f>
        <v>0</v>
      </c>
      <c r="Z114" s="162" t="str">
        <f>IFERROR((D114/'REKAPAN OKEY AYAM'!$AC14),"-")</f>
        <v>-</v>
      </c>
      <c r="AA114" s="162" t="str">
        <f>IFERROR((I114/'REKAPAN CHAMP AYAM'!$AC14),"-")</f>
        <v>-</v>
      </c>
      <c r="AB114" s="162" t="str">
        <f>IFERROR((N114/'REKAPAN CHAMP SAPI'!AC14),"-")</f>
        <v>-</v>
      </c>
      <c r="AC114" s="162" t="str">
        <f>IFERROR((S114/'REKAPAN CHAMP OTAK-OTAK'!AC14),"-")</f>
        <v>-</v>
      </c>
      <c r="AD114" s="162" t="str">
        <f>IFERROR((X114/'REKAPAN FIESTA'!AC14),"-")</f>
        <v>-</v>
      </c>
      <c r="AE114" s="163"/>
      <c r="AF114" s="162" t="str">
        <f t="shared" si="39"/>
        <v>-</v>
      </c>
      <c r="AG114" s="162" t="str">
        <f>IFERROR(((D114/0.0125*0.000318)/#REF!),"-")</f>
        <v>-</v>
      </c>
      <c r="AH114" s="162" t="str">
        <f t="shared" si="40"/>
        <v>-</v>
      </c>
      <c r="AI114" s="162" t="str">
        <f>IFERROR(((I114/0.0185*0.000318)/#REF!),"-")</f>
        <v>-</v>
      </c>
      <c r="AJ114" s="162" t="str">
        <f t="shared" si="41"/>
        <v>-</v>
      </c>
      <c r="AK114" s="162" t="str">
        <f>IFERROR(((N114/0.0185*0.000318)/#REF!),"-")</f>
        <v>-</v>
      </c>
      <c r="AL114" s="162" t="str">
        <f t="shared" si="42"/>
        <v>-</v>
      </c>
      <c r="AM114" s="162" t="str">
        <f>IFERROR(((S114/0.0185*0.000318)/#REF!),"-")</f>
        <v>-</v>
      </c>
      <c r="AN114" s="164"/>
      <c r="AO114" s="164"/>
      <c r="AP114" s="166"/>
      <c r="AQ114" s="161" t="str">
        <f>IFERROR(('REKAPAN OKEY AYAM'!$AD14),"-")</f>
        <v>-</v>
      </c>
      <c r="AR114" s="161" t="str">
        <f>IFERROR(('REKAPAN CHAMP AYAM'!$AD14),"-")</f>
        <v>-</v>
      </c>
      <c r="AS114" s="161" t="str">
        <f>IFERROR(('REKAPAN CHAMP SAPI'!$AD14),"-")</f>
        <v>-</v>
      </c>
      <c r="AT114" s="161" t="str">
        <f>IFERROR(('REKAPAN CHAMP OTAK-OTAK'!$AD14),"-")</f>
        <v>-</v>
      </c>
      <c r="AU114" s="161" t="str">
        <f>IFERROR(('REKAPAN FIESTA'!$AD14),"-")</f>
        <v>-</v>
      </c>
    </row>
    <row r="115" spans="1:47">
      <c r="A115" s="471">
        <f>+$A114</f>
        <v>46214</v>
      </c>
      <c r="B115" s="497"/>
      <c r="C115" s="426"/>
      <c r="D115" s="427">
        <f t="shared" si="152"/>
        <v>0</v>
      </c>
      <c r="E115" s="428">
        <f t="shared" ref="E115:E123" si="198">+D115/0.0125*0.125</f>
        <v>0</v>
      </c>
      <c r="F115" s="428">
        <f t="shared" ref="F115:F123" si="199">+E115/1500</f>
        <v>0</v>
      </c>
      <c r="G115" s="428">
        <f t="shared" si="189"/>
        <v>0</v>
      </c>
      <c r="H115" s="429"/>
      <c r="I115" s="430">
        <f t="shared" si="185"/>
        <v>0</v>
      </c>
      <c r="J115" s="431">
        <f t="shared" si="190"/>
        <v>0</v>
      </c>
      <c r="K115" s="431">
        <f t="shared" ref="K115:K123" si="200">+J115/1500</f>
        <v>0</v>
      </c>
      <c r="L115" s="431">
        <f t="shared" si="191"/>
        <v>0</v>
      </c>
      <c r="M115" s="432"/>
      <c r="N115" s="433">
        <f t="shared" si="135"/>
        <v>0</v>
      </c>
      <c r="O115" s="434">
        <f t="shared" si="192"/>
        <v>0</v>
      </c>
      <c r="P115" s="434">
        <f t="shared" si="132"/>
        <v>0</v>
      </c>
      <c r="Q115" s="434">
        <f t="shared" si="194"/>
        <v>0</v>
      </c>
      <c r="R115" s="435"/>
      <c r="S115" s="436">
        <f t="shared" si="137"/>
        <v>0</v>
      </c>
      <c r="T115" s="437">
        <f t="shared" si="195"/>
        <v>0</v>
      </c>
      <c r="U115" s="437">
        <f t="shared" si="133"/>
        <v>0</v>
      </c>
      <c r="V115" s="437">
        <f t="shared" si="197"/>
        <v>0</v>
      </c>
      <c r="W115" s="300"/>
      <c r="X115" s="131"/>
      <c r="Z115" s="162"/>
      <c r="AA115" s="162"/>
      <c r="AB115" s="162"/>
      <c r="AC115" s="162"/>
      <c r="AD115" s="162"/>
      <c r="AE115" s="163"/>
      <c r="AF115" s="162"/>
      <c r="AG115" s="162"/>
      <c r="AH115" s="162"/>
      <c r="AI115" s="162"/>
      <c r="AJ115" s="162"/>
      <c r="AK115" s="162"/>
      <c r="AL115" s="162"/>
      <c r="AM115" s="162"/>
      <c r="AN115" s="164"/>
      <c r="AO115" s="164"/>
      <c r="AP115" s="166"/>
      <c r="AQ115" s="161"/>
      <c r="AR115" s="161"/>
      <c r="AS115" s="161"/>
      <c r="AT115" s="161"/>
      <c r="AU115" s="161"/>
    </row>
    <row r="116" spans="1:47">
      <c r="A116" s="471">
        <f t="shared" ref="A116:A123" si="201">+$A115</f>
        <v>46214</v>
      </c>
      <c r="B116" s="497"/>
      <c r="C116" s="426"/>
      <c r="D116" s="427">
        <f t="shared" si="152"/>
        <v>0</v>
      </c>
      <c r="E116" s="428">
        <f t="shared" si="198"/>
        <v>0</v>
      </c>
      <c r="F116" s="428">
        <f t="shared" si="199"/>
        <v>0</v>
      </c>
      <c r="G116" s="428">
        <f t="shared" si="189"/>
        <v>0</v>
      </c>
      <c r="H116" s="429"/>
      <c r="I116" s="430">
        <f t="shared" si="185"/>
        <v>0</v>
      </c>
      <c r="J116" s="431">
        <f t="shared" si="190"/>
        <v>0</v>
      </c>
      <c r="K116" s="431">
        <f t="shared" si="200"/>
        <v>0</v>
      </c>
      <c r="L116" s="431">
        <f t="shared" si="191"/>
        <v>0</v>
      </c>
      <c r="M116" s="432"/>
      <c r="N116" s="433">
        <f t="shared" si="135"/>
        <v>0</v>
      </c>
      <c r="O116" s="434">
        <f t="shared" si="192"/>
        <v>0</v>
      </c>
      <c r="P116" s="434">
        <f t="shared" si="132"/>
        <v>0</v>
      </c>
      <c r="Q116" s="434">
        <f t="shared" si="194"/>
        <v>0</v>
      </c>
      <c r="R116" s="435"/>
      <c r="S116" s="436">
        <f t="shared" si="137"/>
        <v>0</v>
      </c>
      <c r="T116" s="437">
        <f t="shared" si="195"/>
        <v>0</v>
      </c>
      <c r="U116" s="437">
        <f t="shared" si="133"/>
        <v>0</v>
      </c>
      <c r="V116" s="437">
        <f t="shared" si="197"/>
        <v>0</v>
      </c>
      <c r="W116" s="300"/>
      <c r="X116" s="131"/>
      <c r="Z116" s="162"/>
      <c r="AA116" s="162"/>
      <c r="AB116" s="162"/>
      <c r="AC116" s="162"/>
      <c r="AD116" s="162"/>
      <c r="AE116" s="163"/>
      <c r="AF116" s="162"/>
      <c r="AG116" s="162"/>
      <c r="AH116" s="162"/>
      <c r="AI116" s="162"/>
      <c r="AJ116" s="162"/>
      <c r="AK116" s="162"/>
      <c r="AL116" s="162"/>
      <c r="AM116" s="162"/>
      <c r="AN116" s="164"/>
      <c r="AO116" s="164"/>
      <c r="AP116" s="166"/>
      <c r="AQ116" s="161"/>
      <c r="AR116" s="161"/>
      <c r="AS116" s="161"/>
      <c r="AT116" s="161"/>
      <c r="AU116" s="161"/>
    </row>
    <row r="117" spans="1:47">
      <c r="A117" s="471">
        <f t="shared" si="201"/>
        <v>46214</v>
      </c>
      <c r="B117" s="497"/>
      <c r="C117" s="426"/>
      <c r="D117" s="427">
        <f t="shared" si="152"/>
        <v>0</v>
      </c>
      <c r="E117" s="428">
        <f t="shared" si="198"/>
        <v>0</v>
      </c>
      <c r="F117" s="428">
        <f t="shared" si="199"/>
        <v>0</v>
      </c>
      <c r="G117" s="428">
        <f t="shared" si="189"/>
        <v>0</v>
      </c>
      <c r="H117" s="429"/>
      <c r="I117" s="430">
        <f t="shared" si="185"/>
        <v>0</v>
      </c>
      <c r="J117" s="431">
        <f t="shared" si="190"/>
        <v>0</v>
      </c>
      <c r="K117" s="431">
        <f t="shared" si="200"/>
        <v>0</v>
      </c>
      <c r="L117" s="431">
        <f t="shared" si="191"/>
        <v>0</v>
      </c>
      <c r="M117" s="432"/>
      <c r="N117" s="433">
        <f t="shared" si="135"/>
        <v>0</v>
      </c>
      <c r="O117" s="434">
        <f t="shared" si="192"/>
        <v>0</v>
      </c>
      <c r="P117" s="434">
        <f t="shared" si="132"/>
        <v>0</v>
      </c>
      <c r="Q117" s="434">
        <f t="shared" si="194"/>
        <v>0</v>
      </c>
      <c r="R117" s="435"/>
      <c r="S117" s="436">
        <f t="shared" si="137"/>
        <v>0</v>
      </c>
      <c r="T117" s="437">
        <f t="shared" si="195"/>
        <v>0</v>
      </c>
      <c r="U117" s="437">
        <f t="shared" si="133"/>
        <v>0</v>
      </c>
      <c r="V117" s="437">
        <f t="shared" si="197"/>
        <v>0</v>
      </c>
      <c r="W117" s="300"/>
      <c r="X117" s="131"/>
      <c r="Z117" s="162"/>
      <c r="AA117" s="162"/>
      <c r="AB117" s="162"/>
      <c r="AC117" s="162"/>
      <c r="AD117" s="162"/>
      <c r="AE117" s="163"/>
      <c r="AF117" s="162"/>
      <c r="AG117" s="162"/>
      <c r="AH117" s="162"/>
      <c r="AI117" s="162"/>
      <c r="AJ117" s="162"/>
      <c r="AK117" s="162"/>
      <c r="AL117" s="162"/>
      <c r="AM117" s="162"/>
      <c r="AN117" s="164"/>
      <c r="AO117" s="164"/>
      <c r="AP117" s="166"/>
      <c r="AQ117" s="161"/>
      <c r="AR117" s="161"/>
      <c r="AS117" s="161"/>
      <c r="AT117" s="161"/>
      <c r="AU117" s="161"/>
    </row>
    <row r="118" spans="1:47">
      <c r="A118" s="471">
        <f t="shared" si="201"/>
        <v>46214</v>
      </c>
      <c r="B118" s="497"/>
      <c r="C118" s="426"/>
      <c r="D118" s="427">
        <f t="shared" si="152"/>
        <v>0</v>
      </c>
      <c r="E118" s="428">
        <f t="shared" si="198"/>
        <v>0</v>
      </c>
      <c r="F118" s="428">
        <f t="shared" si="199"/>
        <v>0</v>
      </c>
      <c r="G118" s="428">
        <f t="shared" si="189"/>
        <v>0</v>
      </c>
      <c r="H118" s="429"/>
      <c r="I118" s="430">
        <f t="shared" si="185"/>
        <v>0</v>
      </c>
      <c r="J118" s="431">
        <f t="shared" si="190"/>
        <v>0</v>
      </c>
      <c r="K118" s="431">
        <f t="shared" si="200"/>
        <v>0</v>
      </c>
      <c r="L118" s="431">
        <f t="shared" si="191"/>
        <v>0</v>
      </c>
      <c r="M118" s="432"/>
      <c r="N118" s="433">
        <f t="shared" si="135"/>
        <v>0</v>
      </c>
      <c r="O118" s="434">
        <f t="shared" si="192"/>
        <v>0</v>
      </c>
      <c r="P118" s="434">
        <f t="shared" si="132"/>
        <v>0</v>
      </c>
      <c r="Q118" s="434">
        <f t="shared" si="194"/>
        <v>0</v>
      </c>
      <c r="R118" s="435"/>
      <c r="S118" s="436">
        <f t="shared" si="137"/>
        <v>0</v>
      </c>
      <c r="T118" s="437">
        <f t="shared" si="195"/>
        <v>0</v>
      </c>
      <c r="U118" s="437">
        <f t="shared" si="133"/>
        <v>0</v>
      </c>
      <c r="V118" s="437">
        <f t="shared" si="197"/>
        <v>0</v>
      </c>
      <c r="W118" s="300"/>
      <c r="X118" s="131"/>
      <c r="Z118" s="162"/>
      <c r="AA118" s="162"/>
      <c r="AB118" s="162"/>
      <c r="AC118" s="162"/>
      <c r="AD118" s="162"/>
      <c r="AE118" s="163"/>
      <c r="AF118" s="162"/>
      <c r="AG118" s="162"/>
      <c r="AH118" s="162"/>
      <c r="AI118" s="162"/>
      <c r="AJ118" s="162"/>
      <c r="AK118" s="162"/>
      <c r="AL118" s="162"/>
      <c r="AM118" s="162"/>
      <c r="AN118" s="164"/>
      <c r="AO118" s="164"/>
      <c r="AP118" s="166"/>
      <c r="AQ118" s="161"/>
      <c r="AR118" s="161"/>
      <c r="AS118" s="161"/>
      <c r="AT118" s="161"/>
      <c r="AU118" s="161"/>
    </row>
    <row r="119" spans="1:47">
      <c r="A119" s="471">
        <f t="shared" si="201"/>
        <v>46214</v>
      </c>
      <c r="B119" s="497"/>
      <c r="C119" s="426"/>
      <c r="D119" s="427">
        <f t="shared" si="152"/>
        <v>0</v>
      </c>
      <c r="E119" s="428">
        <f t="shared" si="198"/>
        <v>0</v>
      </c>
      <c r="F119" s="428">
        <f t="shared" si="199"/>
        <v>0</v>
      </c>
      <c r="G119" s="428">
        <f t="shared" si="189"/>
        <v>0</v>
      </c>
      <c r="H119" s="429"/>
      <c r="I119" s="430">
        <f t="shared" si="185"/>
        <v>0</v>
      </c>
      <c r="J119" s="431">
        <f t="shared" si="190"/>
        <v>0</v>
      </c>
      <c r="K119" s="431">
        <f t="shared" si="200"/>
        <v>0</v>
      </c>
      <c r="L119" s="431">
        <f t="shared" si="191"/>
        <v>0</v>
      </c>
      <c r="M119" s="432"/>
      <c r="N119" s="433">
        <f t="shared" si="135"/>
        <v>0</v>
      </c>
      <c r="O119" s="434">
        <f t="shared" si="192"/>
        <v>0</v>
      </c>
      <c r="P119" s="434">
        <f t="shared" si="132"/>
        <v>0</v>
      </c>
      <c r="Q119" s="434">
        <f t="shared" si="194"/>
        <v>0</v>
      </c>
      <c r="R119" s="435"/>
      <c r="S119" s="436">
        <f t="shared" si="137"/>
        <v>0</v>
      </c>
      <c r="T119" s="437">
        <f t="shared" si="195"/>
        <v>0</v>
      </c>
      <c r="U119" s="437">
        <f t="shared" si="133"/>
        <v>0</v>
      </c>
      <c r="V119" s="437">
        <f t="shared" si="197"/>
        <v>0</v>
      </c>
      <c r="W119" s="300"/>
      <c r="X119" s="131"/>
      <c r="Z119" s="162"/>
      <c r="AA119" s="162"/>
      <c r="AB119" s="162"/>
      <c r="AC119" s="162"/>
      <c r="AD119" s="162"/>
      <c r="AE119" s="163"/>
      <c r="AF119" s="162"/>
      <c r="AG119" s="162"/>
      <c r="AH119" s="162"/>
      <c r="AI119" s="162"/>
      <c r="AJ119" s="162"/>
      <c r="AK119" s="162"/>
      <c r="AL119" s="162"/>
      <c r="AM119" s="162"/>
      <c r="AN119" s="164"/>
      <c r="AO119" s="164"/>
      <c r="AP119" s="166"/>
      <c r="AQ119" s="161"/>
      <c r="AR119" s="161"/>
      <c r="AS119" s="161"/>
      <c r="AT119" s="161"/>
      <c r="AU119" s="161"/>
    </row>
    <row r="120" spans="1:47">
      <c r="A120" s="471">
        <f t="shared" si="201"/>
        <v>46214</v>
      </c>
      <c r="B120" s="497"/>
      <c r="C120" s="426"/>
      <c r="D120" s="427">
        <f t="shared" si="152"/>
        <v>0</v>
      </c>
      <c r="E120" s="428">
        <f t="shared" si="198"/>
        <v>0</v>
      </c>
      <c r="F120" s="428">
        <f t="shared" si="199"/>
        <v>0</v>
      </c>
      <c r="G120" s="428">
        <f t="shared" si="189"/>
        <v>0</v>
      </c>
      <c r="H120" s="429"/>
      <c r="I120" s="430">
        <f t="shared" si="185"/>
        <v>0</v>
      </c>
      <c r="J120" s="431">
        <f t="shared" si="190"/>
        <v>0</v>
      </c>
      <c r="K120" s="431">
        <f t="shared" si="200"/>
        <v>0</v>
      </c>
      <c r="L120" s="431">
        <f t="shared" si="191"/>
        <v>0</v>
      </c>
      <c r="M120" s="432"/>
      <c r="N120" s="433">
        <f t="shared" si="135"/>
        <v>0</v>
      </c>
      <c r="O120" s="434">
        <f t="shared" si="192"/>
        <v>0</v>
      </c>
      <c r="P120" s="434">
        <f t="shared" si="132"/>
        <v>0</v>
      </c>
      <c r="Q120" s="434">
        <f t="shared" si="194"/>
        <v>0</v>
      </c>
      <c r="R120" s="435"/>
      <c r="S120" s="436">
        <f t="shared" si="137"/>
        <v>0</v>
      </c>
      <c r="T120" s="437">
        <f t="shared" si="195"/>
        <v>0</v>
      </c>
      <c r="U120" s="437">
        <f t="shared" si="133"/>
        <v>0</v>
      </c>
      <c r="V120" s="437">
        <f t="shared" si="197"/>
        <v>0</v>
      </c>
      <c r="W120" s="300"/>
      <c r="X120" s="131"/>
      <c r="Z120" s="162"/>
      <c r="AA120" s="162"/>
      <c r="AB120" s="162"/>
      <c r="AC120" s="162"/>
      <c r="AD120" s="162"/>
      <c r="AE120" s="163"/>
      <c r="AF120" s="162"/>
      <c r="AG120" s="162"/>
      <c r="AH120" s="162"/>
      <c r="AI120" s="162"/>
      <c r="AJ120" s="162"/>
      <c r="AK120" s="162"/>
      <c r="AL120" s="162"/>
      <c r="AM120" s="162"/>
      <c r="AN120" s="164"/>
      <c r="AO120" s="164"/>
      <c r="AP120" s="166"/>
      <c r="AQ120" s="161"/>
      <c r="AR120" s="161"/>
      <c r="AS120" s="161"/>
      <c r="AT120" s="161"/>
      <c r="AU120" s="161"/>
    </row>
    <row r="121" spans="1:47">
      <c r="A121" s="471">
        <f t="shared" si="201"/>
        <v>46214</v>
      </c>
      <c r="B121" s="497"/>
      <c r="C121" s="426"/>
      <c r="D121" s="427">
        <f t="shared" si="152"/>
        <v>0</v>
      </c>
      <c r="E121" s="428">
        <f t="shared" si="198"/>
        <v>0</v>
      </c>
      <c r="F121" s="428">
        <f t="shared" si="199"/>
        <v>0</v>
      </c>
      <c r="G121" s="428">
        <f t="shared" si="189"/>
        <v>0</v>
      </c>
      <c r="H121" s="429"/>
      <c r="I121" s="430">
        <f t="shared" si="185"/>
        <v>0</v>
      </c>
      <c r="J121" s="431">
        <f t="shared" si="190"/>
        <v>0</v>
      </c>
      <c r="K121" s="431">
        <f t="shared" si="200"/>
        <v>0</v>
      </c>
      <c r="L121" s="431">
        <f t="shared" si="191"/>
        <v>0</v>
      </c>
      <c r="M121" s="432"/>
      <c r="N121" s="433">
        <f t="shared" si="135"/>
        <v>0</v>
      </c>
      <c r="O121" s="434">
        <f t="shared" si="192"/>
        <v>0</v>
      </c>
      <c r="P121" s="434">
        <f t="shared" si="132"/>
        <v>0</v>
      </c>
      <c r="Q121" s="434">
        <f t="shared" si="194"/>
        <v>0</v>
      </c>
      <c r="R121" s="435"/>
      <c r="S121" s="436">
        <f t="shared" si="137"/>
        <v>0</v>
      </c>
      <c r="T121" s="437">
        <f t="shared" si="195"/>
        <v>0</v>
      </c>
      <c r="U121" s="437">
        <f t="shared" si="133"/>
        <v>0</v>
      </c>
      <c r="V121" s="437">
        <f t="shared" si="197"/>
        <v>0</v>
      </c>
      <c r="W121" s="300"/>
      <c r="X121" s="131"/>
      <c r="Z121" s="162"/>
      <c r="AA121" s="162"/>
      <c r="AB121" s="162"/>
      <c r="AC121" s="162"/>
      <c r="AD121" s="162"/>
      <c r="AE121" s="163"/>
      <c r="AF121" s="162"/>
      <c r="AG121" s="162"/>
      <c r="AH121" s="162"/>
      <c r="AI121" s="162"/>
      <c r="AJ121" s="162"/>
      <c r="AK121" s="162"/>
      <c r="AL121" s="162"/>
      <c r="AM121" s="162"/>
      <c r="AN121" s="164"/>
      <c r="AO121" s="164"/>
      <c r="AP121" s="166"/>
      <c r="AQ121" s="161"/>
      <c r="AR121" s="161"/>
      <c r="AS121" s="161"/>
      <c r="AT121" s="161"/>
      <c r="AU121" s="161"/>
    </row>
    <row r="122" spans="1:47">
      <c r="A122" s="471">
        <f t="shared" si="201"/>
        <v>46214</v>
      </c>
      <c r="B122" s="497"/>
      <c r="C122" s="426"/>
      <c r="D122" s="427">
        <f t="shared" si="152"/>
        <v>0</v>
      </c>
      <c r="E122" s="428">
        <f t="shared" si="198"/>
        <v>0</v>
      </c>
      <c r="F122" s="428">
        <f t="shared" si="199"/>
        <v>0</v>
      </c>
      <c r="G122" s="428">
        <f t="shared" si="189"/>
        <v>0</v>
      </c>
      <c r="H122" s="429"/>
      <c r="I122" s="430">
        <f t="shared" si="185"/>
        <v>0</v>
      </c>
      <c r="J122" s="431">
        <f t="shared" si="190"/>
        <v>0</v>
      </c>
      <c r="K122" s="431">
        <f t="shared" si="200"/>
        <v>0</v>
      </c>
      <c r="L122" s="431">
        <f t="shared" si="191"/>
        <v>0</v>
      </c>
      <c r="M122" s="432"/>
      <c r="N122" s="433">
        <f t="shared" si="135"/>
        <v>0</v>
      </c>
      <c r="O122" s="434">
        <f t="shared" si="192"/>
        <v>0</v>
      </c>
      <c r="P122" s="434">
        <f t="shared" si="132"/>
        <v>0</v>
      </c>
      <c r="Q122" s="434">
        <f t="shared" si="194"/>
        <v>0</v>
      </c>
      <c r="R122" s="435"/>
      <c r="S122" s="436">
        <f t="shared" si="137"/>
        <v>0</v>
      </c>
      <c r="T122" s="437">
        <f t="shared" si="195"/>
        <v>0</v>
      </c>
      <c r="U122" s="437">
        <f t="shared" si="133"/>
        <v>0</v>
      </c>
      <c r="V122" s="437">
        <f t="shared" si="197"/>
        <v>0</v>
      </c>
      <c r="W122" s="300"/>
      <c r="X122" s="131"/>
      <c r="Z122" s="162"/>
      <c r="AA122" s="162"/>
      <c r="AB122" s="162"/>
      <c r="AC122" s="162"/>
      <c r="AD122" s="162"/>
      <c r="AE122" s="163"/>
      <c r="AF122" s="162"/>
      <c r="AG122" s="162"/>
      <c r="AH122" s="162"/>
      <c r="AI122" s="162"/>
      <c r="AJ122" s="162"/>
      <c r="AK122" s="162"/>
      <c r="AL122" s="162"/>
      <c r="AM122" s="162"/>
      <c r="AN122" s="164"/>
      <c r="AO122" s="164"/>
      <c r="AP122" s="166"/>
      <c r="AQ122" s="161"/>
      <c r="AR122" s="161"/>
      <c r="AS122" s="161"/>
      <c r="AT122" s="161"/>
      <c r="AU122" s="161"/>
    </row>
    <row r="123" spans="1:47">
      <c r="A123" s="471">
        <f t="shared" si="201"/>
        <v>46214</v>
      </c>
      <c r="B123" s="497"/>
      <c r="C123" s="426"/>
      <c r="D123" s="427">
        <f t="shared" si="152"/>
        <v>0</v>
      </c>
      <c r="E123" s="428">
        <f t="shared" si="198"/>
        <v>0</v>
      </c>
      <c r="F123" s="428">
        <f t="shared" si="199"/>
        <v>0</v>
      </c>
      <c r="G123" s="428">
        <f t="shared" si="189"/>
        <v>0</v>
      </c>
      <c r="H123" s="429"/>
      <c r="I123" s="430">
        <f t="shared" si="185"/>
        <v>0</v>
      </c>
      <c r="J123" s="431">
        <f t="shared" si="190"/>
        <v>0</v>
      </c>
      <c r="K123" s="431">
        <f t="shared" si="200"/>
        <v>0</v>
      </c>
      <c r="L123" s="431">
        <f t="shared" si="191"/>
        <v>0</v>
      </c>
      <c r="M123" s="432"/>
      <c r="N123" s="433">
        <f t="shared" si="135"/>
        <v>0</v>
      </c>
      <c r="O123" s="434">
        <f t="shared" si="192"/>
        <v>0</v>
      </c>
      <c r="P123" s="434">
        <f t="shared" si="132"/>
        <v>0</v>
      </c>
      <c r="Q123" s="434">
        <f t="shared" si="194"/>
        <v>0</v>
      </c>
      <c r="R123" s="435"/>
      <c r="S123" s="436">
        <f t="shared" si="137"/>
        <v>0</v>
      </c>
      <c r="T123" s="437">
        <f t="shared" si="195"/>
        <v>0</v>
      </c>
      <c r="U123" s="437">
        <f t="shared" si="133"/>
        <v>0</v>
      </c>
      <c r="V123" s="437">
        <f t="shared" si="197"/>
        <v>0</v>
      </c>
      <c r="W123" s="300"/>
      <c r="X123" s="131"/>
      <c r="Z123" s="162"/>
      <c r="AA123" s="162"/>
      <c r="AB123" s="162"/>
      <c r="AC123" s="162"/>
      <c r="AD123" s="162"/>
      <c r="AE123" s="163"/>
      <c r="AF123" s="162"/>
      <c r="AG123" s="162"/>
      <c r="AH123" s="162"/>
      <c r="AI123" s="162"/>
      <c r="AJ123" s="162"/>
      <c r="AK123" s="162"/>
      <c r="AL123" s="162"/>
      <c r="AM123" s="162"/>
      <c r="AN123" s="164"/>
      <c r="AO123" s="164"/>
      <c r="AP123" s="166"/>
      <c r="AQ123" s="161"/>
      <c r="AR123" s="161"/>
      <c r="AS123" s="161"/>
      <c r="AT123" s="161"/>
      <c r="AU123" s="161"/>
    </row>
    <row r="124" spans="1:47" ht="14.25">
      <c r="A124" s="471"/>
      <c r="B124" s="498" t="s">
        <v>118</v>
      </c>
      <c r="C124" s="438">
        <f>SUM(C114:C123)</f>
        <v>0</v>
      </c>
      <c r="D124" s="439">
        <f t="shared" si="152"/>
        <v>0</v>
      </c>
      <c r="E124" s="438">
        <f>SUM(E114:E123)</f>
        <v>0</v>
      </c>
      <c r="F124" s="463">
        <f>SUM(F114:F123)</f>
        <v>0</v>
      </c>
      <c r="G124" s="463">
        <f>SUM(G114:G123)</f>
        <v>0</v>
      </c>
      <c r="H124" s="440">
        <f>SUM(H114:H123)</f>
        <v>0</v>
      </c>
      <c r="I124" s="441">
        <f t="shared" si="185"/>
        <v>0</v>
      </c>
      <c r="J124" s="440">
        <f>SUM(J114:J123)</f>
        <v>0</v>
      </c>
      <c r="K124" s="466">
        <f>SUM(K114:K123)</f>
        <v>0</v>
      </c>
      <c r="L124" s="466">
        <f>SUM(L114:L123)</f>
        <v>0</v>
      </c>
      <c r="M124" s="442">
        <f t="shared" ref="M124" si="202">SUM(M114:M123)</f>
        <v>0</v>
      </c>
      <c r="N124" s="443">
        <f t="shared" si="135"/>
        <v>0</v>
      </c>
      <c r="O124" s="442">
        <f t="shared" ref="O124:R124" si="203">SUM(O114:O123)</f>
        <v>0</v>
      </c>
      <c r="P124" s="468">
        <f t="shared" si="203"/>
        <v>0</v>
      </c>
      <c r="Q124" s="468">
        <f t="shared" si="203"/>
        <v>0</v>
      </c>
      <c r="R124" s="444">
        <f t="shared" si="203"/>
        <v>0</v>
      </c>
      <c r="S124" s="445">
        <f t="shared" si="137"/>
        <v>0</v>
      </c>
      <c r="T124" s="444">
        <f t="shared" ref="T124:V124" si="204">SUM(T114:T123)</f>
        <v>0</v>
      </c>
      <c r="U124" s="470">
        <f t="shared" si="204"/>
        <v>0</v>
      </c>
      <c r="V124" s="470">
        <f t="shared" si="204"/>
        <v>0</v>
      </c>
      <c r="W124" s="300"/>
      <c r="X124" s="131"/>
      <c r="Z124" s="162"/>
      <c r="AA124" s="162"/>
      <c r="AB124" s="162"/>
      <c r="AC124" s="162"/>
      <c r="AD124" s="162"/>
      <c r="AE124" s="163"/>
      <c r="AF124" s="162"/>
      <c r="AG124" s="162"/>
      <c r="AH124" s="162"/>
      <c r="AI124" s="162"/>
      <c r="AJ124" s="162"/>
      <c r="AK124" s="162"/>
      <c r="AL124" s="162"/>
      <c r="AM124" s="162"/>
      <c r="AN124" s="164"/>
      <c r="AO124" s="164"/>
      <c r="AP124" s="166"/>
      <c r="AQ124" s="161"/>
      <c r="AR124" s="161"/>
      <c r="AS124" s="161"/>
      <c r="AT124" s="161"/>
      <c r="AU124" s="161"/>
    </row>
    <row r="125" spans="1:47">
      <c r="A125" s="472">
        <f>+A114+1</f>
        <v>46215</v>
      </c>
      <c r="B125" s="497"/>
      <c r="C125" s="426"/>
      <c r="D125" s="427">
        <f t="shared" si="152"/>
        <v>0</v>
      </c>
      <c r="E125" s="428">
        <f>+D125/0.0125*0.125</f>
        <v>0</v>
      </c>
      <c r="F125" s="428">
        <f>+E125/1500</f>
        <v>0</v>
      </c>
      <c r="G125" s="428">
        <f t="shared" ref="G125:G134" si="205">+D125/0.0125*0.000318</f>
        <v>0</v>
      </c>
      <c r="H125" s="429"/>
      <c r="I125" s="430">
        <f t="shared" si="185"/>
        <v>0</v>
      </c>
      <c r="J125" s="431">
        <f t="shared" ref="J125:J134" si="206">+I125/0.0185*0.185</f>
        <v>0</v>
      </c>
      <c r="K125" s="431">
        <f>+J125/1500</f>
        <v>0</v>
      </c>
      <c r="L125" s="431">
        <f t="shared" ref="L125:L134" si="207">+I125/0.0185*0.000318</f>
        <v>0</v>
      </c>
      <c r="M125" s="432"/>
      <c r="N125" s="433">
        <f t="shared" si="135"/>
        <v>0</v>
      </c>
      <c r="O125" s="434">
        <f t="shared" ref="O125:O134" si="208">+N125/0.0185*0.185</f>
        <v>0</v>
      </c>
      <c r="P125" s="434">
        <f t="shared" ref="P125" si="209">+O125/1500</f>
        <v>0</v>
      </c>
      <c r="Q125" s="434">
        <f t="shared" ref="Q125:Q134" si="210">+N125/0.0185*0.000318</f>
        <v>0</v>
      </c>
      <c r="R125" s="435"/>
      <c r="S125" s="436">
        <f t="shared" si="137"/>
        <v>0</v>
      </c>
      <c r="T125" s="437">
        <f t="shared" ref="T125:T134" si="211">+S125/0.0185*0.185</f>
        <v>0</v>
      </c>
      <c r="U125" s="437">
        <f t="shared" ref="U125" si="212">+T125/1500</f>
        <v>0</v>
      </c>
      <c r="V125" s="437">
        <f t="shared" ref="V125:V134" si="213">+S125/0.0185*0.000318</f>
        <v>0</v>
      </c>
      <c r="W125" s="300"/>
      <c r="X125" s="131">
        <f>+W125*2.4</f>
        <v>0</v>
      </c>
      <c r="Z125" s="162" t="str">
        <f>IFERROR((D125/'REKAPAN OKEY AYAM'!$AC15),"-")</f>
        <v>-</v>
      </c>
      <c r="AA125" s="162" t="str">
        <f>IFERROR((I125/'REKAPAN CHAMP AYAM'!$AC15),"-")</f>
        <v>-</v>
      </c>
      <c r="AB125" s="162" t="str">
        <f>IFERROR((N125/'REKAPAN CHAMP SAPI'!AC15),"-")</f>
        <v>-</v>
      </c>
      <c r="AC125" s="162" t="str">
        <f>IFERROR((S125/'REKAPAN CHAMP OTAK-OTAK'!AC15),"-")</f>
        <v>-</v>
      </c>
      <c r="AD125" s="162" t="str">
        <f>IFERROR((X125/'REKAPAN FIESTA'!AC15),"-")</f>
        <v>-</v>
      </c>
      <c r="AE125" s="163"/>
      <c r="AF125" s="162" t="str">
        <f t="shared" si="39"/>
        <v>-</v>
      </c>
      <c r="AG125" s="162" t="str">
        <f>IFERROR(((D125/0.0125*0.000318)/#REF!),"-")</f>
        <v>-</v>
      </c>
      <c r="AH125" s="162" t="str">
        <f t="shared" si="40"/>
        <v>-</v>
      </c>
      <c r="AI125" s="162" t="str">
        <f>IFERROR(((I125/0.0185*0.000318)/#REF!),"-")</f>
        <v>-</v>
      </c>
      <c r="AJ125" s="162" t="str">
        <f t="shared" si="41"/>
        <v>-</v>
      </c>
      <c r="AK125" s="162" t="str">
        <f>IFERROR(((N125/0.0185*0.000318)/#REF!),"-")</f>
        <v>-</v>
      </c>
      <c r="AL125" s="162" t="str">
        <f t="shared" si="42"/>
        <v>-</v>
      </c>
      <c r="AM125" s="162" t="str">
        <f>IFERROR(((S125/0.0185*0.000318)/#REF!),"-")</f>
        <v>-</v>
      </c>
      <c r="AN125" s="164"/>
      <c r="AO125" s="164"/>
      <c r="AP125" s="166"/>
      <c r="AQ125" s="161" t="str">
        <f>IFERROR(('REKAPAN OKEY AYAM'!$AD15),"-")</f>
        <v>-</v>
      </c>
      <c r="AR125" s="161" t="str">
        <f>IFERROR(('REKAPAN CHAMP AYAM'!$AD15),"-")</f>
        <v>-</v>
      </c>
      <c r="AS125" s="161" t="str">
        <f>IFERROR(('REKAPAN CHAMP SAPI'!$AD15),"-")</f>
        <v>-</v>
      </c>
      <c r="AT125" s="161" t="str">
        <f>IFERROR(('REKAPAN CHAMP OTAK-OTAK'!$AD15),"-")</f>
        <v>-</v>
      </c>
      <c r="AU125" s="161" t="str">
        <f>IFERROR(('REKAPAN FIESTA'!$AD15),"-")</f>
        <v>-</v>
      </c>
    </row>
    <row r="126" spans="1:47">
      <c r="A126" s="471">
        <f>+$A125</f>
        <v>46215</v>
      </c>
      <c r="B126" s="497"/>
      <c r="C126" s="426"/>
      <c r="D126" s="427">
        <f t="shared" si="152"/>
        <v>0</v>
      </c>
      <c r="E126" s="428">
        <f t="shared" ref="E126:E134" si="214">+D126/0.0125*0.125</f>
        <v>0</v>
      </c>
      <c r="F126" s="428">
        <f t="shared" ref="F126:F134" si="215">+E126/1500</f>
        <v>0</v>
      </c>
      <c r="G126" s="428">
        <f t="shared" si="205"/>
        <v>0</v>
      </c>
      <c r="H126" s="429"/>
      <c r="I126" s="430">
        <f t="shared" si="185"/>
        <v>0</v>
      </c>
      <c r="J126" s="431">
        <f t="shared" si="206"/>
        <v>0</v>
      </c>
      <c r="K126" s="431">
        <f t="shared" ref="K126:K134" si="216">+J126/1500</f>
        <v>0</v>
      </c>
      <c r="L126" s="431">
        <f t="shared" si="207"/>
        <v>0</v>
      </c>
      <c r="M126" s="432"/>
      <c r="N126" s="433">
        <f t="shared" si="135"/>
        <v>0</v>
      </c>
      <c r="O126" s="434">
        <f t="shared" si="208"/>
        <v>0</v>
      </c>
      <c r="P126" s="434">
        <f t="shared" si="132"/>
        <v>0</v>
      </c>
      <c r="Q126" s="434">
        <f t="shared" si="210"/>
        <v>0</v>
      </c>
      <c r="R126" s="435"/>
      <c r="S126" s="436">
        <f t="shared" si="137"/>
        <v>0</v>
      </c>
      <c r="T126" s="437">
        <f t="shared" si="211"/>
        <v>0</v>
      </c>
      <c r="U126" s="437">
        <f t="shared" si="133"/>
        <v>0</v>
      </c>
      <c r="V126" s="437">
        <f t="shared" si="213"/>
        <v>0</v>
      </c>
      <c r="W126" s="300"/>
      <c r="X126" s="131"/>
      <c r="Z126" s="162"/>
      <c r="AA126" s="162"/>
      <c r="AB126" s="162"/>
      <c r="AC126" s="162"/>
      <c r="AD126" s="162"/>
      <c r="AE126" s="163"/>
      <c r="AF126" s="162"/>
      <c r="AG126" s="162"/>
      <c r="AH126" s="162"/>
      <c r="AI126" s="162"/>
      <c r="AJ126" s="162"/>
      <c r="AK126" s="162"/>
      <c r="AL126" s="162"/>
      <c r="AM126" s="162"/>
      <c r="AN126" s="164"/>
      <c r="AO126" s="164"/>
      <c r="AP126" s="166"/>
      <c r="AQ126" s="161"/>
      <c r="AR126" s="161"/>
      <c r="AS126" s="161"/>
      <c r="AT126" s="161"/>
      <c r="AU126" s="161"/>
    </row>
    <row r="127" spans="1:47">
      <c r="A127" s="471">
        <f t="shared" ref="A127:A134" si="217">+$A126</f>
        <v>46215</v>
      </c>
      <c r="B127" s="497"/>
      <c r="C127" s="426"/>
      <c r="D127" s="427">
        <f t="shared" si="152"/>
        <v>0</v>
      </c>
      <c r="E127" s="428">
        <f t="shared" si="214"/>
        <v>0</v>
      </c>
      <c r="F127" s="428">
        <f t="shared" si="215"/>
        <v>0</v>
      </c>
      <c r="G127" s="428">
        <f t="shared" si="205"/>
        <v>0</v>
      </c>
      <c r="H127" s="429"/>
      <c r="I127" s="430">
        <f t="shared" si="185"/>
        <v>0</v>
      </c>
      <c r="J127" s="431">
        <f t="shared" si="206"/>
        <v>0</v>
      </c>
      <c r="K127" s="431">
        <f t="shared" si="216"/>
        <v>0</v>
      </c>
      <c r="L127" s="431">
        <f t="shared" si="207"/>
        <v>0</v>
      </c>
      <c r="M127" s="432"/>
      <c r="N127" s="433">
        <f t="shared" si="135"/>
        <v>0</v>
      </c>
      <c r="O127" s="434">
        <f t="shared" si="208"/>
        <v>0</v>
      </c>
      <c r="P127" s="434">
        <f t="shared" si="132"/>
        <v>0</v>
      </c>
      <c r="Q127" s="434">
        <f t="shared" si="210"/>
        <v>0</v>
      </c>
      <c r="R127" s="435"/>
      <c r="S127" s="436">
        <f t="shared" si="137"/>
        <v>0</v>
      </c>
      <c r="T127" s="437">
        <f t="shared" si="211"/>
        <v>0</v>
      </c>
      <c r="U127" s="437">
        <f t="shared" si="133"/>
        <v>0</v>
      </c>
      <c r="V127" s="437">
        <f t="shared" si="213"/>
        <v>0</v>
      </c>
      <c r="W127" s="300"/>
      <c r="X127" s="131"/>
      <c r="Z127" s="162"/>
      <c r="AA127" s="162"/>
      <c r="AB127" s="162"/>
      <c r="AC127" s="162"/>
      <c r="AD127" s="162"/>
      <c r="AE127" s="163"/>
      <c r="AF127" s="162"/>
      <c r="AG127" s="162"/>
      <c r="AH127" s="162"/>
      <c r="AI127" s="162"/>
      <c r="AJ127" s="162"/>
      <c r="AK127" s="162"/>
      <c r="AL127" s="162"/>
      <c r="AM127" s="162"/>
      <c r="AN127" s="164"/>
      <c r="AO127" s="164"/>
      <c r="AP127" s="166"/>
      <c r="AQ127" s="161"/>
      <c r="AR127" s="161"/>
      <c r="AS127" s="161"/>
      <c r="AT127" s="161"/>
      <c r="AU127" s="161"/>
    </row>
    <row r="128" spans="1:47">
      <c r="A128" s="471">
        <f t="shared" si="217"/>
        <v>46215</v>
      </c>
      <c r="B128" s="497"/>
      <c r="C128" s="426"/>
      <c r="D128" s="427">
        <f t="shared" si="152"/>
        <v>0</v>
      </c>
      <c r="E128" s="428">
        <f t="shared" si="214"/>
        <v>0</v>
      </c>
      <c r="F128" s="428">
        <f t="shared" si="215"/>
        <v>0</v>
      </c>
      <c r="G128" s="428">
        <f t="shared" si="205"/>
        <v>0</v>
      </c>
      <c r="H128" s="429"/>
      <c r="I128" s="430">
        <f t="shared" si="185"/>
        <v>0</v>
      </c>
      <c r="J128" s="431">
        <f t="shared" si="206"/>
        <v>0</v>
      </c>
      <c r="K128" s="431">
        <f t="shared" si="216"/>
        <v>0</v>
      </c>
      <c r="L128" s="431">
        <f t="shared" si="207"/>
        <v>0</v>
      </c>
      <c r="M128" s="432"/>
      <c r="N128" s="433">
        <f t="shared" si="135"/>
        <v>0</v>
      </c>
      <c r="O128" s="434">
        <f t="shared" si="208"/>
        <v>0</v>
      </c>
      <c r="P128" s="434">
        <f t="shared" si="132"/>
        <v>0</v>
      </c>
      <c r="Q128" s="434">
        <f t="shared" si="210"/>
        <v>0</v>
      </c>
      <c r="R128" s="435"/>
      <c r="S128" s="436">
        <f t="shared" si="137"/>
        <v>0</v>
      </c>
      <c r="T128" s="437">
        <f t="shared" si="211"/>
        <v>0</v>
      </c>
      <c r="U128" s="437">
        <f t="shared" si="133"/>
        <v>0</v>
      </c>
      <c r="V128" s="437">
        <f t="shared" si="213"/>
        <v>0</v>
      </c>
      <c r="W128" s="300"/>
      <c r="X128" s="131"/>
      <c r="Z128" s="162"/>
      <c r="AA128" s="162"/>
      <c r="AB128" s="162"/>
      <c r="AC128" s="162"/>
      <c r="AD128" s="162"/>
      <c r="AE128" s="163"/>
      <c r="AF128" s="162"/>
      <c r="AG128" s="162"/>
      <c r="AH128" s="162"/>
      <c r="AI128" s="162"/>
      <c r="AJ128" s="162"/>
      <c r="AK128" s="162"/>
      <c r="AL128" s="162"/>
      <c r="AM128" s="162"/>
      <c r="AN128" s="164"/>
      <c r="AO128" s="164"/>
      <c r="AP128" s="166"/>
      <c r="AQ128" s="161"/>
      <c r="AR128" s="161"/>
      <c r="AS128" s="161"/>
      <c r="AT128" s="161"/>
      <c r="AU128" s="161"/>
    </row>
    <row r="129" spans="1:47">
      <c r="A129" s="471">
        <f t="shared" si="217"/>
        <v>46215</v>
      </c>
      <c r="B129" s="497"/>
      <c r="C129" s="426"/>
      <c r="D129" s="427">
        <f t="shared" si="152"/>
        <v>0</v>
      </c>
      <c r="E129" s="428">
        <f t="shared" si="214"/>
        <v>0</v>
      </c>
      <c r="F129" s="428">
        <f t="shared" si="215"/>
        <v>0</v>
      </c>
      <c r="G129" s="428">
        <f t="shared" si="205"/>
        <v>0</v>
      </c>
      <c r="H129" s="429"/>
      <c r="I129" s="430">
        <f t="shared" si="185"/>
        <v>0</v>
      </c>
      <c r="J129" s="431">
        <f t="shared" si="206"/>
        <v>0</v>
      </c>
      <c r="K129" s="431">
        <f t="shared" si="216"/>
        <v>0</v>
      </c>
      <c r="L129" s="431">
        <f t="shared" si="207"/>
        <v>0</v>
      </c>
      <c r="M129" s="432"/>
      <c r="N129" s="433">
        <f t="shared" si="135"/>
        <v>0</v>
      </c>
      <c r="O129" s="434">
        <f t="shared" si="208"/>
        <v>0</v>
      </c>
      <c r="P129" s="434">
        <f t="shared" si="132"/>
        <v>0</v>
      </c>
      <c r="Q129" s="434">
        <f t="shared" si="210"/>
        <v>0</v>
      </c>
      <c r="R129" s="435"/>
      <c r="S129" s="436">
        <f t="shared" si="137"/>
        <v>0</v>
      </c>
      <c r="T129" s="437">
        <f t="shared" si="211"/>
        <v>0</v>
      </c>
      <c r="U129" s="437">
        <f t="shared" si="133"/>
        <v>0</v>
      </c>
      <c r="V129" s="437">
        <f t="shared" si="213"/>
        <v>0</v>
      </c>
      <c r="W129" s="300"/>
      <c r="X129" s="131"/>
      <c r="Z129" s="162"/>
      <c r="AA129" s="162"/>
      <c r="AB129" s="162"/>
      <c r="AC129" s="162"/>
      <c r="AD129" s="162"/>
      <c r="AE129" s="163"/>
      <c r="AF129" s="162"/>
      <c r="AG129" s="162"/>
      <c r="AH129" s="162"/>
      <c r="AI129" s="162"/>
      <c r="AJ129" s="162"/>
      <c r="AK129" s="162"/>
      <c r="AL129" s="162"/>
      <c r="AM129" s="162"/>
      <c r="AN129" s="164"/>
      <c r="AO129" s="164"/>
      <c r="AP129" s="166"/>
      <c r="AQ129" s="161"/>
      <c r="AR129" s="161"/>
      <c r="AS129" s="161"/>
      <c r="AT129" s="161"/>
      <c r="AU129" s="161"/>
    </row>
    <row r="130" spans="1:47">
      <c r="A130" s="471">
        <f t="shared" si="217"/>
        <v>46215</v>
      </c>
      <c r="B130" s="497"/>
      <c r="C130" s="426"/>
      <c r="D130" s="427">
        <f t="shared" si="152"/>
        <v>0</v>
      </c>
      <c r="E130" s="428">
        <f t="shared" si="214"/>
        <v>0</v>
      </c>
      <c r="F130" s="428">
        <f t="shared" si="215"/>
        <v>0</v>
      </c>
      <c r="G130" s="428">
        <f t="shared" si="205"/>
        <v>0</v>
      </c>
      <c r="H130" s="429"/>
      <c r="I130" s="430">
        <f t="shared" si="185"/>
        <v>0</v>
      </c>
      <c r="J130" s="431">
        <f t="shared" si="206"/>
        <v>0</v>
      </c>
      <c r="K130" s="431">
        <f t="shared" si="216"/>
        <v>0</v>
      </c>
      <c r="L130" s="431">
        <f t="shared" si="207"/>
        <v>0</v>
      </c>
      <c r="M130" s="432"/>
      <c r="N130" s="433">
        <f t="shared" si="135"/>
        <v>0</v>
      </c>
      <c r="O130" s="434">
        <f t="shared" si="208"/>
        <v>0</v>
      </c>
      <c r="P130" s="434">
        <f t="shared" si="132"/>
        <v>0</v>
      </c>
      <c r="Q130" s="434">
        <f t="shared" si="210"/>
        <v>0</v>
      </c>
      <c r="R130" s="435"/>
      <c r="S130" s="436">
        <f t="shared" si="137"/>
        <v>0</v>
      </c>
      <c r="T130" s="437">
        <f t="shared" si="211"/>
        <v>0</v>
      </c>
      <c r="U130" s="437">
        <f t="shared" si="133"/>
        <v>0</v>
      </c>
      <c r="V130" s="437">
        <f t="shared" si="213"/>
        <v>0</v>
      </c>
      <c r="W130" s="300"/>
      <c r="X130" s="131"/>
      <c r="Z130" s="162"/>
      <c r="AA130" s="162"/>
      <c r="AB130" s="162"/>
      <c r="AC130" s="162"/>
      <c r="AD130" s="162"/>
      <c r="AE130" s="163"/>
      <c r="AF130" s="162"/>
      <c r="AG130" s="162"/>
      <c r="AH130" s="162"/>
      <c r="AI130" s="162"/>
      <c r="AJ130" s="162"/>
      <c r="AK130" s="162"/>
      <c r="AL130" s="162"/>
      <c r="AM130" s="162"/>
      <c r="AN130" s="164"/>
      <c r="AO130" s="164"/>
      <c r="AP130" s="166"/>
      <c r="AQ130" s="161"/>
      <c r="AR130" s="161"/>
      <c r="AS130" s="161"/>
      <c r="AT130" s="161"/>
      <c r="AU130" s="161"/>
    </row>
    <row r="131" spans="1:47">
      <c r="A131" s="471">
        <f t="shared" si="217"/>
        <v>46215</v>
      </c>
      <c r="B131" s="497"/>
      <c r="C131" s="426"/>
      <c r="D131" s="427">
        <f t="shared" si="152"/>
        <v>0</v>
      </c>
      <c r="E131" s="428">
        <f t="shared" si="214"/>
        <v>0</v>
      </c>
      <c r="F131" s="428">
        <f t="shared" si="215"/>
        <v>0</v>
      </c>
      <c r="G131" s="428">
        <f t="shared" si="205"/>
        <v>0</v>
      </c>
      <c r="H131" s="429"/>
      <c r="I131" s="430">
        <f t="shared" si="185"/>
        <v>0</v>
      </c>
      <c r="J131" s="431">
        <f t="shared" si="206"/>
        <v>0</v>
      </c>
      <c r="K131" s="431">
        <f t="shared" si="216"/>
        <v>0</v>
      </c>
      <c r="L131" s="431">
        <f t="shared" si="207"/>
        <v>0</v>
      </c>
      <c r="M131" s="432"/>
      <c r="N131" s="433">
        <f t="shared" si="135"/>
        <v>0</v>
      </c>
      <c r="O131" s="434">
        <f t="shared" si="208"/>
        <v>0</v>
      </c>
      <c r="P131" s="434">
        <f t="shared" si="132"/>
        <v>0</v>
      </c>
      <c r="Q131" s="434">
        <f t="shared" si="210"/>
        <v>0</v>
      </c>
      <c r="R131" s="435"/>
      <c r="S131" s="436">
        <f t="shared" si="137"/>
        <v>0</v>
      </c>
      <c r="T131" s="437">
        <f t="shared" si="211"/>
        <v>0</v>
      </c>
      <c r="U131" s="437">
        <f t="shared" si="133"/>
        <v>0</v>
      </c>
      <c r="V131" s="437">
        <f t="shared" si="213"/>
        <v>0</v>
      </c>
      <c r="W131" s="300"/>
      <c r="X131" s="131"/>
      <c r="Z131" s="162"/>
      <c r="AA131" s="162"/>
      <c r="AB131" s="162"/>
      <c r="AC131" s="162"/>
      <c r="AD131" s="162"/>
      <c r="AE131" s="163"/>
      <c r="AF131" s="162"/>
      <c r="AG131" s="162"/>
      <c r="AH131" s="162"/>
      <c r="AI131" s="162"/>
      <c r="AJ131" s="162"/>
      <c r="AK131" s="162"/>
      <c r="AL131" s="162"/>
      <c r="AM131" s="162"/>
      <c r="AN131" s="164"/>
      <c r="AO131" s="164"/>
      <c r="AP131" s="166"/>
      <c r="AQ131" s="161"/>
      <c r="AR131" s="161"/>
      <c r="AS131" s="161"/>
      <c r="AT131" s="161"/>
      <c r="AU131" s="161"/>
    </row>
    <row r="132" spans="1:47">
      <c r="A132" s="471">
        <f t="shared" si="217"/>
        <v>46215</v>
      </c>
      <c r="B132" s="497"/>
      <c r="C132" s="426"/>
      <c r="D132" s="427">
        <f t="shared" si="152"/>
        <v>0</v>
      </c>
      <c r="E132" s="428">
        <f t="shared" si="214"/>
        <v>0</v>
      </c>
      <c r="F132" s="428">
        <f t="shared" si="215"/>
        <v>0</v>
      </c>
      <c r="G132" s="428">
        <f t="shared" si="205"/>
        <v>0</v>
      </c>
      <c r="H132" s="429"/>
      <c r="I132" s="430">
        <f t="shared" si="185"/>
        <v>0</v>
      </c>
      <c r="J132" s="431">
        <f t="shared" si="206"/>
        <v>0</v>
      </c>
      <c r="K132" s="431">
        <f t="shared" si="216"/>
        <v>0</v>
      </c>
      <c r="L132" s="431">
        <f t="shared" si="207"/>
        <v>0</v>
      </c>
      <c r="M132" s="432"/>
      <c r="N132" s="433">
        <f t="shared" si="135"/>
        <v>0</v>
      </c>
      <c r="O132" s="434">
        <f t="shared" si="208"/>
        <v>0</v>
      </c>
      <c r="P132" s="434">
        <f t="shared" si="132"/>
        <v>0</v>
      </c>
      <c r="Q132" s="434">
        <f t="shared" si="210"/>
        <v>0</v>
      </c>
      <c r="R132" s="435"/>
      <c r="S132" s="436">
        <f t="shared" si="137"/>
        <v>0</v>
      </c>
      <c r="T132" s="437">
        <f t="shared" si="211"/>
        <v>0</v>
      </c>
      <c r="U132" s="437">
        <f t="shared" si="133"/>
        <v>0</v>
      </c>
      <c r="V132" s="437">
        <f t="shared" si="213"/>
        <v>0</v>
      </c>
      <c r="W132" s="300"/>
      <c r="X132" s="131"/>
      <c r="Z132" s="162"/>
      <c r="AA132" s="162"/>
      <c r="AB132" s="162"/>
      <c r="AC132" s="162"/>
      <c r="AD132" s="162"/>
      <c r="AE132" s="163"/>
      <c r="AF132" s="162"/>
      <c r="AG132" s="162"/>
      <c r="AH132" s="162"/>
      <c r="AI132" s="162"/>
      <c r="AJ132" s="162"/>
      <c r="AK132" s="162"/>
      <c r="AL132" s="162"/>
      <c r="AM132" s="162"/>
      <c r="AN132" s="164"/>
      <c r="AO132" s="164"/>
      <c r="AP132" s="166"/>
      <c r="AQ132" s="161"/>
      <c r="AR132" s="161"/>
      <c r="AS132" s="161"/>
      <c r="AT132" s="161"/>
      <c r="AU132" s="161"/>
    </row>
    <row r="133" spans="1:47">
      <c r="A133" s="471">
        <f t="shared" si="217"/>
        <v>46215</v>
      </c>
      <c r="B133" s="497"/>
      <c r="C133" s="426"/>
      <c r="D133" s="427">
        <f t="shared" si="152"/>
        <v>0</v>
      </c>
      <c r="E133" s="428">
        <f t="shared" si="214"/>
        <v>0</v>
      </c>
      <c r="F133" s="428">
        <f t="shared" si="215"/>
        <v>0</v>
      </c>
      <c r="G133" s="428">
        <f t="shared" si="205"/>
        <v>0</v>
      </c>
      <c r="H133" s="429"/>
      <c r="I133" s="430">
        <f t="shared" si="185"/>
        <v>0</v>
      </c>
      <c r="J133" s="431">
        <f t="shared" si="206"/>
        <v>0</v>
      </c>
      <c r="K133" s="431">
        <f t="shared" si="216"/>
        <v>0</v>
      </c>
      <c r="L133" s="431">
        <f t="shared" si="207"/>
        <v>0</v>
      </c>
      <c r="M133" s="432"/>
      <c r="N133" s="433">
        <f t="shared" si="135"/>
        <v>0</v>
      </c>
      <c r="O133" s="434">
        <f t="shared" si="208"/>
        <v>0</v>
      </c>
      <c r="P133" s="434">
        <f t="shared" si="132"/>
        <v>0</v>
      </c>
      <c r="Q133" s="434">
        <f t="shared" si="210"/>
        <v>0</v>
      </c>
      <c r="R133" s="435"/>
      <c r="S133" s="436">
        <f t="shared" si="137"/>
        <v>0</v>
      </c>
      <c r="T133" s="437">
        <f t="shared" si="211"/>
        <v>0</v>
      </c>
      <c r="U133" s="437">
        <f t="shared" si="133"/>
        <v>0</v>
      </c>
      <c r="V133" s="437">
        <f t="shared" si="213"/>
        <v>0</v>
      </c>
      <c r="W133" s="300"/>
      <c r="X133" s="131"/>
      <c r="Z133" s="162"/>
      <c r="AA133" s="162"/>
      <c r="AB133" s="162"/>
      <c r="AC133" s="162"/>
      <c r="AD133" s="162"/>
      <c r="AE133" s="163"/>
      <c r="AF133" s="162"/>
      <c r="AG133" s="162"/>
      <c r="AH133" s="162"/>
      <c r="AI133" s="162"/>
      <c r="AJ133" s="162"/>
      <c r="AK133" s="162"/>
      <c r="AL133" s="162"/>
      <c r="AM133" s="162"/>
      <c r="AN133" s="164"/>
      <c r="AO133" s="164"/>
      <c r="AP133" s="166"/>
      <c r="AQ133" s="161"/>
      <c r="AR133" s="161"/>
      <c r="AS133" s="161"/>
      <c r="AT133" s="161"/>
      <c r="AU133" s="161"/>
    </row>
    <row r="134" spans="1:47">
      <c r="A134" s="471">
        <f t="shared" si="217"/>
        <v>46215</v>
      </c>
      <c r="B134" s="497"/>
      <c r="C134" s="426"/>
      <c r="D134" s="427">
        <f t="shared" si="152"/>
        <v>0</v>
      </c>
      <c r="E134" s="428">
        <f t="shared" si="214"/>
        <v>0</v>
      </c>
      <c r="F134" s="428">
        <f t="shared" si="215"/>
        <v>0</v>
      </c>
      <c r="G134" s="428">
        <f t="shared" si="205"/>
        <v>0</v>
      </c>
      <c r="H134" s="429"/>
      <c r="I134" s="430">
        <f t="shared" si="185"/>
        <v>0</v>
      </c>
      <c r="J134" s="431">
        <f t="shared" si="206"/>
        <v>0</v>
      </c>
      <c r="K134" s="431">
        <f t="shared" si="216"/>
        <v>0</v>
      </c>
      <c r="L134" s="431">
        <f t="shared" si="207"/>
        <v>0</v>
      </c>
      <c r="M134" s="432"/>
      <c r="N134" s="433">
        <f t="shared" si="135"/>
        <v>0</v>
      </c>
      <c r="O134" s="434">
        <f t="shared" si="208"/>
        <v>0</v>
      </c>
      <c r="P134" s="434">
        <f t="shared" si="132"/>
        <v>0</v>
      </c>
      <c r="Q134" s="434">
        <f t="shared" si="210"/>
        <v>0</v>
      </c>
      <c r="R134" s="435"/>
      <c r="S134" s="436">
        <f t="shared" si="137"/>
        <v>0</v>
      </c>
      <c r="T134" s="437">
        <f t="shared" si="211"/>
        <v>0</v>
      </c>
      <c r="U134" s="437">
        <f t="shared" si="133"/>
        <v>0</v>
      </c>
      <c r="V134" s="437">
        <f t="shared" si="213"/>
        <v>0</v>
      </c>
      <c r="W134" s="300"/>
      <c r="X134" s="131"/>
      <c r="Z134" s="162"/>
      <c r="AA134" s="162"/>
      <c r="AB134" s="162"/>
      <c r="AC134" s="162"/>
      <c r="AD134" s="162"/>
      <c r="AE134" s="163"/>
      <c r="AF134" s="162"/>
      <c r="AG134" s="162"/>
      <c r="AH134" s="162"/>
      <c r="AI134" s="162"/>
      <c r="AJ134" s="162"/>
      <c r="AK134" s="162"/>
      <c r="AL134" s="162"/>
      <c r="AM134" s="162"/>
      <c r="AN134" s="164"/>
      <c r="AO134" s="164"/>
      <c r="AP134" s="166"/>
      <c r="AQ134" s="161"/>
      <c r="AR134" s="161"/>
      <c r="AS134" s="161"/>
      <c r="AT134" s="161"/>
      <c r="AU134" s="161"/>
    </row>
    <row r="135" spans="1:47" ht="14.25">
      <c r="A135" s="471"/>
      <c r="B135" s="498" t="s">
        <v>118</v>
      </c>
      <c r="C135" s="438">
        <f>SUM(C125:C134)</f>
        <v>0</v>
      </c>
      <c r="D135" s="439">
        <f t="shared" si="152"/>
        <v>0</v>
      </c>
      <c r="E135" s="438">
        <f>SUM(E125:E134)</f>
        <v>0</v>
      </c>
      <c r="F135" s="463">
        <f>SUM(F125:F134)</f>
        <v>0</v>
      </c>
      <c r="G135" s="463">
        <f>SUM(G125:G134)</f>
        <v>0</v>
      </c>
      <c r="H135" s="440">
        <f>SUM(H125:H134)</f>
        <v>0</v>
      </c>
      <c r="I135" s="441">
        <f t="shared" si="185"/>
        <v>0</v>
      </c>
      <c r="J135" s="440">
        <f>SUM(J125:J134)</f>
        <v>0</v>
      </c>
      <c r="K135" s="466">
        <f>SUM(K125:K134)</f>
        <v>0</v>
      </c>
      <c r="L135" s="466">
        <f>SUM(L125:L134)</f>
        <v>0</v>
      </c>
      <c r="M135" s="442">
        <f t="shared" ref="M135" si="218">SUM(M125:M134)</f>
        <v>0</v>
      </c>
      <c r="N135" s="443">
        <f t="shared" si="135"/>
        <v>0</v>
      </c>
      <c r="O135" s="442">
        <f t="shared" ref="O135:R135" si="219">SUM(O125:O134)</f>
        <v>0</v>
      </c>
      <c r="P135" s="468">
        <f t="shared" si="219"/>
        <v>0</v>
      </c>
      <c r="Q135" s="468">
        <f t="shared" si="219"/>
        <v>0</v>
      </c>
      <c r="R135" s="444">
        <f t="shared" si="219"/>
        <v>0</v>
      </c>
      <c r="S135" s="445">
        <f t="shared" si="137"/>
        <v>0</v>
      </c>
      <c r="T135" s="444">
        <f t="shared" ref="T135:V135" si="220">SUM(T125:T134)</f>
        <v>0</v>
      </c>
      <c r="U135" s="470">
        <f t="shared" si="220"/>
        <v>0</v>
      </c>
      <c r="V135" s="470">
        <f t="shared" si="220"/>
        <v>0</v>
      </c>
      <c r="W135" s="300"/>
      <c r="X135" s="131"/>
      <c r="Z135" s="162"/>
      <c r="AA135" s="162"/>
      <c r="AB135" s="162"/>
      <c r="AC135" s="162"/>
      <c r="AD135" s="162"/>
      <c r="AE135" s="163"/>
      <c r="AF135" s="162"/>
      <c r="AG135" s="162"/>
      <c r="AH135" s="162"/>
      <c r="AI135" s="162"/>
      <c r="AJ135" s="162"/>
      <c r="AK135" s="162"/>
      <c r="AL135" s="162"/>
      <c r="AM135" s="162"/>
      <c r="AN135" s="164"/>
      <c r="AO135" s="164"/>
      <c r="AP135" s="166"/>
      <c r="AQ135" s="161"/>
      <c r="AR135" s="161"/>
      <c r="AS135" s="161"/>
      <c r="AT135" s="161"/>
      <c r="AU135" s="161"/>
    </row>
    <row r="136" spans="1:47">
      <c r="A136" s="472">
        <f>+A125+1</f>
        <v>46216</v>
      </c>
      <c r="B136" s="497" t="s">
        <v>250</v>
      </c>
      <c r="C136" s="426"/>
      <c r="D136" s="427">
        <f t="shared" si="152"/>
        <v>0</v>
      </c>
      <c r="E136" s="428">
        <f>+D136/0.0125*0.125</f>
        <v>0</v>
      </c>
      <c r="F136" s="428">
        <f>+E136/1500</f>
        <v>0</v>
      </c>
      <c r="G136" s="428">
        <f t="shared" ref="G136:G145" si="221">+D136/0.0125*0.000318</f>
        <v>0</v>
      </c>
      <c r="H136" s="429">
        <v>438</v>
      </c>
      <c r="I136" s="430">
        <f t="shared" si="185"/>
        <v>1434.8879999999999</v>
      </c>
      <c r="J136" s="431">
        <f t="shared" ref="J136:J145" si="222">+I136/0.0185*0.185</f>
        <v>14348.88</v>
      </c>
      <c r="K136" s="431">
        <f>+J136/1500</f>
        <v>9.5659200000000002</v>
      </c>
      <c r="L136" s="431">
        <f t="shared" ref="L136:L145" si="223">+I136/0.0185*0.000318</f>
        <v>24.664561297297293</v>
      </c>
      <c r="M136" s="432"/>
      <c r="N136" s="433">
        <f t="shared" si="135"/>
        <v>0</v>
      </c>
      <c r="O136" s="434">
        <f t="shared" ref="O136:O145" si="224">+N136/0.0185*0.185</f>
        <v>0</v>
      </c>
      <c r="P136" s="434">
        <f t="shared" ref="P136" si="225">+O136/1500</f>
        <v>0</v>
      </c>
      <c r="Q136" s="434">
        <f t="shared" ref="Q136:Q145" si="226">+N136/0.0185*0.000318</f>
        <v>0</v>
      </c>
      <c r="R136" s="435"/>
      <c r="S136" s="436">
        <f t="shared" si="137"/>
        <v>0</v>
      </c>
      <c r="T136" s="437">
        <f t="shared" ref="T136:T145" si="227">+S136/0.0185*0.185</f>
        <v>0</v>
      </c>
      <c r="U136" s="437">
        <f t="shared" ref="U136" si="228">+T136/1500</f>
        <v>0</v>
      </c>
      <c r="V136" s="437">
        <f t="shared" ref="V136:V145" si="229">+S136/0.0185*0.000318</f>
        <v>0</v>
      </c>
      <c r="W136" s="300"/>
      <c r="X136" s="131">
        <f>+W136*2.4</f>
        <v>0</v>
      </c>
      <c r="Z136" s="162" t="str">
        <f>IFERROR((D136/'REKAPAN OKEY AYAM'!$AC16),"-")</f>
        <v>-</v>
      </c>
      <c r="AA136" s="162">
        <f>IFERROR((I136/'REKAPAN CHAMP AYAM'!$AC16),"-")</f>
        <v>0.84968970581268644</v>
      </c>
      <c r="AB136" s="162" t="str">
        <f>IFERROR((N136/'REKAPAN CHAMP SAPI'!AC16),"-")</f>
        <v>-</v>
      </c>
      <c r="AC136" s="162" t="str">
        <f>IFERROR((S136/'REKAPAN CHAMP OTAK-OTAK'!AC16),"-")</f>
        <v>-</v>
      </c>
      <c r="AD136" s="162" t="str">
        <f>IFERROR((X136/'REKAPAN FIESTA'!AC16),"-")</f>
        <v>-</v>
      </c>
      <c r="AE136" s="163"/>
      <c r="AF136" s="162" t="str">
        <f t="shared" si="39"/>
        <v>-</v>
      </c>
      <c r="AG136" s="162" t="str">
        <f>IFERROR(((D136/0.0125*0.000318)/#REF!),"-")</f>
        <v>-</v>
      </c>
      <c r="AH136" s="162">
        <f t="shared" si="40"/>
        <v>1499.9999999999998</v>
      </c>
      <c r="AI136" s="162" t="str">
        <f>IFERROR(((I136/0.0185*0.000318)/#REF!),"-")</f>
        <v>-</v>
      </c>
      <c r="AJ136" s="162" t="str">
        <f t="shared" si="41"/>
        <v>-</v>
      </c>
      <c r="AK136" s="162" t="str">
        <f>IFERROR(((N136/0.0185*0.000318)/#REF!),"-")</f>
        <v>-</v>
      </c>
      <c r="AL136" s="162" t="str">
        <f t="shared" si="42"/>
        <v>-</v>
      </c>
      <c r="AM136" s="162" t="str">
        <f>IFERROR(((S136/0.0185*0.000318)/#REF!),"-")</f>
        <v>-</v>
      </c>
      <c r="AN136" s="164"/>
      <c r="AO136" s="164"/>
      <c r="AP136" s="166"/>
      <c r="AQ136" s="161" t="str">
        <f>IFERROR(('REKAPAN OKEY AYAM'!$AD16),"-")</f>
        <v>-</v>
      </c>
      <c r="AR136" s="161">
        <f>IFERROR(('REKAPAN CHAMP AYAM'!$AD16),"-")</f>
        <v>0.82641053579042112</v>
      </c>
      <c r="AS136" s="161" t="str">
        <f>IFERROR(('REKAPAN CHAMP SAPI'!$AD16),"-")</f>
        <v>-</v>
      </c>
      <c r="AT136" s="161" t="str">
        <f>IFERROR(('REKAPAN CHAMP OTAK-OTAK'!$AD16),"-")</f>
        <v>-</v>
      </c>
      <c r="AU136" s="161" t="str">
        <f>IFERROR(('REKAPAN FIESTA'!$AD16),"-")</f>
        <v>-</v>
      </c>
    </row>
    <row r="137" spans="1:47">
      <c r="A137" s="471">
        <f>+$A136</f>
        <v>46216</v>
      </c>
      <c r="B137" s="497"/>
      <c r="C137" s="426"/>
      <c r="D137" s="427">
        <f t="shared" si="152"/>
        <v>0</v>
      </c>
      <c r="E137" s="428">
        <f t="shared" ref="E137:E145" si="230">+D137/0.0125*0.125</f>
        <v>0</v>
      </c>
      <c r="F137" s="428">
        <f t="shared" ref="F137:F145" si="231">+E137/1500</f>
        <v>0</v>
      </c>
      <c r="G137" s="428">
        <f t="shared" si="221"/>
        <v>0</v>
      </c>
      <c r="H137" s="429"/>
      <c r="I137" s="430">
        <f t="shared" si="185"/>
        <v>0</v>
      </c>
      <c r="J137" s="431">
        <f t="shared" si="222"/>
        <v>0</v>
      </c>
      <c r="K137" s="431">
        <f t="shared" ref="K137:K145" si="232">+J137/1500</f>
        <v>0</v>
      </c>
      <c r="L137" s="431">
        <f t="shared" si="223"/>
        <v>0</v>
      </c>
      <c r="M137" s="432"/>
      <c r="N137" s="433">
        <f t="shared" si="135"/>
        <v>0</v>
      </c>
      <c r="O137" s="434">
        <f t="shared" si="224"/>
        <v>0</v>
      </c>
      <c r="P137" s="434">
        <f t="shared" si="132"/>
        <v>0</v>
      </c>
      <c r="Q137" s="434">
        <f t="shared" si="226"/>
        <v>0</v>
      </c>
      <c r="R137" s="435"/>
      <c r="S137" s="436">
        <f t="shared" si="137"/>
        <v>0</v>
      </c>
      <c r="T137" s="437">
        <f t="shared" si="227"/>
        <v>0</v>
      </c>
      <c r="U137" s="437">
        <f t="shared" si="133"/>
        <v>0</v>
      </c>
      <c r="V137" s="437">
        <f t="shared" si="229"/>
        <v>0</v>
      </c>
      <c r="W137" s="300"/>
      <c r="X137" s="131"/>
      <c r="Z137" s="162"/>
      <c r="AA137" s="162"/>
      <c r="AB137" s="162"/>
      <c r="AC137" s="162"/>
      <c r="AD137" s="162"/>
      <c r="AE137" s="163"/>
      <c r="AF137" s="162"/>
      <c r="AG137" s="162"/>
      <c r="AH137" s="162"/>
      <c r="AI137" s="162"/>
      <c r="AJ137" s="162"/>
      <c r="AK137" s="162"/>
      <c r="AL137" s="162"/>
      <c r="AM137" s="162"/>
      <c r="AN137" s="164"/>
      <c r="AO137" s="164"/>
      <c r="AP137" s="166"/>
      <c r="AQ137" s="161"/>
      <c r="AR137" s="161"/>
      <c r="AS137" s="161"/>
      <c r="AT137" s="161"/>
      <c r="AU137" s="161"/>
    </row>
    <row r="138" spans="1:47">
      <c r="A138" s="471">
        <f t="shared" ref="A138:A145" si="233">+$A137</f>
        <v>46216</v>
      </c>
      <c r="B138" s="497"/>
      <c r="C138" s="426"/>
      <c r="D138" s="427">
        <f t="shared" si="152"/>
        <v>0</v>
      </c>
      <c r="E138" s="428">
        <f t="shared" si="230"/>
        <v>0</v>
      </c>
      <c r="F138" s="428">
        <f t="shared" si="231"/>
        <v>0</v>
      </c>
      <c r="G138" s="428">
        <f t="shared" si="221"/>
        <v>0</v>
      </c>
      <c r="H138" s="429"/>
      <c r="I138" s="430">
        <f t="shared" si="185"/>
        <v>0</v>
      </c>
      <c r="J138" s="431">
        <f t="shared" si="222"/>
        <v>0</v>
      </c>
      <c r="K138" s="431">
        <f t="shared" si="232"/>
        <v>0</v>
      </c>
      <c r="L138" s="431">
        <f t="shared" si="223"/>
        <v>0</v>
      </c>
      <c r="M138" s="432"/>
      <c r="N138" s="433">
        <f t="shared" si="135"/>
        <v>0</v>
      </c>
      <c r="O138" s="434">
        <f t="shared" si="224"/>
        <v>0</v>
      </c>
      <c r="P138" s="434">
        <f t="shared" si="132"/>
        <v>0</v>
      </c>
      <c r="Q138" s="434">
        <f t="shared" si="226"/>
        <v>0</v>
      </c>
      <c r="R138" s="435"/>
      <c r="S138" s="436">
        <f t="shared" si="137"/>
        <v>0</v>
      </c>
      <c r="T138" s="437">
        <f t="shared" si="227"/>
        <v>0</v>
      </c>
      <c r="U138" s="437">
        <f t="shared" si="133"/>
        <v>0</v>
      </c>
      <c r="V138" s="437">
        <f t="shared" si="229"/>
        <v>0</v>
      </c>
      <c r="W138" s="300"/>
      <c r="X138" s="131"/>
      <c r="Z138" s="162"/>
      <c r="AA138" s="162"/>
      <c r="AB138" s="162"/>
      <c r="AC138" s="162"/>
      <c r="AD138" s="162"/>
      <c r="AE138" s="163"/>
      <c r="AF138" s="162"/>
      <c r="AG138" s="162"/>
      <c r="AH138" s="162"/>
      <c r="AI138" s="162"/>
      <c r="AJ138" s="162"/>
      <c r="AK138" s="162"/>
      <c r="AL138" s="162"/>
      <c r="AM138" s="162"/>
      <c r="AN138" s="164"/>
      <c r="AO138" s="164"/>
      <c r="AP138" s="166"/>
      <c r="AQ138" s="161"/>
      <c r="AR138" s="161"/>
      <c r="AS138" s="161"/>
      <c r="AT138" s="161"/>
      <c r="AU138" s="161"/>
    </row>
    <row r="139" spans="1:47">
      <c r="A139" s="471">
        <f t="shared" si="233"/>
        <v>46216</v>
      </c>
      <c r="B139" s="497"/>
      <c r="C139" s="426"/>
      <c r="D139" s="427">
        <f t="shared" si="152"/>
        <v>0</v>
      </c>
      <c r="E139" s="428">
        <f t="shared" si="230"/>
        <v>0</v>
      </c>
      <c r="F139" s="428">
        <f t="shared" si="231"/>
        <v>0</v>
      </c>
      <c r="G139" s="428">
        <f t="shared" si="221"/>
        <v>0</v>
      </c>
      <c r="H139" s="429"/>
      <c r="I139" s="430">
        <f t="shared" si="185"/>
        <v>0</v>
      </c>
      <c r="J139" s="431">
        <f t="shared" si="222"/>
        <v>0</v>
      </c>
      <c r="K139" s="431">
        <f t="shared" si="232"/>
        <v>0</v>
      </c>
      <c r="L139" s="431">
        <f t="shared" si="223"/>
        <v>0</v>
      </c>
      <c r="M139" s="432"/>
      <c r="N139" s="433">
        <f t="shared" si="135"/>
        <v>0</v>
      </c>
      <c r="O139" s="434">
        <f t="shared" si="224"/>
        <v>0</v>
      </c>
      <c r="P139" s="434">
        <f t="shared" si="132"/>
        <v>0</v>
      </c>
      <c r="Q139" s="434">
        <f t="shared" si="226"/>
        <v>0</v>
      </c>
      <c r="R139" s="435"/>
      <c r="S139" s="436">
        <f t="shared" si="137"/>
        <v>0</v>
      </c>
      <c r="T139" s="437">
        <f t="shared" si="227"/>
        <v>0</v>
      </c>
      <c r="U139" s="437">
        <f t="shared" si="133"/>
        <v>0</v>
      </c>
      <c r="V139" s="437">
        <f t="shared" si="229"/>
        <v>0</v>
      </c>
      <c r="W139" s="300"/>
      <c r="X139" s="131"/>
      <c r="Z139" s="162"/>
      <c r="AA139" s="162"/>
      <c r="AB139" s="162"/>
      <c r="AC139" s="162"/>
      <c r="AD139" s="162"/>
      <c r="AE139" s="163"/>
      <c r="AF139" s="162"/>
      <c r="AG139" s="162"/>
      <c r="AH139" s="162"/>
      <c r="AI139" s="162"/>
      <c r="AJ139" s="162"/>
      <c r="AK139" s="162"/>
      <c r="AL139" s="162"/>
      <c r="AM139" s="162"/>
      <c r="AN139" s="164"/>
      <c r="AO139" s="164"/>
      <c r="AP139" s="166"/>
      <c r="AQ139" s="161"/>
      <c r="AR139" s="161"/>
      <c r="AS139" s="161"/>
      <c r="AT139" s="161"/>
      <c r="AU139" s="161"/>
    </row>
    <row r="140" spans="1:47">
      <c r="A140" s="471">
        <f t="shared" si="233"/>
        <v>46216</v>
      </c>
      <c r="B140" s="497"/>
      <c r="C140" s="426"/>
      <c r="D140" s="427">
        <f t="shared" si="152"/>
        <v>0</v>
      </c>
      <c r="E140" s="428">
        <f t="shared" si="230"/>
        <v>0</v>
      </c>
      <c r="F140" s="428">
        <f t="shared" si="231"/>
        <v>0</v>
      </c>
      <c r="G140" s="428">
        <f t="shared" si="221"/>
        <v>0</v>
      </c>
      <c r="H140" s="429"/>
      <c r="I140" s="430">
        <f t="shared" si="185"/>
        <v>0</v>
      </c>
      <c r="J140" s="431">
        <f t="shared" si="222"/>
        <v>0</v>
      </c>
      <c r="K140" s="431">
        <f t="shared" si="232"/>
        <v>0</v>
      </c>
      <c r="L140" s="431">
        <f t="shared" si="223"/>
        <v>0</v>
      </c>
      <c r="M140" s="432"/>
      <c r="N140" s="433">
        <f t="shared" si="135"/>
        <v>0</v>
      </c>
      <c r="O140" s="434">
        <f t="shared" si="224"/>
        <v>0</v>
      </c>
      <c r="P140" s="434">
        <f t="shared" si="132"/>
        <v>0</v>
      </c>
      <c r="Q140" s="434">
        <f t="shared" si="226"/>
        <v>0</v>
      </c>
      <c r="R140" s="435"/>
      <c r="S140" s="436">
        <f t="shared" si="137"/>
        <v>0</v>
      </c>
      <c r="T140" s="437">
        <f t="shared" si="227"/>
        <v>0</v>
      </c>
      <c r="U140" s="437">
        <f t="shared" si="133"/>
        <v>0</v>
      </c>
      <c r="V140" s="437">
        <f t="shared" si="229"/>
        <v>0</v>
      </c>
      <c r="W140" s="300"/>
      <c r="X140" s="131"/>
      <c r="Z140" s="162"/>
      <c r="AA140" s="162"/>
      <c r="AB140" s="162"/>
      <c r="AC140" s="162"/>
      <c r="AD140" s="162"/>
      <c r="AE140" s="163"/>
      <c r="AF140" s="162"/>
      <c r="AG140" s="162"/>
      <c r="AH140" s="162"/>
      <c r="AI140" s="162"/>
      <c r="AJ140" s="162"/>
      <c r="AK140" s="162"/>
      <c r="AL140" s="162"/>
      <c r="AM140" s="162"/>
      <c r="AN140" s="164"/>
      <c r="AO140" s="164"/>
      <c r="AP140" s="166"/>
      <c r="AQ140" s="161"/>
      <c r="AR140" s="161"/>
      <c r="AS140" s="161"/>
      <c r="AT140" s="161"/>
      <c r="AU140" s="161"/>
    </row>
    <row r="141" spans="1:47">
      <c r="A141" s="471">
        <f t="shared" si="233"/>
        <v>46216</v>
      </c>
      <c r="B141" s="497"/>
      <c r="C141" s="426"/>
      <c r="D141" s="427">
        <f t="shared" si="152"/>
        <v>0</v>
      </c>
      <c r="E141" s="428">
        <f t="shared" si="230"/>
        <v>0</v>
      </c>
      <c r="F141" s="428">
        <f t="shared" si="231"/>
        <v>0</v>
      </c>
      <c r="G141" s="428">
        <f t="shared" si="221"/>
        <v>0</v>
      </c>
      <c r="H141" s="429"/>
      <c r="I141" s="430">
        <f t="shared" si="185"/>
        <v>0</v>
      </c>
      <c r="J141" s="431">
        <f t="shared" si="222"/>
        <v>0</v>
      </c>
      <c r="K141" s="431">
        <f t="shared" si="232"/>
        <v>0</v>
      </c>
      <c r="L141" s="431">
        <f t="shared" si="223"/>
        <v>0</v>
      </c>
      <c r="M141" s="432"/>
      <c r="N141" s="433">
        <f t="shared" si="135"/>
        <v>0</v>
      </c>
      <c r="O141" s="434">
        <f t="shared" si="224"/>
        <v>0</v>
      </c>
      <c r="P141" s="434">
        <f t="shared" si="132"/>
        <v>0</v>
      </c>
      <c r="Q141" s="434">
        <f t="shared" si="226"/>
        <v>0</v>
      </c>
      <c r="R141" s="435"/>
      <c r="S141" s="436">
        <f t="shared" si="137"/>
        <v>0</v>
      </c>
      <c r="T141" s="437">
        <f t="shared" si="227"/>
        <v>0</v>
      </c>
      <c r="U141" s="437">
        <f t="shared" si="133"/>
        <v>0</v>
      </c>
      <c r="V141" s="437">
        <f t="shared" si="229"/>
        <v>0</v>
      </c>
      <c r="W141" s="300"/>
      <c r="X141" s="131"/>
      <c r="Z141" s="162"/>
      <c r="AA141" s="162"/>
      <c r="AB141" s="162"/>
      <c r="AC141" s="162"/>
      <c r="AD141" s="162"/>
      <c r="AE141" s="163"/>
      <c r="AF141" s="162"/>
      <c r="AG141" s="162"/>
      <c r="AH141" s="162"/>
      <c r="AI141" s="162"/>
      <c r="AJ141" s="162"/>
      <c r="AK141" s="162"/>
      <c r="AL141" s="162"/>
      <c r="AM141" s="162"/>
      <c r="AN141" s="164"/>
      <c r="AO141" s="164"/>
      <c r="AP141" s="166"/>
      <c r="AQ141" s="161"/>
      <c r="AR141" s="161"/>
      <c r="AS141" s="161"/>
      <c r="AT141" s="161"/>
      <c r="AU141" s="161"/>
    </row>
    <row r="142" spans="1:47">
      <c r="A142" s="471">
        <f t="shared" si="233"/>
        <v>46216</v>
      </c>
      <c r="B142" s="497"/>
      <c r="C142" s="426"/>
      <c r="D142" s="427">
        <f t="shared" si="152"/>
        <v>0</v>
      </c>
      <c r="E142" s="428">
        <f t="shared" si="230"/>
        <v>0</v>
      </c>
      <c r="F142" s="428">
        <f t="shared" si="231"/>
        <v>0</v>
      </c>
      <c r="G142" s="428">
        <f t="shared" si="221"/>
        <v>0</v>
      </c>
      <c r="H142" s="429"/>
      <c r="I142" s="430">
        <f t="shared" si="185"/>
        <v>0</v>
      </c>
      <c r="J142" s="431">
        <f t="shared" si="222"/>
        <v>0</v>
      </c>
      <c r="K142" s="431">
        <f t="shared" si="232"/>
        <v>0</v>
      </c>
      <c r="L142" s="431">
        <f t="shared" si="223"/>
        <v>0</v>
      </c>
      <c r="M142" s="432"/>
      <c r="N142" s="433">
        <f t="shared" si="135"/>
        <v>0</v>
      </c>
      <c r="O142" s="434">
        <f t="shared" si="224"/>
        <v>0</v>
      </c>
      <c r="P142" s="434">
        <f t="shared" si="132"/>
        <v>0</v>
      </c>
      <c r="Q142" s="434">
        <f t="shared" si="226"/>
        <v>0</v>
      </c>
      <c r="R142" s="435"/>
      <c r="S142" s="436">
        <f t="shared" si="137"/>
        <v>0</v>
      </c>
      <c r="T142" s="437">
        <f t="shared" si="227"/>
        <v>0</v>
      </c>
      <c r="U142" s="437">
        <f t="shared" si="133"/>
        <v>0</v>
      </c>
      <c r="V142" s="437">
        <f t="shared" si="229"/>
        <v>0</v>
      </c>
      <c r="W142" s="300"/>
      <c r="X142" s="131"/>
      <c r="Z142" s="162"/>
      <c r="AA142" s="162"/>
      <c r="AB142" s="162"/>
      <c r="AC142" s="162"/>
      <c r="AD142" s="162"/>
      <c r="AE142" s="163"/>
      <c r="AF142" s="162"/>
      <c r="AG142" s="162"/>
      <c r="AH142" s="162"/>
      <c r="AI142" s="162"/>
      <c r="AJ142" s="162"/>
      <c r="AK142" s="162"/>
      <c r="AL142" s="162"/>
      <c r="AM142" s="162"/>
      <c r="AN142" s="164"/>
      <c r="AO142" s="164"/>
      <c r="AP142" s="166"/>
      <c r="AQ142" s="161"/>
      <c r="AR142" s="161"/>
      <c r="AS142" s="161"/>
      <c r="AT142" s="161"/>
      <c r="AU142" s="161"/>
    </row>
    <row r="143" spans="1:47">
      <c r="A143" s="471">
        <f t="shared" si="233"/>
        <v>46216</v>
      </c>
      <c r="B143" s="497"/>
      <c r="C143" s="426"/>
      <c r="D143" s="427">
        <f t="shared" si="152"/>
        <v>0</v>
      </c>
      <c r="E143" s="428">
        <f t="shared" si="230"/>
        <v>0</v>
      </c>
      <c r="F143" s="428">
        <f t="shared" si="231"/>
        <v>0</v>
      </c>
      <c r="G143" s="428">
        <f t="shared" si="221"/>
        <v>0</v>
      </c>
      <c r="H143" s="429"/>
      <c r="I143" s="430">
        <f t="shared" si="185"/>
        <v>0</v>
      </c>
      <c r="J143" s="431">
        <f t="shared" si="222"/>
        <v>0</v>
      </c>
      <c r="K143" s="431">
        <f t="shared" si="232"/>
        <v>0</v>
      </c>
      <c r="L143" s="431">
        <f t="shared" si="223"/>
        <v>0</v>
      </c>
      <c r="M143" s="432"/>
      <c r="N143" s="433">
        <f t="shared" si="135"/>
        <v>0</v>
      </c>
      <c r="O143" s="434">
        <f t="shared" si="224"/>
        <v>0</v>
      </c>
      <c r="P143" s="434">
        <f t="shared" ref="P143:P206" si="234">+O143/1500</f>
        <v>0</v>
      </c>
      <c r="Q143" s="434">
        <f t="shared" si="226"/>
        <v>0</v>
      </c>
      <c r="R143" s="435"/>
      <c r="S143" s="436">
        <f t="shared" si="137"/>
        <v>0</v>
      </c>
      <c r="T143" s="437">
        <f t="shared" si="227"/>
        <v>0</v>
      </c>
      <c r="U143" s="437">
        <f t="shared" ref="U143:U206" si="235">+T143/1500</f>
        <v>0</v>
      </c>
      <c r="V143" s="437">
        <f t="shared" si="229"/>
        <v>0</v>
      </c>
      <c r="W143" s="300"/>
      <c r="X143" s="131"/>
      <c r="Z143" s="162"/>
      <c r="AA143" s="162"/>
      <c r="AB143" s="162"/>
      <c r="AC143" s="162"/>
      <c r="AD143" s="162"/>
      <c r="AE143" s="163"/>
      <c r="AF143" s="162"/>
      <c r="AG143" s="162"/>
      <c r="AH143" s="162"/>
      <c r="AI143" s="162"/>
      <c r="AJ143" s="162"/>
      <c r="AK143" s="162"/>
      <c r="AL143" s="162"/>
      <c r="AM143" s="162"/>
      <c r="AN143" s="164"/>
      <c r="AO143" s="164"/>
      <c r="AP143" s="166"/>
      <c r="AQ143" s="161"/>
      <c r="AR143" s="161"/>
      <c r="AS143" s="161"/>
      <c r="AT143" s="161"/>
      <c r="AU143" s="161"/>
    </row>
    <row r="144" spans="1:47">
      <c r="A144" s="471">
        <f t="shared" si="233"/>
        <v>46216</v>
      </c>
      <c r="B144" s="497"/>
      <c r="C144" s="426"/>
      <c r="D144" s="427">
        <f t="shared" si="152"/>
        <v>0</v>
      </c>
      <c r="E144" s="428">
        <f t="shared" si="230"/>
        <v>0</v>
      </c>
      <c r="F144" s="428">
        <f t="shared" si="231"/>
        <v>0</v>
      </c>
      <c r="G144" s="428">
        <f t="shared" si="221"/>
        <v>0</v>
      </c>
      <c r="H144" s="429"/>
      <c r="I144" s="430">
        <f t="shared" si="185"/>
        <v>0</v>
      </c>
      <c r="J144" s="431">
        <f t="shared" si="222"/>
        <v>0</v>
      </c>
      <c r="K144" s="431">
        <f t="shared" si="232"/>
        <v>0</v>
      </c>
      <c r="L144" s="431">
        <f t="shared" si="223"/>
        <v>0</v>
      </c>
      <c r="M144" s="432"/>
      <c r="N144" s="433">
        <f t="shared" ref="N144:N207" si="236">+M144*3.276</f>
        <v>0</v>
      </c>
      <c r="O144" s="434">
        <f t="shared" si="224"/>
        <v>0</v>
      </c>
      <c r="P144" s="434">
        <f t="shared" si="234"/>
        <v>0</v>
      </c>
      <c r="Q144" s="434">
        <f t="shared" si="226"/>
        <v>0</v>
      </c>
      <c r="R144" s="435"/>
      <c r="S144" s="436">
        <f t="shared" ref="S144:S207" si="237">+R144*3.276</f>
        <v>0</v>
      </c>
      <c r="T144" s="437">
        <f t="shared" si="227"/>
        <v>0</v>
      </c>
      <c r="U144" s="437">
        <f t="shared" si="235"/>
        <v>0</v>
      </c>
      <c r="V144" s="437">
        <f t="shared" si="229"/>
        <v>0</v>
      </c>
      <c r="W144" s="300"/>
      <c r="X144" s="131"/>
      <c r="Z144" s="162"/>
      <c r="AA144" s="162"/>
      <c r="AB144" s="162"/>
      <c r="AC144" s="162"/>
      <c r="AD144" s="162"/>
      <c r="AE144" s="163"/>
      <c r="AF144" s="162"/>
      <c r="AG144" s="162"/>
      <c r="AH144" s="162"/>
      <c r="AI144" s="162"/>
      <c r="AJ144" s="162"/>
      <c r="AK144" s="162"/>
      <c r="AL144" s="162"/>
      <c r="AM144" s="162"/>
      <c r="AN144" s="164"/>
      <c r="AO144" s="164"/>
      <c r="AP144" s="166"/>
      <c r="AQ144" s="161"/>
      <c r="AR144" s="161"/>
      <c r="AS144" s="161"/>
      <c r="AT144" s="161"/>
      <c r="AU144" s="161"/>
    </row>
    <row r="145" spans="1:47">
      <c r="A145" s="471">
        <f t="shared" si="233"/>
        <v>46216</v>
      </c>
      <c r="B145" s="497"/>
      <c r="C145" s="426"/>
      <c r="D145" s="427">
        <f t="shared" si="152"/>
        <v>0</v>
      </c>
      <c r="E145" s="428">
        <f t="shared" si="230"/>
        <v>0</v>
      </c>
      <c r="F145" s="428">
        <f t="shared" si="231"/>
        <v>0</v>
      </c>
      <c r="G145" s="428">
        <f t="shared" si="221"/>
        <v>0</v>
      </c>
      <c r="H145" s="429"/>
      <c r="I145" s="430">
        <f t="shared" si="185"/>
        <v>0</v>
      </c>
      <c r="J145" s="431">
        <f t="shared" si="222"/>
        <v>0</v>
      </c>
      <c r="K145" s="431">
        <f t="shared" si="232"/>
        <v>0</v>
      </c>
      <c r="L145" s="431">
        <f t="shared" si="223"/>
        <v>0</v>
      </c>
      <c r="M145" s="432"/>
      <c r="N145" s="433">
        <f t="shared" si="236"/>
        <v>0</v>
      </c>
      <c r="O145" s="434">
        <f t="shared" si="224"/>
        <v>0</v>
      </c>
      <c r="P145" s="434">
        <f t="shared" si="234"/>
        <v>0</v>
      </c>
      <c r="Q145" s="434">
        <f t="shared" si="226"/>
        <v>0</v>
      </c>
      <c r="R145" s="435"/>
      <c r="S145" s="436">
        <f t="shared" si="237"/>
        <v>0</v>
      </c>
      <c r="T145" s="437">
        <f t="shared" si="227"/>
        <v>0</v>
      </c>
      <c r="U145" s="437">
        <f t="shared" si="235"/>
        <v>0</v>
      </c>
      <c r="V145" s="437">
        <f t="shared" si="229"/>
        <v>0</v>
      </c>
      <c r="W145" s="300"/>
      <c r="X145" s="131"/>
      <c r="Z145" s="162"/>
      <c r="AA145" s="162"/>
      <c r="AB145" s="162"/>
      <c r="AC145" s="162"/>
      <c r="AD145" s="162"/>
      <c r="AE145" s="163"/>
      <c r="AF145" s="162"/>
      <c r="AG145" s="162"/>
      <c r="AH145" s="162"/>
      <c r="AI145" s="162"/>
      <c r="AJ145" s="162"/>
      <c r="AK145" s="162"/>
      <c r="AL145" s="162"/>
      <c r="AM145" s="162"/>
      <c r="AN145" s="164"/>
      <c r="AO145" s="164"/>
      <c r="AP145" s="166"/>
      <c r="AQ145" s="161"/>
      <c r="AR145" s="161"/>
      <c r="AS145" s="161"/>
      <c r="AT145" s="161"/>
      <c r="AU145" s="161"/>
    </row>
    <row r="146" spans="1:47" ht="14.25">
      <c r="A146" s="471"/>
      <c r="B146" s="498" t="s">
        <v>118</v>
      </c>
      <c r="C146" s="438">
        <f>SUM(C136:C145)</f>
        <v>0</v>
      </c>
      <c r="D146" s="439">
        <f t="shared" si="152"/>
        <v>0</v>
      </c>
      <c r="E146" s="438">
        <f>SUM(E136:E145)</f>
        <v>0</v>
      </c>
      <c r="F146" s="463">
        <f>SUM(F136:F145)</f>
        <v>0</v>
      </c>
      <c r="G146" s="463">
        <f>SUM(G136:G145)</f>
        <v>0</v>
      </c>
      <c r="H146" s="440">
        <f>SUM(H136:H145)</f>
        <v>438</v>
      </c>
      <c r="I146" s="441">
        <f t="shared" si="185"/>
        <v>1434.8879999999999</v>
      </c>
      <c r="J146" s="440">
        <f>SUM(J136:J145)</f>
        <v>14348.88</v>
      </c>
      <c r="K146" s="466">
        <f>SUM(K136:K145)</f>
        <v>9.5659200000000002</v>
      </c>
      <c r="L146" s="466">
        <f>SUM(L136:L145)</f>
        <v>24.664561297297293</v>
      </c>
      <c r="M146" s="442">
        <f t="shared" ref="M146" si="238">SUM(M136:M145)</f>
        <v>0</v>
      </c>
      <c r="N146" s="443">
        <f t="shared" si="236"/>
        <v>0</v>
      </c>
      <c r="O146" s="442">
        <f t="shared" ref="O146:R146" si="239">SUM(O136:O145)</f>
        <v>0</v>
      </c>
      <c r="P146" s="468">
        <f t="shared" si="239"/>
        <v>0</v>
      </c>
      <c r="Q146" s="468">
        <f t="shared" si="239"/>
        <v>0</v>
      </c>
      <c r="R146" s="444">
        <f t="shared" si="239"/>
        <v>0</v>
      </c>
      <c r="S146" s="445">
        <f t="shared" si="237"/>
        <v>0</v>
      </c>
      <c r="T146" s="444">
        <f t="shared" ref="T146:V146" si="240">SUM(T136:T145)</f>
        <v>0</v>
      </c>
      <c r="U146" s="470">
        <f t="shared" si="240"/>
        <v>0</v>
      </c>
      <c r="V146" s="470">
        <f t="shared" si="240"/>
        <v>0</v>
      </c>
      <c r="W146" s="300"/>
      <c r="X146" s="131"/>
      <c r="Z146" s="162"/>
      <c r="AA146" s="162"/>
      <c r="AB146" s="162"/>
      <c r="AC146" s="162"/>
      <c r="AD146" s="162"/>
      <c r="AE146" s="163"/>
      <c r="AF146" s="162"/>
      <c r="AG146" s="162"/>
      <c r="AH146" s="162"/>
      <c r="AI146" s="162"/>
      <c r="AJ146" s="162"/>
      <c r="AK146" s="162"/>
      <c r="AL146" s="162"/>
      <c r="AM146" s="162"/>
      <c r="AN146" s="164"/>
      <c r="AO146" s="164"/>
      <c r="AP146" s="166"/>
      <c r="AQ146" s="161"/>
      <c r="AR146" s="161"/>
      <c r="AS146" s="161"/>
      <c r="AT146" s="161"/>
      <c r="AU146" s="161"/>
    </row>
    <row r="147" spans="1:47">
      <c r="A147" s="472">
        <f>+A136+1</f>
        <v>46217</v>
      </c>
      <c r="B147" s="497" t="s">
        <v>251</v>
      </c>
      <c r="C147" s="426"/>
      <c r="D147" s="427">
        <f t="shared" si="152"/>
        <v>0</v>
      </c>
      <c r="E147" s="428">
        <f>+D147/0.0125*0.125</f>
        <v>0</v>
      </c>
      <c r="F147" s="428">
        <f>+E147/1500</f>
        <v>0</v>
      </c>
      <c r="G147" s="428">
        <f t="shared" ref="G147:G156" si="241">+D147/0.0125*0.000318</f>
        <v>0</v>
      </c>
      <c r="H147" s="429">
        <v>644</v>
      </c>
      <c r="I147" s="430">
        <f t="shared" si="185"/>
        <v>2109.7439999999997</v>
      </c>
      <c r="J147" s="431">
        <f t="shared" ref="J147:J156" si="242">+I147/0.0185*0.185</f>
        <v>21097.439999999995</v>
      </c>
      <c r="K147" s="431">
        <f>+J147/1500</f>
        <v>14.064959999999997</v>
      </c>
      <c r="L147" s="431">
        <f t="shared" ref="L147:L156" si="243">+I147/0.0185*0.000318</f>
        <v>36.264788756756751</v>
      </c>
      <c r="M147" s="432"/>
      <c r="N147" s="433">
        <f t="shared" si="236"/>
        <v>0</v>
      </c>
      <c r="O147" s="434">
        <f t="shared" ref="O147:O156" si="244">+N147/0.0185*0.185</f>
        <v>0</v>
      </c>
      <c r="P147" s="434">
        <f t="shared" ref="P147" si="245">+O147/1500</f>
        <v>0</v>
      </c>
      <c r="Q147" s="434">
        <f t="shared" ref="Q147:Q156" si="246">+N147/0.0185*0.000318</f>
        <v>0</v>
      </c>
      <c r="R147" s="435"/>
      <c r="S147" s="436">
        <f t="shared" si="237"/>
        <v>0</v>
      </c>
      <c r="T147" s="437">
        <f t="shared" ref="T147:T156" si="247">+S147/0.0185*0.185</f>
        <v>0</v>
      </c>
      <c r="U147" s="437">
        <f t="shared" ref="U147" si="248">+T147/1500</f>
        <v>0</v>
      </c>
      <c r="V147" s="437">
        <f t="shared" ref="V147:V156" si="249">+S147/0.0185*0.000318</f>
        <v>0</v>
      </c>
      <c r="W147" s="300"/>
      <c r="X147" s="131">
        <f>+W147*2.4</f>
        <v>0</v>
      </c>
      <c r="Z147" s="162" t="str">
        <f>IFERROR((D147/'REKAPAN OKEY AYAM'!$AC17),"-")</f>
        <v>-</v>
      </c>
      <c r="AA147" s="162">
        <f>IFERROR((I147/'REKAPAN CHAMP AYAM'!$AC17),"-")</f>
        <v>0.13881282865128616</v>
      </c>
      <c r="AB147" s="162" t="str">
        <f>IFERROR((N147/'REKAPAN CHAMP SAPI'!AC17),"-")</f>
        <v>-</v>
      </c>
      <c r="AC147" s="162" t="str">
        <f>IFERROR((S147/'REKAPAN CHAMP OTAK-OTAK'!AC17),"-")</f>
        <v>-</v>
      </c>
      <c r="AD147" s="162" t="str">
        <f>IFERROR((X147/'REKAPAN FIESTA'!AC17),"-")</f>
        <v>-</v>
      </c>
      <c r="AE147" s="163"/>
      <c r="AF147" s="162" t="str">
        <f t="shared" si="39"/>
        <v>-</v>
      </c>
      <c r="AG147" s="162" t="str">
        <f>IFERROR(((D147/0.0125*0.000318)/#REF!),"-")</f>
        <v>-</v>
      </c>
      <c r="AH147" s="162">
        <f t="shared" si="40"/>
        <v>1500</v>
      </c>
      <c r="AI147" s="162" t="str">
        <f>IFERROR(((I147/0.0185*0.000318)/#REF!),"-")</f>
        <v>-</v>
      </c>
      <c r="AJ147" s="162" t="str">
        <f t="shared" si="41"/>
        <v>-</v>
      </c>
      <c r="AK147" s="162" t="str">
        <f>IFERROR(((N147/0.0185*0.000318)/#REF!),"-")</f>
        <v>-</v>
      </c>
      <c r="AL147" s="162" t="str">
        <f t="shared" si="42"/>
        <v>-</v>
      </c>
      <c r="AM147" s="162" t="str">
        <f>IFERROR(((S147/0.0185*0.000318)/#REF!),"-")</f>
        <v>-</v>
      </c>
      <c r="AN147" s="164"/>
      <c r="AO147" s="164"/>
      <c r="AP147" s="166"/>
      <c r="AQ147" s="161" t="str">
        <f>IFERROR(('REKAPAN OKEY AYAM'!$AD17),"-")</f>
        <v>-</v>
      </c>
      <c r="AR147" s="161">
        <f>IFERROR(('REKAPAN CHAMP AYAM'!$AD17),"-")</f>
        <v>0.99561561419299827</v>
      </c>
      <c r="AS147" s="161" t="str">
        <f>IFERROR(('REKAPAN CHAMP SAPI'!$AD17),"-")</f>
        <v>-</v>
      </c>
      <c r="AT147" s="161" t="str">
        <f>IFERROR(('REKAPAN CHAMP OTAK-OTAK'!$AD17),"-")</f>
        <v>-</v>
      </c>
      <c r="AU147" s="161" t="str">
        <f>IFERROR(('REKAPAN FIESTA'!$AD17),"-")</f>
        <v>-</v>
      </c>
    </row>
    <row r="148" spans="1:47">
      <c r="A148" s="471">
        <f>+$A147</f>
        <v>46217</v>
      </c>
      <c r="B148" s="497" t="s">
        <v>252</v>
      </c>
      <c r="C148" s="426"/>
      <c r="D148" s="427">
        <f t="shared" si="152"/>
        <v>0</v>
      </c>
      <c r="E148" s="428">
        <f t="shared" ref="E148:E156" si="250">+D148/0.0125*0.125</f>
        <v>0</v>
      </c>
      <c r="F148" s="428">
        <f t="shared" ref="F148:F156" si="251">+E148/1500</f>
        <v>0</v>
      </c>
      <c r="G148" s="428">
        <f t="shared" si="241"/>
        <v>0</v>
      </c>
      <c r="H148" s="429">
        <v>432</v>
      </c>
      <c r="I148" s="430">
        <f t="shared" si="185"/>
        <v>1415.232</v>
      </c>
      <c r="J148" s="431">
        <f t="shared" si="242"/>
        <v>14152.32</v>
      </c>
      <c r="K148" s="431">
        <f t="shared" ref="K148:K156" si="252">+J148/1500</f>
        <v>9.4348799999999997</v>
      </c>
      <c r="L148" s="431">
        <f t="shared" si="243"/>
        <v>24.326690594594591</v>
      </c>
      <c r="M148" s="432"/>
      <c r="N148" s="433">
        <f t="shared" si="236"/>
        <v>0</v>
      </c>
      <c r="O148" s="434">
        <f t="shared" si="244"/>
        <v>0</v>
      </c>
      <c r="P148" s="434">
        <f t="shared" si="234"/>
        <v>0</v>
      </c>
      <c r="Q148" s="434">
        <f t="shared" si="246"/>
        <v>0</v>
      </c>
      <c r="R148" s="435"/>
      <c r="S148" s="436">
        <f t="shared" si="237"/>
        <v>0</v>
      </c>
      <c r="T148" s="437">
        <f t="shared" si="247"/>
        <v>0</v>
      </c>
      <c r="U148" s="437">
        <f t="shared" si="235"/>
        <v>0</v>
      </c>
      <c r="V148" s="437">
        <f t="shared" si="249"/>
        <v>0</v>
      </c>
      <c r="W148" s="300"/>
      <c r="X148" s="131"/>
      <c r="Z148" s="162"/>
      <c r="AA148" s="162"/>
      <c r="AB148" s="162"/>
      <c r="AC148" s="162"/>
      <c r="AD148" s="162"/>
      <c r="AE148" s="163"/>
      <c r="AF148" s="162"/>
      <c r="AG148" s="162"/>
      <c r="AH148" s="162"/>
      <c r="AI148" s="162"/>
      <c r="AJ148" s="162"/>
      <c r="AK148" s="162"/>
      <c r="AL148" s="162"/>
      <c r="AM148" s="162"/>
      <c r="AN148" s="164"/>
      <c r="AO148" s="164"/>
      <c r="AP148" s="166"/>
      <c r="AQ148" s="161"/>
      <c r="AR148" s="161"/>
      <c r="AS148" s="161"/>
      <c r="AT148" s="161"/>
      <c r="AU148" s="161"/>
    </row>
    <row r="149" spans="1:47">
      <c r="A149" s="471">
        <f t="shared" ref="A149:A156" si="253">+$A148</f>
        <v>46217</v>
      </c>
      <c r="B149" s="497" t="s">
        <v>253</v>
      </c>
      <c r="C149" s="426"/>
      <c r="D149" s="427">
        <f t="shared" si="152"/>
        <v>0</v>
      </c>
      <c r="E149" s="428">
        <f t="shared" si="250"/>
        <v>0</v>
      </c>
      <c r="F149" s="428">
        <f t="shared" si="251"/>
        <v>0</v>
      </c>
      <c r="G149" s="428">
        <f t="shared" si="241"/>
        <v>0</v>
      </c>
      <c r="H149" s="429">
        <v>432</v>
      </c>
      <c r="I149" s="430">
        <f t="shared" si="185"/>
        <v>1415.232</v>
      </c>
      <c r="J149" s="431">
        <f t="shared" si="242"/>
        <v>14152.32</v>
      </c>
      <c r="K149" s="431">
        <f t="shared" si="252"/>
        <v>9.4348799999999997</v>
      </c>
      <c r="L149" s="431">
        <f t="shared" si="243"/>
        <v>24.326690594594591</v>
      </c>
      <c r="M149" s="432"/>
      <c r="N149" s="433">
        <f t="shared" si="236"/>
        <v>0</v>
      </c>
      <c r="O149" s="434">
        <f t="shared" si="244"/>
        <v>0</v>
      </c>
      <c r="P149" s="434">
        <f t="shared" si="234"/>
        <v>0</v>
      </c>
      <c r="Q149" s="434">
        <f t="shared" si="246"/>
        <v>0</v>
      </c>
      <c r="R149" s="435"/>
      <c r="S149" s="436">
        <f t="shared" si="237"/>
        <v>0</v>
      </c>
      <c r="T149" s="437">
        <f t="shared" si="247"/>
        <v>0</v>
      </c>
      <c r="U149" s="437">
        <f t="shared" si="235"/>
        <v>0</v>
      </c>
      <c r="V149" s="437">
        <f t="shared" si="249"/>
        <v>0</v>
      </c>
      <c r="W149" s="300"/>
      <c r="X149" s="131"/>
      <c r="Z149" s="162"/>
      <c r="AA149" s="162"/>
      <c r="AB149" s="162"/>
      <c r="AC149" s="162"/>
      <c r="AD149" s="162"/>
      <c r="AE149" s="163"/>
      <c r="AF149" s="162"/>
      <c r="AG149" s="162"/>
      <c r="AH149" s="162"/>
      <c r="AI149" s="162"/>
      <c r="AJ149" s="162"/>
      <c r="AK149" s="162"/>
      <c r="AL149" s="162"/>
      <c r="AM149" s="162"/>
      <c r="AN149" s="164"/>
      <c r="AO149" s="164"/>
      <c r="AP149" s="166"/>
      <c r="AQ149" s="161"/>
      <c r="AR149" s="161"/>
      <c r="AS149" s="161"/>
      <c r="AT149" s="161"/>
      <c r="AU149" s="161"/>
    </row>
    <row r="150" spans="1:47">
      <c r="A150" s="471">
        <f t="shared" si="253"/>
        <v>46217</v>
      </c>
      <c r="B150" s="497" t="s">
        <v>254</v>
      </c>
      <c r="C150" s="426"/>
      <c r="D150" s="427">
        <f t="shared" si="152"/>
        <v>0</v>
      </c>
      <c r="E150" s="428">
        <f t="shared" si="250"/>
        <v>0</v>
      </c>
      <c r="F150" s="428">
        <f t="shared" si="251"/>
        <v>0</v>
      </c>
      <c r="G150" s="428">
        <f t="shared" si="241"/>
        <v>0</v>
      </c>
      <c r="H150" s="429">
        <v>586</v>
      </c>
      <c r="I150" s="430">
        <f t="shared" si="185"/>
        <v>1919.7359999999999</v>
      </c>
      <c r="J150" s="431">
        <f t="shared" si="242"/>
        <v>19197.359999999997</v>
      </c>
      <c r="K150" s="431">
        <f t="shared" si="252"/>
        <v>12.798239999999998</v>
      </c>
      <c r="L150" s="431">
        <f t="shared" si="243"/>
        <v>32.998705297297292</v>
      </c>
      <c r="M150" s="432"/>
      <c r="N150" s="433">
        <f t="shared" si="236"/>
        <v>0</v>
      </c>
      <c r="O150" s="434">
        <f t="shared" si="244"/>
        <v>0</v>
      </c>
      <c r="P150" s="434">
        <f t="shared" si="234"/>
        <v>0</v>
      </c>
      <c r="Q150" s="434">
        <f t="shared" si="246"/>
        <v>0</v>
      </c>
      <c r="R150" s="435"/>
      <c r="S150" s="436">
        <f t="shared" si="237"/>
        <v>0</v>
      </c>
      <c r="T150" s="437">
        <f t="shared" si="247"/>
        <v>0</v>
      </c>
      <c r="U150" s="437">
        <f t="shared" si="235"/>
        <v>0</v>
      </c>
      <c r="V150" s="437">
        <f t="shared" si="249"/>
        <v>0</v>
      </c>
      <c r="W150" s="300"/>
      <c r="X150" s="131"/>
      <c r="Z150" s="162"/>
      <c r="AA150" s="162"/>
      <c r="AB150" s="162"/>
      <c r="AC150" s="162"/>
      <c r="AD150" s="162"/>
      <c r="AE150" s="163"/>
      <c r="AF150" s="162"/>
      <c r="AG150" s="162"/>
      <c r="AH150" s="162"/>
      <c r="AI150" s="162"/>
      <c r="AJ150" s="162"/>
      <c r="AK150" s="162"/>
      <c r="AL150" s="162"/>
      <c r="AM150" s="162"/>
      <c r="AN150" s="164"/>
      <c r="AO150" s="164"/>
      <c r="AP150" s="166"/>
      <c r="AQ150" s="161"/>
      <c r="AR150" s="161"/>
      <c r="AS150" s="161"/>
      <c r="AT150" s="161"/>
      <c r="AU150" s="161"/>
    </row>
    <row r="151" spans="1:47">
      <c r="A151" s="471">
        <f t="shared" si="253"/>
        <v>46217</v>
      </c>
      <c r="B151" s="497" t="s">
        <v>255</v>
      </c>
      <c r="C151" s="426"/>
      <c r="D151" s="427">
        <f t="shared" si="152"/>
        <v>0</v>
      </c>
      <c r="E151" s="428">
        <f t="shared" si="250"/>
        <v>0</v>
      </c>
      <c r="F151" s="428">
        <f t="shared" si="251"/>
        <v>0</v>
      </c>
      <c r="G151" s="428">
        <f t="shared" si="241"/>
        <v>0</v>
      </c>
      <c r="H151" s="429">
        <v>572</v>
      </c>
      <c r="I151" s="430">
        <f t="shared" si="185"/>
        <v>1873.8719999999998</v>
      </c>
      <c r="J151" s="431">
        <f t="shared" si="242"/>
        <v>18738.719999999998</v>
      </c>
      <c r="K151" s="431">
        <f t="shared" si="252"/>
        <v>12.492479999999999</v>
      </c>
      <c r="L151" s="431">
        <f t="shared" si="243"/>
        <v>32.210340324324321</v>
      </c>
      <c r="M151" s="432"/>
      <c r="N151" s="433">
        <f t="shared" si="236"/>
        <v>0</v>
      </c>
      <c r="O151" s="434">
        <f t="shared" si="244"/>
        <v>0</v>
      </c>
      <c r="P151" s="434">
        <f t="shared" si="234"/>
        <v>0</v>
      </c>
      <c r="Q151" s="434">
        <f t="shared" si="246"/>
        <v>0</v>
      </c>
      <c r="R151" s="435"/>
      <c r="S151" s="436">
        <f t="shared" si="237"/>
        <v>0</v>
      </c>
      <c r="T151" s="437">
        <f t="shared" si="247"/>
        <v>0</v>
      </c>
      <c r="U151" s="437">
        <f t="shared" si="235"/>
        <v>0</v>
      </c>
      <c r="V151" s="437">
        <f t="shared" si="249"/>
        <v>0</v>
      </c>
      <c r="W151" s="300"/>
      <c r="X151" s="131"/>
      <c r="Z151" s="162"/>
      <c r="AA151" s="162"/>
      <c r="AB151" s="162"/>
      <c r="AC151" s="162"/>
      <c r="AD151" s="162"/>
      <c r="AE151" s="163"/>
      <c r="AF151" s="162"/>
      <c r="AG151" s="162"/>
      <c r="AH151" s="162"/>
      <c r="AI151" s="162"/>
      <c r="AJ151" s="162"/>
      <c r="AK151" s="162"/>
      <c r="AL151" s="162"/>
      <c r="AM151" s="162"/>
      <c r="AN151" s="164"/>
      <c r="AO151" s="164"/>
      <c r="AP151" s="166"/>
      <c r="AQ151" s="161"/>
      <c r="AR151" s="161"/>
      <c r="AS151" s="161"/>
      <c r="AT151" s="161"/>
      <c r="AU151" s="161"/>
    </row>
    <row r="152" spans="1:47">
      <c r="A152" s="471">
        <f t="shared" si="253"/>
        <v>46217</v>
      </c>
      <c r="B152" s="497" t="s">
        <v>256</v>
      </c>
      <c r="C152" s="426"/>
      <c r="D152" s="427">
        <f t="shared" si="152"/>
        <v>0</v>
      </c>
      <c r="E152" s="428">
        <f t="shared" si="250"/>
        <v>0</v>
      </c>
      <c r="F152" s="428">
        <f t="shared" si="251"/>
        <v>0</v>
      </c>
      <c r="G152" s="428">
        <f t="shared" si="241"/>
        <v>0</v>
      </c>
      <c r="H152" s="429">
        <v>511</v>
      </c>
      <c r="I152" s="430">
        <f t="shared" si="185"/>
        <v>1674.0359999999998</v>
      </c>
      <c r="J152" s="431">
        <f t="shared" si="242"/>
        <v>16740.359999999997</v>
      </c>
      <c r="K152" s="431">
        <f t="shared" si="252"/>
        <v>11.160239999999998</v>
      </c>
      <c r="L152" s="431">
        <f t="shared" si="243"/>
        <v>28.775321513513511</v>
      </c>
      <c r="M152" s="432"/>
      <c r="N152" s="433">
        <f t="shared" si="236"/>
        <v>0</v>
      </c>
      <c r="O152" s="434">
        <f t="shared" si="244"/>
        <v>0</v>
      </c>
      <c r="P152" s="434">
        <f t="shared" si="234"/>
        <v>0</v>
      </c>
      <c r="Q152" s="434">
        <f t="shared" si="246"/>
        <v>0</v>
      </c>
      <c r="R152" s="435"/>
      <c r="S152" s="436">
        <f t="shared" si="237"/>
        <v>0</v>
      </c>
      <c r="T152" s="437">
        <f t="shared" si="247"/>
        <v>0</v>
      </c>
      <c r="U152" s="437">
        <f t="shared" si="235"/>
        <v>0</v>
      </c>
      <c r="V152" s="437">
        <f t="shared" si="249"/>
        <v>0</v>
      </c>
      <c r="W152" s="300"/>
      <c r="X152" s="131"/>
      <c r="Z152" s="162"/>
      <c r="AA152" s="162"/>
      <c r="AB152" s="162"/>
      <c r="AC152" s="162"/>
      <c r="AD152" s="162"/>
      <c r="AE152" s="163"/>
      <c r="AF152" s="162"/>
      <c r="AG152" s="162"/>
      <c r="AH152" s="162"/>
      <c r="AI152" s="162"/>
      <c r="AJ152" s="162"/>
      <c r="AK152" s="162"/>
      <c r="AL152" s="162"/>
      <c r="AM152" s="162"/>
      <c r="AN152" s="164"/>
      <c r="AO152" s="164"/>
      <c r="AP152" s="166"/>
      <c r="AQ152" s="161"/>
      <c r="AR152" s="161"/>
      <c r="AS152" s="161"/>
      <c r="AT152" s="161"/>
      <c r="AU152" s="161"/>
    </row>
    <row r="153" spans="1:47">
      <c r="A153" s="471">
        <f t="shared" si="253"/>
        <v>46217</v>
      </c>
      <c r="B153" s="497" t="s">
        <v>257</v>
      </c>
      <c r="C153" s="426"/>
      <c r="D153" s="427">
        <f t="shared" si="152"/>
        <v>0</v>
      </c>
      <c r="E153" s="428">
        <f t="shared" si="250"/>
        <v>0</v>
      </c>
      <c r="F153" s="428">
        <f t="shared" si="251"/>
        <v>0</v>
      </c>
      <c r="G153" s="428">
        <f t="shared" si="241"/>
        <v>0</v>
      </c>
      <c r="H153" s="429">
        <v>630</v>
      </c>
      <c r="I153" s="430">
        <f t="shared" si="185"/>
        <v>2063.8799999999997</v>
      </c>
      <c r="J153" s="431">
        <f t="shared" si="242"/>
        <v>20638.799999999996</v>
      </c>
      <c r="K153" s="431">
        <f t="shared" si="252"/>
        <v>13.759199999999996</v>
      </c>
      <c r="L153" s="431">
        <f t="shared" si="243"/>
        <v>35.47642378378378</v>
      </c>
      <c r="M153" s="432"/>
      <c r="N153" s="433">
        <f t="shared" si="236"/>
        <v>0</v>
      </c>
      <c r="O153" s="434">
        <f t="shared" si="244"/>
        <v>0</v>
      </c>
      <c r="P153" s="434">
        <f t="shared" si="234"/>
        <v>0</v>
      </c>
      <c r="Q153" s="434">
        <f t="shared" si="246"/>
        <v>0</v>
      </c>
      <c r="R153" s="435"/>
      <c r="S153" s="436">
        <f t="shared" si="237"/>
        <v>0</v>
      </c>
      <c r="T153" s="437">
        <f t="shared" si="247"/>
        <v>0</v>
      </c>
      <c r="U153" s="437">
        <f t="shared" si="235"/>
        <v>0</v>
      </c>
      <c r="V153" s="437">
        <f t="shared" si="249"/>
        <v>0</v>
      </c>
      <c r="W153" s="300"/>
      <c r="X153" s="131"/>
      <c r="Z153" s="162"/>
      <c r="AA153" s="162"/>
      <c r="AB153" s="162"/>
      <c r="AC153" s="162"/>
      <c r="AD153" s="162"/>
      <c r="AE153" s="163"/>
      <c r="AF153" s="162"/>
      <c r="AG153" s="162"/>
      <c r="AH153" s="162"/>
      <c r="AI153" s="162"/>
      <c r="AJ153" s="162"/>
      <c r="AK153" s="162"/>
      <c r="AL153" s="162"/>
      <c r="AM153" s="162"/>
      <c r="AN153" s="164"/>
      <c r="AO153" s="164"/>
      <c r="AP153" s="166"/>
      <c r="AQ153" s="161"/>
      <c r="AR153" s="161"/>
      <c r="AS153" s="161"/>
      <c r="AT153" s="161"/>
      <c r="AU153" s="161"/>
    </row>
    <row r="154" spans="1:47">
      <c r="A154" s="471">
        <f t="shared" si="253"/>
        <v>46217</v>
      </c>
      <c r="B154" s="497" t="s">
        <v>258</v>
      </c>
      <c r="C154" s="426"/>
      <c r="D154" s="427">
        <f t="shared" ref="D154:D217" si="254">+C154*3.875</f>
        <v>0</v>
      </c>
      <c r="E154" s="428">
        <f t="shared" si="250"/>
        <v>0</v>
      </c>
      <c r="F154" s="428">
        <f t="shared" si="251"/>
        <v>0</v>
      </c>
      <c r="G154" s="428">
        <f t="shared" si="241"/>
        <v>0</v>
      </c>
      <c r="H154" s="429">
        <v>456</v>
      </c>
      <c r="I154" s="430">
        <f t="shared" si="185"/>
        <v>1493.856</v>
      </c>
      <c r="J154" s="431">
        <f t="shared" si="242"/>
        <v>14938.56</v>
      </c>
      <c r="K154" s="431">
        <f t="shared" si="252"/>
        <v>9.9590399999999999</v>
      </c>
      <c r="L154" s="431">
        <f t="shared" si="243"/>
        <v>25.678173405405403</v>
      </c>
      <c r="M154" s="432"/>
      <c r="N154" s="433">
        <f t="shared" si="236"/>
        <v>0</v>
      </c>
      <c r="O154" s="434">
        <f t="shared" si="244"/>
        <v>0</v>
      </c>
      <c r="P154" s="434">
        <f t="shared" si="234"/>
        <v>0</v>
      </c>
      <c r="Q154" s="434">
        <f t="shared" si="246"/>
        <v>0</v>
      </c>
      <c r="R154" s="435"/>
      <c r="S154" s="436">
        <f t="shared" si="237"/>
        <v>0</v>
      </c>
      <c r="T154" s="437">
        <f t="shared" si="247"/>
        <v>0</v>
      </c>
      <c r="U154" s="437">
        <f t="shared" si="235"/>
        <v>0</v>
      </c>
      <c r="V154" s="437">
        <f t="shared" si="249"/>
        <v>0</v>
      </c>
      <c r="W154" s="300"/>
      <c r="X154" s="131"/>
      <c r="Z154" s="162"/>
      <c r="AA154" s="162"/>
      <c r="AB154" s="162"/>
      <c r="AC154" s="162"/>
      <c r="AD154" s="162"/>
      <c r="AE154" s="163"/>
      <c r="AF154" s="162"/>
      <c r="AG154" s="162"/>
      <c r="AH154" s="162"/>
      <c r="AI154" s="162"/>
      <c r="AJ154" s="162"/>
      <c r="AK154" s="162"/>
      <c r="AL154" s="162"/>
      <c r="AM154" s="162"/>
      <c r="AN154" s="164"/>
      <c r="AO154" s="164"/>
      <c r="AP154" s="166"/>
      <c r="AQ154" s="161"/>
      <c r="AR154" s="161"/>
      <c r="AS154" s="161"/>
      <c r="AT154" s="161"/>
      <c r="AU154" s="161"/>
    </row>
    <row r="155" spans="1:47">
      <c r="A155" s="471">
        <f t="shared" si="253"/>
        <v>46217</v>
      </c>
      <c r="B155" s="497" t="s">
        <v>259</v>
      </c>
      <c r="C155" s="426"/>
      <c r="D155" s="427">
        <f t="shared" si="254"/>
        <v>0</v>
      </c>
      <c r="E155" s="428">
        <f t="shared" si="250"/>
        <v>0</v>
      </c>
      <c r="F155" s="428">
        <f t="shared" si="251"/>
        <v>0</v>
      </c>
      <c r="G155" s="428">
        <f t="shared" si="241"/>
        <v>0</v>
      </c>
      <c r="H155" s="429">
        <v>454</v>
      </c>
      <c r="I155" s="430">
        <f t="shared" si="185"/>
        <v>1487.3039999999999</v>
      </c>
      <c r="J155" s="431">
        <f t="shared" si="242"/>
        <v>14873.04</v>
      </c>
      <c r="K155" s="431">
        <f t="shared" si="252"/>
        <v>9.9153599999999997</v>
      </c>
      <c r="L155" s="431">
        <f t="shared" si="243"/>
        <v>25.565549837837835</v>
      </c>
      <c r="M155" s="432"/>
      <c r="N155" s="433">
        <f t="shared" si="236"/>
        <v>0</v>
      </c>
      <c r="O155" s="434">
        <f t="shared" si="244"/>
        <v>0</v>
      </c>
      <c r="P155" s="434">
        <f t="shared" si="234"/>
        <v>0</v>
      </c>
      <c r="Q155" s="434">
        <f t="shared" si="246"/>
        <v>0</v>
      </c>
      <c r="R155" s="435"/>
      <c r="S155" s="436">
        <f t="shared" si="237"/>
        <v>0</v>
      </c>
      <c r="T155" s="437">
        <f t="shared" si="247"/>
        <v>0</v>
      </c>
      <c r="U155" s="437">
        <f t="shared" si="235"/>
        <v>0</v>
      </c>
      <c r="V155" s="437">
        <f t="shared" si="249"/>
        <v>0</v>
      </c>
      <c r="W155" s="300"/>
      <c r="X155" s="131"/>
      <c r="Z155" s="162"/>
      <c r="AA155" s="162"/>
      <c r="AB155" s="162"/>
      <c r="AC155" s="162"/>
      <c r="AD155" s="162"/>
      <c r="AE155" s="163"/>
      <c r="AF155" s="162"/>
      <c r="AG155" s="162"/>
      <c r="AH155" s="162"/>
      <c r="AI155" s="162"/>
      <c r="AJ155" s="162"/>
      <c r="AK155" s="162"/>
      <c r="AL155" s="162"/>
      <c r="AM155" s="162"/>
      <c r="AN155" s="164"/>
      <c r="AO155" s="164"/>
      <c r="AP155" s="166"/>
      <c r="AQ155" s="161"/>
      <c r="AR155" s="161"/>
      <c r="AS155" s="161"/>
      <c r="AT155" s="161"/>
      <c r="AU155" s="161"/>
    </row>
    <row r="156" spans="1:47">
      <c r="A156" s="471">
        <f t="shared" si="253"/>
        <v>46217</v>
      </c>
      <c r="B156" s="497"/>
      <c r="C156" s="426"/>
      <c r="D156" s="427">
        <f t="shared" si="254"/>
        <v>0</v>
      </c>
      <c r="E156" s="428">
        <f t="shared" si="250"/>
        <v>0</v>
      </c>
      <c r="F156" s="428">
        <f t="shared" si="251"/>
        <v>0</v>
      </c>
      <c r="G156" s="428">
        <f t="shared" si="241"/>
        <v>0</v>
      </c>
      <c r="H156" s="429"/>
      <c r="I156" s="430">
        <f t="shared" si="185"/>
        <v>0</v>
      </c>
      <c r="J156" s="431">
        <f t="shared" si="242"/>
        <v>0</v>
      </c>
      <c r="K156" s="431">
        <f t="shared" si="252"/>
        <v>0</v>
      </c>
      <c r="L156" s="431">
        <f t="shared" si="243"/>
        <v>0</v>
      </c>
      <c r="M156" s="432"/>
      <c r="N156" s="433">
        <f t="shared" si="236"/>
        <v>0</v>
      </c>
      <c r="O156" s="434">
        <f t="shared" si="244"/>
        <v>0</v>
      </c>
      <c r="P156" s="434">
        <f t="shared" si="234"/>
        <v>0</v>
      </c>
      <c r="Q156" s="434">
        <f t="shared" si="246"/>
        <v>0</v>
      </c>
      <c r="R156" s="435"/>
      <c r="S156" s="436">
        <f t="shared" si="237"/>
        <v>0</v>
      </c>
      <c r="T156" s="437">
        <f t="shared" si="247"/>
        <v>0</v>
      </c>
      <c r="U156" s="437">
        <f t="shared" si="235"/>
        <v>0</v>
      </c>
      <c r="V156" s="437">
        <f t="shared" si="249"/>
        <v>0</v>
      </c>
      <c r="W156" s="300"/>
      <c r="X156" s="131"/>
      <c r="Z156" s="162"/>
      <c r="AA156" s="162"/>
      <c r="AB156" s="162"/>
      <c r="AC156" s="162"/>
      <c r="AD156" s="162"/>
      <c r="AE156" s="163"/>
      <c r="AF156" s="162"/>
      <c r="AG156" s="162"/>
      <c r="AH156" s="162"/>
      <c r="AI156" s="162"/>
      <c r="AJ156" s="162"/>
      <c r="AK156" s="162"/>
      <c r="AL156" s="162"/>
      <c r="AM156" s="162"/>
      <c r="AN156" s="164"/>
      <c r="AO156" s="164"/>
      <c r="AP156" s="166"/>
      <c r="AQ156" s="161"/>
      <c r="AR156" s="161"/>
      <c r="AS156" s="161"/>
      <c r="AT156" s="161"/>
      <c r="AU156" s="161"/>
    </row>
    <row r="157" spans="1:47" ht="14.25">
      <c r="A157" s="471"/>
      <c r="B157" s="498" t="s">
        <v>118</v>
      </c>
      <c r="C157" s="438">
        <f>SUM(C147:C156)</f>
        <v>0</v>
      </c>
      <c r="D157" s="439">
        <f t="shared" si="254"/>
        <v>0</v>
      </c>
      <c r="E157" s="438">
        <f>SUM(E147:E156)</f>
        <v>0</v>
      </c>
      <c r="F157" s="463">
        <f>SUM(F147:F156)</f>
        <v>0</v>
      </c>
      <c r="G157" s="463">
        <f>SUM(G147:G156)</f>
        <v>0</v>
      </c>
      <c r="H157" s="440">
        <f>SUM(H147:H156)</f>
        <v>4717</v>
      </c>
      <c r="I157" s="441">
        <f t="shared" si="185"/>
        <v>15452.892</v>
      </c>
      <c r="J157" s="440">
        <f>SUM(J147:J156)</f>
        <v>154528.91999999998</v>
      </c>
      <c r="K157" s="466">
        <f>SUM(K147:K156)</f>
        <v>103.01927999999998</v>
      </c>
      <c r="L157" s="466">
        <f>SUM(L147:L156)</f>
        <v>265.62268410810805</v>
      </c>
      <c r="M157" s="442">
        <f t="shared" ref="M157" si="255">SUM(M147:M156)</f>
        <v>0</v>
      </c>
      <c r="N157" s="443">
        <f t="shared" si="236"/>
        <v>0</v>
      </c>
      <c r="O157" s="442">
        <f t="shared" ref="O157:R157" si="256">SUM(O147:O156)</f>
        <v>0</v>
      </c>
      <c r="P157" s="468">
        <f t="shared" si="256"/>
        <v>0</v>
      </c>
      <c r="Q157" s="468">
        <f t="shared" si="256"/>
        <v>0</v>
      </c>
      <c r="R157" s="444">
        <f t="shared" si="256"/>
        <v>0</v>
      </c>
      <c r="S157" s="445">
        <f t="shared" si="237"/>
        <v>0</v>
      </c>
      <c r="T157" s="444">
        <f t="shared" ref="T157:V157" si="257">SUM(T147:T156)</f>
        <v>0</v>
      </c>
      <c r="U157" s="470">
        <f t="shared" si="257"/>
        <v>0</v>
      </c>
      <c r="V157" s="470">
        <f t="shared" si="257"/>
        <v>0</v>
      </c>
      <c r="W157" s="300"/>
      <c r="X157" s="131"/>
      <c r="Z157" s="162"/>
      <c r="AA157" s="162"/>
      <c r="AB157" s="162"/>
      <c r="AC157" s="162"/>
      <c r="AD157" s="162"/>
      <c r="AE157" s="163"/>
      <c r="AF157" s="162"/>
      <c r="AG157" s="162"/>
      <c r="AH157" s="162"/>
      <c r="AI157" s="162"/>
      <c r="AJ157" s="162"/>
      <c r="AK157" s="162"/>
      <c r="AL157" s="162"/>
      <c r="AM157" s="162"/>
      <c r="AN157" s="164"/>
      <c r="AO157" s="164"/>
      <c r="AP157" s="166"/>
      <c r="AQ157" s="161"/>
      <c r="AR157" s="161"/>
      <c r="AS157" s="161"/>
      <c r="AT157" s="161"/>
      <c r="AU157" s="161"/>
    </row>
    <row r="158" spans="1:47">
      <c r="A158" s="472">
        <f>+A147+1</f>
        <v>46218</v>
      </c>
      <c r="B158" s="497" t="s">
        <v>260</v>
      </c>
      <c r="C158" s="426"/>
      <c r="D158" s="427">
        <f t="shared" si="254"/>
        <v>0</v>
      </c>
      <c r="E158" s="428">
        <f>+D158/0.0125*0.125</f>
        <v>0</v>
      </c>
      <c r="F158" s="428">
        <f>+E158/1500</f>
        <v>0</v>
      </c>
      <c r="G158" s="428">
        <f t="shared" ref="G158:G167" si="258">+D158/0.0125*0.000318</f>
        <v>0</v>
      </c>
      <c r="H158" s="429">
        <v>483</v>
      </c>
      <c r="I158" s="430">
        <f t="shared" si="185"/>
        <v>1582.308</v>
      </c>
      <c r="J158" s="431">
        <f t="shared" ref="J158:J167" si="259">+I158/0.0185*0.185</f>
        <v>15823.08</v>
      </c>
      <c r="K158" s="431">
        <f>+J158/1500</f>
        <v>10.548719999999999</v>
      </c>
      <c r="L158" s="431">
        <f t="shared" ref="L158:L167" si="260">+I158/0.0185*0.000318</f>
        <v>27.198591567567565</v>
      </c>
      <c r="M158" s="432">
        <v>449</v>
      </c>
      <c r="N158" s="433">
        <f t="shared" si="236"/>
        <v>1470.924</v>
      </c>
      <c r="O158" s="434">
        <f t="shared" ref="O158:O167" si="261">+N158/0.0185*0.185</f>
        <v>14709.240000000002</v>
      </c>
      <c r="P158" s="434">
        <f t="shared" ref="P158" si="262">+O158/1500</f>
        <v>9.8061600000000002</v>
      </c>
      <c r="Q158" s="434">
        <f t="shared" ref="Q158:Q167" si="263">+N158/0.0185*0.000318</f>
        <v>25.283990918918921</v>
      </c>
      <c r="R158" s="435"/>
      <c r="S158" s="436">
        <f t="shared" si="237"/>
        <v>0</v>
      </c>
      <c r="T158" s="437">
        <f t="shared" ref="T158:T167" si="264">+S158/0.0185*0.185</f>
        <v>0</v>
      </c>
      <c r="U158" s="437">
        <f t="shared" ref="U158" si="265">+T158/1500</f>
        <v>0</v>
      </c>
      <c r="V158" s="437">
        <f t="shared" ref="V158:V167" si="266">+S158/0.0185*0.000318</f>
        <v>0</v>
      </c>
      <c r="W158" s="300"/>
      <c r="X158" s="131">
        <f>+W158*2.4</f>
        <v>0</v>
      </c>
      <c r="Z158" s="162" t="str">
        <f>IFERROR((D158/'REKAPAN OKEY AYAM'!$AC18),"-")</f>
        <v>-</v>
      </c>
      <c r="AA158" s="162">
        <f>IFERROR((I158/'REKAPAN CHAMP AYAM'!$AC18),"-")</f>
        <v>0.10410962148846464</v>
      </c>
      <c r="AB158" s="162">
        <f>IFERROR((N158/'REKAPAN CHAMP SAPI'!AC18),"-")</f>
        <v>0.8382708957367363</v>
      </c>
      <c r="AC158" s="162" t="str">
        <f>IFERROR((S158/'REKAPAN CHAMP OTAK-OTAK'!AC18),"-")</f>
        <v>-</v>
      </c>
      <c r="AD158" s="162" t="str">
        <f>IFERROR((X158/'REKAPAN FIESTA'!AC18),"-")</f>
        <v>-</v>
      </c>
      <c r="AE158" s="163"/>
      <c r="AF158" s="162" t="str">
        <f t="shared" si="39"/>
        <v>-</v>
      </c>
      <c r="AG158" s="162" t="str">
        <f>IFERROR(((D158/0.0125*0.000318)/#REF!),"-")</f>
        <v>-</v>
      </c>
      <c r="AH158" s="162">
        <f t="shared" si="40"/>
        <v>1500</v>
      </c>
      <c r="AI158" s="162" t="str">
        <f>IFERROR(((I158/0.0185*0.000318)/#REF!),"-")</f>
        <v>-</v>
      </c>
      <c r="AJ158" s="162">
        <f t="shared" si="41"/>
        <v>1500.0000000000002</v>
      </c>
      <c r="AK158" s="162" t="str">
        <f>IFERROR(((N158/0.0185*0.000318)/#REF!),"-")</f>
        <v>-</v>
      </c>
      <c r="AL158" s="162" t="str">
        <f t="shared" si="42"/>
        <v>-</v>
      </c>
      <c r="AM158" s="162" t="str">
        <f>IFERROR(((S158/0.0185*0.000318)/#REF!),"-")</f>
        <v>-</v>
      </c>
      <c r="AN158" s="164"/>
      <c r="AO158" s="164"/>
      <c r="AP158" s="166"/>
      <c r="AQ158" s="161" t="str">
        <f>IFERROR(('REKAPAN OKEY AYAM'!$AD18),"-")</f>
        <v>-</v>
      </c>
      <c r="AR158" s="161">
        <f>IFERROR(('REKAPAN CHAMP AYAM'!$AD18),"-")</f>
        <v>0.97772514093514618</v>
      </c>
      <c r="AS158" s="161">
        <f>IFERROR(('REKAPAN CHAMP SAPI'!$AD18),"-")</f>
        <v>0.78599565056829834</v>
      </c>
      <c r="AT158" s="161" t="str">
        <f>IFERROR(('REKAPAN CHAMP OTAK-OTAK'!$AD18),"-")</f>
        <v>-</v>
      </c>
      <c r="AU158" s="161" t="str">
        <f>IFERROR(('REKAPAN FIESTA'!$AD18),"-")</f>
        <v>-</v>
      </c>
    </row>
    <row r="159" spans="1:47">
      <c r="A159" s="471">
        <f>+$A158</f>
        <v>46218</v>
      </c>
      <c r="B159" s="497" t="s">
        <v>261</v>
      </c>
      <c r="C159" s="426"/>
      <c r="D159" s="427">
        <f t="shared" si="254"/>
        <v>0</v>
      </c>
      <c r="E159" s="428">
        <f t="shared" ref="E159:E167" si="267">+D159/0.0125*0.125</f>
        <v>0</v>
      </c>
      <c r="F159" s="428">
        <f t="shared" ref="F159:F167" si="268">+E159/1500</f>
        <v>0</v>
      </c>
      <c r="G159" s="428">
        <f t="shared" si="258"/>
        <v>0</v>
      </c>
      <c r="H159" s="429">
        <v>483</v>
      </c>
      <c r="I159" s="430">
        <f t="shared" si="185"/>
        <v>1582.308</v>
      </c>
      <c r="J159" s="431">
        <f t="shared" si="259"/>
        <v>15823.08</v>
      </c>
      <c r="K159" s="431">
        <f t="shared" ref="K159:K167" si="269">+J159/1500</f>
        <v>10.548719999999999</v>
      </c>
      <c r="L159" s="431">
        <f t="shared" si="260"/>
        <v>27.198591567567565</v>
      </c>
      <c r="M159" s="432"/>
      <c r="N159" s="433">
        <f t="shared" si="236"/>
        <v>0</v>
      </c>
      <c r="O159" s="434">
        <f t="shared" si="261"/>
        <v>0</v>
      </c>
      <c r="P159" s="434">
        <f t="shared" si="234"/>
        <v>0</v>
      </c>
      <c r="Q159" s="434">
        <f t="shared" si="263"/>
        <v>0</v>
      </c>
      <c r="R159" s="435"/>
      <c r="S159" s="436">
        <f t="shared" si="237"/>
        <v>0</v>
      </c>
      <c r="T159" s="437">
        <f t="shared" si="264"/>
        <v>0</v>
      </c>
      <c r="U159" s="437">
        <f t="shared" si="235"/>
        <v>0</v>
      </c>
      <c r="V159" s="437">
        <f t="shared" si="266"/>
        <v>0</v>
      </c>
      <c r="W159" s="300"/>
      <c r="X159" s="131"/>
      <c r="Z159" s="162"/>
      <c r="AA159" s="162"/>
      <c r="AB159" s="162"/>
      <c r="AC159" s="162"/>
      <c r="AD159" s="162"/>
      <c r="AE159" s="163"/>
      <c r="AF159" s="162"/>
      <c r="AG159" s="162"/>
      <c r="AH159" s="162"/>
      <c r="AI159" s="162"/>
      <c r="AJ159" s="162"/>
      <c r="AK159" s="162"/>
      <c r="AL159" s="162"/>
      <c r="AM159" s="162"/>
      <c r="AN159" s="164"/>
      <c r="AO159" s="164"/>
      <c r="AP159" s="166"/>
      <c r="AQ159" s="161"/>
      <c r="AR159" s="161"/>
      <c r="AS159" s="161"/>
      <c r="AT159" s="161"/>
      <c r="AU159" s="161"/>
    </row>
    <row r="160" spans="1:47">
      <c r="A160" s="471">
        <f t="shared" ref="A160:A167" si="270">+$A159</f>
        <v>46218</v>
      </c>
      <c r="B160" s="497" t="s">
        <v>262</v>
      </c>
      <c r="C160" s="426"/>
      <c r="D160" s="427">
        <f t="shared" si="254"/>
        <v>0</v>
      </c>
      <c r="E160" s="428">
        <f t="shared" si="267"/>
        <v>0</v>
      </c>
      <c r="F160" s="428">
        <f t="shared" si="268"/>
        <v>0</v>
      </c>
      <c r="G160" s="428">
        <f t="shared" si="258"/>
        <v>0</v>
      </c>
      <c r="H160" s="429">
        <v>498</v>
      </c>
      <c r="I160" s="430">
        <f t="shared" si="185"/>
        <v>1631.4479999999999</v>
      </c>
      <c r="J160" s="431">
        <f t="shared" si="259"/>
        <v>16314.48</v>
      </c>
      <c r="K160" s="431">
        <f t="shared" si="269"/>
        <v>10.87632</v>
      </c>
      <c r="L160" s="431">
        <f t="shared" si="260"/>
        <v>28.04326832432432</v>
      </c>
      <c r="M160" s="432"/>
      <c r="N160" s="433">
        <f t="shared" si="236"/>
        <v>0</v>
      </c>
      <c r="O160" s="434">
        <f t="shared" si="261"/>
        <v>0</v>
      </c>
      <c r="P160" s="434">
        <f t="shared" si="234"/>
        <v>0</v>
      </c>
      <c r="Q160" s="434">
        <f t="shared" si="263"/>
        <v>0</v>
      </c>
      <c r="R160" s="435"/>
      <c r="S160" s="436">
        <f t="shared" si="237"/>
        <v>0</v>
      </c>
      <c r="T160" s="437">
        <f t="shared" si="264"/>
        <v>0</v>
      </c>
      <c r="U160" s="437">
        <f t="shared" si="235"/>
        <v>0</v>
      </c>
      <c r="V160" s="437">
        <f t="shared" si="266"/>
        <v>0</v>
      </c>
      <c r="W160" s="300"/>
      <c r="X160" s="131"/>
      <c r="Z160" s="162"/>
      <c r="AA160" s="162"/>
      <c r="AB160" s="162"/>
      <c r="AC160" s="162"/>
      <c r="AD160" s="162"/>
      <c r="AE160" s="163"/>
      <c r="AF160" s="162"/>
      <c r="AG160" s="162"/>
      <c r="AH160" s="162"/>
      <c r="AI160" s="162"/>
      <c r="AJ160" s="162"/>
      <c r="AK160" s="162"/>
      <c r="AL160" s="162"/>
      <c r="AM160" s="162"/>
      <c r="AN160" s="164"/>
      <c r="AO160" s="164"/>
      <c r="AP160" s="166"/>
      <c r="AQ160" s="161"/>
      <c r="AR160" s="161"/>
      <c r="AS160" s="161"/>
      <c r="AT160" s="161"/>
      <c r="AU160" s="161"/>
    </row>
    <row r="161" spans="1:47">
      <c r="A161" s="471">
        <f t="shared" si="270"/>
        <v>46218</v>
      </c>
      <c r="B161" s="497" t="s">
        <v>263</v>
      </c>
      <c r="C161" s="426"/>
      <c r="D161" s="427">
        <f t="shared" si="254"/>
        <v>0</v>
      </c>
      <c r="E161" s="428">
        <f t="shared" si="267"/>
        <v>0</v>
      </c>
      <c r="F161" s="428">
        <f t="shared" si="268"/>
        <v>0</v>
      </c>
      <c r="G161" s="428">
        <f t="shared" si="258"/>
        <v>0</v>
      </c>
      <c r="H161" s="429">
        <v>434</v>
      </c>
      <c r="I161" s="430">
        <f t="shared" si="185"/>
        <v>1421.7839999999999</v>
      </c>
      <c r="J161" s="431">
        <f t="shared" si="259"/>
        <v>14217.84</v>
      </c>
      <c r="K161" s="431">
        <f t="shared" si="269"/>
        <v>9.4785599999999999</v>
      </c>
      <c r="L161" s="431">
        <f t="shared" si="260"/>
        <v>24.439314162162159</v>
      </c>
      <c r="M161" s="432"/>
      <c r="N161" s="433">
        <f t="shared" si="236"/>
        <v>0</v>
      </c>
      <c r="O161" s="434">
        <f t="shared" si="261"/>
        <v>0</v>
      </c>
      <c r="P161" s="434">
        <f t="shared" si="234"/>
        <v>0</v>
      </c>
      <c r="Q161" s="434">
        <f t="shared" si="263"/>
        <v>0</v>
      </c>
      <c r="R161" s="435"/>
      <c r="S161" s="436">
        <f t="shared" si="237"/>
        <v>0</v>
      </c>
      <c r="T161" s="437">
        <f t="shared" si="264"/>
        <v>0</v>
      </c>
      <c r="U161" s="437">
        <f t="shared" si="235"/>
        <v>0</v>
      </c>
      <c r="V161" s="437">
        <f t="shared" si="266"/>
        <v>0</v>
      </c>
      <c r="W161" s="300"/>
      <c r="X161" s="131"/>
      <c r="Z161" s="162"/>
      <c r="AA161" s="162"/>
      <c r="AB161" s="162"/>
      <c r="AC161" s="162"/>
      <c r="AD161" s="162"/>
      <c r="AE161" s="163"/>
      <c r="AF161" s="162"/>
      <c r="AG161" s="162"/>
      <c r="AH161" s="162"/>
      <c r="AI161" s="162"/>
      <c r="AJ161" s="162"/>
      <c r="AK161" s="162"/>
      <c r="AL161" s="162"/>
      <c r="AM161" s="162"/>
      <c r="AN161" s="164"/>
      <c r="AO161" s="164"/>
      <c r="AP161" s="166"/>
      <c r="AQ161" s="161"/>
      <c r="AR161" s="161"/>
      <c r="AS161" s="161"/>
      <c r="AT161" s="161"/>
      <c r="AU161" s="161"/>
    </row>
    <row r="162" spans="1:47">
      <c r="A162" s="471">
        <f t="shared" si="270"/>
        <v>46218</v>
      </c>
      <c r="B162" s="497" t="s">
        <v>264</v>
      </c>
      <c r="C162" s="426"/>
      <c r="D162" s="427">
        <f t="shared" si="254"/>
        <v>0</v>
      </c>
      <c r="E162" s="428">
        <f t="shared" si="267"/>
        <v>0</v>
      </c>
      <c r="F162" s="428">
        <f t="shared" si="268"/>
        <v>0</v>
      </c>
      <c r="G162" s="428">
        <f t="shared" si="258"/>
        <v>0</v>
      </c>
      <c r="H162" s="429">
        <v>561</v>
      </c>
      <c r="I162" s="430">
        <f t="shared" si="185"/>
        <v>1837.8359999999998</v>
      </c>
      <c r="J162" s="431">
        <f t="shared" si="259"/>
        <v>18378.359999999997</v>
      </c>
      <c r="K162" s="431">
        <f t="shared" si="269"/>
        <v>12.252239999999999</v>
      </c>
      <c r="L162" s="431">
        <f t="shared" si="260"/>
        <v>31.590910702702697</v>
      </c>
      <c r="M162" s="432"/>
      <c r="N162" s="433">
        <f t="shared" si="236"/>
        <v>0</v>
      </c>
      <c r="O162" s="434">
        <f t="shared" si="261"/>
        <v>0</v>
      </c>
      <c r="P162" s="434">
        <f t="shared" si="234"/>
        <v>0</v>
      </c>
      <c r="Q162" s="434">
        <f t="shared" si="263"/>
        <v>0</v>
      </c>
      <c r="R162" s="435"/>
      <c r="S162" s="436">
        <f t="shared" si="237"/>
        <v>0</v>
      </c>
      <c r="T162" s="437">
        <f t="shared" si="264"/>
        <v>0</v>
      </c>
      <c r="U162" s="437">
        <f t="shared" si="235"/>
        <v>0</v>
      </c>
      <c r="V162" s="437">
        <f t="shared" si="266"/>
        <v>0</v>
      </c>
      <c r="W162" s="300"/>
      <c r="X162" s="131"/>
      <c r="Z162" s="162"/>
      <c r="AA162" s="162"/>
      <c r="AB162" s="162"/>
      <c r="AC162" s="162"/>
      <c r="AD162" s="162"/>
      <c r="AE162" s="163"/>
      <c r="AF162" s="162"/>
      <c r="AG162" s="162"/>
      <c r="AH162" s="162"/>
      <c r="AI162" s="162"/>
      <c r="AJ162" s="162"/>
      <c r="AK162" s="162"/>
      <c r="AL162" s="162"/>
      <c r="AM162" s="162"/>
      <c r="AN162" s="164"/>
      <c r="AO162" s="164"/>
      <c r="AP162" s="166"/>
      <c r="AQ162" s="161"/>
      <c r="AR162" s="161"/>
      <c r="AS162" s="161"/>
      <c r="AT162" s="161"/>
      <c r="AU162" s="161"/>
    </row>
    <row r="163" spans="1:47">
      <c r="A163" s="471">
        <f t="shared" si="270"/>
        <v>46218</v>
      </c>
      <c r="B163" s="497" t="s">
        <v>265</v>
      </c>
      <c r="C163" s="426"/>
      <c r="D163" s="427">
        <f t="shared" si="254"/>
        <v>0</v>
      </c>
      <c r="E163" s="428">
        <f t="shared" si="267"/>
        <v>0</v>
      </c>
      <c r="F163" s="428">
        <f t="shared" si="268"/>
        <v>0</v>
      </c>
      <c r="G163" s="428">
        <f t="shared" si="258"/>
        <v>0</v>
      </c>
      <c r="H163" s="429">
        <v>567</v>
      </c>
      <c r="I163" s="430">
        <f t="shared" si="185"/>
        <v>1857.492</v>
      </c>
      <c r="J163" s="431">
        <f t="shared" si="259"/>
        <v>18574.919999999998</v>
      </c>
      <c r="K163" s="431">
        <f t="shared" si="269"/>
        <v>12.383279999999999</v>
      </c>
      <c r="L163" s="431">
        <f t="shared" si="260"/>
        <v>31.928781405405402</v>
      </c>
      <c r="M163" s="432"/>
      <c r="N163" s="433">
        <f t="shared" si="236"/>
        <v>0</v>
      </c>
      <c r="O163" s="434">
        <f t="shared" si="261"/>
        <v>0</v>
      </c>
      <c r="P163" s="434">
        <f t="shared" si="234"/>
        <v>0</v>
      </c>
      <c r="Q163" s="434">
        <f t="shared" si="263"/>
        <v>0</v>
      </c>
      <c r="R163" s="435"/>
      <c r="S163" s="436">
        <f t="shared" si="237"/>
        <v>0</v>
      </c>
      <c r="T163" s="437">
        <f t="shared" si="264"/>
        <v>0</v>
      </c>
      <c r="U163" s="437">
        <f t="shared" si="235"/>
        <v>0</v>
      </c>
      <c r="V163" s="437">
        <f t="shared" si="266"/>
        <v>0</v>
      </c>
      <c r="W163" s="300"/>
      <c r="X163" s="131"/>
      <c r="Z163" s="162"/>
      <c r="AA163" s="162"/>
      <c r="AB163" s="162"/>
      <c r="AC163" s="162"/>
      <c r="AD163" s="162"/>
      <c r="AE163" s="163"/>
      <c r="AF163" s="162"/>
      <c r="AG163" s="162"/>
      <c r="AH163" s="162"/>
      <c r="AI163" s="162"/>
      <c r="AJ163" s="162"/>
      <c r="AK163" s="162"/>
      <c r="AL163" s="162"/>
      <c r="AM163" s="162"/>
      <c r="AN163" s="164"/>
      <c r="AO163" s="164"/>
      <c r="AP163" s="166"/>
      <c r="AQ163" s="161"/>
      <c r="AR163" s="161"/>
      <c r="AS163" s="161"/>
      <c r="AT163" s="161"/>
      <c r="AU163" s="161"/>
    </row>
    <row r="164" spans="1:47">
      <c r="A164" s="471">
        <f t="shared" si="270"/>
        <v>46218</v>
      </c>
      <c r="B164" s="497" t="s">
        <v>266</v>
      </c>
      <c r="C164" s="426"/>
      <c r="D164" s="427">
        <f t="shared" si="254"/>
        <v>0</v>
      </c>
      <c r="E164" s="428">
        <f t="shared" si="267"/>
        <v>0</v>
      </c>
      <c r="F164" s="428">
        <f t="shared" si="268"/>
        <v>0</v>
      </c>
      <c r="G164" s="428">
        <f t="shared" si="258"/>
        <v>0</v>
      </c>
      <c r="H164" s="429">
        <v>543</v>
      </c>
      <c r="I164" s="430">
        <f t="shared" si="185"/>
        <v>1778.8679999999999</v>
      </c>
      <c r="J164" s="431">
        <f t="shared" si="259"/>
        <v>17788.68</v>
      </c>
      <c r="K164" s="431">
        <f t="shared" si="269"/>
        <v>11.859120000000001</v>
      </c>
      <c r="L164" s="431">
        <f t="shared" si="260"/>
        <v>30.577298594594591</v>
      </c>
      <c r="M164" s="432"/>
      <c r="N164" s="433">
        <f t="shared" si="236"/>
        <v>0</v>
      </c>
      <c r="O164" s="434">
        <f t="shared" si="261"/>
        <v>0</v>
      </c>
      <c r="P164" s="434">
        <f t="shared" si="234"/>
        <v>0</v>
      </c>
      <c r="Q164" s="434">
        <f t="shared" si="263"/>
        <v>0</v>
      </c>
      <c r="R164" s="435"/>
      <c r="S164" s="436">
        <f t="shared" si="237"/>
        <v>0</v>
      </c>
      <c r="T164" s="437">
        <f t="shared" si="264"/>
        <v>0</v>
      </c>
      <c r="U164" s="437">
        <f t="shared" si="235"/>
        <v>0</v>
      </c>
      <c r="V164" s="437">
        <f t="shared" si="266"/>
        <v>0</v>
      </c>
      <c r="W164" s="300"/>
      <c r="X164" s="131"/>
      <c r="Z164" s="162"/>
      <c r="AA164" s="162"/>
      <c r="AB164" s="162"/>
      <c r="AC164" s="162"/>
      <c r="AD164" s="162"/>
      <c r="AE164" s="163"/>
      <c r="AF164" s="162"/>
      <c r="AG164" s="162"/>
      <c r="AH164" s="162"/>
      <c r="AI164" s="162"/>
      <c r="AJ164" s="162"/>
      <c r="AK164" s="162"/>
      <c r="AL164" s="162"/>
      <c r="AM164" s="162"/>
      <c r="AN164" s="164"/>
      <c r="AO164" s="164"/>
      <c r="AP164" s="166"/>
      <c r="AQ164" s="161"/>
      <c r="AR164" s="161"/>
      <c r="AS164" s="161"/>
      <c r="AT164" s="161"/>
      <c r="AU164" s="161"/>
    </row>
    <row r="165" spans="1:47">
      <c r="A165" s="471">
        <f t="shared" si="270"/>
        <v>46218</v>
      </c>
      <c r="B165" s="497" t="s">
        <v>267</v>
      </c>
      <c r="C165" s="426"/>
      <c r="D165" s="427">
        <f t="shared" si="254"/>
        <v>0</v>
      </c>
      <c r="E165" s="428">
        <f t="shared" si="267"/>
        <v>0</v>
      </c>
      <c r="F165" s="428">
        <f t="shared" si="268"/>
        <v>0</v>
      </c>
      <c r="G165" s="428">
        <f t="shared" si="258"/>
        <v>0</v>
      </c>
      <c r="H165" s="429">
        <v>623</v>
      </c>
      <c r="I165" s="430">
        <f t="shared" si="185"/>
        <v>2040.9479999999999</v>
      </c>
      <c r="J165" s="431">
        <f t="shared" si="259"/>
        <v>20409.48</v>
      </c>
      <c r="K165" s="431">
        <f t="shared" si="269"/>
        <v>13.60632</v>
      </c>
      <c r="L165" s="431">
        <f t="shared" si="260"/>
        <v>35.082241297297294</v>
      </c>
      <c r="M165" s="432"/>
      <c r="N165" s="433">
        <f t="shared" si="236"/>
        <v>0</v>
      </c>
      <c r="O165" s="434">
        <f t="shared" si="261"/>
        <v>0</v>
      </c>
      <c r="P165" s="434">
        <f t="shared" si="234"/>
        <v>0</v>
      </c>
      <c r="Q165" s="434">
        <f t="shared" si="263"/>
        <v>0</v>
      </c>
      <c r="R165" s="435"/>
      <c r="S165" s="436">
        <f t="shared" si="237"/>
        <v>0</v>
      </c>
      <c r="T165" s="437">
        <f t="shared" si="264"/>
        <v>0</v>
      </c>
      <c r="U165" s="437">
        <f t="shared" si="235"/>
        <v>0</v>
      </c>
      <c r="V165" s="437">
        <f t="shared" si="266"/>
        <v>0</v>
      </c>
      <c r="W165" s="300"/>
      <c r="X165" s="131"/>
      <c r="Z165" s="162"/>
      <c r="AA165" s="162"/>
      <c r="AB165" s="162"/>
      <c r="AC165" s="162"/>
      <c r="AD165" s="162"/>
      <c r="AE165" s="163"/>
      <c r="AF165" s="162"/>
      <c r="AG165" s="162"/>
      <c r="AH165" s="162"/>
      <c r="AI165" s="162"/>
      <c r="AJ165" s="162"/>
      <c r="AK165" s="162"/>
      <c r="AL165" s="162"/>
      <c r="AM165" s="162"/>
      <c r="AN165" s="164"/>
      <c r="AO165" s="164"/>
      <c r="AP165" s="166"/>
      <c r="AQ165" s="161"/>
      <c r="AR165" s="161"/>
      <c r="AS165" s="161"/>
      <c r="AT165" s="161"/>
      <c r="AU165" s="161"/>
    </row>
    <row r="166" spans="1:47">
      <c r="A166" s="471">
        <f t="shared" si="270"/>
        <v>46218</v>
      </c>
      <c r="B166" s="497" t="s">
        <v>268</v>
      </c>
      <c r="C166" s="426"/>
      <c r="D166" s="427">
        <f t="shared" si="254"/>
        <v>0</v>
      </c>
      <c r="E166" s="428">
        <f t="shared" si="267"/>
        <v>0</v>
      </c>
      <c r="F166" s="428">
        <f t="shared" si="268"/>
        <v>0</v>
      </c>
      <c r="G166" s="428">
        <f t="shared" si="258"/>
        <v>0</v>
      </c>
      <c r="H166" s="429">
        <v>428</v>
      </c>
      <c r="I166" s="430">
        <f t="shared" si="185"/>
        <v>1402.1279999999999</v>
      </c>
      <c r="J166" s="431">
        <f t="shared" si="259"/>
        <v>14021.28</v>
      </c>
      <c r="K166" s="431">
        <f t="shared" si="269"/>
        <v>9.3475200000000012</v>
      </c>
      <c r="L166" s="431">
        <f t="shared" si="260"/>
        <v>24.10144345945946</v>
      </c>
      <c r="M166" s="432"/>
      <c r="N166" s="433">
        <f t="shared" si="236"/>
        <v>0</v>
      </c>
      <c r="O166" s="434">
        <f t="shared" si="261"/>
        <v>0</v>
      </c>
      <c r="P166" s="434">
        <f t="shared" si="234"/>
        <v>0</v>
      </c>
      <c r="Q166" s="434">
        <f t="shared" si="263"/>
        <v>0</v>
      </c>
      <c r="R166" s="435"/>
      <c r="S166" s="436">
        <f t="shared" si="237"/>
        <v>0</v>
      </c>
      <c r="T166" s="437">
        <f t="shared" si="264"/>
        <v>0</v>
      </c>
      <c r="U166" s="437">
        <f t="shared" si="235"/>
        <v>0</v>
      </c>
      <c r="V166" s="437">
        <f t="shared" si="266"/>
        <v>0</v>
      </c>
      <c r="W166" s="300"/>
      <c r="X166" s="131"/>
      <c r="Z166" s="162"/>
      <c r="AA166" s="162"/>
      <c r="AB166" s="162"/>
      <c r="AC166" s="162"/>
      <c r="AD166" s="162"/>
      <c r="AE166" s="163"/>
      <c r="AF166" s="162"/>
      <c r="AG166" s="162"/>
      <c r="AH166" s="162"/>
      <c r="AI166" s="162"/>
      <c r="AJ166" s="162"/>
      <c r="AK166" s="162"/>
      <c r="AL166" s="162"/>
      <c r="AM166" s="162"/>
      <c r="AN166" s="164"/>
      <c r="AO166" s="164"/>
      <c r="AP166" s="166"/>
      <c r="AQ166" s="161"/>
      <c r="AR166" s="161"/>
      <c r="AS166" s="161"/>
      <c r="AT166" s="161"/>
      <c r="AU166" s="161"/>
    </row>
    <row r="167" spans="1:47">
      <c r="A167" s="471">
        <f t="shared" si="270"/>
        <v>46218</v>
      </c>
      <c r="B167" s="497"/>
      <c r="C167" s="426"/>
      <c r="D167" s="427">
        <f t="shared" si="254"/>
        <v>0</v>
      </c>
      <c r="E167" s="428">
        <f t="shared" si="267"/>
        <v>0</v>
      </c>
      <c r="F167" s="428">
        <f t="shared" si="268"/>
        <v>0</v>
      </c>
      <c r="G167" s="428">
        <f t="shared" si="258"/>
        <v>0</v>
      </c>
      <c r="H167" s="429"/>
      <c r="I167" s="430">
        <f t="shared" si="185"/>
        <v>0</v>
      </c>
      <c r="J167" s="431">
        <f t="shared" si="259"/>
        <v>0</v>
      </c>
      <c r="K167" s="431">
        <f t="shared" si="269"/>
        <v>0</v>
      </c>
      <c r="L167" s="431">
        <f t="shared" si="260"/>
        <v>0</v>
      </c>
      <c r="M167" s="432"/>
      <c r="N167" s="433">
        <f t="shared" si="236"/>
        <v>0</v>
      </c>
      <c r="O167" s="434">
        <f t="shared" si="261"/>
        <v>0</v>
      </c>
      <c r="P167" s="434">
        <f t="shared" si="234"/>
        <v>0</v>
      </c>
      <c r="Q167" s="434">
        <f t="shared" si="263"/>
        <v>0</v>
      </c>
      <c r="R167" s="435"/>
      <c r="S167" s="436">
        <f t="shared" si="237"/>
        <v>0</v>
      </c>
      <c r="T167" s="437">
        <f t="shared" si="264"/>
        <v>0</v>
      </c>
      <c r="U167" s="437">
        <f t="shared" si="235"/>
        <v>0</v>
      </c>
      <c r="V167" s="437">
        <f t="shared" si="266"/>
        <v>0</v>
      </c>
      <c r="W167" s="300"/>
      <c r="X167" s="131"/>
      <c r="Z167" s="162"/>
      <c r="AA167" s="162"/>
      <c r="AB167" s="162"/>
      <c r="AC167" s="162"/>
      <c r="AD167" s="162"/>
      <c r="AE167" s="163"/>
      <c r="AF167" s="162"/>
      <c r="AG167" s="162"/>
      <c r="AH167" s="162"/>
      <c r="AI167" s="162"/>
      <c r="AJ167" s="162"/>
      <c r="AK167" s="162"/>
      <c r="AL167" s="162"/>
      <c r="AM167" s="162"/>
      <c r="AN167" s="164"/>
      <c r="AO167" s="164"/>
      <c r="AP167" s="166"/>
      <c r="AQ167" s="161"/>
      <c r="AR167" s="161"/>
      <c r="AS167" s="161"/>
      <c r="AT167" s="161"/>
      <c r="AU167" s="161"/>
    </row>
    <row r="168" spans="1:47" ht="14.25">
      <c r="A168" s="471"/>
      <c r="B168" s="498" t="s">
        <v>118</v>
      </c>
      <c r="C168" s="438">
        <f>SUM(C158:C167)</f>
        <v>0</v>
      </c>
      <c r="D168" s="439">
        <f t="shared" si="254"/>
        <v>0</v>
      </c>
      <c r="E168" s="438">
        <f>SUM(E158:E167)</f>
        <v>0</v>
      </c>
      <c r="F168" s="463">
        <f>SUM(F158:F167)</f>
        <v>0</v>
      </c>
      <c r="G168" s="463">
        <f>SUM(G158:G167)</f>
        <v>0</v>
      </c>
      <c r="H168" s="440">
        <f>SUM(H158:H167)</f>
        <v>4620</v>
      </c>
      <c r="I168" s="441">
        <f t="shared" si="185"/>
        <v>15135.119999999999</v>
      </c>
      <c r="J168" s="440">
        <f>SUM(J158:J167)</f>
        <v>151351.20000000001</v>
      </c>
      <c r="K168" s="466">
        <f>SUM(K158:K167)</f>
        <v>100.9008</v>
      </c>
      <c r="L168" s="466">
        <f>SUM(L158:L167)</f>
        <v>260.16044108108105</v>
      </c>
      <c r="M168" s="442">
        <f t="shared" ref="M168" si="271">SUM(M158:M167)</f>
        <v>449</v>
      </c>
      <c r="N168" s="443">
        <f t="shared" si="236"/>
        <v>1470.924</v>
      </c>
      <c r="O168" s="442">
        <f t="shared" ref="O168:R168" si="272">SUM(O158:O167)</f>
        <v>14709.240000000002</v>
      </c>
      <c r="P168" s="468">
        <f t="shared" si="272"/>
        <v>9.8061600000000002</v>
      </c>
      <c r="Q168" s="468">
        <f t="shared" si="272"/>
        <v>25.283990918918921</v>
      </c>
      <c r="R168" s="444">
        <f t="shared" si="272"/>
        <v>0</v>
      </c>
      <c r="S168" s="445">
        <f t="shared" si="237"/>
        <v>0</v>
      </c>
      <c r="T168" s="444">
        <f t="shared" ref="T168:V168" si="273">SUM(T158:T167)</f>
        <v>0</v>
      </c>
      <c r="U168" s="470">
        <f t="shared" si="273"/>
        <v>0</v>
      </c>
      <c r="V168" s="470">
        <f t="shared" si="273"/>
        <v>0</v>
      </c>
      <c r="W168" s="300"/>
      <c r="X168" s="131"/>
      <c r="Z168" s="162"/>
      <c r="AA168" s="162"/>
      <c r="AB168" s="162"/>
      <c r="AC168" s="162"/>
      <c r="AD168" s="162"/>
      <c r="AE168" s="163"/>
      <c r="AF168" s="162"/>
      <c r="AG168" s="162"/>
      <c r="AH168" s="162"/>
      <c r="AI168" s="162"/>
      <c r="AJ168" s="162"/>
      <c r="AK168" s="162"/>
      <c r="AL168" s="162"/>
      <c r="AM168" s="162"/>
      <c r="AN168" s="164"/>
      <c r="AO168" s="164"/>
      <c r="AP168" s="166"/>
      <c r="AQ168" s="161"/>
      <c r="AR168" s="161"/>
      <c r="AS168" s="161"/>
      <c r="AT168" s="161"/>
      <c r="AU168" s="161"/>
    </row>
    <row r="169" spans="1:47">
      <c r="A169" s="472">
        <f>+A158+1</f>
        <v>46219</v>
      </c>
      <c r="B169" s="497" t="s">
        <v>270</v>
      </c>
      <c r="C169" s="426"/>
      <c r="D169" s="427">
        <f t="shared" si="254"/>
        <v>0</v>
      </c>
      <c r="E169" s="428">
        <f>+D169/0.0125*0.125</f>
        <v>0</v>
      </c>
      <c r="F169" s="428">
        <f>+E169/1500</f>
        <v>0</v>
      </c>
      <c r="G169" s="428">
        <f t="shared" ref="G169:G178" si="274">+D169/0.0125*0.000318</f>
        <v>0</v>
      </c>
      <c r="H169" s="429">
        <v>462</v>
      </c>
      <c r="I169" s="430">
        <f t="shared" si="185"/>
        <v>1513.5119999999999</v>
      </c>
      <c r="J169" s="431">
        <f t="shared" ref="J169:J178" si="275">+I169/0.0185*0.185</f>
        <v>15135.12</v>
      </c>
      <c r="K169" s="431">
        <f>+J169/1500</f>
        <v>10.09008</v>
      </c>
      <c r="L169" s="431">
        <f t="shared" ref="L169:L178" si="276">+I169/0.0185*0.000318</f>
        <v>26.016044108108108</v>
      </c>
      <c r="M169" s="432">
        <v>524</v>
      </c>
      <c r="N169" s="433">
        <f t="shared" si="236"/>
        <v>1716.6239999999998</v>
      </c>
      <c r="O169" s="434">
        <f t="shared" ref="O169:O178" si="277">+N169/0.0185*0.185</f>
        <v>17166.239999999998</v>
      </c>
      <c r="P169" s="434">
        <f t="shared" ref="P169" si="278">+O169/1500</f>
        <v>11.444159999999998</v>
      </c>
      <c r="Q169" s="434">
        <f t="shared" ref="Q169:Q178" si="279">+N169/0.0185*0.000318</f>
        <v>29.507374702702698</v>
      </c>
      <c r="R169" s="435"/>
      <c r="S169" s="436">
        <f t="shared" si="237"/>
        <v>0</v>
      </c>
      <c r="T169" s="437">
        <f t="shared" ref="T169:T178" si="280">+S169/0.0185*0.185</f>
        <v>0</v>
      </c>
      <c r="U169" s="437">
        <f t="shared" ref="U169" si="281">+T169/1500</f>
        <v>0</v>
      </c>
      <c r="V169" s="437">
        <f t="shared" ref="V169:V178" si="282">+S169/0.0185*0.000318</f>
        <v>0</v>
      </c>
      <c r="W169" s="300"/>
      <c r="X169" s="131">
        <f>+W169*2.4</f>
        <v>0</v>
      </c>
      <c r="Z169" s="162" t="str">
        <f>IFERROR((D169/'REKAPAN OKEY AYAM'!$AC19),"-")</f>
        <v>-</v>
      </c>
      <c r="AA169" s="162">
        <f>IFERROR((I169/'REKAPAN CHAMP AYAM'!$AC19),"-")</f>
        <v>0.89624804585721729</v>
      </c>
      <c r="AB169" s="162">
        <f>IFERROR((N169/'REKAPAN CHAMP SAPI'!AC19),"-")</f>
        <v>0.10869931931849784</v>
      </c>
      <c r="AC169" s="162" t="str">
        <f>IFERROR((S169/'REKAPAN CHAMP OTAK-OTAK'!AC19),"-")</f>
        <v>-</v>
      </c>
      <c r="AD169" s="162" t="str">
        <f>IFERROR((X169/'REKAPAN FIESTA'!AC19),"-")</f>
        <v>-</v>
      </c>
      <c r="AE169" s="163"/>
      <c r="AF169" s="162" t="str">
        <f t="shared" si="39"/>
        <v>-</v>
      </c>
      <c r="AG169" s="162" t="str">
        <f>IFERROR(((D169/0.0125*0.000318)/#REF!),"-")</f>
        <v>-</v>
      </c>
      <c r="AH169" s="162">
        <f t="shared" si="40"/>
        <v>1500</v>
      </c>
      <c r="AI169" s="162" t="str">
        <f>IFERROR(((I169/0.0185*0.000318)/#REF!),"-")</f>
        <v>-</v>
      </c>
      <c r="AJ169" s="162">
        <f t="shared" si="41"/>
        <v>1500</v>
      </c>
      <c r="AK169" s="162" t="str">
        <f>IFERROR(((N169/0.0185*0.000318)/#REF!),"-")</f>
        <v>-</v>
      </c>
      <c r="AL169" s="162" t="str">
        <f t="shared" si="42"/>
        <v>-</v>
      </c>
      <c r="AM169" s="162" t="str">
        <f>IFERROR(((S169/0.0185*0.000318)/#REF!),"-")</f>
        <v>-</v>
      </c>
      <c r="AN169" s="164"/>
      <c r="AO169" s="164"/>
      <c r="AP169" s="166"/>
      <c r="AQ169" s="161" t="str">
        <f>IFERROR(('REKAPAN OKEY AYAM'!$AD19),"-")</f>
        <v>-</v>
      </c>
      <c r="AR169" s="161">
        <f>IFERROR(('REKAPAN CHAMP AYAM'!$AD19),"-")</f>
        <v>0.86908901416457429</v>
      </c>
      <c r="AS169" s="161">
        <f>IFERROR(('REKAPAN CHAMP SAPI'!$AD19),"-")</f>
        <v>0.97435248633393978</v>
      </c>
      <c r="AT169" s="161" t="str">
        <f>IFERROR(('REKAPAN CHAMP OTAK-OTAK'!$AD19),"-")</f>
        <v>-</v>
      </c>
      <c r="AU169" s="161" t="str">
        <f>IFERROR(('REKAPAN FIESTA'!$AD19),"-")</f>
        <v>-</v>
      </c>
    </row>
    <row r="170" spans="1:47">
      <c r="A170" s="471">
        <f>+$A169</f>
        <v>46219</v>
      </c>
      <c r="B170" s="497" t="s">
        <v>271</v>
      </c>
      <c r="C170" s="426"/>
      <c r="D170" s="427">
        <f t="shared" si="254"/>
        <v>0</v>
      </c>
      <c r="E170" s="428">
        <f t="shared" ref="E170:E178" si="283">+D170/0.0125*0.125</f>
        <v>0</v>
      </c>
      <c r="F170" s="428">
        <f t="shared" ref="F170:F178" si="284">+E170/1500</f>
        <v>0</v>
      </c>
      <c r="G170" s="428">
        <f t="shared" si="274"/>
        <v>0</v>
      </c>
      <c r="H170" s="429"/>
      <c r="I170" s="430">
        <f t="shared" si="185"/>
        <v>0</v>
      </c>
      <c r="J170" s="431">
        <f t="shared" si="275"/>
        <v>0</v>
      </c>
      <c r="K170" s="431">
        <f t="shared" ref="K170:K178" si="285">+J170/1500</f>
        <v>0</v>
      </c>
      <c r="L170" s="431">
        <f t="shared" si="276"/>
        <v>0</v>
      </c>
      <c r="M170" s="432">
        <v>510</v>
      </c>
      <c r="N170" s="433">
        <f t="shared" si="236"/>
        <v>1670.76</v>
      </c>
      <c r="O170" s="434">
        <f t="shared" si="277"/>
        <v>16707.600000000002</v>
      </c>
      <c r="P170" s="434">
        <f t="shared" si="234"/>
        <v>11.138400000000001</v>
      </c>
      <c r="Q170" s="434">
        <f t="shared" si="279"/>
        <v>28.719009729729731</v>
      </c>
      <c r="R170" s="435"/>
      <c r="S170" s="436">
        <f t="shared" si="237"/>
        <v>0</v>
      </c>
      <c r="T170" s="437">
        <f t="shared" si="280"/>
        <v>0</v>
      </c>
      <c r="U170" s="437">
        <f t="shared" si="235"/>
        <v>0</v>
      </c>
      <c r="V170" s="437">
        <f t="shared" si="282"/>
        <v>0</v>
      </c>
      <c r="W170" s="300"/>
      <c r="X170" s="131"/>
      <c r="Z170" s="162"/>
      <c r="AA170" s="162"/>
      <c r="AB170" s="162"/>
      <c r="AC170" s="162"/>
      <c r="AD170" s="162"/>
      <c r="AE170" s="163"/>
      <c r="AF170" s="162"/>
      <c r="AG170" s="162"/>
      <c r="AH170" s="162"/>
      <c r="AI170" s="162"/>
      <c r="AJ170" s="162"/>
      <c r="AK170" s="162"/>
      <c r="AL170" s="162"/>
      <c r="AM170" s="162"/>
      <c r="AN170" s="164"/>
      <c r="AO170" s="164"/>
      <c r="AP170" s="166"/>
      <c r="AQ170" s="161"/>
      <c r="AR170" s="161"/>
      <c r="AS170" s="161"/>
      <c r="AT170" s="161"/>
      <c r="AU170" s="161"/>
    </row>
    <row r="171" spans="1:47">
      <c r="A171" s="471">
        <f t="shared" ref="A171:A178" si="286">+$A170</f>
        <v>46219</v>
      </c>
      <c r="B171" s="497" t="s">
        <v>272</v>
      </c>
      <c r="C171" s="426"/>
      <c r="D171" s="427">
        <f t="shared" si="254"/>
        <v>0</v>
      </c>
      <c r="E171" s="428">
        <f t="shared" si="283"/>
        <v>0</v>
      </c>
      <c r="F171" s="428">
        <f t="shared" si="284"/>
        <v>0</v>
      </c>
      <c r="G171" s="428">
        <f t="shared" si="274"/>
        <v>0</v>
      </c>
      <c r="H171" s="429"/>
      <c r="I171" s="430">
        <f t="shared" si="185"/>
        <v>0</v>
      </c>
      <c r="J171" s="431">
        <f t="shared" si="275"/>
        <v>0</v>
      </c>
      <c r="K171" s="431">
        <f t="shared" si="285"/>
        <v>0</v>
      </c>
      <c r="L171" s="431">
        <f t="shared" si="276"/>
        <v>0</v>
      </c>
      <c r="M171" s="432">
        <v>475</v>
      </c>
      <c r="N171" s="433">
        <f t="shared" si="236"/>
        <v>1556.1</v>
      </c>
      <c r="O171" s="434">
        <f t="shared" si="277"/>
        <v>15560.999999999998</v>
      </c>
      <c r="P171" s="434">
        <f t="shared" si="234"/>
        <v>10.373999999999999</v>
      </c>
      <c r="Q171" s="434">
        <f t="shared" si="279"/>
        <v>26.748097297297292</v>
      </c>
      <c r="R171" s="435"/>
      <c r="S171" s="436">
        <f t="shared" si="237"/>
        <v>0</v>
      </c>
      <c r="T171" s="437">
        <f t="shared" si="280"/>
        <v>0</v>
      </c>
      <c r="U171" s="437">
        <f t="shared" si="235"/>
        <v>0</v>
      </c>
      <c r="V171" s="437">
        <f t="shared" si="282"/>
        <v>0</v>
      </c>
      <c r="W171" s="300"/>
      <c r="X171" s="131"/>
      <c r="Z171" s="162"/>
      <c r="AA171" s="162"/>
      <c r="AB171" s="162"/>
      <c r="AC171" s="162"/>
      <c r="AD171" s="162"/>
      <c r="AE171" s="163"/>
      <c r="AF171" s="162"/>
      <c r="AG171" s="162"/>
      <c r="AH171" s="162"/>
      <c r="AI171" s="162"/>
      <c r="AJ171" s="162"/>
      <c r="AK171" s="162"/>
      <c r="AL171" s="162"/>
      <c r="AM171" s="162"/>
      <c r="AN171" s="164"/>
      <c r="AO171" s="164"/>
      <c r="AP171" s="166"/>
      <c r="AQ171" s="161"/>
      <c r="AR171" s="161"/>
      <c r="AS171" s="161"/>
      <c r="AT171" s="161"/>
      <c r="AU171" s="161"/>
    </row>
    <row r="172" spans="1:47">
      <c r="A172" s="471">
        <f t="shared" si="286"/>
        <v>46219</v>
      </c>
      <c r="B172" s="497" t="s">
        <v>273</v>
      </c>
      <c r="C172" s="426"/>
      <c r="D172" s="427">
        <f t="shared" si="254"/>
        <v>0</v>
      </c>
      <c r="E172" s="428">
        <f t="shared" si="283"/>
        <v>0</v>
      </c>
      <c r="F172" s="428">
        <f t="shared" si="284"/>
        <v>0</v>
      </c>
      <c r="G172" s="428">
        <f t="shared" si="274"/>
        <v>0</v>
      </c>
      <c r="H172" s="429"/>
      <c r="I172" s="430">
        <f t="shared" si="185"/>
        <v>0</v>
      </c>
      <c r="J172" s="431">
        <f t="shared" si="275"/>
        <v>0</v>
      </c>
      <c r="K172" s="431">
        <f t="shared" si="285"/>
        <v>0</v>
      </c>
      <c r="L172" s="431">
        <f t="shared" si="276"/>
        <v>0</v>
      </c>
      <c r="M172" s="432">
        <v>473</v>
      </c>
      <c r="N172" s="433">
        <f t="shared" si="236"/>
        <v>1549.548</v>
      </c>
      <c r="O172" s="434">
        <f t="shared" si="277"/>
        <v>15495.480000000001</v>
      </c>
      <c r="P172" s="434">
        <f t="shared" si="234"/>
        <v>10.33032</v>
      </c>
      <c r="Q172" s="434">
        <f t="shared" si="279"/>
        <v>26.635473729729732</v>
      </c>
      <c r="R172" s="435"/>
      <c r="S172" s="436">
        <f t="shared" si="237"/>
        <v>0</v>
      </c>
      <c r="T172" s="437">
        <f t="shared" si="280"/>
        <v>0</v>
      </c>
      <c r="U172" s="437">
        <f t="shared" si="235"/>
        <v>0</v>
      </c>
      <c r="V172" s="437">
        <f t="shared" si="282"/>
        <v>0</v>
      </c>
      <c r="W172" s="300"/>
      <c r="X172" s="131"/>
      <c r="Z172" s="162"/>
      <c r="AA172" s="162"/>
      <c r="AB172" s="162"/>
      <c r="AC172" s="162"/>
      <c r="AD172" s="162"/>
      <c r="AE172" s="163"/>
      <c r="AF172" s="162"/>
      <c r="AG172" s="162"/>
      <c r="AH172" s="162"/>
      <c r="AI172" s="162"/>
      <c r="AJ172" s="162"/>
      <c r="AK172" s="162"/>
      <c r="AL172" s="162"/>
      <c r="AM172" s="162"/>
      <c r="AN172" s="164"/>
      <c r="AO172" s="164"/>
      <c r="AP172" s="166"/>
      <c r="AQ172" s="161"/>
      <c r="AR172" s="161"/>
      <c r="AS172" s="161"/>
      <c r="AT172" s="161"/>
      <c r="AU172" s="161"/>
    </row>
    <row r="173" spans="1:47">
      <c r="A173" s="471">
        <f t="shared" si="286"/>
        <v>46219</v>
      </c>
      <c r="B173" s="497" t="s">
        <v>274</v>
      </c>
      <c r="C173" s="426"/>
      <c r="D173" s="427">
        <f t="shared" si="254"/>
        <v>0</v>
      </c>
      <c r="E173" s="428">
        <f t="shared" si="283"/>
        <v>0</v>
      </c>
      <c r="F173" s="428">
        <f t="shared" si="284"/>
        <v>0</v>
      </c>
      <c r="G173" s="428">
        <f t="shared" si="274"/>
        <v>0</v>
      </c>
      <c r="H173" s="429"/>
      <c r="I173" s="430">
        <f t="shared" si="185"/>
        <v>0</v>
      </c>
      <c r="J173" s="431">
        <f t="shared" si="275"/>
        <v>0</v>
      </c>
      <c r="K173" s="431">
        <f t="shared" si="285"/>
        <v>0</v>
      </c>
      <c r="L173" s="431">
        <f t="shared" si="276"/>
        <v>0</v>
      </c>
      <c r="M173" s="432">
        <v>584</v>
      </c>
      <c r="N173" s="433">
        <f t="shared" si="236"/>
        <v>1913.184</v>
      </c>
      <c r="O173" s="434">
        <f t="shared" si="277"/>
        <v>19131.84</v>
      </c>
      <c r="P173" s="434">
        <f t="shared" si="234"/>
        <v>12.75456</v>
      </c>
      <c r="Q173" s="434">
        <f t="shared" si="279"/>
        <v>32.886081729729732</v>
      </c>
      <c r="R173" s="435"/>
      <c r="S173" s="436">
        <f t="shared" si="237"/>
        <v>0</v>
      </c>
      <c r="T173" s="437">
        <f t="shared" si="280"/>
        <v>0</v>
      </c>
      <c r="U173" s="437">
        <f t="shared" si="235"/>
        <v>0</v>
      </c>
      <c r="V173" s="437">
        <f t="shared" si="282"/>
        <v>0</v>
      </c>
      <c r="W173" s="300"/>
      <c r="X173" s="131"/>
      <c r="Z173" s="162"/>
      <c r="AA173" s="162"/>
      <c r="AB173" s="162"/>
      <c r="AC173" s="162"/>
      <c r="AD173" s="162"/>
      <c r="AE173" s="163"/>
      <c r="AF173" s="162"/>
      <c r="AG173" s="162"/>
      <c r="AH173" s="162"/>
      <c r="AI173" s="162"/>
      <c r="AJ173" s="162"/>
      <c r="AK173" s="162"/>
      <c r="AL173" s="162"/>
      <c r="AM173" s="162"/>
      <c r="AN173" s="164"/>
      <c r="AO173" s="164"/>
      <c r="AP173" s="166"/>
      <c r="AQ173" s="161"/>
      <c r="AR173" s="161"/>
      <c r="AS173" s="161"/>
      <c r="AT173" s="161"/>
      <c r="AU173" s="161"/>
    </row>
    <row r="174" spans="1:47">
      <c r="A174" s="471">
        <f t="shared" si="286"/>
        <v>46219</v>
      </c>
      <c r="B174" s="497" t="s">
        <v>275</v>
      </c>
      <c r="C174" s="426"/>
      <c r="D174" s="427">
        <f t="shared" si="254"/>
        <v>0</v>
      </c>
      <c r="E174" s="428">
        <f t="shared" si="283"/>
        <v>0</v>
      </c>
      <c r="F174" s="428">
        <f t="shared" si="284"/>
        <v>0</v>
      </c>
      <c r="G174" s="428">
        <f t="shared" si="274"/>
        <v>0</v>
      </c>
      <c r="H174" s="429"/>
      <c r="I174" s="430">
        <f t="shared" si="185"/>
        <v>0</v>
      </c>
      <c r="J174" s="431">
        <f t="shared" si="275"/>
        <v>0</v>
      </c>
      <c r="K174" s="431">
        <f t="shared" si="285"/>
        <v>0</v>
      </c>
      <c r="L174" s="431">
        <f t="shared" si="276"/>
        <v>0</v>
      </c>
      <c r="M174" s="432">
        <v>612</v>
      </c>
      <c r="N174" s="433">
        <f t="shared" si="236"/>
        <v>2004.9119999999998</v>
      </c>
      <c r="O174" s="434">
        <f t="shared" si="277"/>
        <v>20049.12</v>
      </c>
      <c r="P174" s="434">
        <f t="shared" si="234"/>
        <v>13.36608</v>
      </c>
      <c r="Q174" s="434">
        <f t="shared" si="279"/>
        <v>34.462811675675667</v>
      </c>
      <c r="R174" s="435"/>
      <c r="S174" s="436">
        <f t="shared" si="237"/>
        <v>0</v>
      </c>
      <c r="T174" s="437">
        <f t="shared" si="280"/>
        <v>0</v>
      </c>
      <c r="U174" s="437">
        <f t="shared" si="235"/>
        <v>0</v>
      </c>
      <c r="V174" s="437">
        <f t="shared" si="282"/>
        <v>0</v>
      </c>
      <c r="W174" s="300"/>
      <c r="X174" s="131"/>
      <c r="Z174" s="162"/>
      <c r="AA174" s="162"/>
      <c r="AB174" s="162"/>
      <c r="AC174" s="162"/>
      <c r="AD174" s="162"/>
      <c r="AE174" s="163"/>
      <c r="AF174" s="162"/>
      <c r="AG174" s="162"/>
      <c r="AH174" s="162"/>
      <c r="AI174" s="162"/>
      <c r="AJ174" s="162"/>
      <c r="AK174" s="162"/>
      <c r="AL174" s="162"/>
      <c r="AM174" s="162"/>
      <c r="AN174" s="164"/>
      <c r="AO174" s="164"/>
      <c r="AP174" s="166"/>
      <c r="AQ174" s="161"/>
      <c r="AR174" s="161"/>
      <c r="AS174" s="161"/>
      <c r="AT174" s="161"/>
      <c r="AU174" s="161"/>
    </row>
    <row r="175" spans="1:47">
      <c r="A175" s="471">
        <f t="shared" si="286"/>
        <v>46219</v>
      </c>
      <c r="B175" s="497" t="s">
        <v>276</v>
      </c>
      <c r="C175" s="426"/>
      <c r="D175" s="427">
        <f t="shared" si="254"/>
        <v>0</v>
      </c>
      <c r="E175" s="428">
        <f t="shared" si="283"/>
        <v>0</v>
      </c>
      <c r="F175" s="428">
        <f t="shared" si="284"/>
        <v>0</v>
      </c>
      <c r="G175" s="428">
        <f t="shared" si="274"/>
        <v>0</v>
      </c>
      <c r="H175" s="429"/>
      <c r="I175" s="430">
        <f t="shared" si="185"/>
        <v>0</v>
      </c>
      <c r="J175" s="431">
        <f t="shared" si="275"/>
        <v>0</v>
      </c>
      <c r="K175" s="431">
        <f t="shared" si="285"/>
        <v>0</v>
      </c>
      <c r="L175" s="431">
        <f t="shared" si="276"/>
        <v>0</v>
      </c>
      <c r="M175" s="432">
        <v>586</v>
      </c>
      <c r="N175" s="433">
        <f t="shared" si="236"/>
        <v>1919.7359999999999</v>
      </c>
      <c r="O175" s="434">
        <f t="shared" si="277"/>
        <v>19197.359999999997</v>
      </c>
      <c r="P175" s="434">
        <f t="shared" si="234"/>
        <v>12.798239999999998</v>
      </c>
      <c r="Q175" s="434">
        <f t="shared" si="279"/>
        <v>32.998705297297292</v>
      </c>
      <c r="R175" s="435"/>
      <c r="S175" s="436">
        <f t="shared" si="237"/>
        <v>0</v>
      </c>
      <c r="T175" s="437">
        <f t="shared" si="280"/>
        <v>0</v>
      </c>
      <c r="U175" s="437">
        <f t="shared" si="235"/>
        <v>0</v>
      </c>
      <c r="V175" s="437">
        <f t="shared" si="282"/>
        <v>0</v>
      </c>
      <c r="W175" s="300"/>
      <c r="X175" s="131"/>
      <c r="Z175" s="162"/>
      <c r="AA175" s="162"/>
      <c r="AB175" s="162"/>
      <c r="AC175" s="162"/>
      <c r="AD175" s="162"/>
      <c r="AE175" s="163"/>
      <c r="AF175" s="162"/>
      <c r="AG175" s="162"/>
      <c r="AH175" s="162"/>
      <c r="AI175" s="162"/>
      <c r="AJ175" s="162"/>
      <c r="AK175" s="162"/>
      <c r="AL175" s="162"/>
      <c r="AM175" s="162"/>
      <c r="AN175" s="164"/>
      <c r="AO175" s="164"/>
      <c r="AP175" s="166"/>
      <c r="AQ175" s="161"/>
      <c r="AR175" s="161"/>
      <c r="AS175" s="161"/>
      <c r="AT175" s="161"/>
      <c r="AU175" s="161"/>
    </row>
    <row r="176" spans="1:47">
      <c r="A176" s="471">
        <f t="shared" si="286"/>
        <v>46219</v>
      </c>
      <c r="B176" s="497" t="s">
        <v>277</v>
      </c>
      <c r="C176" s="426"/>
      <c r="D176" s="427">
        <f t="shared" si="254"/>
        <v>0</v>
      </c>
      <c r="E176" s="428">
        <f t="shared" si="283"/>
        <v>0</v>
      </c>
      <c r="F176" s="428">
        <f t="shared" si="284"/>
        <v>0</v>
      </c>
      <c r="G176" s="428">
        <f t="shared" si="274"/>
        <v>0</v>
      </c>
      <c r="H176" s="429"/>
      <c r="I176" s="430">
        <f t="shared" ref="I176:I239" si="287">+H176*3.276</f>
        <v>0</v>
      </c>
      <c r="J176" s="431">
        <f t="shared" si="275"/>
        <v>0</v>
      </c>
      <c r="K176" s="431">
        <f t="shared" si="285"/>
        <v>0</v>
      </c>
      <c r="L176" s="431">
        <f t="shared" si="276"/>
        <v>0</v>
      </c>
      <c r="M176" s="432">
        <v>596</v>
      </c>
      <c r="N176" s="433">
        <f t="shared" si="236"/>
        <v>1952.4959999999999</v>
      </c>
      <c r="O176" s="434">
        <f t="shared" si="277"/>
        <v>19524.96</v>
      </c>
      <c r="P176" s="434">
        <f t="shared" si="234"/>
        <v>13.016639999999999</v>
      </c>
      <c r="Q176" s="434">
        <f t="shared" si="279"/>
        <v>33.561823135135128</v>
      </c>
      <c r="R176" s="435"/>
      <c r="S176" s="436">
        <f t="shared" si="237"/>
        <v>0</v>
      </c>
      <c r="T176" s="437">
        <f t="shared" si="280"/>
        <v>0</v>
      </c>
      <c r="U176" s="437">
        <f t="shared" si="235"/>
        <v>0</v>
      </c>
      <c r="V176" s="437">
        <f t="shared" si="282"/>
        <v>0</v>
      </c>
      <c r="W176" s="300"/>
      <c r="X176" s="131"/>
      <c r="Z176" s="162"/>
      <c r="AA176" s="162"/>
      <c r="AB176" s="162"/>
      <c r="AC176" s="162"/>
      <c r="AD176" s="162"/>
      <c r="AE176" s="163"/>
      <c r="AF176" s="162"/>
      <c r="AG176" s="162"/>
      <c r="AH176" s="162"/>
      <c r="AI176" s="162"/>
      <c r="AJ176" s="162"/>
      <c r="AK176" s="162"/>
      <c r="AL176" s="162"/>
      <c r="AM176" s="162"/>
      <c r="AN176" s="164"/>
      <c r="AO176" s="164"/>
      <c r="AP176" s="166"/>
      <c r="AQ176" s="161"/>
      <c r="AR176" s="161"/>
      <c r="AS176" s="161"/>
      <c r="AT176" s="161"/>
      <c r="AU176" s="161"/>
    </row>
    <row r="177" spans="1:47">
      <c r="A177" s="471">
        <f t="shared" si="286"/>
        <v>46219</v>
      </c>
      <c r="B177" s="497" t="s">
        <v>278</v>
      </c>
      <c r="C177" s="426"/>
      <c r="D177" s="427">
        <f t="shared" si="254"/>
        <v>0</v>
      </c>
      <c r="E177" s="428">
        <f t="shared" si="283"/>
        <v>0</v>
      </c>
      <c r="F177" s="428">
        <f t="shared" si="284"/>
        <v>0</v>
      </c>
      <c r="G177" s="428">
        <f t="shared" si="274"/>
        <v>0</v>
      </c>
      <c r="H177" s="429"/>
      <c r="I177" s="430">
        <f t="shared" si="287"/>
        <v>0</v>
      </c>
      <c r="J177" s="431">
        <f t="shared" si="275"/>
        <v>0</v>
      </c>
      <c r="K177" s="431">
        <f t="shared" si="285"/>
        <v>0</v>
      </c>
      <c r="L177" s="431">
        <f t="shared" si="276"/>
        <v>0</v>
      </c>
      <c r="M177" s="432">
        <v>588</v>
      </c>
      <c r="N177" s="433">
        <f t="shared" si="236"/>
        <v>1926.2879999999998</v>
      </c>
      <c r="O177" s="434">
        <f t="shared" si="277"/>
        <v>19262.879999999997</v>
      </c>
      <c r="P177" s="434">
        <f t="shared" si="234"/>
        <v>12.841919999999998</v>
      </c>
      <c r="Q177" s="434">
        <f t="shared" si="279"/>
        <v>33.111328864864859</v>
      </c>
      <c r="R177" s="435"/>
      <c r="S177" s="436">
        <f t="shared" si="237"/>
        <v>0</v>
      </c>
      <c r="T177" s="437">
        <f t="shared" si="280"/>
        <v>0</v>
      </c>
      <c r="U177" s="437">
        <f t="shared" si="235"/>
        <v>0</v>
      </c>
      <c r="V177" s="437">
        <f t="shared" si="282"/>
        <v>0</v>
      </c>
      <c r="W177" s="300"/>
      <c r="X177" s="131"/>
      <c r="Z177" s="162"/>
      <c r="AA177" s="162"/>
      <c r="AB177" s="162"/>
      <c r="AC177" s="162"/>
      <c r="AD177" s="162"/>
      <c r="AE177" s="163"/>
      <c r="AF177" s="162"/>
      <c r="AG177" s="162"/>
      <c r="AH177" s="162"/>
      <c r="AI177" s="162"/>
      <c r="AJ177" s="162"/>
      <c r="AK177" s="162"/>
      <c r="AL177" s="162"/>
      <c r="AM177" s="162"/>
      <c r="AN177" s="164"/>
      <c r="AO177" s="164"/>
      <c r="AP177" s="166"/>
      <c r="AQ177" s="161"/>
      <c r="AR177" s="161"/>
      <c r="AS177" s="161"/>
      <c r="AT177" s="161"/>
      <c r="AU177" s="161"/>
    </row>
    <row r="178" spans="1:47">
      <c r="A178" s="471">
        <f t="shared" si="286"/>
        <v>46219</v>
      </c>
      <c r="B178" s="497"/>
      <c r="C178" s="426"/>
      <c r="D178" s="427">
        <f t="shared" si="254"/>
        <v>0</v>
      </c>
      <c r="E178" s="428">
        <f t="shared" si="283"/>
        <v>0</v>
      </c>
      <c r="F178" s="428">
        <f t="shared" si="284"/>
        <v>0</v>
      </c>
      <c r="G178" s="428">
        <f t="shared" si="274"/>
        <v>0</v>
      </c>
      <c r="H178" s="429"/>
      <c r="I178" s="430">
        <f t="shared" si="287"/>
        <v>0</v>
      </c>
      <c r="J178" s="431">
        <f t="shared" si="275"/>
        <v>0</v>
      </c>
      <c r="K178" s="431">
        <f t="shared" si="285"/>
        <v>0</v>
      </c>
      <c r="L178" s="431">
        <f t="shared" si="276"/>
        <v>0</v>
      </c>
      <c r="M178" s="432"/>
      <c r="N178" s="433">
        <f t="shared" si="236"/>
        <v>0</v>
      </c>
      <c r="O178" s="434">
        <f t="shared" si="277"/>
        <v>0</v>
      </c>
      <c r="P178" s="434">
        <f t="shared" si="234"/>
        <v>0</v>
      </c>
      <c r="Q178" s="434">
        <f t="shared" si="279"/>
        <v>0</v>
      </c>
      <c r="R178" s="435"/>
      <c r="S178" s="436">
        <f t="shared" si="237"/>
        <v>0</v>
      </c>
      <c r="T178" s="437">
        <f t="shared" si="280"/>
        <v>0</v>
      </c>
      <c r="U178" s="437">
        <f t="shared" si="235"/>
        <v>0</v>
      </c>
      <c r="V178" s="437">
        <f t="shared" si="282"/>
        <v>0</v>
      </c>
      <c r="W178" s="300"/>
      <c r="X178" s="131"/>
      <c r="Z178" s="162"/>
      <c r="AA178" s="162"/>
      <c r="AB178" s="162"/>
      <c r="AC178" s="162"/>
      <c r="AD178" s="162"/>
      <c r="AE178" s="163"/>
      <c r="AF178" s="162"/>
      <c r="AG178" s="162"/>
      <c r="AH178" s="162"/>
      <c r="AI178" s="162"/>
      <c r="AJ178" s="162"/>
      <c r="AK178" s="162"/>
      <c r="AL178" s="162"/>
      <c r="AM178" s="162"/>
      <c r="AN178" s="164"/>
      <c r="AO178" s="164"/>
      <c r="AP178" s="166"/>
      <c r="AQ178" s="161"/>
      <c r="AR178" s="161"/>
      <c r="AS178" s="161"/>
      <c r="AT178" s="161"/>
      <c r="AU178" s="161"/>
    </row>
    <row r="179" spans="1:47" ht="14.25">
      <c r="A179" s="471"/>
      <c r="B179" s="498" t="s">
        <v>118</v>
      </c>
      <c r="C179" s="438">
        <f>SUM(C169:C178)</f>
        <v>0</v>
      </c>
      <c r="D179" s="439">
        <f t="shared" si="254"/>
        <v>0</v>
      </c>
      <c r="E179" s="438">
        <f>SUM(E169:E178)</f>
        <v>0</v>
      </c>
      <c r="F179" s="463">
        <f>SUM(F169:F178)</f>
        <v>0</v>
      </c>
      <c r="G179" s="463">
        <f>SUM(G169:G178)</f>
        <v>0</v>
      </c>
      <c r="H179" s="440">
        <f>SUM(H169:H178)</f>
        <v>462</v>
      </c>
      <c r="I179" s="441">
        <f t="shared" si="287"/>
        <v>1513.5119999999999</v>
      </c>
      <c r="J179" s="440">
        <f>SUM(J169:J178)</f>
        <v>15135.12</v>
      </c>
      <c r="K179" s="466">
        <f>SUM(K169:K178)</f>
        <v>10.09008</v>
      </c>
      <c r="L179" s="466">
        <f>SUM(L169:L178)</f>
        <v>26.016044108108108</v>
      </c>
      <c r="M179" s="442">
        <f t="shared" ref="M179" si="288">SUM(M169:M178)</f>
        <v>4948</v>
      </c>
      <c r="N179" s="443">
        <f t="shared" si="236"/>
        <v>16209.647999999999</v>
      </c>
      <c r="O179" s="442">
        <f t="shared" ref="O179:R179" si="289">SUM(O169:O178)</f>
        <v>162096.48000000001</v>
      </c>
      <c r="P179" s="468">
        <f t="shared" si="289"/>
        <v>108.06431999999998</v>
      </c>
      <c r="Q179" s="468">
        <f t="shared" si="289"/>
        <v>278.63070616216214</v>
      </c>
      <c r="R179" s="444">
        <f t="shared" si="289"/>
        <v>0</v>
      </c>
      <c r="S179" s="445">
        <f t="shared" si="237"/>
        <v>0</v>
      </c>
      <c r="T179" s="444">
        <f t="shared" ref="T179:V179" si="290">SUM(T169:T178)</f>
        <v>0</v>
      </c>
      <c r="U179" s="470">
        <f t="shared" si="290"/>
        <v>0</v>
      </c>
      <c r="V179" s="470">
        <f t="shared" si="290"/>
        <v>0</v>
      </c>
      <c r="W179" s="300"/>
      <c r="X179" s="131"/>
      <c r="Z179" s="162"/>
      <c r="AA179" s="162"/>
      <c r="AB179" s="162"/>
      <c r="AC179" s="162"/>
      <c r="AD179" s="162"/>
      <c r="AE179" s="163"/>
      <c r="AF179" s="162"/>
      <c r="AG179" s="162"/>
      <c r="AH179" s="162"/>
      <c r="AI179" s="162"/>
      <c r="AJ179" s="162"/>
      <c r="AK179" s="162"/>
      <c r="AL179" s="162"/>
      <c r="AM179" s="162"/>
      <c r="AN179" s="164"/>
      <c r="AO179" s="164"/>
      <c r="AP179" s="166"/>
      <c r="AQ179" s="161"/>
      <c r="AR179" s="161"/>
      <c r="AS179" s="161"/>
      <c r="AT179" s="161"/>
      <c r="AU179" s="161"/>
    </row>
    <row r="180" spans="1:47">
      <c r="A180" s="472">
        <f>+A169+1</f>
        <v>46220</v>
      </c>
      <c r="B180" s="497" t="s">
        <v>279</v>
      </c>
      <c r="C180" s="426">
        <v>420</v>
      </c>
      <c r="D180" s="427">
        <f t="shared" si="254"/>
        <v>1627.5</v>
      </c>
      <c r="E180" s="428">
        <f t="shared" ref="E180:E222" si="291">+D180/0.0125*0.125</f>
        <v>16275</v>
      </c>
      <c r="F180" s="428">
        <f t="shared" ref="F180:F222" si="292">+E180/1500</f>
        <v>10.85</v>
      </c>
      <c r="G180" s="428">
        <f t="shared" ref="G180:G189" si="293">+D180/0.0125*0.000318</f>
        <v>41.403599999999997</v>
      </c>
      <c r="H180" s="429">
        <v>571</v>
      </c>
      <c r="I180" s="430">
        <f t="shared" si="287"/>
        <v>1870.5959999999998</v>
      </c>
      <c r="J180" s="431">
        <f t="shared" ref="J180:J189" si="294">+I180/0.0185*0.185</f>
        <v>18705.96</v>
      </c>
      <c r="K180" s="431">
        <f t="shared" ref="K180:K222" si="295">+J180/1500</f>
        <v>12.47064</v>
      </c>
      <c r="L180" s="431">
        <f t="shared" ref="L180:L189" si="296">+I180/0.0185*0.000318</f>
        <v>32.154028540540537</v>
      </c>
      <c r="M180" s="432"/>
      <c r="N180" s="433">
        <f t="shared" si="236"/>
        <v>0</v>
      </c>
      <c r="O180" s="434">
        <f t="shared" ref="O180:O189" si="297">+N180/0.0185*0.185</f>
        <v>0</v>
      </c>
      <c r="P180" s="434">
        <f t="shared" ref="P180" si="298">+O180/1500</f>
        <v>0</v>
      </c>
      <c r="Q180" s="434">
        <f t="shared" ref="Q180:Q189" si="299">+N180/0.0185*0.000318</f>
        <v>0</v>
      </c>
      <c r="R180" s="435"/>
      <c r="S180" s="436">
        <f t="shared" si="237"/>
        <v>0</v>
      </c>
      <c r="T180" s="437">
        <f t="shared" ref="T180:T189" si="300">+S180/0.0185*0.185</f>
        <v>0</v>
      </c>
      <c r="U180" s="437">
        <f t="shared" ref="U180" si="301">+T180/1500</f>
        <v>0</v>
      </c>
      <c r="V180" s="437">
        <f t="shared" ref="V180:V189" si="302">+S180/0.0185*0.000318</f>
        <v>0</v>
      </c>
      <c r="W180" s="300"/>
      <c r="X180" s="131">
        <f>+W180*2.4</f>
        <v>0</v>
      </c>
      <c r="Z180" s="162">
        <f>IFERROR((D180/'REKAPAN OKEY AYAM'!$AC20),"-")</f>
        <v>0.20618491397876706</v>
      </c>
      <c r="AA180" s="162">
        <f>IFERROR((I180/'REKAPAN CHAMP AYAM'!$AC20),"-")</f>
        <v>0.55385025344639716</v>
      </c>
      <c r="AB180" s="162" t="str">
        <f>IFERROR((N180/'REKAPAN CHAMP SAPI'!AC20),"-")</f>
        <v>-</v>
      </c>
      <c r="AC180" s="162" t="str">
        <f>IFERROR((S180/'REKAPAN CHAMP OTAK-OTAK'!AC20),"-")</f>
        <v>-</v>
      </c>
      <c r="AD180" s="162" t="str">
        <f>IFERROR((X180/'REKAPAN FIESTA'!AC20),"-")</f>
        <v>-</v>
      </c>
      <c r="AE180" s="163"/>
      <c r="AF180" s="162">
        <f t="shared" si="39"/>
        <v>1500</v>
      </c>
      <c r="AG180" s="162" t="str">
        <f>IFERROR(((D180/0.0125*0.000318)/#REF!),"-")</f>
        <v>-</v>
      </c>
      <c r="AH180" s="162">
        <f t="shared" si="40"/>
        <v>1500</v>
      </c>
      <c r="AI180" s="162" t="str">
        <f>IFERROR(((I180/0.0185*0.000318)/#REF!),"-")</f>
        <v>-</v>
      </c>
      <c r="AJ180" s="162" t="str">
        <f t="shared" si="41"/>
        <v>-</v>
      </c>
      <c r="AK180" s="162" t="str">
        <f>IFERROR(((N180/0.0185*0.000318)/#REF!),"-")</f>
        <v>-</v>
      </c>
      <c r="AL180" s="162" t="str">
        <f t="shared" si="42"/>
        <v>-</v>
      </c>
      <c r="AM180" s="162" t="str">
        <f>IFERROR(((S180/0.0185*0.000318)/#REF!),"-")</f>
        <v>-</v>
      </c>
      <c r="AN180" s="164"/>
      <c r="AO180" s="164"/>
      <c r="AP180" s="166"/>
      <c r="AQ180" s="161">
        <f>IFERROR(('REKAPAN OKEY AYAM'!$AD20),"-")</f>
        <v>1.0436883979020446</v>
      </c>
      <c r="AR180" s="161">
        <f>IFERROR(('REKAPAN CHAMP AYAM'!$AD20),"-")</f>
        <v>0.98451489885830668</v>
      </c>
      <c r="AS180" s="161" t="str">
        <f>IFERROR(('REKAPAN CHAMP SAPI'!$AD20),"-")</f>
        <v>-</v>
      </c>
      <c r="AT180" s="161" t="str">
        <f>IFERROR(('REKAPAN CHAMP OTAK-OTAK'!$AD20),"-")</f>
        <v>-</v>
      </c>
      <c r="AU180" s="161" t="str">
        <f>IFERROR(('REKAPAN FIESTA'!$AD20),"-")</f>
        <v>-</v>
      </c>
    </row>
    <row r="181" spans="1:47">
      <c r="A181" s="471">
        <f>+$A180</f>
        <v>46220</v>
      </c>
      <c r="B181" s="497" t="s">
        <v>280</v>
      </c>
      <c r="C181" s="426">
        <v>462</v>
      </c>
      <c r="D181" s="427">
        <f t="shared" si="254"/>
        <v>1790.25</v>
      </c>
      <c r="E181" s="428">
        <f t="shared" si="291"/>
        <v>17902.5</v>
      </c>
      <c r="F181" s="428">
        <f t="shared" si="292"/>
        <v>11.935</v>
      </c>
      <c r="G181" s="428">
        <f t="shared" si="293"/>
        <v>45.543959999999998</v>
      </c>
      <c r="H181" s="429">
        <v>466</v>
      </c>
      <c r="I181" s="430">
        <f t="shared" si="287"/>
        <v>1526.616</v>
      </c>
      <c r="J181" s="431">
        <f t="shared" si="294"/>
        <v>15266.16</v>
      </c>
      <c r="K181" s="431">
        <f t="shared" si="295"/>
        <v>10.177440000000001</v>
      </c>
      <c r="L181" s="431">
        <f t="shared" si="296"/>
        <v>26.241291243243243</v>
      </c>
      <c r="M181" s="432"/>
      <c r="N181" s="433">
        <f t="shared" si="236"/>
        <v>0</v>
      </c>
      <c r="O181" s="434">
        <f t="shared" si="297"/>
        <v>0</v>
      </c>
      <c r="P181" s="434">
        <f t="shared" si="234"/>
        <v>0</v>
      </c>
      <c r="Q181" s="434">
        <f t="shared" si="299"/>
        <v>0</v>
      </c>
      <c r="R181" s="435"/>
      <c r="S181" s="436">
        <f t="shared" si="237"/>
        <v>0</v>
      </c>
      <c r="T181" s="437">
        <f t="shared" si="300"/>
        <v>0</v>
      </c>
      <c r="U181" s="437">
        <f t="shared" si="235"/>
        <v>0</v>
      </c>
      <c r="V181" s="437">
        <f t="shared" si="302"/>
        <v>0</v>
      </c>
      <c r="W181" s="300"/>
      <c r="X181" s="131"/>
      <c r="Z181" s="162"/>
      <c r="AA181" s="162"/>
      <c r="AB181" s="162"/>
      <c r="AC181" s="162"/>
      <c r="AD181" s="162"/>
      <c r="AE181" s="163"/>
      <c r="AF181" s="162"/>
      <c r="AG181" s="162"/>
      <c r="AH181" s="162"/>
      <c r="AI181" s="162"/>
      <c r="AJ181" s="162"/>
      <c r="AK181" s="162"/>
      <c r="AL181" s="162"/>
      <c r="AM181" s="162"/>
      <c r="AN181" s="164"/>
      <c r="AO181" s="164"/>
      <c r="AP181" s="166"/>
      <c r="AQ181" s="161"/>
      <c r="AR181" s="161"/>
      <c r="AS181" s="161"/>
      <c r="AT181" s="161"/>
      <c r="AU181" s="161"/>
    </row>
    <row r="182" spans="1:47">
      <c r="A182" s="471">
        <f t="shared" ref="A182:A189" si="303">+$A181</f>
        <v>46220</v>
      </c>
      <c r="B182" s="497" t="s">
        <v>281</v>
      </c>
      <c r="C182" s="426">
        <v>484</v>
      </c>
      <c r="D182" s="427">
        <f t="shared" si="254"/>
        <v>1875.5</v>
      </c>
      <c r="E182" s="428">
        <f t="shared" si="291"/>
        <v>18755</v>
      </c>
      <c r="F182" s="428">
        <f t="shared" si="292"/>
        <v>12.503333333333334</v>
      </c>
      <c r="G182" s="428">
        <f t="shared" si="293"/>
        <v>47.712719999999997</v>
      </c>
      <c r="H182" s="429"/>
      <c r="I182" s="430">
        <f t="shared" si="287"/>
        <v>0</v>
      </c>
      <c r="J182" s="431">
        <f t="shared" si="294"/>
        <v>0</v>
      </c>
      <c r="K182" s="431">
        <f t="shared" si="295"/>
        <v>0</v>
      </c>
      <c r="L182" s="431">
        <f t="shared" si="296"/>
        <v>0</v>
      </c>
      <c r="M182" s="432"/>
      <c r="N182" s="433">
        <f t="shared" si="236"/>
        <v>0</v>
      </c>
      <c r="O182" s="434">
        <f t="shared" si="297"/>
        <v>0</v>
      </c>
      <c r="P182" s="434">
        <f t="shared" si="234"/>
        <v>0</v>
      </c>
      <c r="Q182" s="434">
        <f t="shared" si="299"/>
        <v>0</v>
      </c>
      <c r="R182" s="435"/>
      <c r="S182" s="436">
        <f t="shared" si="237"/>
        <v>0</v>
      </c>
      <c r="T182" s="437">
        <f t="shared" si="300"/>
        <v>0</v>
      </c>
      <c r="U182" s="437">
        <f t="shared" si="235"/>
        <v>0</v>
      </c>
      <c r="V182" s="437">
        <f t="shared" si="302"/>
        <v>0</v>
      </c>
      <c r="W182" s="300"/>
      <c r="X182" s="131"/>
      <c r="Z182" s="162"/>
      <c r="AA182" s="162"/>
      <c r="AB182" s="162"/>
      <c r="AC182" s="162"/>
      <c r="AD182" s="162"/>
      <c r="AE182" s="163"/>
      <c r="AF182" s="162"/>
      <c r="AG182" s="162"/>
      <c r="AH182" s="162"/>
      <c r="AI182" s="162"/>
      <c r="AJ182" s="162"/>
      <c r="AK182" s="162"/>
      <c r="AL182" s="162"/>
      <c r="AM182" s="162"/>
      <c r="AN182" s="164"/>
      <c r="AO182" s="164"/>
      <c r="AP182" s="166"/>
      <c r="AQ182" s="161"/>
      <c r="AR182" s="161"/>
      <c r="AS182" s="161"/>
      <c r="AT182" s="161"/>
      <c r="AU182" s="161"/>
    </row>
    <row r="183" spans="1:47">
      <c r="A183" s="471">
        <f t="shared" si="303"/>
        <v>46220</v>
      </c>
      <c r="B183" s="497" t="s">
        <v>282</v>
      </c>
      <c r="C183" s="426">
        <v>487</v>
      </c>
      <c r="D183" s="427">
        <f t="shared" si="254"/>
        <v>1887.125</v>
      </c>
      <c r="E183" s="428">
        <f t="shared" si="291"/>
        <v>18871.25</v>
      </c>
      <c r="F183" s="428">
        <f t="shared" si="292"/>
        <v>12.580833333333333</v>
      </c>
      <c r="G183" s="428">
        <f t="shared" si="293"/>
        <v>48.008459999999999</v>
      </c>
      <c r="H183" s="429"/>
      <c r="I183" s="430">
        <f t="shared" si="287"/>
        <v>0</v>
      </c>
      <c r="J183" s="431">
        <f t="shared" si="294"/>
        <v>0</v>
      </c>
      <c r="K183" s="431">
        <f t="shared" si="295"/>
        <v>0</v>
      </c>
      <c r="L183" s="431">
        <f t="shared" si="296"/>
        <v>0</v>
      </c>
      <c r="M183" s="432"/>
      <c r="N183" s="433">
        <f t="shared" si="236"/>
        <v>0</v>
      </c>
      <c r="O183" s="434">
        <f t="shared" si="297"/>
        <v>0</v>
      </c>
      <c r="P183" s="434">
        <f t="shared" si="234"/>
        <v>0</v>
      </c>
      <c r="Q183" s="434">
        <f t="shared" si="299"/>
        <v>0</v>
      </c>
      <c r="R183" s="435"/>
      <c r="S183" s="436">
        <f t="shared" si="237"/>
        <v>0</v>
      </c>
      <c r="T183" s="437">
        <f t="shared" si="300"/>
        <v>0</v>
      </c>
      <c r="U183" s="437">
        <f t="shared" si="235"/>
        <v>0</v>
      </c>
      <c r="V183" s="437">
        <f t="shared" si="302"/>
        <v>0</v>
      </c>
      <c r="W183" s="300"/>
      <c r="X183" s="131"/>
      <c r="Z183" s="162"/>
      <c r="AA183" s="162"/>
      <c r="AB183" s="162"/>
      <c r="AC183" s="162"/>
      <c r="AD183" s="162"/>
      <c r="AE183" s="163"/>
      <c r="AF183" s="162"/>
      <c r="AG183" s="162"/>
      <c r="AH183" s="162"/>
      <c r="AI183" s="162"/>
      <c r="AJ183" s="162"/>
      <c r="AK183" s="162"/>
      <c r="AL183" s="162"/>
      <c r="AM183" s="162"/>
      <c r="AN183" s="164"/>
      <c r="AO183" s="164"/>
      <c r="AP183" s="166"/>
      <c r="AQ183" s="161"/>
      <c r="AR183" s="161"/>
      <c r="AS183" s="161"/>
      <c r="AT183" s="161"/>
      <c r="AU183" s="161"/>
    </row>
    <row r="184" spans="1:47">
      <c r="A184" s="471">
        <f t="shared" si="303"/>
        <v>46220</v>
      </c>
      <c r="B184" s="497" t="s">
        <v>283</v>
      </c>
      <c r="C184" s="426">
        <v>369</v>
      </c>
      <c r="D184" s="427">
        <f t="shared" si="254"/>
        <v>1429.875</v>
      </c>
      <c r="E184" s="428">
        <f t="shared" si="291"/>
        <v>14298.75</v>
      </c>
      <c r="F184" s="428">
        <f t="shared" si="292"/>
        <v>9.5325000000000006</v>
      </c>
      <c r="G184" s="428">
        <f t="shared" si="293"/>
        <v>36.376019999999997</v>
      </c>
      <c r="H184" s="429"/>
      <c r="I184" s="430">
        <f t="shared" si="287"/>
        <v>0</v>
      </c>
      <c r="J184" s="431">
        <f t="shared" si="294"/>
        <v>0</v>
      </c>
      <c r="K184" s="431">
        <f t="shared" si="295"/>
        <v>0</v>
      </c>
      <c r="L184" s="431">
        <f t="shared" si="296"/>
        <v>0</v>
      </c>
      <c r="M184" s="432"/>
      <c r="N184" s="433">
        <f t="shared" si="236"/>
        <v>0</v>
      </c>
      <c r="O184" s="434">
        <f t="shared" si="297"/>
        <v>0</v>
      </c>
      <c r="P184" s="434">
        <f t="shared" si="234"/>
        <v>0</v>
      </c>
      <c r="Q184" s="434">
        <f t="shared" si="299"/>
        <v>0</v>
      </c>
      <c r="R184" s="435"/>
      <c r="S184" s="436">
        <f t="shared" si="237"/>
        <v>0</v>
      </c>
      <c r="T184" s="437">
        <f t="shared" si="300"/>
        <v>0</v>
      </c>
      <c r="U184" s="437">
        <f t="shared" si="235"/>
        <v>0</v>
      </c>
      <c r="V184" s="437">
        <f t="shared" si="302"/>
        <v>0</v>
      </c>
      <c r="W184" s="300"/>
      <c r="X184" s="131"/>
      <c r="Z184" s="162"/>
      <c r="AA184" s="162"/>
      <c r="AB184" s="162"/>
      <c r="AC184" s="162"/>
      <c r="AD184" s="162"/>
      <c r="AE184" s="163"/>
      <c r="AF184" s="162"/>
      <c r="AG184" s="162"/>
      <c r="AH184" s="162"/>
      <c r="AI184" s="162"/>
      <c r="AJ184" s="162"/>
      <c r="AK184" s="162"/>
      <c r="AL184" s="162"/>
      <c r="AM184" s="162"/>
      <c r="AN184" s="164"/>
      <c r="AO184" s="164"/>
      <c r="AP184" s="166"/>
      <c r="AQ184" s="161"/>
      <c r="AR184" s="161"/>
      <c r="AS184" s="161"/>
      <c r="AT184" s="161"/>
      <c r="AU184" s="161"/>
    </row>
    <row r="185" spans="1:47">
      <c r="A185" s="471">
        <f t="shared" si="303"/>
        <v>46220</v>
      </c>
      <c r="B185" s="497"/>
      <c r="C185" s="426"/>
      <c r="D185" s="427">
        <f t="shared" si="254"/>
        <v>0</v>
      </c>
      <c r="E185" s="428">
        <f t="shared" si="291"/>
        <v>0</v>
      </c>
      <c r="F185" s="428">
        <f t="shared" si="292"/>
        <v>0</v>
      </c>
      <c r="G185" s="428">
        <f t="shared" si="293"/>
        <v>0</v>
      </c>
      <c r="H185" s="429"/>
      <c r="I185" s="430">
        <f t="shared" si="287"/>
        <v>0</v>
      </c>
      <c r="J185" s="431">
        <f t="shared" si="294"/>
        <v>0</v>
      </c>
      <c r="K185" s="431">
        <f t="shared" si="295"/>
        <v>0</v>
      </c>
      <c r="L185" s="431">
        <f t="shared" si="296"/>
        <v>0</v>
      </c>
      <c r="M185" s="432"/>
      <c r="N185" s="433">
        <f t="shared" si="236"/>
        <v>0</v>
      </c>
      <c r="O185" s="434">
        <f t="shared" si="297"/>
        <v>0</v>
      </c>
      <c r="P185" s="434">
        <f t="shared" si="234"/>
        <v>0</v>
      </c>
      <c r="Q185" s="434">
        <f t="shared" si="299"/>
        <v>0</v>
      </c>
      <c r="R185" s="435"/>
      <c r="S185" s="436">
        <f t="shared" si="237"/>
        <v>0</v>
      </c>
      <c r="T185" s="437">
        <f t="shared" si="300"/>
        <v>0</v>
      </c>
      <c r="U185" s="437">
        <f t="shared" si="235"/>
        <v>0</v>
      </c>
      <c r="V185" s="437">
        <f t="shared" si="302"/>
        <v>0</v>
      </c>
      <c r="W185" s="300"/>
      <c r="X185" s="131"/>
      <c r="Z185" s="162"/>
      <c r="AA185" s="162"/>
      <c r="AB185" s="162"/>
      <c r="AC185" s="162"/>
      <c r="AD185" s="162"/>
      <c r="AE185" s="163"/>
      <c r="AF185" s="162"/>
      <c r="AG185" s="162"/>
      <c r="AH185" s="162"/>
      <c r="AI185" s="162"/>
      <c r="AJ185" s="162"/>
      <c r="AK185" s="162"/>
      <c r="AL185" s="162"/>
      <c r="AM185" s="162"/>
      <c r="AN185" s="164"/>
      <c r="AO185" s="164"/>
      <c r="AP185" s="166"/>
      <c r="AQ185" s="161"/>
      <c r="AR185" s="161"/>
      <c r="AS185" s="161"/>
      <c r="AT185" s="161"/>
      <c r="AU185" s="161"/>
    </row>
    <row r="186" spans="1:47">
      <c r="A186" s="471">
        <f t="shared" si="303"/>
        <v>46220</v>
      </c>
      <c r="B186" s="497"/>
      <c r="C186" s="426"/>
      <c r="D186" s="427">
        <f t="shared" si="254"/>
        <v>0</v>
      </c>
      <c r="E186" s="428">
        <f t="shared" si="291"/>
        <v>0</v>
      </c>
      <c r="F186" s="428">
        <f t="shared" si="292"/>
        <v>0</v>
      </c>
      <c r="G186" s="428">
        <f t="shared" si="293"/>
        <v>0</v>
      </c>
      <c r="H186" s="429"/>
      <c r="I186" s="430">
        <f t="shared" si="287"/>
        <v>0</v>
      </c>
      <c r="J186" s="431">
        <f t="shared" si="294"/>
        <v>0</v>
      </c>
      <c r="K186" s="431">
        <f t="shared" si="295"/>
        <v>0</v>
      </c>
      <c r="L186" s="431">
        <f t="shared" si="296"/>
        <v>0</v>
      </c>
      <c r="M186" s="432"/>
      <c r="N186" s="433">
        <f t="shared" si="236"/>
        <v>0</v>
      </c>
      <c r="O186" s="434">
        <f t="shared" si="297"/>
        <v>0</v>
      </c>
      <c r="P186" s="434">
        <f t="shared" si="234"/>
        <v>0</v>
      </c>
      <c r="Q186" s="434">
        <f t="shared" si="299"/>
        <v>0</v>
      </c>
      <c r="R186" s="435"/>
      <c r="S186" s="436">
        <f t="shared" si="237"/>
        <v>0</v>
      </c>
      <c r="T186" s="437">
        <f t="shared" si="300"/>
        <v>0</v>
      </c>
      <c r="U186" s="437">
        <f t="shared" si="235"/>
        <v>0</v>
      </c>
      <c r="V186" s="437">
        <f t="shared" si="302"/>
        <v>0</v>
      </c>
      <c r="W186" s="300"/>
      <c r="X186" s="131"/>
      <c r="Z186" s="162"/>
      <c r="AA186" s="162"/>
      <c r="AB186" s="162"/>
      <c r="AC186" s="162"/>
      <c r="AD186" s="162"/>
      <c r="AE186" s="163"/>
      <c r="AF186" s="162"/>
      <c r="AG186" s="162"/>
      <c r="AH186" s="162"/>
      <c r="AI186" s="162"/>
      <c r="AJ186" s="162"/>
      <c r="AK186" s="162"/>
      <c r="AL186" s="162"/>
      <c r="AM186" s="162"/>
      <c r="AN186" s="164"/>
      <c r="AO186" s="164"/>
      <c r="AP186" s="166"/>
      <c r="AQ186" s="161"/>
      <c r="AR186" s="161"/>
      <c r="AS186" s="161"/>
      <c r="AT186" s="161"/>
      <c r="AU186" s="161"/>
    </row>
    <row r="187" spans="1:47">
      <c r="A187" s="471">
        <f t="shared" si="303"/>
        <v>46220</v>
      </c>
      <c r="B187" s="497"/>
      <c r="C187" s="426"/>
      <c r="D187" s="427">
        <f t="shared" si="254"/>
        <v>0</v>
      </c>
      <c r="E187" s="428">
        <f t="shared" si="291"/>
        <v>0</v>
      </c>
      <c r="F187" s="428">
        <f t="shared" si="292"/>
        <v>0</v>
      </c>
      <c r="G187" s="428">
        <f t="shared" si="293"/>
        <v>0</v>
      </c>
      <c r="H187" s="429"/>
      <c r="I187" s="430">
        <f t="shared" si="287"/>
        <v>0</v>
      </c>
      <c r="J187" s="431">
        <f t="shared" si="294"/>
        <v>0</v>
      </c>
      <c r="K187" s="431">
        <f t="shared" si="295"/>
        <v>0</v>
      </c>
      <c r="L187" s="431">
        <f t="shared" si="296"/>
        <v>0</v>
      </c>
      <c r="M187" s="432"/>
      <c r="N187" s="433">
        <f t="shared" si="236"/>
        <v>0</v>
      </c>
      <c r="O187" s="434">
        <f t="shared" si="297"/>
        <v>0</v>
      </c>
      <c r="P187" s="434">
        <f t="shared" si="234"/>
        <v>0</v>
      </c>
      <c r="Q187" s="434">
        <f t="shared" si="299"/>
        <v>0</v>
      </c>
      <c r="R187" s="435"/>
      <c r="S187" s="436">
        <f t="shared" si="237"/>
        <v>0</v>
      </c>
      <c r="T187" s="437">
        <f t="shared" si="300"/>
        <v>0</v>
      </c>
      <c r="U187" s="437">
        <f t="shared" si="235"/>
        <v>0</v>
      </c>
      <c r="V187" s="437">
        <f t="shared" si="302"/>
        <v>0</v>
      </c>
      <c r="W187" s="300"/>
      <c r="X187" s="131"/>
      <c r="Z187" s="162"/>
      <c r="AA187" s="162"/>
      <c r="AB187" s="162"/>
      <c r="AC187" s="162"/>
      <c r="AD187" s="162"/>
      <c r="AE187" s="163"/>
      <c r="AF187" s="162"/>
      <c r="AG187" s="162"/>
      <c r="AH187" s="162"/>
      <c r="AI187" s="162"/>
      <c r="AJ187" s="162"/>
      <c r="AK187" s="162"/>
      <c r="AL187" s="162"/>
      <c r="AM187" s="162"/>
      <c r="AN187" s="164"/>
      <c r="AO187" s="164"/>
      <c r="AP187" s="166"/>
      <c r="AQ187" s="161"/>
      <c r="AR187" s="161"/>
      <c r="AS187" s="161"/>
      <c r="AT187" s="161"/>
      <c r="AU187" s="161"/>
    </row>
    <row r="188" spans="1:47">
      <c r="A188" s="471">
        <f t="shared" si="303"/>
        <v>46220</v>
      </c>
      <c r="B188" s="497"/>
      <c r="C188" s="426"/>
      <c r="D188" s="427">
        <f t="shared" si="254"/>
        <v>0</v>
      </c>
      <c r="E188" s="428">
        <f t="shared" si="291"/>
        <v>0</v>
      </c>
      <c r="F188" s="428">
        <f t="shared" si="292"/>
        <v>0</v>
      </c>
      <c r="G188" s="428">
        <f t="shared" si="293"/>
        <v>0</v>
      </c>
      <c r="H188" s="429"/>
      <c r="I188" s="430">
        <f t="shared" si="287"/>
        <v>0</v>
      </c>
      <c r="J188" s="431">
        <f t="shared" si="294"/>
        <v>0</v>
      </c>
      <c r="K188" s="431">
        <f t="shared" si="295"/>
        <v>0</v>
      </c>
      <c r="L188" s="431">
        <f t="shared" si="296"/>
        <v>0</v>
      </c>
      <c r="M188" s="432"/>
      <c r="N188" s="433">
        <f t="shared" si="236"/>
        <v>0</v>
      </c>
      <c r="O188" s="434">
        <f t="shared" si="297"/>
        <v>0</v>
      </c>
      <c r="P188" s="434">
        <f t="shared" si="234"/>
        <v>0</v>
      </c>
      <c r="Q188" s="434">
        <f t="shared" si="299"/>
        <v>0</v>
      </c>
      <c r="R188" s="435"/>
      <c r="S188" s="436">
        <f t="shared" si="237"/>
        <v>0</v>
      </c>
      <c r="T188" s="437">
        <f t="shared" si="300"/>
        <v>0</v>
      </c>
      <c r="U188" s="437">
        <f t="shared" si="235"/>
        <v>0</v>
      </c>
      <c r="V188" s="437">
        <f t="shared" si="302"/>
        <v>0</v>
      </c>
      <c r="W188" s="300"/>
      <c r="X188" s="131"/>
      <c r="Z188" s="162"/>
      <c r="AA188" s="162"/>
      <c r="AB188" s="162"/>
      <c r="AC188" s="162"/>
      <c r="AD188" s="162"/>
      <c r="AE188" s="163"/>
      <c r="AF188" s="162"/>
      <c r="AG188" s="162"/>
      <c r="AH188" s="162"/>
      <c r="AI188" s="162"/>
      <c r="AJ188" s="162"/>
      <c r="AK188" s="162"/>
      <c r="AL188" s="162"/>
      <c r="AM188" s="162"/>
      <c r="AN188" s="164"/>
      <c r="AO188" s="164"/>
      <c r="AP188" s="166"/>
      <c r="AQ188" s="161"/>
      <c r="AR188" s="161"/>
      <c r="AS188" s="161"/>
      <c r="AT188" s="161"/>
      <c r="AU188" s="161"/>
    </row>
    <row r="189" spans="1:47">
      <c r="A189" s="471">
        <f t="shared" si="303"/>
        <v>46220</v>
      </c>
      <c r="B189" s="497"/>
      <c r="C189" s="426"/>
      <c r="D189" s="427">
        <f t="shared" si="254"/>
        <v>0</v>
      </c>
      <c r="E189" s="428">
        <f t="shared" si="291"/>
        <v>0</v>
      </c>
      <c r="F189" s="428">
        <f t="shared" si="292"/>
        <v>0</v>
      </c>
      <c r="G189" s="428">
        <f t="shared" si="293"/>
        <v>0</v>
      </c>
      <c r="H189" s="429"/>
      <c r="I189" s="430">
        <f t="shared" si="287"/>
        <v>0</v>
      </c>
      <c r="J189" s="431">
        <f t="shared" si="294"/>
        <v>0</v>
      </c>
      <c r="K189" s="431">
        <f t="shared" si="295"/>
        <v>0</v>
      </c>
      <c r="L189" s="431">
        <f t="shared" si="296"/>
        <v>0</v>
      </c>
      <c r="M189" s="432"/>
      <c r="N189" s="433">
        <f t="shared" si="236"/>
        <v>0</v>
      </c>
      <c r="O189" s="434">
        <f t="shared" si="297"/>
        <v>0</v>
      </c>
      <c r="P189" s="434">
        <f t="shared" si="234"/>
        <v>0</v>
      </c>
      <c r="Q189" s="434">
        <f t="shared" si="299"/>
        <v>0</v>
      </c>
      <c r="R189" s="435"/>
      <c r="S189" s="436">
        <f t="shared" si="237"/>
        <v>0</v>
      </c>
      <c r="T189" s="437">
        <f t="shared" si="300"/>
        <v>0</v>
      </c>
      <c r="U189" s="437">
        <f t="shared" si="235"/>
        <v>0</v>
      </c>
      <c r="V189" s="437">
        <f t="shared" si="302"/>
        <v>0</v>
      </c>
      <c r="W189" s="300"/>
      <c r="X189" s="131"/>
      <c r="Z189" s="162"/>
      <c r="AA189" s="162"/>
      <c r="AB189" s="162"/>
      <c r="AC189" s="162"/>
      <c r="AD189" s="162"/>
      <c r="AE189" s="163"/>
      <c r="AF189" s="162"/>
      <c r="AG189" s="162"/>
      <c r="AH189" s="162"/>
      <c r="AI189" s="162"/>
      <c r="AJ189" s="162"/>
      <c r="AK189" s="162"/>
      <c r="AL189" s="162"/>
      <c r="AM189" s="162"/>
      <c r="AN189" s="164"/>
      <c r="AO189" s="164"/>
      <c r="AP189" s="166"/>
      <c r="AQ189" s="161"/>
      <c r="AR189" s="161"/>
      <c r="AS189" s="161"/>
      <c r="AT189" s="161"/>
      <c r="AU189" s="161"/>
    </row>
    <row r="190" spans="1:47" ht="14.25">
      <c r="A190" s="471"/>
      <c r="B190" s="498" t="s">
        <v>118</v>
      </c>
      <c r="C190" s="438">
        <f>SUM(C180:C189)</f>
        <v>2222</v>
      </c>
      <c r="D190" s="439">
        <f t="shared" si="254"/>
        <v>8610.25</v>
      </c>
      <c r="E190" s="438">
        <f t="shared" ref="E190:H190" si="304">SUM(E180:E189)</f>
        <v>86102.5</v>
      </c>
      <c r="F190" s="463">
        <f t="shared" si="304"/>
        <v>57.401666666666664</v>
      </c>
      <c r="G190" s="463">
        <f t="shared" si="304"/>
        <v>219.04476</v>
      </c>
      <c r="H190" s="440">
        <f t="shared" si="304"/>
        <v>1037</v>
      </c>
      <c r="I190" s="441">
        <f t="shared" si="287"/>
        <v>3397.212</v>
      </c>
      <c r="J190" s="440">
        <f t="shared" ref="J190:L190" si="305">SUM(J180:J189)</f>
        <v>33972.119999999995</v>
      </c>
      <c r="K190" s="466">
        <f t="shared" si="305"/>
        <v>22.64808</v>
      </c>
      <c r="L190" s="466">
        <f t="shared" si="305"/>
        <v>58.395319783783776</v>
      </c>
      <c r="M190" s="442">
        <f t="shared" ref="M190" si="306">SUM(M180:M189)</f>
        <v>0</v>
      </c>
      <c r="N190" s="443">
        <f t="shared" si="236"/>
        <v>0</v>
      </c>
      <c r="O190" s="442">
        <f t="shared" ref="O190:R190" si="307">SUM(O180:O189)</f>
        <v>0</v>
      </c>
      <c r="P190" s="468">
        <f t="shared" si="307"/>
        <v>0</v>
      </c>
      <c r="Q190" s="468">
        <f t="shared" si="307"/>
        <v>0</v>
      </c>
      <c r="R190" s="444">
        <f t="shared" si="307"/>
        <v>0</v>
      </c>
      <c r="S190" s="445">
        <f t="shared" si="237"/>
        <v>0</v>
      </c>
      <c r="T190" s="444">
        <f t="shared" ref="T190:V190" si="308">SUM(T180:T189)</f>
        <v>0</v>
      </c>
      <c r="U190" s="470">
        <f t="shared" si="308"/>
        <v>0</v>
      </c>
      <c r="V190" s="470">
        <f t="shared" si="308"/>
        <v>0</v>
      </c>
      <c r="W190" s="300"/>
      <c r="X190" s="131"/>
      <c r="Z190" s="162"/>
      <c r="AA190" s="162"/>
      <c r="AB190" s="162"/>
      <c r="AC190" s="162"/>
      <c r="AD190" s="162"/>
      <c r="AE190" s="163"/>
      <c r="AF190" s="162"/>
      <c r="AG190" s="162"/>
      <c r="AH190" s="162"/>
      <c r="AI190" s="162"/>
      <c r="AJ190" s="162"/>
      <c r="AK190" s="162"/>
      <c r="AL190" s="162"/>
      <c r="AM190" s="162"/>
      <c r="AN190" s="164"/>
      <c r="AO190" s="164"/>
      <c r="AP190" s="166"/>
      <c r="AQ190" s="161"/>
      <c r="AR190" s="161"/>
      <c r="AS190" s="161"/>
      <c r="AT190" s="161"/>
      <c r="AU190" s="161"/>
    </row>
    <row r="191" spans="1:47">
      <c r="A191" s="472">
        <f>+A180+1</f>
        <v>46221</v>
      </c>
      <c r="B191" s="497"/>
      <c r="C191" s="426"/>
      <c r="D191" s="427">
        <f t="shared" si="254"/>
        <v>0</v>
      </c>
      <c r="E191" s="428">
        <f t="shared" ref="E191" si="309">+D191/0.0125*0.125</f>
        <v>0</v>
      </c>
      <c r="F191" s="428">
        <f t="shared" ref="F191" si="310">+E191/1500</f>
        <v>0</v>
      </c>
      <c r="G191" s="428">
        <f t="shared" ref="G191:G200" si="311">+D191/0.0125*0.000318</f>
        <v>0</v>
      </c>
      <c r="H191" s="429"/>
      <c r="I191" s="430">
        <f t="shared" si="287"/>
        <v>0</v>
      </c>
      <c r="J191" s="431">
        <f t="shared" ref="J191:J200" si="312">+I191/0.0185*0.185</f>
        <v>0</v>
      </c>
      <c r="K191" s="431">
        <f t="shared" ref="K191" si="313">+J191/1500</f>
        <v>0</v>
      </c>
      <c r="L191" s="431">
        <f t="shared" ref="L191:L200" si="314">+I191/0.0185*0.000318</f>
        <v>0</v>
      </c>
      <c r="M191" s="432"/>
      <c r="N191" s="433">
        <f t="shared" si="236"/>
        <v>0</v>
      </c>
      <c r="O191" s="434">
        <f t="shared" ref="O191:O200" si="315">+N191/0.0185*0.185</f>
        <v>0</v>
      </c>
      <c r="P191" s="434">
        <f t="shared" ref="P191" si="316">+O191/1500</f>
        <v>0</v>
      </c>
      <c r="Q191" s="434">
        <f t="shared" ref="Q191:Q200" si="317">+N191/0.0185*0.000318</f>
        <v>0</v>
      </c>
      <c r="R191" s="435"/>
      <c r="S191" s="436">
        <f t="shared" si="237"/>
        <v>0</v>
      </c>
      <c r="T191" s="437">
        <f t="shared" ref="T191:T200" si="318">+S191/0.0185*0.185</f>
        <v>0</v>
      </c>
      <c r="U191" s="437">
        <f t="shared" ref="U191" si="319">+T191/1500</f>
        <v>0</v>
      </c>
      <c r="V191" s="437">
        <f t="shared" ref="V191:V200" si="320">+S191/0.0185*0.000318</f>
        <v>0</v>
      </c>
      <c r="W191" s="300"/>
      <c r="X191" s="131">
        <f>+W191*2.4</f>
        <v>0</v>
      </c>
      <c r="Z191" s="162" t="str">
        <f>IFERROR((D191/'REKAPAN OKEY AYAM'!$AC21),"-")</f>
        <v>-</v>
      </c>
      <c r="AA191" s="162" t="str">
        <f>IFERROR((I191/'REKAPAN CHAMP AYAM'!$AC21),"-")</f>
        <v>-</v>
      </c>
      <c r="AB191" s="162" t="str">
        <f>IFERROR((N191/'REKAPAN CHAMP SAPI'!AC21),"-")</f>
        <v>-</v>
      </c>
      <c r="AC191" s="162" t="str">
        <f>IFERROR((S191/'REKAPAN CHAMP OTAK-OTAK'!AC21),"-")</f>
        <v>-</v>
      </c>
      <c r="AD191" s="162" t="str">
        <f>IFERROR((X191/'REKAPAN FIESTA'!AC21),"-")</f>
        <v>-</v>
      </c>
      <c r="AE191" s="163"/>
      <c r="AF191" s="162" t="str">
        <f t="shared" si="39"/>
        <v>-</v>
      </c>
      <c r="AG191" s="162" t="str">
        <f>IFERROR(((D191/0.0125*0.000318)/#REF!),"-")</f>
        <v>-</v>
      </c>
      <c r="AH191" s="162" t="str">
        <f t="shared" si="40"/>
        <v>-</v>
      </c>
      <c r="AI191" s="162" t="str">
        <f>IFERROR(((I191/0.0185*0.000318)/#REF!),"-")</f>
        <v>-</v>
      </c>
      <c r="AJ191" s="162" t="str">
        <f t="shared" si="41"/>
        <v>-</v>
      </c>
      <c r="AK191" s="162" t="str">
        <f>IFERROR(((N191/0.0185*0.000318)/#REF!),"-")</f>
        <v>-</v>
      </c>
      <c r="AL191" s="162" t="str">
        <f t="shared" si="42"/>
        <v>-</v>
      </c>
      <c r="AM191" s="162" t="str">
        <f>IFERROR(((S191/0.0185*0.000318)/#REF!),"-")</f>
        <v>-</v>
      </c>
      <c r="AN191" s="164"/>
      <c r="AO191" s="164"/>
      <c r="AP191" s="166"/>
      <c r="AQ191" s="161" t="str">
        <f>IFERROR(('REKAPAN OKEY AYAM'!$AD21),"-")</f>
        <v>-</v>
      </c>
      <c r="AR191" s="161" t="str">
        <f>IFERROR(('REKAPAN CHAMP AYAM'!$AD21),"-")</f>
        <v>-</v>
      </c>
      <c r="AS191" s="161" t="str">
        <f>IFERROR(('REKAPAN CHAMP SAPI'!$AD21),"-")</f>
        <v>-</v>
      </c>
      <c r="AT191" s="161" t="str">
        <f>IFERROR(('REKAPAN CHAMP OTAK-OTAK'!$AD21),"-")</f>
        <v>-</v>
      </c>
      <c r="AU191" s="161" t="str">
        <f>IFERROR(('REKAPAN FIESTA'!$AD21),"-")</f>
        <v>-</v>
      </c>
    </row>
    <row r="192" spans="1:47">
      <c r="A192" s="471">
        <f>+$A191</f>
        <v>46221</v>
      </c>
      <c r="B192" s="497"/>
      <c r="C192" s="426"/>
      <c r="D192" s="427">
        <f t="shared" si="254"/>
        <v>0</v>
      </c>
      <c r="E192" s="428">
        <f t="shared" si="291"/>
        <v>0</v>
      </c>
      <c r="F192" s="428">
        <f t="shared" si="292"/>
        <v>0</v>
      </c>
      <c r="G192" s="428">
        <f t="shared" si="311"/>
        <v>0</v>
      </c>
      <c r="H192" s="429"/>
      <c r="I192" s="430">
        <f t="shared" si="287"/>
        <v>0</v>
      </c>
      <c r="J192" s="431">
        <f t="shared" si="312"/>
        <v>0</v>
      </c>
      <c r="K192" s="431">
        <f t="shared" si="295"/>
        <v>0</v>
      </c>
      <c r="L192" s="431">
        <f t="shared" si="314"/>
        <v>0</v>
      </c>
      <c r="M192" s="432"/>
      <c r="N192" s="433">
        <f t="shared" si="236"/>
        <v>0</v>
      </c>
      <c r="O192" s="434">
        <f t="shared" si="315"/>
        <v>0</v>
      </c>
      <c r="P192" s="434">
        <f t="shared" si="234"/>
        <v>0</v>
      </c>
      <c r="Q192" s="434">
        <f t="shared" si="317"/>
        <v>0</v>
      </c>
      <c r="R192" s="435"/>
      <c r="S192" s="436">
        <f t="shared" si="237"/>
        <v>0</v>
      </c>
      <c r="T192" s="437">
        <f t="shared" si="318"/>
        <v>0</v>
      </c>
      <c r="U192" s="437">
        <f t="shared" si="235"/>
        <v>0</v>
      </c>
      <c r="V192" s="437">
        <f t="shared" si="320"/>
        <v>0</v>
      </c>
      <c r="W192" s="300"/>
      <c r="X192" s="131"/>
      <c r="Z192" s="162"/>
      <c r="AA192" s="162"/>
      <c r="AB192" s="162"/>
      <c r="AC192" s="162"/>
      <c r="AD192" s="162"/>
      <c r="AE192" s="163"/>
      <c r="AF192" s="162"/>
      <c r="AG192" s="162"/>
      <c r="AH192" s="162"/>
      <c r="AI192" s="162"/>
      <c r="AJ192" s="162"/>
      <c r="AK192" s="162"/>
      <c r="AL192" s="162"/>
      <c r="AM192" s="162"/>
      <c r="AN192" s="164"/>
      <c r="AO192" s="164"/>
      <c r="AP192" s="166"/>
      <c r="AQ192" s="161"/>
      <c r="AR192" s="161"/>
      <c r="AS192" s="161"/>
      <c r="AT192" s="161"/>
      <c r="AU192" s="161"/>
    </row>
    <row r="193" spans="1:47">
      <c r="A193" s="471">
        <f t="shared" ref="A193:A200" si="321">+$A192</f>
        <v>46221</v>
      </c>
      <c r="B193" s="497"/>
      <c r="C193" s="426"/>
      <c r="D193" s="427">
        <f t="shared" si="254"/>
        <v>0</v>
      </c>
      <c r="E193" s="428">
        <f t="shared" si="291"/>
        <v>0</v>
      </c>
      <c r="F193" s="428">
        <f t="shared" si="292"/>
        <v>0</v>
      </c>
      <c r="G193" s="428">
        <f t="shared" si="311"/>
        <v>0</v>
      </c>
      <c r="H193" s="429"/>
      <c r="I193" s="430">
        <f t="shared" si="287"/>
        <v>0</v>
      </c>
      <c r="J193" s="431">
        <f t="shared" si="312"/>
        <v>0</v>
      </c>
      <c r="K193" s="431">
        <f t="shared" si="295"/>
        <v>0</v>
      </c>
      <c r="L193" s="431">
        <f t="shared" si="314"/>
        <v>0</v>
      </c>
      <c r="M193" s="432"/>
      <c r="N193" s="433">
        <f t="shared" si="236"/>
        <v>0</v>
      </c>
      <c r="O193" s="434">
        <f t="shared" si="315"/>
        <v>0</v>
      </c>
      <c r="P193" s="434">
        <f t="shared" si="234"/>
        <v>0</v>
      </c>
      <c r="Q193" s="434">
        <f t="shared" si="317"/>
        <v>0</v>
      </c>
      <c r="R193" s="435"/>
      <c r="S193" s="436">
        <f t="shared" si="237"/>
        <v>0</v>
      </c>
      <c r="T193" s="437">
        <f t="shared" si="318"/>
        <v>0</v>
      </c>
      <c r="U193" s="437">
        <f t="shared" si="235"/>
        <v>0</v>
      </c>
      <c r="V193" s="437">
        <f t="shared" si="320"/>
        <v>0</v>
      </c>
      <c r="W193" s="300"/>
      <c r="X193" s="131"/>
      <c r="Z193" s="162"/>
      <c r="AA193" s="162"/>
      <c r="AB193" s="162"/>
      <c r="AC193" s="162"/>
      <c r="AD193" s="162"/>
      <c r="AE193" s="163"/>
      <c r="AF193" s="162"/>
      <c r="AG193" s="162"/>
      <c r="AH193" s="162"/>
      <c r="AI193" s="162"/>
      <c r="AJ193" s="162"/>
      <c r="AK193" s="162"/>
      <c r="AL193" s="162"/>
      <c r="AM193" s="162"/>
      <c r="AN193" s="164"/>
      <c r="AO193" s="164"/>
      <c r="AP193" s="166"/>
      <c r="AQ193" s="161"/>
      <c r="AR193" s="161"/>
      <c r="AS193" s="161"/>
      <c r="AT193" s="161"/>
      <c r="AU193" s="161"/>
    </row>
    <row r="194" spans="1:47">
      <c r="A194" s="471">
        <f t="shared" si="321"/>
        <v>46221</v>
      </c>
      <c r="B194" s="497"/>
      <c r="C194" s="426"/>
      <c r="D194" s="427">
        <f t="shared" si="254"/>
        <v>0</v>
      </c>
      <c r="E194" s="428">
        <f t="shared" si="291"/>
        <v>0</v>
      </c>
      <c r="F194" s="428">
        <f t="shared" si="292"/>
        <v>0</v>
      </c>
      <c r="G194" s="428">
        <f t="shared" si="311"/>
        <v>0</v>
      </c>
      <c r="H194" s="429"/>
      <c r="I194" s="430">
        <f t="shared" si="287"/>
        <v>0</v>
      </c>
      <c r="J194" s="431">
        <f t="shared" si="312"/>
        <v>0</v>
      </c>
      <c r="K194" s="431">
        <f t="shared" si="295"/>
        <v>0</v>
      </c>
      <c r="L194" s="431">
        <f t="shared" si="314"/>
        <v>0</v>
      </c>
      <c r="M194" s="432"/>
      <c r="N194" s="433">
        <f t="shared" si="236"/>
        <v>0</v>
      </c>
      <c r="O194" s="434">
        <f t="shared" si="315"/>
        <v>0</v>
      </c>
      <c r="P194" s="434">
        <f t="shared" si="234"/>
        <v>0</v>
      </c>
      <c r="Q194" s="434">
        <f t="shared" si="317"/>
        <v>0</v>
      </c>
      <c r="R194" s="435"/>
      <c r="S194" s="436">
        <f t="shared" si="237"/>
        <v>0</v>
      </c>
      <c r="T194" s="437">
        <f t="shared" si="318"/>
        <v>0</v>
      </c>
      <c r="U194" s="437">
        <f t="shared" si="235"/>
        <v>0</v>
      </c>
      <c r="V194" s="437">
        <f t="shared" si="320"/>
        <v>0</v>
      </c>
      <c r="W194" s="300"/>
      <c r="X194" s="131"/>
      <c r="Z194" s="162"/>
      <c r="AA194" s="162"/>
      <c r="AB194" s="162"/>
      <c r="AC194" s="162"/>
      <c r="AD194" s="162"/>
      <c r="AE194" s="163"/>
      <c r="AF194" s="162"/>
      <c r="AG194" s="162"/>
      <c r="AH194" s="162"/>
      <c r="AI194" s="162"/>
      <c r="AJ194" s="162"/>
      <c r="AK194" s="162"/>
      <c r="AL194" s="162"/>
      <c r="AM194" s="162"/>
      <c r="AN194" s="164"/>
      <c r="AO194" s="164"/>
      <c r="AP194" s="166"/>
      <c r="AQ194" s="161"/>
      <c r="AR194" s="161"/>
      <c r="AS194" s="161"/>
      <c r="AT194" s="161"/>
      <c r="AU194" s="161"/>
    </row>
    <row r="195" spans="1:47">
      <c r="A195" s="471">
        <f t="shared" si="321"/>
        <v>46221</v>
      </c>
      <c r="B195" s="497"/>
      <c r="C195" s="426"/>
      <c r="D195" s="427">
        <f t="shared" si="254"/>
        <v>0</v>
      </c>
      <c r="E195" s="428">
        <f t="shared" si="291"/>
        <v>0</v>
      </c>
      <c r="F195" s="428">
        <f t="shared" si="292"/>
        <v>0</v>
      </c>
      <c r="G195" s="428">
        <f t="shared" si="311"/>
        <v>0</v>
      </c>
      <c r="H195" s="429"/>
      <c r="I195" s="430">
        <f t="shared" si="287"/>
        <v>0</v>
      </c>
      <c r="J195" s="431">
        <f t="shared" si="312"/>
        <v>0</v>
      </c>
      <c r="K195" s="431">
        <f t="shared" si="295"/>
        <v>0</v>
      </c>
      <c r="L195" s="431">
        <f t="shared" si="314"/>
        <v>0</v>
      </c>
      <c r="M195" s="432"/>
      <c r="N195" s="433">
        <f t="shared" si="236"/>
        <v>0</v>
      </c>
      <c r="O195" s="434">
        <f t="shared" si="315"/>
        <v>0</v>
      </c>
      <c r="P195" s="434">
        <f t="shared" si="234"/>
        <v>0</v>
      </c>
      <c r="Q195" s="434">
        <f t="shared" si="317"/>
        <v>0</v>
      </c>
      <c r="R195" s="435"/>
      <c r="S195" s="436">
        <f t="shared" si="237"/>
        <v>0</v>
      </c>
      <c r="T195" s="437">
        <f t="shared" si="318"/>
        <v>0</v>
      </c>
      <c r="U195" s="437">
        <f t="shared" si="235"/>
        <v>0</v>
      </c>
      <c r="V195" s="437">
        <f t="shared" si="320"/>
        <v>0</v>
      </c>
      <c r="W195" s="300"/>
      <c r="X195" s="131"/>
      <c r="Z195" s="162"/>
      <c r="AA195" s="162"/>
      <c r="AB195" s="162"/>
      <c r="AC195" s="162"/>
      <c r="AD195" s="162"/>
      <c r="AE195" s="163"/>
      <c r="AF195" s="162"/>
      <c r="AG195" s="162"/>
      <c r="AH195" s="162"/>
      <c r="AI195" s="162"/>
      <c r="AJ195" s="162"/>
      <c r="AK195" s="162"/>
      <c r="AL195" s="162"/>
      <c r="AM195" s="162"/>
      <c r="AN195" s="164"/>
      <c r="AO195" s="164"/>
      <c r="AP195" s="166"/>
      <c r="AQ195" s="161"/>
      <c r="AR195" s="161"/>
      <c r="AS195" s="161"/>
      <c r="AT195" s="161"/>
      <c r="AU195" s="161"/>
    </row>
    <row r="196" spans="1:47">
      <c r="A196" s="471">
        <f t="shared" si="321"/>
        <v>46221</v>
      </c>
      <c r="B196" s="497"/>
      <c r="C196" s="426"/>
      <c r="D196" s="427">
        <f t="shared" si="254"/>
        <v>0</v>
      </c>
      <c r="E196" s="428">
        <f t="shared" si="291"/>
        <v>0</v>
      </c>
      <c r="F196" s="428">
        <f t="shared" si="292"/>
        <v>0</v>
      </c>
      <c r="G196" s="428">
        <f t="shared" si="311"/>
        <v>0</v>
      </c>
      <c r="H196" s="429"/>
      <c r="I196" s="430">
        <f t="shared" si="287"/>
        <v>0</v>
      </c>
      <c r="J196" s="431">
        <f t="shared" si="312"/>
        <v>0</v>
      </c>
      <c r="K196" s="431">
        <f t="shared" si="295"/>
        <v>0</v>
      </c>
      <c r="L196" s="431">
        <f t="shared" si="314"/>
        <v>0</v>
      </c>
      <c r="M196" s="432"/>
      <c r="N196" s="433">
        <f t="shared" si="236"/>
        <v>0</v>
      </c>
      <c r="O196" s="434">
        <f t="shared" si="315"/>
        <v>0</v>
      </c>
      <c r="P196" s="434">
        <f t="shared" si="234"/>
        <v>0</v>
      </c>
      <c r="Q196" s="434">
        <f t="shared" si="317"/>
        <v>0</v>
      </c>
      <c r="R196" s="435"/>
      <c r="S196" s="436">
        <f t="shared" si="237"/>
        <v>0</v>
      </c>
      <c r="T196" s="437">
        <f t="shared" si="318"/>
        <v>0</v>
      </c>
      <c r="U196" s="437">
        <f t="shared" si="235"/>
        <v>0</v>
      </c>
      <c r="V196" s="437">
        <f t="shared" si="320"/>
        <v>0</v>
      </c>
      <c r="W196" s="300"/>
      <c r="X196" s="131"/>
      <c r="Z196" s="162"/>
      <c r="AA196" s="162"/>
      <c r="AB196" s="162"/>
      <c r="AC196" s="162"/>
      <c r="AD196" s="162"/>
      <c r="AE196" s="163"/>
      <c r="AF196" s="162"/>
      <c r="AG196" s="162"/>
      <c r="AH196" s="162"/>
      <c r="AI196" s="162"/>
      <c r="AJ196" s="162"/>
      <c r="AK196" s="162"/>
      <c r="AL196" s="162"/>
      <c r="AM196" s="162"/>
      <c r="AN196" s="164"/>
      <c r="AO196" s="164"/>
      <c r="AP196" s="166"/>
      <c r="AQ196" s="161"/>
      <c r="AR196" s="161"/>
      <c r="AS196" s="161"/>
      <c r="AT196" s="161"/>
      <c r="AU196" s="161"/>
    </row>
    <row r="197" spans="1:47">
      <c r="A197" s="471">
        <f t="shared" si="321"/>
        <v>46221</v>
      </c>
      <c r="B197" s="497"/>
      <c r="C197" s="426"/>
      <c r="D197" s="427">
        <f t="shared" si="254"/>
        <v>0</v>
      </c>
      <c r="E197" s="428">
        <f t="shared" si="291"/>
        <v>0</v>
      </c>
      <c r="F197" s="428">
        <f t="shared" si="292"/>
        <v>0</v>
      </c>
      <c r="G197" s="428">
        <f t="shared" si="311"/>
        <v>0</v>
      </c>
      <c r="H197" s="429"/>
      <c r="I197" s="430">
        <f t="shared" si="287"/>
        <v>0</v>
      </c>
      <c r="J197" s="431">
        <f t="shared" si="312"/>
        <v>0</v>
      </c>
      <c r="K197" s="431">
        <f t="shared" si="295"/>
        <v>0</v>
      </c>
      <c r="L197" s="431">
        <f t="shared" si="314"/>
        <v>0</v>
      </c>
      <c r="M197" s="432"/>
      <c r="N197" s="433">
        <f t="shared" si="236"/>
        <v>0</v>
      </c>
      <c r="O197" s="434">
        <f t="shared" si="315"/>
        <v>0</v>
      </c>
      <c r="P197" s="434">
        <f t="shared" si="234"/>
        <v>0</v>
      </c>
      <c r="Q197" s="434">
        <f t="shared" si="317"/>
        <v>0</v>
      </c>
      <c r="R197" s="435"/>
      <c r="S197" s="436">
        <f t="shared" si="237"/>
        <v>0</v>
      </c>
      <c r="T197" s="437">
        <f t="shared" si="318"/>
        <v>0</v>
      </c>
      <c r="U197" s="437">
        <f t="shared" si="235"/>
        <v>0</v>
      </c>
      <c r="V197" s="437">
        <f t="shared" si="320"/>
        <v>0</v>
      </c>
      <c r="W197" s="300"/>
      <c r="X197" s="131"/>
      <c r="Z197" s="162"/>
      <c r="AA197" s="162"/>
      <c r="AB197" s="162"/>
      <c r="AC197" s="162"/>
      <c r="AD197" s="162"/>
      <c r="AE197" s="163"/>
      <c r="AF197" s="162"/>
      <c r="AG197" s="162"/>
      <c r="AH197" s="162"/>
      <c r="AI197" s="162"/>
      <c r="AJ197" s="162"/>
      <c r="AK197" s="162"/>
      <c r="AL197" s="162"/>
      <c r="AM197" s="162"/>
      <c r="AN197" s="164"/>
      <c r="AO197" s="164"/>
      <c r="AP197" s="166"/>
      <c r="AQ197" s="161"/>
      <c r="AR197" s="161"/>
      <c r="AS197" s="161"/>
      <c r="AT197" s="161"/>
      <c r="AU197" s="161"/>
    </row>
    <row r="198" spans="1:47">
      <c r="A198" s="471">
        <f t="shared" si="321"/>
        <v>46221</v>
      </c>
      <c r="B198" s="497"/>
      <c r="C198" s="426"/>
      <c r="D198" s="427">
        <f t="shared" si="254"/>
        <v>0</v>
      </c>
      <c r="E198" s="428">
        <f t="shared" si="291"/>
        <v>0</v>
      </c>
      <c r="F198" s="428">
        <f t="shared" si="292"/>
        <v>0</v>
      </c>
      <c r="G198" s="428">
        <f t="shared" si="311"/>
        <v>0</v>
      </c>
      <c r="H198" s="429"/>
      <c r="I198" s="430">
        <f t="shared" si="287"/>
        <v>0</v>
      </c>
      <c r="J198" s="431">
        <f t="shared" si="312"/>
        <v>0</v>
      </c>
      <c r="K198" s="431">
        <f t="shared" si="295"/>
        <v>0</v>
      </c>
      <c r="L198" s="431">
        <f t="shared" si="314"/>
        <v>0</v>
      </c>
      <c r="M198" s="432"/>
      <c r="N198" s="433">
        <f t="shared" si="236"/>
        <v>0</v>
      </c>
      <c r="O198" s="434">
        <f t="shared" si="315"/>
        <v>0</v>
      </c>
      <c r="P198" s="434">
        <f t="shared" si="234"/>
        <v>0</v>
      </c>
      <c r="Q198" s="434">
        <f t="shared" si="317"/>
        <v>0</v>
      </c>
      <c r="R198" s="435"/>
      <c r="S198" s="436">
        <f t="shared" si="237"/>
        <v>0</v>
      </c>
      <c r="T198" s="437">
        <f t="shared" si="318"/>
        <v>0</v>
      </c>
      <c r="U198" s="437">
        <f t="shared" si="235"/>
        <v>0</v>
      </c>
      <c r="V198" s="437">
        <f t="shared" si="320"/>
        <v>0</v>
      </c>
      <c r="W198" s="300"/>
      <c r="X198" s="131"/>
      <c r="Z198" s="162"/>
      <c r="AA198" s="162"/>
      <c r="AB198" s="162"/>
      <c r="AC198" s="162"/>
      <c r="AD198" s="162"/>
      <c r="AE198" s="163"/>
      <c r="AF198" s="162"/>
      <c r="AG198" s="162"/>
      <c r="AH198" s="162"/>
      <c r="AI198" s="162"/>
      <c r="AJ198" s="162"/>
      <c r="AK198" s="162"/>
      <c r="AL198" s="162"/>
      <c r="AM198" s="162"/>
      <c r="AN198" s="164"/>
      <c r="AO198" s="164"/>
      <c r="AP198" s="166"/>
      <c r="AQ198" s="161"/>
      <c r="AR198" s="161"/>
      <c r="AS198" s="161"/>
      <c r="AT198" s="161"/>
      <c r="AU198" s="161"/>
    </row>
    <row r="199" spans="1:47">
      <c r="A199" s="471">
        <f t="shared" si="321"/>
        <v>46221</v>
      </c>
      <c r="B199" s="497"/>
      <c r="C199" s="426"/>
      <c r="D199" s="427">
        <f t="shared" si="254"/>
        <v>0</v>
      </c>
      <c r="E199" s="428">
        <f t="shared" si="291"/>
        <v>0</v>
      </c>
      <c r="F199" s="428">
        <f t="shared" si="292"/>
        <v>0</v>
      </c>
      <c r="G199" s="428">
        <f t="shared" si="311"/>
        <v>0</v>
      </c>
      <c r="H199" s="429"/>
      <c r="I199" s="430">
        <f t="shared" si="287"/>
        <v>0</v>
      </c>
      <c r="J199" s="431">
        <f t="shared" si="312"/>
        <v>0</v>
      </c>
      <c r="K199" s="431">
        <f t="shared" si="295"/>
        <v>0</v>
      </c>
      <c r="L199" s="431">
        <f t="shared" si="314"/>
        <v>0</v>
      </c>
      <c r="M199" s="432"/>
      <c r="N199" s="433">
        <f t="shared" si="236"/>
        <v>0</v>
      </c>
      <c r="O199" s="434">
        <f t="shared" si="315"/>
        <v>0</v>
      </c>
      <c r="P199" s="434">
        <f t="shared" si="234"/>
        <v>0</v>
      </c>
      <c r="Q199" s="434">
        <f t="shared" si="317"/>
        <v>0</v>
      </c>
      <c r="R199" s="435"/>
      <c r="S199" s="436">
        <f t="shared" si="237"/>
        <v>0</v>
      </c>
      <c r="T199" s="437">
        <f t="shared" si="318"/>
        <v>0</v>
      </c>
      <c r="U199" s="437">
        <f t="shared" si="235"/>
        <v>0</v>
      </c>
      <c r="V199" s="437">
        <f t="shared" si="320"/>
        <v>0</v>
      </c>
      <c r="W199" s="300"/>
      <c r="X199" s="131"/>
      <c r="Z199" s="162"/>
      <c r="AA199" s="162"/>
      <c r="AB199" s="162"/>
      <c r="AC199" s="162"/>
      <c r="AD199" s="162"/>
      <c r="AE199" s="163"/>
      <c r="AF199" s="162"/>
      <c r="AG199" s="162"/>
      <c r="AH199" s="162"/>
      <c r="AI199" s="162"/>
      <c r="AJ199" s="162"/>
      <c r="AK199" s="162"/>
      <c r="AL199" s="162"/>
      <c r="AM199" s="162"/>
      <c r="AN199" s="164"/>
      <c r="AO199" s="164"/>
      <c r="AP199" s="166"/>
      <c r="AQ199" s="161"/>
      <c r="AR199" s="161"/>
      <c r="AS199" s="161"/>
      <c r="AT199" s="161"/>
      <c r="AU199" s="161"/>
    </row>
    <row r="200" spans="1:47">
      <c r="A200" s="471">
        <f t="shared" si="321"/>
        <v>46221</v>
      </c>
      <c r="B200" s="497"/>
      <c r="C200" s="426"/>
      <c r="D200" s="427">
        <f t="shared" si="254"/>
        <v>0</v>
      </c>
      <c r="E200" s="428">
        <f t="shared" si="291"/>
        <v>0</v>
      </c>
      <c r="F200" s="428">
        <f t="shared" si="292"/>
        <v>0</v>
      </c>
      <c r="G200" s="428">
        <f t="shared" si="311"/>
        <v>0</v>
      </c>
      <c r="H200" s="429"/>
      <c r="I200" s="430">
        <f t="shared" si="287"/>
        <v>0</v>
      </c>
      <c r="J200" s="431">
        <f t="shared" si="312"/>
        <v>0</v>
      </c>
      <c r="K200" s="431">
        <f t="shared" si="295"/>
        <v>0</v>
      </c>
      <c r="L200" s="431">
        <f t="shared" si="314"/>
        <v>0</v>
      </c>
      <c r="M200" s="432"/>
      <c r="N200" s="433">
        <f t="shared" si="236"/>
        <v>0</v>
      </c>
      <c r="O200" s="434">
        <f t="shared" si="315"/>
        <v>0</v>
      </c>
      <c r="P200" s="434">
        <f t="shared" si="234"/>
        <v>0</v>
      </c>
      <c r="Q200" s="434">
        <f t="shared" si="317"/>
        <v>0</v>
      </c>
      <c r="R200" s="435"/>
      <c r="S200" s="436">
        <f t="shared" si="237"/>
        <v>0</v>
      </c>
      <c r="T200" s="437">
        <f t="shared" si="318"/>
        <v>0</v>
      </c>
      <c r="U200" s="437">
        <f t="shared" si="235"/>
        <v>0</v>
      </c>
      <c r="V200" s="437">
        <f t="shared" si="320"/>
        <v>0</v>
      </c>
      <c r="W200" s="300"/>
      <c r="X200" s="131"/>
      <c r="Z200" s="162"/>
      <c r="AA200" s="162"/>
      <c r="AB200" s="162"/>
      <c r="AC200" s="162"/>
      <c r="AD200" s="162"/>
      <c r="AE200" s="163"/>
      <c r="AF200" s="162"/>
      <c r="AG200" s="162"/>
      <c r="AH200" s="162"/>
      <c r="AI200" s="162"/>
      <c r="AJ200" s="162"/>
      <c r="AK200" s="162"/>
      <c r="AL200" s="162"/>
      <c r="AM200" s="162"/>
      <c r="AN200" s="164"/>
      <c r="AO200" s="164"/>
      <c r="AP200" s="166"/>
      <c r="AQ200" s="161"/>
      <c r="AR200" s="161"/>
      <c r="AS200" s="161"/>
      <c r="AT200" s="161"/>
      <c r="AU200" s="161"/>
    </row>
    <row r="201" spans="1:47" ht="14.25">
      <c r="A201" s="471"/>
      <c r="B201" s="498" t="s">
        <v>118</v>
      </c>
      <c r="C201" s="438">
        <f>SUM(C191:C200)</f>
        <v>0</v>
      </c>
      <c r="D201" s="439">
        <f t="shared" si="254"/>
        <v>0</v>
      </c>
      <c r="E201" s="438">
        <f t="shared" ref="E201:H201" si="322">SUM(E191:E200)</f>
        <v>0</v>
      </c>
      <c r="F201" s="463">
        <f t="shared" si="322"/>
        <v>0</v>
      </c>
      <c r="G201" s="463">
        <f t="shared" si="322"/>
        <v>0</v>
      </c>
      <c r="H201" s="440">
        <f t="shared" si="322"/>
        <v>0</v>
      </c>
      <c r="I201" s="441">
        <f t="shared" si="287"/>
        <v>0</v>
      </c>
      <c r="J201" s="440">
        <f t="shared" ref="J201:L201" si="323">SUM(J191:J200)</f>
        <v>0</v>
      </c>
      <c r="K201" s="466">
        <f t="shared" si="323"/>
        <v>0</v>
      </c>
      <c r="L201" s="466">
        <f t="shared" si="323"/>
        <v>0</v>
      </c>
      <c r="M201" s="442">
        <f t="shared" ref="M201" si="324">SUM(M191:M200)</f>
        <v>0</v>
      </c>
      <c r="N201" s="443">
        <f t="shared" si="236"/>
        <v>0</v>
      </c>
      <c r="O201" s="442">
        <f t="shared" ref="O201:R201" si="325">SUM(O191:O200)</f>
        <v>0</v>
      </c>
      <c r="P201" s="468">
        <f t="shared" si="325"/>
        <v>0</v>
      </c>
      <c r="Q201" s="468">
        <f t="shared" si="325"/>
        <v>0</v>
      </c>
      <c r="R201" s="444">
        <f t="shared" si="325"/>
        <v>0</v>
      </c>
      <c r="S201" s="445">
        <f t="shared" si="237"/>
        <v>0</v>
      </c>
      <c r="T201" s="444">
        <f t="shared" ref="T201:V201" si="326">SUM(T191:T200)</f>
        <v>0</v>
      </c>
      <c r="U201" s="470">
        <f t="shared" si="326"/>
        <v>0</v>
      </c>
      <c r="V201" s="470">
        <f t="shared" si="326"/>
        <v>0</v>
      </c>
      <c r="W201" s="300"/>
      <c r="X201" s="131"/>
      <c r="Z201" s="162"/>
      <c r="AA201" s="162"/>
      <c r="AB201" s="162"/>
      <c r="AC201" s="162"/>
      <c r="AD201" s="162"/>
      <c r="AE201" s="163"/>
      <c r="AF201" s="162"/>
      <c r="AG201" s="162"/>
      <c r="AH201" s="162"/>
      <c r="AI201" s="162"/>
      <c r="AJ201" s="162"/>
      <c r="AK201" s="162"/>
      <c r="AL201" s="162"/>
      <c r="AM201" s="162"/>
      <c r="AN201" s="164"/>
      <c r="AO201" s="164"/>
      <c r="AP201" s="166"/>
      <c r="AQ201" s="161"/>
      <c r="AR201" s="161"/>
      <c r="AS201" s="161"/>
      <c r="AT201" s="161"/>
      <c r="AU201" s="161"/>
    </row>
    <row r="202" spans="1:47">
      <c r="A202" s="472">
        <f>+A191+1</f>
        <v>46222</v>
      </c>
      <c r="B202" s="497"/>
      <c r="C202" s="426"/>
      <c r="D202" s="427">
        <f t="shared" si="254"/>
        <v>0</v>
      </c>
      <c r="E202" s="428">
        <f t="shared" ref="E202" si="327">+D202/0.0125*0.125</f>
        <v>0</v>
      </c>
      <c r="F202" s="428">
        <f t="shared" ref="F202" si="328">+E202/1500</f>
        <v>0</v>
      </c>
      <c r="G202" s="428">
        <f t="shared" ref="G202:G211" si="329">+D202/0.0125*0.000318</f>
        <v>0</v>
      </c>
      <c r="H202" s="429"/>
      <c r="I202" s="430">
        <f t="shared" si="287"/>
        <v>0</v>
      </c>
      <c r="J202" s="431">
        <f t="shared" ref="J202:J211" si="330">+I202/0.0185*0.185</f>
        <v>0</v>
      </c>
      <c r="K202" s="431">
        <f t="shared" ref="K202" si="331">+J202/1500</f>
        <v>0</v>
      </c>
      <c r="L202" s="431">
        <f t="shared" ref="L202:L211" si="332">+I202/0.0185*0.000318</f>
        <v>0</v>
      </c>
      <c r="M202" s="432"/>
      <c r="N202" s="433">
        <f t="shared" si="236"/>
        <v>0</v>
      </c>
      <c r="O202" s="434">
        <f t="shared" ref="O202:O211" si="333">+N202/0.0185*0.185</f>
        <v>0</v>
      </c>
      <c r="P202" s="434">
        <f t="shared" ref="P202" si="334">+O202/1500</f>
        <v>0</v>
      </c>
      <c r="Q202" s="434">
        <f t="shared" ref="Q202:Q211" si="335">+N202/0.0185*0.000318</f>
        <v>0</v>
      </c>
      <c r="R202" s="435"/>
      <c r="S202" s="436">
        <f t="shared" si="237"/>
        <v>0</v>
      </c>
      <c r="T202" s="437">
        <f t="shared" ref="T202:T211" si="336">+S202/0.0185*0.185</f>
        <v>0</v>
      </c>
      <c r="U202" s="437">
        <f t="shared" ref="U202" si="337">+T202/1500</f>
        <v>0</v>
      </c>
      <c r="V202" s="437">
        <f t="shared" ref="V202:V211" si="338">+S202/0.0185*0.000318</f>
        <v>0</v>
      </c>
      <c r="W202" s="300"/>
      <c r="X202" s="131">
        <f>+W202*2.4</f>
        <v>0</v>
      </c>
      <c r="Y202" s="131"/>
      <c r="Z202" s="162" t="str">
        <f>IFERROR((D202/'REKAPAN OKEY AYAM'!$AC22),"-")</f>
        <v>-</v>
      </c>
      <c r="AA202" s="162" t="str">
        <f>IFERROR((I202/'REKAPAN CHAMP AYAM'!$AC22),"-")</f>
        <v>-</v>
      </c>
      <c r="AB202" s="162" t="str">
        <f>IFERROR((N202/'REKAPAN CHAMP SAPI'!AC22),"-")</f>
        <v>-</v>
      </c>
      <c r="AC202" s="162" t="str">
        <f>IFERROR((S202/'REKAPAN CHAMP OTAK-OTAK'!AC22),"-")</f>
        <v>-</v>
      </c>
      <c r="AD202" s="162" t="str">
        <f>IFERROR((X202/'REKAPAN FIESTA'!AC22),"-")</f>
        <v>-</v>
      </c>
      <c r="AE202" s="163"/>
      <c r="AF202" s="162" t="str">
        <f t="shared" si="39"/>
        <v>-</v>
      </c>
      <c r="AG202" s="162" t="str">
        <f>IFERROR(((D202/0.0125*0.000318)/#REF!),"-")</f>
        <v>-</v>
      </c>
      <c r="AH202" s="162" t="str">
        <f t="shared" si="40"/>
        <v>-</v>
      </c>
      <c r="AI202" s="162" t="str">
        <f>IFERROR(((I202/0.0185*0.000318)/#REF!),"-")</f>
        <v>-</v>
      </c>
      <c r="AJ202" s="162" t="str">
        <f t="shared" si="41"/>
        <v>-</v>
      </c>
      <c r="AK202" s="162" t="str">
        <f>IFERROR(((N202/0.0185*0.000318)/#REF!),"-")</f>
        <v>-</v>
      </c>
      <c r="AL202" s="162" t="str">
        <f t="shared" si="42"/>
        <v>-</v>
      </c>
      <c r="AM202" s="162" t="str">
        <f>IFERROR(((S202/0.0185*0.000318)/#REF!),"-")</f>
        <v>-</v>
      </c>
      <c r="AN202" s="164"/>
      <c r="AO202" s="164"/>
      <c r="AP202" s="166"/>
      <c r="AQ202" s="161" t="str">
        <f>IFERROR(('REKAPAN OKEY AYAM'!$AD22),"-")</f>
        <v>-</v>
      </c>
      <c r="AR202" s="161" t="str">
        <f>IFERROR(('REKAPAN CHAMP AYAM'!$AD22),"-")</f>
        <v>-</v>
      </c>
      <c r="AS202" s="161" t="str">
        <f>IFERROR(('REKAPAN CHAMP SAPI'!$AD22),"-")</f>
        <v>-</v>
      </c>
      <c r="AT202" s="161" t="str">
        <f>IFERROR(('REKAPAN CHAMP OTAK-OTAK'!$AD22),"-")</f>
        <v>-</v>
      </c>
      <c r="AU202" s="161" t="str">
        <f>IFERROR(('REKAPAN FIESTA'!$AD22),"-")</f>
        <v>-</v>
      </c>
    </row>
    <row r="203" spans="1:47">
      <c r="A203" s="471">
        <f>+$A202</f>
        <v>46222</v>
      </c>
      <c r="B203" s="497"/>
      <c r="C203" s="426"/>
      <c r="D203" s="427">
        <f t="shared" si="254"/>
        <v>0</v>
      </c>
      <c r="E203" s="428">
        <f t="shared" si="291"/>
        <v>0</v>
      </c>
      <c r="F203" s="428">
        <f t="shared" si="292"/>
        <v>0</v>
      </c>
      <c r="G203" s="428">
        <f t="shared" si="329"/>
        <v>0</v>
      </c>
      <c r="H203" s="429"/>
      <c r="I203" s="430">
        <f t="shared" si="287"/>
        <v>0</v>
      </c>
      <c r="J203" s="431">
        <f t="shared" si="330"/>
        <v>0</v>
      </c>
      <c r="K203" s="431">
        <f t="shared" si="295"/>
        <v>0</v>
      </c>
      <c r="L203" s="431">
        <f t="shared" si="332"/>
        <v>0</v>
      </c>
      <c r="M203" s="432"/>
      <c r="N203" s="433">
        <f t="shared" si="236"/>
        <v>0</v>
      </c>
      <c r="O203" s="434">
        <f t="shared" si="333"/>
        <v>0</v>
      </c>
      <c r="P203" s="434">
        <f t="shared" si="234"/>
        <v>0</v>
      </c>
      <c r="Q203" s="434">
        <f t="shared" si="335"/>
        <v>0</v>
      </c>
      <c r="R203" s="435"/>
      <c r="S203" s="436">
        <f t="shared" si="237"/>
        <v>0</v>
      </c>
      <c r="T203" s="437">
        <f t="shared" si="336"/>
        <v>0</v>
      </c>
      <c r="U203" s="437">
        <f t="shared" si="235"/>
        <v>0</v>
      </c>
      <c r="V203" s="437">
        <f t="shared" si="338"/>
        <v>0</v>
      </c>
      <c r="W203" s="300"/>
      <c r="X203" s="131"/>
      <c r="Y203" s="131"/>
      <c r="Z203" s="162"/>
      <c r="AA203" s="162"/>
      <c r="AB203" s="162"/>
      <c r="AC203" s="162"/>
      <c r="AD203" s="162"/>
      <c r="AE203" s="163"/>
      <c r="AF203" s="162"/>
      <c r="AG203" s="162"/>
      <c r="AH203" s="162"/>
      <c r="AI203" s="162"/>
      <c r="AJ203" s="162"/>
      <c r="AK203" s="162"/>
      <c r="AL203" s="162"/>
      <c r="AM203" s="162"/>
      <c r="AN203" s="164"/>
      <c r="AO203" s="164"/>
      <c r="AP203" s="166"/>
      <c r="AQ203" s="161"/>
      <c r="AR203" s="161"/>
      <c r="AS203" s="161"/>
      <c r="AT203" s="161"/>
      <c r="AU203" s="161"/>
    </row>
    <row r="204" spans="1:47">
      <c r="A204" s="471">
        <f t="shared" ref="A204:A211" si="339">+$A203</f>
        <v>46222</v>
      </c>
      <c r="B204" s="497"/>
      <c r="C204" s="426"/>
      <c r="D204" s="427">
        <f t="shared" si="254"/>
        <v>0</v>
      </c>
      <c r="E204" s="428">
        <f t="shared" si="291"/>
        <v>0</v>
      </c>
      <c r="F204" s="428">
        <f t="shared" si="292"/>
        <v>0</v>
      </c>
      <c r="G204" s="428">
        <f t="shared" si="329"/>
        <v>0</v>
      </c>
      <c r="H204" s="429"/>
      <c r="I204" s="430">
        <f t="shared" si="287"/>
        <v>0</v>
      </c>
      <c r="J204" s="431">
        <f t="shared" si="330"/>
        <v>0</v>
      </c>
      <c r="K204" s="431">
        <f t="shared" si="295"/>
        <v>0</v>
      </c>
      <c r="L204" s="431">
        <f t="shared" si="332"/>
        <v>0</v>
      </c>
      <c r="M204" s="432"/>
      <c r="N204" s="433">
        <f t="shared" si="236"/>
        <v>0</v>
      </c>
      <c r="O204" s="434">
        <f t="shared" si="333"/>
        <v>0</v>
      </c>
      <c r="P204" s="434">
        <f t="shared" si="234"/>
        <v>0</v>
      </c>
      <c r="Q204" s="434">
        <f t="shared" si="335"/>
        <v>0</v>
      </c>
      <c r="R204" s="435"/>
      <c r="S204" s="436">
        <f t="shared" si="237"/>
        <v>0</v>
      </c>
      <c r="T204" s="437">
        <f t="shared" si="336"/>
        <v>0</v>
      </c>
      <c r="U204" s="437">
        <f t="shared" si="235"/>
        <v>0</v>
      </c>
      <c r="V204" s="437">
        <f t="shared" si="338"/>
        <v>0</v>
      </c>
      <c r="W204" s="300"/>
      <c r="X204" s="131"/>
      <c r="Y204" s="131"/>
      <c r="Z204" s="162"/>
      <c r="AA204" s="162"/>
      <c r="AB204" s="162"/>
      <c r="AC204" s="162"/>
      <c r="AD204" s="162"/>
      <c r="AE204" s="163"/>
      <c r="AF204" s="162"/>
      <c r="AG204" s="162"/>
      <c r="AH204" s="162"/>
      <c r="AI204" s="162"/>
      <c r="AJ204" s="162"/>
      <c r="AK204" s="162"/>
      <c r="AL204" s="162"/>
      <c r="AM204" s="162"/>
      <c r="AN204" s="164"/>
      <c r="AO204" s="164"/>
      <c r="AP204" s="166"/>
      <c r="AQ204" s="161"/>
      <c r="AR204" s="161"/>
      <c r="AS204" s="161"/>
      <c r="AT204" s="161"/>
      <c r="AU204" s="161"/>
    </row>
    <row r="205" spans="1:47">
      <c r="A205" s="471">
        <f t="shared" si="339"/>
        <v>46222</v>
      </c>
      <c r="B205" s="497"/>
      <c r="C205" s="426"/>
      <c r="D205" s="427">
        <f t="shared" si="254"/>
        <v>0</v>
      </c>
      <c r="E205" s="428">
        <f t="shared" si="291"/>
        <v>0</v>
      </c>
      <c r="F205" s="428">
        <f t="shared" si="292"/>
        <v>0</v>
      </c>
      <c r="G205" s="428">
        <f t="shared" si="329"/>
        <v>0</v>
      </c>
      <c r="H205" s="429"/>
      <c r="I205" s="430">
        <f t="shared" si="287"/>
        <v>0</v>
      </c>
      <c r="J205" s="431">
        <f t="shared" si="330"/>
        <v>0</v>
      </c>
      <c r="K205" s="431">
        <f t="shared" si="295"/>
        <v>0</v>
      </c>
      <c r="L205" s="431">
        <f t="shared" si="332"/>
        <v>0</v>
      </c>
      <c r="M205" s="432"/>
      <c r="N205" s="433">
        <f t="shared" si="236"/>
        <v>0</v>
      </c>
      <c r="O205" s="434">
        <f t="shared" si="333"/>
        <v>0</v>
      </c>
      <c r="P205" s="434">
        <f t="shared" si="234"/>
        <v>0</v>
      </c>
      <c r="Q205" s="434">
        <f t="shared" si="335"/>
        <v>0</v>
      </c>
      <c r="R205" s="435"/>
      <c r="S205" s="436">
        <f t="shared" si="237"/>
        <v>0</v>
      </c>
      <c r="T205" s="437">
        <f t="shared" si="336"/>
        <v>0</v>
      </c>
      <c r="U205" s="437">
        <f t="shared" si="235"/>
        <v>0</v>
      </c>
      <c r="V205" s="437">
        <f t="shared" si="338"/>
        <v>0</v>
      </c>
      <c r="W205" s="300"/>
      <c r="X205" s="131"/>
      <c r="Y205" s="131"/>
      <c r="Z205" s="162"/>
      <c r="AA205" s="162"/>
      <c r="AB205" s="162"/>
      <c r="AC205" s="162"/>
      <c r="AD205" s="162"/>
      <c r="AE205" s="163"/>
      <c r="AF205" s="162"/>
      <c r="AG205" s="162"/>
      <c r="AH205" s="162"/>
      <c r="AI205" s="162"/>
      <c r="AJ205" s="162"/>
      <c r="AK205" s="162"/>
      <c r="AL205" s="162"/>
      <c r="AM205" s="162"/>
      <c r="AN205" s="164"/>
      <c r="AO205" s="164"/>
      <c r="AP205" s="166"/>
      <c r="AQ205" s="161"/>
      <c r="AR205" s="161"/>
      <c r="AS205" s="161"/>
      <c r="AT205" s="161"/>
      <c r="AU205" s="161"/>
    </row>
    <row r="206" spans="1:47">
      <c r="A206" s="471">
        <f t="shared" si="339"/>
        <v>46222</v>
      </c>
      <c r="B206" s="497"/>
      <c r="C206" s="426"/>
      <c r="D206" s="427">
        <f t="shared" si="254"/>
        <v>0</v>
      </c>
      <c r="E206" s="428">
        <f t="shared" si="291"/>
        <v>0</v>
      </c>
      <c r="F206" s="428">
        <f t="shared" si="292"/>
        <v>0</v>
      </c>
      <c r="G206" s="428">
        <f t="shared" si="329"/>
        <v>0</v>
      </c>
      <c r="H206" s="429"/>
      <c r="I206" s="430">
        <f t="shared" si="287"/>
        <v>0</v>
      </c>
      <c r="J206" s="431">
        <f t="shared" si="330"/>
        <v>0</v>
      </c>
      <c r="K206" s="431">
        <f t="shared" si="295"/>
        <v>0</v>
      </c>
      <c r="L206" s="431">
        <f t="shared" si="332"/>
        <v>0</v>
      </c>
      <c r="M206" s="432"/>
      <c r="N206" s="433">
        <f t="shared" si="236"/>
        <v>0</v>
      </c>
      <c r="O206" s="434">
        <f t="shared" si="333"/>
        <v>0</v>
      </c>
      <c r="P206" s="434">
        <f t="shared" si="234"/>
        <v>0</v>
      </c>
      <c r="Q206" s="434">
        <f t="shared" si="335"/>
        <v>0</v>
      </c>
      <c r="R206" s="435"/>
      <c r="S206" s="436">
        <f t="shared" si="237"/>
        <v>0</v>
      </c>
      <c r="T206" s="437">
        <f t="shared" si="336"/>
        <v>0</v>
      </c>
      <c r="U206" s="437">
        <f t="shared" si="235"/>
        <v>0</v>
      </c>
      <c r="V206" s="437">
        <f t="shared" si="338"/>
        <v>0</v>
      </c>
      <c r="W206" s="300"/>
      <c r="X206" s="131"/>
      <c r="Y206" s="131"/>
      <c r="Z206" s="162"/>
      <c r="AA206" s="162"/>
      <c r="AB206" s="162"/>
      <c r="AC206" s="162"/>
      <c r="AD206" s="162"/>
      <c r="AE206" s="163"/>
      <c r="AF206" s="162"/>
      <c r="AG206" s="162"/>
      <c r="AH206" s="162"/>
      <c r="AI206" s="162"/>
      <c r="AJ206" s="162"/>
      <c r="AK206" s="162"/>
      <c r="AL206" s="162"/>
      <c r="AM206" s="162"/>
      <c r="AN206" s="164"/>
      <c r="AO206" s="164"/>
      <c r="AP206" s="166"/>
      <c r="AQ206" s="161"/>
      <c r="AR206" s="161"/>
      <c r="AS206" s="161"/>
      <c r="AT206" s="161"/>
      <c r="AU206" s="161"/>
    </row>
    <row r="207" spans="1:47">
      <c r="A207" s="471">
        <f t="shared" si="339"/>
        <v>46222</v>
      </c>
      <c r="B207" s="497"/>
      <c r="C207" s="426"/>
      <c r="D207" s="427">
        <f t="shared" si="254"/>
        <v>0</v>
      </c>
      <c r="E207" s="428">
        <f t="shared" si="291"/>
        <v>0</v>
      </c>
      <c r="F207" s="428">
        <f t="shared" si="292"/>
        <v>0</v>
      </c>
      <c r="G207" s="428">
        <f t="shared" si="329"/>
        <v>0</v>
      </c>
      <c r="H207" s="429"/>
      <c r="I207" s="430">
        <f t="shared" si="287"/>
        <v>0</v>
      </c>
      <c r="J207" s="431">
        <f t="shared" si="330"/>
        <v>0</v>
      </c>
      <c r="K207" s="431">
        <f t="shared" si="295"/>
        <v>0</v>
      </c>
      <c r="L207" s="431">
        <f t="shared" si="332"/>
        <v>0</v>
      </c>
      <c r="M207" s="432"/>
      <c r="N207" s="433">
        <f t="shared" si="236"/>
        <v>0</v>
      </c>
      <c r="O207" s="434">
        <f t="shared" si="333"/>
        <v>0</v>
      </c>
      <c r="P207" s="434">
        <f t="shared" ref="P207:P270" si="340">+O207/1500</f>
        <v>0</v>
      </c>
      <c r="Q207" s="434">
        <f t="shared" si="335"/>
        <v>0</v>
      </c>
      <c r="R207" s="435"/>
      <c r="S207" s="436">
        <f t="shared" si="237"/>
        <v>0</v>
      </c>
      <c r="T207" s="437">
        <f t="shared" si="336"/>
        <v>0</v>
      </c>
      <c r="U207" s="437">
        <f t="shared" ref="U207:U270" si="341">+T207/1500</f>
        <v>0</v>
      </c>
      <c r="V207" s="437">
        <f t="shared" si="338"/>
        <v>0</v>
      </c>
      <c r="W207" s="300"/>
      <c r="X207" s="131"/>
      <c r="Y207" s="131"/>
      <c r="Z207" s="162"/>
      <c r="AA207" s="162"/>
      <c r="AB207" s="162"/>
      <c r="AC207" s="162"/>
      <c r="AD207" s="162"/>
      <c r="AE207" s="163"/>
      <c r="AF207" s="162"/>
      <c r="AG207" s="162"/>
      <c r="AH207" s="162"/>
      <c r="AI207" s="162"/>
      <c r="AJ207" s="162"/>
      <c r="AK207" s="162"/>
      <c r="AL207" s="162"/>
      <c r="AM207" s="162"/>
      <c r="AN207" s="164"/>
      <c r="AO207" s="164"/>
      <c r="AP207" s="166"/>
      <c r="AQ207" s="161"/>
      <c r="AR207" s="161"/>
      <c r="AS207" s="161"/>
      <c r="AT207" s="161"/>
      <c r="AU207" s="161"/>
    </row>
    <row r="208" spans="1:47">
      <c r="A208" s="471">
        <f t="shared" si="339"/>
        <v>46222</v>
      </c>
      <c r="B208" s="497"/>
      <c r="C208" s="426"/>
      <c r="D208" s="427">
        <f t="shared" si="254"/>
        <v>0</v>
      </c>
      <c r="E208" s="428">
        <f t="shared" si="291"/>
        <v>0</v>
      </c>
      <c r="F208" s="428">
        <f t="shared" si="292"/>
        <v>0</v>
      </c>
      <c r="G208" s="428">
        <f t="shared" si="329"/>
        <v>0</v>
      </c>
      <c r="H208" s="429"/>
      <c r="I208" s="430">
        <f t="shared" si="287"/>
        <v>0</v>
      </c>
      <c r="J208" s="431">
        <f t="shared" si="330"/>
        <v>0</v>
      </c>
      <c r="K208" s="431">
        <f t="shared" si="295"/>
        <v>0</v>
      </c>
      <c r="L208" s="431">
        <f t="shared" si="332"/>
        <v>0</v>
      </c>
      <c r="M208" s="432"/>
      <c r="N208" s="433">
        <f t="shared" ref="N208:N271" si="342">+M208*3.276</f>
        <v>0</v>
      </c>
      <c r="O208" s="434">
        <f t="shared" si="333"/>
        <v>0</v>
      </c>
      <c r="P208" s="434">
        <f t="shared" si="340"/>
        <v>0</v>
      </c>
      <c r="Q208" s="434">
        <f t="shared" si="335"/>
        <v>0</v>
      </c>
      <c r="R208" s="435"/>
      <c r="S208" s="436">
        <f t="shared" ref="S208:S271" si="343">+R208*3.276</f>
        <v>0</v>
      </c>
      <c r="T208" s="437">
        <f t="shared" si="336"/>
        <v>0</v>
      </c>
      <c r="U208" s="437">
        <f t="shared" si="341"/>
        <v>0</v>
      </c>
      <c r="V208" s="437">
        <f t="shared" si="338"/>
        <v>0</v>
      </c>
      <c r="W208" s="300"/>
      <c r="X208" s="131"/>
      <c r="Y208" s="131"/>
      <c r="Z208" s="162"/>
      <c r="AA208" s="162"/>
      <c r="AB208" s="162"/>
      <c r="AC208" s="162"/>
      <c r="AD208" s="162"/>
      <c r="AE208" s="163"/>
      <c r="AF208" s="162"/>
      <c r="AG208" s="162"/>
      <c r="AH208" s="162"/>
      <c r="AI208" s="162"/>
      <c r="AJ208" s="162"/>
      <c r="AK208" s="162"/>
      <c r="AL208" s="162"/>
      <c r="AM208" s="162"/>
      <c r="AN208" s="164"/>
      <c r="AO208" s="164"/>
      <c r="AP208" s="166"/>
      <c r="AQ208" s="161"/>
      <c r="AR208" s="161"/>
      <c r="AS208" s="161"/>
      <c r="AT208" s="161"/>
      <c r="AU208" s="161"/>
    </row>
    <row r="209" spans="1:47">
      <c r="A209" s="471">
        <f t="shared" si="339"/>
        <v>46222</v>
      </c>
      <c r="B209" s="497"/>
      <c r="C209" s="426"/>
      <c r="D209" s="427">
        <f t="shared" si="254"/>
        <v>0</v>
      </c>
      <c r="E209" s="428">
        <f t="shared" si="291"/>
        <v>0</v>
      </c>
      <c r="F209" s="428">
        <f t="shared" si="292"/>
        <v>0</v>
      </c>
      <c r="G209" s="428">
        <f t="shared" si="329"/>
        <v>0</v>
      </c>
      <c r="H209" s="429"/>
      <c r="I209" s="430">
        <f t="shared" si="287"/>
        <v>0</v>
      </c>
      <c r="J209" s="431">
        <f t="shared" si="330"/>
        <v>0</v>
      </c>
      <c r="K209" s="431">
        <f t="shared" si="295"/>
        <v>0</v>
      </c>
      <c r="L209" s="431">
        <f t="shared" si="332"/>
        <v>0</v>
      </c>
      <c r="M209" s="432"/>
      <c r="N209" s="433">
        <f t="shared" si="342"/>
        <v>0</v>
      </c>
      <c r="O209" s="434">
        <f t="shared" si="333"/>
        <v>0</v>
      </c>
      <c r="P209" s="434">
        <f t="shared" si="340"/>
        <v>0</v>
      </c>
      <c r="Q209" s="434">
        <f t="shared" si="335"/>
        <v>0</v>
      </c>
      <c r="R209" s="435"/>
      <c r="S209" s="436">
        <f t="shared" si="343"/>
        <v>0</v>
      </c>
      <c r="T209" s="437">
        <f t="shared" si="336"/>
        <v>0</v>
      </c>
      <c r="U209" s="437">
        <f t="shared" si="341"/>
        <v>0</v>
      </c>
      <c r="V209" s="437">
        <f t="shared" si="338"/>
        <v>0</v>
      </c>
      <c r="W209" s="300"/>
      <c r="X209" s="131"/>
      <c r="Y209" s="131"/>
      <c r="Z209" s="162"/>
      <c r="AA209" s="162"/>
      <c r="AB209" s="162"/>
      <c r="AC209" s="162"/>
      <c r="AD209" s="162"/>
      <c r="AE209" s="163"/>
      <c r="AF209" s="162"/>
      <c r="AG209" s="162"/>
      <c r="AH209" s="162"/>
      <c r="AI209" s="162"/>
      <c r="AJ209" s="162"/>
      <c r="AK209" s="162"/>
      <c r="AL209" s="162"/>
      <c r="AM209" s="162"/>
      <c r="AN209" s="164"/>
      <c r="AO209" s="164"/>
      <c r="AP209" s="166"/>
      <c r="AQ209" s="161"/>
      <c r="AR209" s="161"/>
      <c r="AS209" s="161"/>
      <c r="AT209" s="161"/>
      <c r="AU209" s="161"/>
    </row>
    <row r="210" spans="1:47">
      <c r="A210" s="471">
        <f t="shared" si="339"/>
        <v>46222</v>
      </c>
      <c r="B210" s="497"/>
      <c r="C210" s="426"/>
      <c r="D210" s="427">
        <f t="shared" si="254"/>
        <v>0</v>
      </c>
      <c r="E210" s="428">
        <f t="shared" si="291"/>
        <v>0</v>
      </c>
      <c r="F210" s="428">
        <f t="shared" si="292"/>
        <v>0</v>
      </c>
      <c r="G210" s="428">
        <f t="shared" si="329"/>
        <v>0</v>
      </c>
      <c r="H210" s="429"/>
      <c r="I210" s="430">
        <f t="shared" si="287"/>
        <v>0</v>
      </c>
      <c r="J210" s="431">
        <f t="shared" si="330"/>
        <v>0</v>
      </c>
      <c r="K210" s="431">
        <f t="shared" si="295"/>
        <v>0</v>
      </c>
      <c r="L210" s="431">
        <f t="shared" si="332"/>
        <v>0</v>
      </c>
      <c r="M210" s="432"/>
      <c r="N210" s="433">
        <f t="shared" si="342"/>
        <v>0</v>
      </c>
      <c r="O210" s="434">
        <f t="shared" si="333"/>
        <v>0</v>
      </c>
      <c r="P210" s="434">
        <f t="shared" si="340"/>
        <v>0</v>
      </c>
      <c r="Q210" s="434">
        <f t="shared" si="335"/>
        <v>0</v>
      </c>
      <c r="R210" s="435"/>
      <c r="S210" s="436">
        <f t="shared" si="343"/>
        <v>0</v>
      </c>
      <c r="T210" s="437">
        <f t="shared" si="336"/>
        <v>0</v>
      </c>
      <c r="U210" s="437">
        <f t="shared" si="341"/>
        <v>0</v>
      </c>
      <c r="V210" s="437">
        <f t="shared" si="338"/>
        <v>0</v>
      </c>
      <c r="W210" s="300"/>
      <c r="X210" s="131"/>
      <c r="Y210" s="131"/>
      <c r="Z210" s="162"/>
      <c r="AA210" s="162"/>
      <c r="AB210" s="162"/>
      <c r="AC210" s="162"/>
      <c r="AD210" s="162"/>
      <c r="AE210" s="163"/>
      <c r="AF210" s="162"/>
      <c r="AG210" s="162"/>
      <c r="AH210" s="162"/>
      <c r="AI210" s="162"/>
      <c r="AJ210" s="162"/>
      <c r="AK210" s="162"/>
      <c r="AL210" s="162"/>
      <c r="AM210" s="162"/>
      <c r="AN210" s="164"/>
      <c r="AO210" s="164"/>
      <c r="AP210" s="166"/>
      <c r="AQ210" s="161"/>
      <c r="AR210" s="161"/>
      <c r="AS210" s="161"/>
      <c r="AT210" s="161"/>
      <c r="AU210" s="161"/>
    </row>
    <row r="211" spans="1:47">
      <c r="A211" s="471">
        <f t="shared" si="339"/>
        <v>46222</v>
      </c>
      <c r="B211" s="497"/>
      <c r="C211" s="426"/>
      <c r="D211" s="427">
        <f t="shared" si="254"/>
        <v>0</v>
      </c>
      <c r="E211" s="428">
        <f t="shared" si="291"/>
        <v>0</v>
      </c>
      <c r="F211" s="428">
        <f t="shared" si="292"/>
        <v>0</v>
      </c>
      <c r="G211" s="428">
        <f t="shared" si="329"/>
        <v>0</v>
      </c>
      <c r="H211" s="429"/>
      <c r="I211" s="430">
        <f t="shared" si="287"/>
        <v>0</v>
      </c>
      <c r="J211" s="431">
        <f t="shared" si="330"/>
        <v>0</v>
      </c>
      <c r="K211" s="431">
        <f t="shared" si="295"/>
        <v>0</v>
      </c>
      <c r="L211" s="431">
        <f t="shared" si="332"/>
        <v>0</v>
      </c>
      <c r="M211" s="432"/>
      <c r="N211" s="433">
        <f t="shared" si="342"/>
        <v>0</v>
      </c>
      <c r="O211" s="434">
        <f t="shared" si="333"/>
        <v>0</v>
      </c>
      <c r="P211" s="434">
        <f t="shared" si="340"/>
        <v>0</v>
      </c>
      <c r="Q211" s="434">
        <f t="shared" si="335"/>
        <v>0</v>
      </c>
      <c r="R211" s="435"/>
      <c r="S211" s="436">
        <f t="shared" si="343"/>
        <v>0</v>
      </c>
      <c r="T211" s="437">
        <f t="shared" si="336"/>
        <v>0</v>
      </c>
      <c r="U211" s="437">
        <f t="shared" si="341"/>
        <v>0</v>
      </c>
      <c r="V211" s="437">
        <f t="shared" si="338"/>
        <v>0</v>
      </c>
      <c r="W211" s="300"/>
      <c r="X211" s="131"/>
      <c r="Y211" s="131"/>
      <c r="Z211" s="162"/>
      <c r="AA211" s="162"/>
      <c r="AB211" s="162"/>
      <c r="AC211" s="162"/>
      <c r="AD211" s="162"/>
      <c r="AE211" s="163"/>
      <c r="AF211" s="162"/>
      <c r="AG211" s="162"/>
      <c r="AH211" s="162"/>
      <c r="AI211" s="162"/>
      <c r="AJ211" s="162"/>
      <c r="AK211" s="162"/>
      <c r="AL211" s="162"/>
      <c r="AM211" s="162"/>
      <c r="AN211" s="164"/>
      <c r="AO211" s="164"/>
      <c r="AP211" s="166"/>
      <c r="AQ211" s="161"/>
      <c r="AR211" s="161"/>
      <c r="AS211" s="161"/>
      <c r="AT211" s="161"/>
      <c r="AU211" s="161"/>
    </row>
    <row r="212" spans="1:47" ht="14.25">
      <c r="A212" s="471"/>
      <c r="B212" s="498" t="s">
        <v>118</v>
      </c>
      <c r="C212" s="438">
        <f>SUM(C202:C211)</f>
        <v>0</v>
      </c>
      <c r="D212" s="439">
        <f t="shared" si="254"/>
        <v>0</v>
      </c>
      <c r="E212" s="438">
        <f t="shared" ref="E212:H212" si="344">SUM(E202:E211)</f>
        <v>0</v>
      </c>
      <c r="F212" s="463">
        <f t="shared" si="344"/>
        <v>0</v>
      </c>
      <c r="G212" s="463">
        <f t="shared" si="344"/>
        <v>0</v>
      </c>
      <c r="H212" s="440">
        <f t="shared" si="344"/>
        <v>0</v>
      </c>
      <c r="I212" s="441">
        <f t="shared" si="287"/>
        <v>0</v>
      </c>
      <c r="J212" s="440">
        <f t="shared" ref="J212:L212" si="345">SUM(J202:J211)</f>
        <v>0</v>
      </c>
      <c r="K212" s="466">
        <f t="shared" si="345"/>
        <v>0</v>
      </c>
      <c r="L212" s="466">
        <f t="shared" si="345"/>
        <v>0</v>
      </c>
      <c r="M212" s="442">
        <f t="shared" ref="M212" si="346">SUM(M202:M211)</f>
        <v>0</v>
      </c>
      <c r="N212" s="443">
        <f t="shared" si="342"/>
        <v>0</v>
      </c>
      <c r="O212" s="442">
        <f t="shared" ref="O212:R212" si="347">SUM(O202:O211)</f>
        <v>0</v>
      </c>
      <c r="P212" s="468">
        <f t="shared" si="347"/>
        <v>0</v>
      </c>
      <c r="Q212" s="468">
        <f t="shared" si="347"/>
        <v>0</v>
      </c>
      <c r="R212" s="444">
        <f t="shared" si="347"/>
        <v>0</v>
      </c>
      <c r="S212" s="445">
        <f t="shared" si="343"/>
        <v>0</v>
      </c>
      <c r="T212" s="444">
        <f t="shared" ref="T212:V212" si="348">SUM(T202:T211)</f>
        <v>0</v>
      </c>
      <c r="U212" s="470">
        <f t="shared" si="348"/>
        <v>0</v>
      </c>
      <c r="V212" s="470">
        <f t="shared" si="348"/>
        <v>0</v>
      </c>
      <c r="W212" s="300"/>
      <c r="X212" s="131"/>
      <c r="Y212" s="131"/>
      <c r="Z212" s="162"/>
      <c r="AA212" s="162"/>
      <c r="AB212" s="162"/>
      <c r="AC212" s="162"/>
      <c r="AD212" s="162"/>
      <c r="AE212" s="163"/>
      <c r="AF212" s="162"/>
      <c r="AG212" s="162"/>
      <c r="AH212" s="162"/>
      <c r="AI212" s="162"/>
      <c r="AJ212" s="162"/>
      <c r="AK212" s="162"/>
      <c r="AL212" s="162"/>
      <c r="AM212" s="162"/>
      <c r="AN212" s="164"/>
      <c r="AO212" s="164"/>
      <c r="AP212" s="166"/>
      <c r="AQ212" s="161"/>
      <c r="AR212" s="161"/>
      <c r="AS212" s="161"/>
      <c r="AT212" s="161"/>
      <c r="AU212" s="161"/>
    </row>
    <row r="213" spans="1:47">
      <c r="A213" s="472">
        <f>+A202+1</f>
        <v>46223</v>
      </c>
      <c r="B213" s="497" t="s">
        <v>284</v>
      </c>
      <c r="C213" s="426">
        <v>401</v>
      </c>
      <c r="D213" s="427">
        <f t="shared" si="254"/>
        <v>1553.875</v>
      </c>
      <c r="E213" s="428">
        <f t="shared" ref="E213" si="349">+D213/0.0125*0.125</f>
        <v>15538.75</v>
      </c>
      <c r="F213" s="428">
        <f t="shared" ref="F213" si="350">+E213/1500</f>
        <v>10.359166666666667</v>
      </c>
      <c r="G213" s="428">
        <f t="shared" ref="G213:G222" si="351">+D213/0.0125*0.000318</f>
        <v>39.53058</v>
      </c>
      <c r="H213" s="429"/>
      <c r="I213" s="430">
        <f t="shared" si="287"/>
        <v>0</v>
      </c>
      <c r="J213" s="431">
        <f t="shared" ref="J213:J222" si="352">+I213/0.0185*0.185</f>
        <v>0</v>
      </c>
      <c r="K213" s="431">
        <f t="shared" ref="K213" si="353">+J213/1500</f>
        <v>0</v>
      </c>
      <c r="L213" s="431">
        <f t="shared" ref="L213:L222" si="354">+I213/0.0185*0.000318</f>
        <v>0</v>
      </c>
      <c r="M213" s="432"/>
      <c r="N213" s="433">
        <f t="shared" si="342"/>
        <v>0</v>
      </c>
      <c r="O213" s="434">
        <f t="shared" ref="O213:O222" si="355">+N213/0.0185*0.185</f>
        <v>0</v>
      </c>
      <c r="P213" s="434">
        <f t="shared" ref="P213" si="356">+O213/1500</f>
        <v>0</v>
      </c>
      <c r="Q213" s="434">
        <f t="shared" ref="Q213:Q222" si="357">+N213/0.0185*0.000318</f>
        <v>0</v>
      </c>
      <c r="R213" s="435"/>
      <c r="S213" s="436">
        <f t="shared" si="343"/>
        <v>0</v>
      </c>
      <c r="T213" s="437">
        <f t="shared" ref="T213:T222" si="358">+S213/0.0185*0.185</f>
        <v>0</v>
      </c>
      <c r="U213" s="437">
        <f t="shared" ref="U213" si="359">+T213/1500</f>
        <v>0</v>
      </c>
      <c r="V213" s="437">
        <f t="shared" ref="V213:V222" si="360">+S213/0.0185*0.000318</f>
        <v>0</v>
      </c>
      <c r="W213" s="300"/>
      <c r="X213" s="131">
        <f>+W213*2.4</f>
        <v>0</v>
      </c>
      <c r="Z213" s="162">
        <f>IFERROR((D213/'REKAPAN OKEY AYAM'!$AC23),"-")</f>
        <v>0.98428750601768566</v>
      </c>
      <c r="AA213" s="162" t="str">
        <f>IFERROR((I213/'REKAPAN CHAMP AYAM'!$AC23),"-")</f>
        <v>-</v>
      </c>
      <c r="AB213" s="162" t="str">
        <f>IFERROR((N213/'REKAPAN CHAMP SAPI'!AC23),"-")</f>
        <v>-</v>
      </c>
      <c r="AC213" s="162" t="str">
        <f>IFERROR((S213/'REKAPAN CHAMP OTAK-OTAK'!AC23),"-")</f>
        <v>-</v>
      </c>
      <c r="AD213" s="162" t="str">
        <f>IFERROR((X213/'REKAPAN FIESTA'!AC23),"-")</f>
        <v>-</v>
      </c>
      <c r="AE213" s="163"/>
      <c r="AF213" s="162">
        <f t="shared" si="39"/>
        <v>1500</v>
      </c>
      <c r="AG213" s="162" t="str">
        <f>IFERROR(((D213/0.0125*0.000318)/#REF!),"-")</f>
        <v>-</v>
      </c>
      <c r="AH213" s="162" t="str">
        <f t="shared" si="40"/>
        <v>-</v>
      </c>
      <c r="AI213" s="162" t="str">
        <f>IFERROR(((I213/0.0185*0.000318)/#REF!),"-")</f>
        <v>-</v>
      </c>
      <c r="AJ213" s="162" t="str">
        <f t="shared" si="41"/>
        <v>-</v>
      </c>
      <c r="AK213" s="162" t="str">
        <f>IFERROR(((N213/0.0185*0.000318)/#REF!),"-")</f>
        <v>-</v>
      </c>
      <c r="AL213" s="162" t="str">
        <f t="shared" si="42"/>
        <v>-</v>
      </c>
      <c r="AM213" s="162" t="str">
        <f>IFERROR(((S213/0.0185*0.000318)/#REF!),"-")</f>
        <v>-</v>
      </c>
      <c r="AN213" s="164"/>
      <c r="AO213" s="164"/>
      <c r="AP213" s="166"/>
      <c r="AQ213" s="161">
        <f>IFERROR(('REKAPAN OKEY AYAM'!$AD23),"-")</f>
        <v>0.94255960676007799</v>
      </c>
      <c r="AR213" s="161" t="str">
        <f>IFERROR(('REKAPAN CHAMP AYAM'!$AD23),"-")</f>
        <v>-</v>
      </c>
      <c r="AS213" s="161" t="str">
        <f>IFERROR(('REKAPAN CHAMP SAPI'!$AD23),"-")</f>
        <v>-</v>
      </c>
      <c r="AT213" s="161" t="str">
        <f>IFERROR(('REKAPAN CHAMP OTAK-OTAK'!$AD23),"-")</f>
        <v>-</v>
      </c>
      <c r="AU213" s="161" t="str">
        <f>IFERROR(('REKAPAN FIESTA'!$AD23),"-")</f>
        <v>-</v>
      </c>
    </row>
    <row r="214" spans="1:47">
      <c r="A214" s="471">
        <f>+$A213</f>
        <v>46223</v>
      </c>
      <c r="B214" s="497"/>
      <c r="C214" s="426"/>
      <c r="D214" s="427">
        <f t="shared" si="254"/>
        <v>0</v>
      </c>
      <c r="E214" s="428">
        <f t="shared" si="291"/>
        <v>0</v>
      </c>
      <c r="F214" s="428">
        <f t="shared" si="292"/>
        <v>0</v>
      </c>
      <c r="G214" s="428">
        <f t="shared" si="351"/>
        <v>0</v>
      </c>
      <c r="H214" s="429"/>
      <c r="I214" s="430">
        <f t="shared" si="287"/>
        <v>0</v>
      </c>
      <c r="J214" s="431">
        <f t="shared" si="352"/>
        <v>0</v>
      </c>
      <c r="K214" s="431">
        <f t="shared" si="295"/>
        <v>0</v>
      </c>
      <c r="L214" s="431">
        <f t="shared" si="354"/>
        <v>0</v>
      </c>
      <c r="M214" s="432"/>
      <c r="N214" s="433">
        <f t="shared" si="342"/>
        <v>0</v>
      </c>
      <c r="O214" s="434">
        <f t="shared" si="355"/>
        <v>0</v>
      </c>
      <c r="P214" s="434">
        <f t="shared" si="340"/>
        <v>0</v>
      </c>
      <c r="Q214" s="434">
        <f t="shared" si="357"/>
        <v>0</v>
      </c>
      <c r="R214" s="435"/>
      <c r="S214" s="436">
        <f t="shared" si="343"/>
        <v>0</v>
      </c>
      <c r="T214" s="437">
        <f t="shared" si="358"/>
        <v>0</v>
      </c>
      <c r="U214" s="437">
        <f t="shared" si="341"/>
        <v>0</v>
      </c>
      <c r="V214" s="437">
        <f t="shared" si="360"/>
        <v>0</v>
      </c>
      <c r="W214" s="300"/>
      <c r="X214" s="131"/>
      <c r="Z214" s="162"/>
      <c r="AA214" s="162"/>
      <c r="AB214" s="162"/>
      <c r="AC214" s="162"/>
      <c r="AD214" s="162"/>
      <c r="AE214" s="163"/>
      <c r="AF214" s="162"/>
      <c r="AG214" s="162"/>
      <c r="AH214" s="162"/>
      <c r="AI214" s="162"/>
      <c r="AJ214" s="162"/>
      <c r="AK214" s="162"/>
      <c r="AL214" s="162"/>
      <c r="AM214" s="162"/>
      <c r="AN214" s="164"/>
      <c r="AO214" s="164"/>
      <c r="AP214" s="166"/>
      <c r="AQ214" s="161"/>
      <c r="AR214" s="161"/>
      <c r="AS214" s="161"/>
      <c r="AT214" s="161"/>
      <c r="AU214" s="161"/>
    </row>
    <row r="215" spans="1:47">
      <c r="A215" s="471">
        <f t="shared" ref="A215:A222" si="361">+$A214</f>
        <v>46223</v>
      </c>
      <c r="B215" s="497"/>
      <c r="C215" s="426"/>
      <c r="D215" s="427">
        <f t="shared" si="254"/>
        <v>0</v>
      </c>
      <c r="E215" s="428">
        <f t="shared" si="291"/>
        <v>0</v>
      </c>
      <c r="F215" s="428">
        <f t="shared" si="292"/>
        <v>0</v>
      </c>
      <c r="G215" s="428">
        <f t="shared" si="351"/>
        <v>0</v>
      </c>
      <c r="H215" s="429"/>
      <c r="I215" s="430">
        <f t="shared" si="287"/>
        <v>0</v>
      </c>
      <c r="J215" s="431">
        <f t="shared" si="352"/>
        <v>0</v>
      </c>
      <c r="K215" s="431">
        <f t="shared" si="295"/>
        <v>0</v>
      </c>
      <c r="L215" s="431">
        <f t="shared" si="354"/>
        <v>0</v>
      </c>
      <c r="M215" s="432"/>
      <c r="N215" s="433">
        <f t="shared" si="342"/>
        <v>0</v>
      </c>
      <c r="O215" s="434">
        <f t="shared" si="355"/>
        <v>0</v>
      </c>
      <c r="P215" s="434">
        <f t="shared" si="340"/>
        <v>0</v>
      </c>
      <c r="Q215" s="434">
        <f t="shared" si="357"/>
        <v>0</v>
      </c>
      <c r="R215" s="435"/>
      <c r="S215" s="436">
        <f t="shared" si="343"/>
        <v>0</v>
      </c>
      <c r="T215" s="437">
        <f t="shared" si="358"/>
        <v>0</v>
      </c>
      <c r="U215" s="437">
        <f t="shared" si="341"/>
        <v>0</v>
      </c>
      <c r="V215" s="437">
        <f t="shared" si="360"/>
        <v>0</v>
      </c>
      <c r="W215" s="300"/>
      <c r="X215" s="131"/>
      <c r="Z215" s="162"/>
      <c r="AA215" s="162"/>
      <c r="AB215" s="162"/>
      <c r="AC215" s="162"/>
      <c r="AD215" s="162"/>
      <c r="AE215" s="163"/>
      <c r="AF215" s="162"/>
      <c r="AG215" s="162"/>
      <c r="AH215" s="162"/>
      <c r="AI215" s="162"/>
      <c r="AJ215" s="162"/>
      <c r="AK215" s="162"/>
      <c r="AL215" s="162"/>
      <c r="AM215" s="162"/>
      <c r="AN215" s="164"/>
      <c r="AO215" s="164"/>
      <c r="AP215" s="166"/>
      <c r="AQ215" s="161"/>
      <c r="AR215" s="161"/>
      <c r="AS215" s="161"/>
      <c r="AT215" s="161"/>
      <c r="AU215" s="161"/>
    </row>
    <row r="216" spans="1:47">
      <c r="A216" s="471">
        <f t="shared" si="361"/>
        <v>46223</v>
      </c>
      <c r="B216" s="497"/>
      <c r="C216" s="426"/>
      <c r="D216" s="427">
        <f t="shared" si="254"/>
        <v>0</v>
      </c>
      <c r="E216" s="428">
        <f t="shared" si="291"/>
        <v>0</v>
      </c>
      <c r="F216" s="428">
        <f t="shared" si="292"/>
        <v>0</v>
      </c>
      <c r="G216" s="428">
        <f t="shared" si="351"/>
        <v>0</v>
      </c>
      <c r="H216" s="429"/>
      <c r="I216" s="430">
        <f t="shared" si="287"/>
        <v>0</v>
      </c>
      <c r="J216" s="431">
        <f t="shared" si="352"/>
        <v>0</v>
      </c>
      <c r="K216" s="431">
        <f t="shared" si="295"/>
        <v>0</v>
      </c>
      <c r="L216" s="431">
        <f t="shared" si="354"/>
        <v>0</v>
      </c>
      <c r="M216" s="432"/>
      <c r="N216" s="433">
        <f t="shared" si="342"/>
        <v>0</v>
      </c>
      <c r="O216" s="434">
        <f t="shared" si="355"/>
        <v>0</v>
      </c>
      <c r="P216" s="434">
        <f t="shared" si="340"/>
        <v>0</v>
      </c>
      <c r="Q216" s="434">
        <f t="shared" si="357"/>
        <v>0</v>
      </c>
      <c r="R216" s="435"/>
      <c r="S216" s="436">
        <f t="shared" si="343"/>
        <v>0</v>
      </c>
      <c r="T216" s="437">
        <f t="shared" si="358"/>
        <v>0</v>
      </c>
      <c r="U216" s="437">
        <f t="shared" si="341"/>
        <v>0</v>
      </c>
      <c r="V216" s="437">
        <f t="shared" si="360"/>
        <v>0</v>
      </c>
      <c r="W216" s="300"/>
      <c r="X216" s="131"/>
      <c r="Z216" s="162"/>
      <c r="AA216" s="162"/>
      <c r="AB216" s="162"/>
      <c r="AC216" s="162"/>
      <c r="AD216" s="162"/>
      <c r="AE216" s="163"/>
      <c r="AF216" s="162"/>
      <c r="AG216" s="162"/>
      <c r="AH216" s="162"/>
      <c r="AI216" s="162"/>
      <c r="AJ216" s="162"/>
      <c r="AK216" s="162"/>
      <c r="AL216" s="162"/>
      <c r="AM216" s="162"/>
      <c r="AN216" s="164"/>
      <c r="AO216" s="164"/>
      <c r="AP216" s="166"/>
      <c r="AQ216" s="161"/>
      <c r="AR216" s="161"/>
      <c r="AS216" s="161"/>
      <c r="AT216" s="161"/>
      <c r="AU216" s="161"/>
    </row>
    <row r="217" spans="1:47">
      <c r="A217" s="471">
        <f t="shared" si="361"/>
        <v>46223</v>
      </c>
      <c r="B217" s="497"/>
      <c r="C217" s="426"/>
      <c r="D217" s="427">
        <f t="shared" si="254"/>
        <v>0</v>
      </c>
      <c r="E217" s="428">
        <f t="shared" si="291"/>
        <v>0</v>
      </c>
      <c r="F217" s="428">
        <f t="shared" si="292"/>
        <v>0</v>
      </c>
      <c r="G217" s="428">
        <f t="shared" si="351"/>
        <v>0</v>
      </c>
      <c r="H217" s="429"/>
      <c r="I217" s="430">
        <f t="shared" si="287"/>
        <v>0</v>
      </c>
      <c r="J217" s="431">
        <f t="shared" si="352"/>
        <v>0</v>
      </c>
      <c r="K217" s="431">
        <f t="shared" si="295"/>
        <v>0</v>
      </c>
      <c r="L217" s="431">
        <f t="shared" si="354"/>
        <v>0</v>
      </c>
      <c r="M217" s="432"/>
      <c r="N217" s="433">
        <f t="shared" si="342"/>
        <v>0</v>
      </c>
      <c r="O217" s="434">
        <f t="shared" si="355"/>
        <v>0</v>
      </c>
      <c r="P217" s="434">
        <f t="shared" si="340"/>
        <v>0</v>
      </c>
      <c r="Q217" s="434">
        <f t="shared" si="357"/>
        <v>0</v>
      </c>
      <c r="R217" s="435"/>
      <c r="S217" s="436">
        <f t="shared" si="343"/>
        <v>0</v>
      </c>
      <c r="T217" s="437">
        <f t="shared" si="358"/>
        <v>0</v>
      </c>
      <c r="U217" s="437">
        <f t="shared" si="341"/>
        <v>0</v>
      </c>
      <c r="V217" s="437">
        <f t="shared" si="360"/>
        <v>0</v>
      </c>
      <c r="W217" s="300"/>
      <c r="X217" s="131"/>
      <c r="Z217" s="162"/>
      <c r="AA217" s="162"/>
      <c r="AB217" s="162"/>
      <c r="AC217" s="162"/>
      <c r="AD217" s="162"/>
      <c r="AE217" s="163"/>
      <c r="AF217" s="162"/>
      <c r="AG217" s="162"/>
      <c r="AH217" s="162"/>
      <c r="AI217" s="162"/>
      <c r="AJ217" s="162"/>
      <c r="AK217" s="162"/>
      <c r="AL217" s="162"/>
      <c r="AM217" s="162"/>
      <c r="AN217" s="164"/>
      <c r="AO217" s="164"/>
      <c r="AP217" s="166"/>
      <c r="AQ217" s="161"/>
      <c r="AR217" s="161"/>
      <c r="AS217" s="161"/>
      <c r="AT217" s="161"/>
      <c r="AU217" s="161"/>
    </row>
    <row r="218" spans="1:47">
      <c r="A218" s="471">
        <f t="shared" si="361"/>
        <v>46223</v>
      </c>
      <c r="B218" s="497"/>
      <c r="C218" s="426"/>
      <c r="D218" s="427">
        <f t="shared" ref="D218:D255" si="362">+C218*3.875</f>
        <v>0</v>
      </c>
      <c r="E218" s="428">
        <f t="shared" si="291"/>
        <v>0</v>
      </c>
      <c r="F218" s="428">
        <f t="shared" si="292"/>
        <v>0</v>
      </c>
      <c r="G218" s="428">
        <f t="shared" si="351"/>
        <v>0</v>
      </c>
      <c r="H218" s="429"/>
      <c r="I218" s="430">
        <f t="shared" si="287"/>
        <v>0</v>
      </c>
      <c r="J218" s="431">
        <f t="shared" si="352"/>
        <v>0</v>
      </c>
      <c r="K218" s="431">
        <f t="shared" si="295"/>
        <v>0</v>
      </c>
      <c r="L218" s="431">
        <f t="shared" si="354"/>
        <v>0</v>
      </c>
      <c r="M218" s="432"/>
      <c r="N218" s="433">
        <f t="shared" si="342"/>
        <v>0</v>
      </c>
      <c r="O218" s="434">
        <f t="shared" si="355"/>
        <v>0</v>
      </c>
      <c r="P218" s="434">
        <f t="shared" si="340"/>
        <v>0</v>
      </c>
      <c r="Q218" s="434">
        <f t="shared" si="357"/>
        <v>0</v>
      </c>
      <c r="R218" s="435"/>
      <c r="S218" s="436">
        <f t="shared" si="343"/>
        <v>0</v>
      </c>
      <c r="T218" s="437">
        <f t="shared" si="358"/>
        <v>0</v>
      </c>
      <c r="U218" s="437">
        <f t="shared" si="341"/>
        <v>0</v>
      </c>
      <c r="V218" s="437">
        <f t="shared" si="360"/>
        <v>0</v>
      </c>
      <c r="W218" s="300"/>
      <c r="X218" s="131"/>
      <c r="Z218" s="162"/>
      <c r="AA218" s="162"/>
      <c r="AB218" s="162"/>
      <c r="AC218" s="162"/>
      <c r="AD218" s="162"/>
      <c r="AE218" s="163"/>
      <c r="AF218" s="162"/>
      <c r="AG218" s="162"/>
      <c r="AH218" s="162"/>
      <c r="AI218" s="162"/>
      <c r="AJ218" s="162"/>
      <c r="AK218" s="162"/>
      <c r="AL218" s="162"/>
      <c r="AM218" s="162"/>
      <c r="AN218" s="164"/>
      <c r="AO218" s="164"/>
      <c r="AP218" s="166"/>
      <c r="AQ218" s="161"/>
      <c r="AR218" s="161"/>
      <c r="AS218" s="161"/>
      <c r="AT218" s="161"/>
      <c r="AU218" s="161"/>
    </row>
    <row r="219" spans="1:47">
      <c r="A219" s="471">
        <f t="shared" si="361"/>
        <v>46223</v>
      </c>
      <c r="B219" s="497"/>
      <c r="C219" s="426"/>
      <c r="D219" s="427">
        <f t="shared" si="362"/>
        <v>0</v>
      </c>
      <c r="E219" s="428">
        <f t="shared" si="291"/>
        <v>0</v>
      </c>
      <c r="F219" s="428">
        <f t="shared" si="292"/>
        <v>0</v>
      </c>
      <c r="G219" s="428">
        <f t="shared" si="351"/>
        <v>0</v>
      </c>
      <c r="H219" s="429"/>
      <c r="I219" s="430">
        <f t="shared" si="287"/>
        <v>0</v>
      </c>
      <c r="J219" s="431">
        <f t="shared" si="352"/>
        <v>0</v>
      </c>
      <c r="K219" s="431">
        <f t="shared" si="295"/>
        <v>0</v>
      </c>
      <c r="L219" s="431">
        <f t="shared" si="354"/>
        <v>0</v>
      </c>
      <c r="M219" s="432"/>
      <c r="N219" s="433">
        <f t="shared" si="342"/>
        <v>0</v>
      </c>
      <c r="O219" s="434">
        <f t="shared" si="355"/>
        <v>0</v>
      </c>
      <c r="P219" s="434">
        <f t="shared" si="340"/>
        <v>0</v>
      </c>
      <c r="Q219" s="434">
        <f t="shared" si="357"/>
        <v>0</v>
      </c>
      <c r="R219" s="435"/>
      <c r="S219" s="436">
        <f t="shared" si="343"/>
        <v>0</v>
      </c>
      <c r="T219" s="437">
        <f t="shared" si="358"/>
        <v>0</v>
      </c>
      <c r="U219" s="437">
        <f t="shared" si="341"/>
        <v>0</v>
      </c>
      <c r="V219" s="437">
        <f t="shared" si="360"/>
        <v>0</v>
      </c>
      <c r="W219" s="300"/>
      <c r="X219" s="131"/>
      <c r="Z219" s="162"/>
      <c r="AA219" s="162"/>
      <c r="AB219" s="162"/>
      <c r="AC219" s="162"/>
      <c r="AD219" s="162"/>
      <c r="AE219" s="163"/>
      <c r="AF219" s="162"/>
      <c r="AG219" s="162"/>
      <c r="AH219" s="162"/>
      <c r="AI219" s="162"/>
      <c r="AJ219" s="162"/>
      <c r="AK219" s="162"/>
      <c r="AL219" s="162"/>
      <c r="AM219" s="162"/>
      <c r="AN219" s="164"/>
      <c r="AO219" s="164"/>
      <c r="AP219" s="166"/>
      <c r="AQ219" s="161"/>
      <c r="AR219" s="161"/>
      <c r="AS219" s="161"/>
      <c r="AT219" s="161"/>
      <c r="AU219" s="161"/>
    </row>
    <row r="220" spans="1:47">
      <c r="A220" s="471">
        <f t="shared" si="361"/>
        <v>46223</v>
      </c>
      <c r="B220" s="497"/>
      <c r="C220" s="426"/>
      <c r="D220" s="427">
        <f t="shared" si="362"/>
        <v>0</v>
      </c>
      <c r="E220" s="428">
        <f t="shared" si="291"/>
        <v>0</v>
      </c>
      <c r="F220" s="428">
        <f t="shared" si="292"/>
        <v>0</v>
      </c>
      <c r="G220" s="428">
        <f t="shared" si="351"/>
        <v>0</v>
      </c>
      <c r="H220" s="429"/>
      <c r="I220" s="430">
        <f t="shared" si="287"/>
        <v>0</v>
      </c>
      <c r="J220" s="431">
        <f t="shared" si="352"/>
        <v>0</v>
      </c>
      <c r="K220" s="431">
        <f t="shared" si="295"/>
        <v>0</v>
      </c>
      <c r="L220" s="431">
        <f t="shared" si="354"/>
        <v>0</v>
      </c>
      <c r="M220" s="432"/>
      <c r="N220" s="433">
        <f t="shared" si="342"/>
        <v>0</v>
      </c>
      <c r="O220" s="434">
        <f t="shared" si="355"/>
        <v>0</v>
      </c>
      <c r="P220" s="434">
        <f t="shared" si="340"/>
        <v>0</v>
      </c>
      <c r="Q220" s="434">
        <f t="shared" si="357"/>
        <v>0</v>
      </c>
      <c r="R220" s="435"/>
      <c r="S220" s="436">
        <f t="shared" si="343"/>
        <v>0</v>
      </c>
      <c r="T220" s="437">
        <f t="shared" si="358"/>
        <v>0</v>
      </c>
      <c r="U220" s="437">
        <f t="shared" si="341"/>
        <v>0</v>
      </c>
      <c r="V220" s="437">
        <f t="shared" si="360"/>
        <v>0</v>
      </c>
      <c r="W220" s="300"/>
      <c r="X220" s="131"/>
      <c r="Z220" s="162"/>
      <c r="AA220" s="162"/>
      <c r="AB220" s="162"/>
      <c r="AC220" s="162"/>
      <c r="AD220" s="162"/>
      <c r="AE220" s="163"/>
      <c r="AF220" s="162"/>
      <c r="AG220" s="162"/>
      <c r="AH220" s="162"/>
      <c r="AI220" s="162"/>
      <c r="AJ220" s="162"/>
      <c r="AK220" s="162"/>
      <c r="AL220" s="162"/>
      <c r="AM220" s="162"/>
      <c r="AN220" s="164"/>
      <c r="AO220" s="164"/>
      <c r="AP220" s="166"/>
      <c r="AQ220" s="161"/>
      <c r="AR220" s="161"/>
      <c r="AS220" s="161"/>
      <c r="AT220" s="161"/>
      <c r="AU220" s="161"/>
    </row>
    <row r="221" spans="1:47">
      <c r="A221" s="471">
        <f t="shared" si="361"/>
        <v>46223</v>
      </c>
      <c r="B221" s="497"/>
      <c r="C221" s="426"/>
      <c r="D221" s="427">
        <f t="shared" si="362"/>
        <v>0</v>
      </c>
      <c r="E221" s="428">
        <f t="shared" si="291"/>
        <v>0</v>
      </c>
      <c r="F221" s="428">
        <f t="shared" si="292"/>
        <v>0</v>
      </c>
      <c r="G221" s="428">
        <f t="shared" si="351"/>
        <v>0</v>
      </c>
      <c r="H221" s="429"/>
      <c r="I221" s="430">
        <f t="shared" si="287"/>
        <v>0</v>
      </c>
      <c r="J221" s="431">
        <f t="shared" si="352"/>
        <v>0</v>
      </c>
      <c r="K221" s="431">
        <f t="shared" si="295"/>
        <v>0</v>
      </c>
      <c r="L221" s="431">
        <f t="shared" si="354"/>
        <v>0</v>
      </c>
      <c r="M221" s="432"/>
      <c r="N221" s="433">
        <f t="shared" si="342"/>
        <v>0</v>
      </c>
      <c r="O221" s="434">
        <f t="shared" si="355"/>
        <v>0</v>
      </c>
      <c r="P221" s="434">
        <f t="shared" si="340"/>
        <v>0</v>
      </c>
      <c r="Q221" s="434">
        <f t="shared" si="357"/>
        <v>0</v>
      </c>
      <c r="R221" s="435"/>
      <c r="S221" s="436">
        <f t="shared" si="343"/>
        <v>0</v>
      </c>
      <c r="T221" s="437">
        <f t="shared" si="358"/>
        <v>0</v>
      </c>
      <c r="U221" s="437">
        <f t="shared" si="341"/>
        <v>0</v>
      </c>
      <c r="V221" s="437">
        <f t="shared" si="360"/>
        <v>0</v>
      </c>
      <c r="W221" s="300"/>
      <c r="X221" s="131"/>
      <c r="Z221" s="162"/>
      <c r="AA221" s="162"/>
      <c r="AB221" s="162"/>
      <c r="AC221" s="162"/>
      <c r="AD221" s="162"/>
      <c r="AE221" s="163"/>
      <c r="AF221" s="162"/>
      <c r="AG221" s="162"/>
      <c r="AH221" s="162"/>
      <c r="AI221" s="162"/>
      <c r="AJ221" s="162"/>
      <c r="AK221" s="162"/>
      <c r="AL221" s="162"/>
      <c r="AM221" s="162"/>
      <c r="AN221" s="164"/>
      <c r="AO221" s="164"/>
      <c r="AP221" s="166"/>
      <c r="AQ221" s="161"/>
      <c r="AR221" s="161"/>
      <c r="AS221" s="161"/>
      <c r="AT221" s="161"/>
      <c r="AU221" s="161"/>
    </row>
    <row r="222" spans="1:47">
      <c r="A222" s="471">
        <f t="shared" si="361"/>
        <v>46223</v>
      </c>
      <c r="B222" s="497"/>
      <c r="C222" s="426"/>
      <c r="D222" s="427">
        <f t="shared" si="362"/>
        <v>0</v>
      </c>
      <c r="E222" s="428">
        <f t="shared" si="291"/>
        <v>0</v>
      </c>
      <c r="F222" s="428">
        <f t="shared" si="292"/>
        <v>0</v>
      </c>
      <c r="G222" s="428">
        <f t="shared" si="351"/>
        <v>0</v>
      </c>
      <c r="H222" s="429"/>
      <c r="I222" s="430">
        <f t="shared" si="287"/>
        <v>0</v>
      </c>
      <c r="J222" s="431">
        <f t="shared" si="352"/>
        <v>0</v>
      </c>
      <c r="K222" s="431">
        <f t="shared" si="295"/>
        <v>0</v>
      </c>
      <c r="L222" s="431">
        <f t="shared" si="354"/>
        <v>0</v>
      </c>
      <c r="M222" s="432"/>
      <c r="N222" s="433">
        <f t="shared" si="342"/>
        <v>0</v>
      </c>
      <c r="O222" s="434">
        <f t="shared" si="355"/>
        <v>0</v>
      </c>
      <c r="P222" s="434">
        <f t="shared" si="340"/>
        <v>0</v>
      </c>
      <c r="Q222" s="434">
        <f t="shared" si="357"/>
        <v>0</v>
      </c>
      <c r="R222" s="435"/>
      <c r="S222" s="436">
        <f t="shared" si="343"/>
        <v>0</v>
      </c>
      <c r="T222" s="437">
        <f t="shared" si="358"/>
        <v>0</v>
      </c>
      <c r="U222" s="437">
        <f t="shared" si="341"/>
        <v>0</v>
      </c>
      <c r="V222" s="437">
        <f t="shared" si="360"/>
        <v>0</v>
      </c>
      <c r="W222" s="300"/>
      <c r="X222" s="131"/>
      <c r="Z222" s="162"/>
      <c r="AA222" s="162"/>
      <c r="AB222" s="162"/>
      <c r="AC222" s="162"/>
      <c r="AD222" s="162"/>
      <c r="AE222" s="163"/>
      <c r="AF222" s="162"/>
      <c r="AG222" s="162"/>
      <c r="AH222" s="162"/>
      <c r="AI222" s="162"/>
      <c r="AJ222" s="162"/>
      <c r="AK222" s="162"/>
      <c r="AL222" s="162"/>
      <c r="AM222" s="162"/>
      <c r="AN222" s="164"/>
      <c r="AO222" s="164"/>
      <c r="AP222" s="166"/>
      <c r="AQ222" s="161"/>
      <c r="AR222" s="161"/>
      <c r="AS222" s="161"/>
      <c r="AT222" s="161"/>
      <c r="AU222" s="161"/>
    </row>
    <row r="223" spans="1:47" ht="14.25">
      <c r="A223" s="471"/>
      <c r="B223" s="498" t="s">
        <v>118</v>
      </c>
      <c r="C223" s="438">
        <f>SUM(C213:C222)</f>
        <v>401</v>
      </c>
      <c r="D223" s="439">
        <f t="shared" si="362"/>
        <v>1553.875</v>
      </c>
      <c r="E223" s="438">
        <f t="shared" ref="E223:H223" si="363">SUM(E213:E222)</f>
        <v>15538.75</v>
      </c>
      <c r="F223" s="463">
        <f t="shared" si="363"/>
        <v>10.359166666666667</v>
      </c>
      <c r="G223" s="463">
        <f t="shared" si="363"/>
        <v>39.53058</v>
      </c>
      <c r="H223" s="440">
        <f t="shared" si="363"/>
        <v>0</v>
      </c>
      <c r="I223" s="441">
        <f t="shared" si="287"/>
        <v>0</v>
      </c>
      <c r="J223" s="440">
        <f t="shared" ref="J223:L223" si="364">SUM(J213:J222)</f>
        <v>0</v>
      </c>
      <c r="K223" s="466">
        <f t="shared" si="364"/>
        <v>0</v>
      </c>
      <c r="L223" s="466">
        <f t="shared" si="364"/>
        <v>0</v>
      </c>
      <c r="M223" s="442">
        <f t="shared" ref="M223" si="365">SUM(M213:M222)</f>
        <v>0</v>
      </c>
      <c r="N223" s="443">
        <f t="shared" si="342"/>
        <v>0</v>
      </c>
      <c r="O223" s="442">
        <f t="shared" ref="O223:R223" si="366">SUM(O213:O222)</f>
        <v>0</v>
      </c>
      <c r="P223" s="468">
        <f t="shared" si="366"/>
        <v>0</v>
      </c>
      <c r="Q223" s="468">
        <f t="shared" si="366"/>
        <v>0</v>
      </c>
      <c r="R223" s="444">
        <f t="shared" si="366"/>
        <v>0</v>
      </c>
      <c r="S223" s="445">
        <f t="shared" si="343"/>
        <v>0</v>
      </c>
      <c r="T223" s="444">
        <f t="shared" ref="T223:V223" si="367">SUM(T213:T222)</f>
        <v>0</v>
      </c>
      <c r="U223" s="470">
        <f t="shared" si="367"/>
        <v>0</v>
      </c>
      <c r="V223" s="470">
        <f t="shared" si="367"/>
        <v>0</v>
      </c>
      <c r="W223" s="300"/>
      <c r="X223" s="131"/>
      <c r="Z223" s="162"/>
      <c r="AA223" s="162"/>
      <c r="AB223" s="162"/>
      <c r="AC223" s="162"/>
      <c r="AD223" s="162"/>
      <c r="AE223" s="163"/>
      <c r="AF223" s="162"/>
      <c r="AG223" s="162"/>
      <c r="AH223" s="162"/>
      <c r="AI223" s="162"/>
      <c r="AJ223" s="162"/>
      <c r="AK223" s="162"/>
      <c r="AL223" s="162"/>
      <c r="AM223" s="162"/>
      <c r="AN223" s="164"/>
      <c r="AO223" s="164"/>
      <c r="AP223" s="166"/>
      <c r="AQ223" s="161"/>
      <c r="AR223" s="161"/>
      <c r="AS223" s="161"/>
      <c r="AT223" s="161"/>
      <c r="AU223" s="161"/>
    </row>
    <row r="224" spans="1:47">
      <c r="A224" s="472">
        <f>+A213+1</f>
        <v>46224</v>
      </c>
      <c r="B224" s="497" t="s">
        <v>285</v>
      </c>
      <c r="C224" s="426">
        <v>458</v>
      </c>
      <c r="D224" s="427">
        <f t="shared" si="362"/>
        <v>1774.75</v>
      </c>
      <c r="E224" s="428">
        <f t="shared" ref="E224:E255" si="368">+D224/0.0125*0.125</f>
        <v>17747.5</v>
      </c>
      <c r="F224" s="428">
        <f t="shared" ref="F224:F255" si="369">+E224/1500</f>
        <v>11.831666666666667</v>
      </c>
      <c r="G224" s="428">
        <f t="shared" ref="G224:G233" si="370">+D224/0.0125*0.000318</f>
        <v>45.149639999999998</v>
      </c>
      <c r="H224" s="429"/>
      <c r="I224" s="430">
        <f t="shared" si="287"/>
        <v>0</v>
      </c>
      <c r="J224" s="431">
        <f t="shared" ref="J224:J233" si="371">+I224/0.0185*0.185</f>
        <v>0</v>
      </c>
      <c r="K224" s="431">
        <f t="shared" ref="K224:K255" si="372">+J224/1500</f>
        <v>0</v>
      </c>
      <c r="L224" s="431">
        <f t="shared" ref="L224:L233" si="373">+I224/0.0185*0.000318</f>
        <v>0</v>
      </c>
      <c r="M224" s="432"/>
      <c r="N224" s="433">
        <f t="shared" si="342"/>
        <v>0</v>
      </c>
      <c r="O224" s="434">
        <f t="shared" ref="O224:O233" si="374">+N224/0.0185*0.185</f>
        <v>0</v>
      </c>
      <c r="P224" s="434">
        <f t="shared" ref="P224" si="375">+O224/1500</f>
        <v>0</v>
      </c>
      <c r="Q224" s="434">
        <f t="shared" ref="Q224:Q233" si="376">+N224/0.0185*0.000318</f>
        <v>0</v>
      </c>
      <c r="R224" s="435"/>
      <c r="S224" s="436">
        <f t="shared" si="343"/>
        <v>0</v>
      </c>
      <c r="T224" s="437">
        <f t="shared" ref="T224:T233" si="377">+S224/0.0185*0.185</f>
        <v>0</v>
      </c>
      <c r="U224" s="437">
        <f t="shared" ref="U224" si="378">+T224/1500</f>
        <v>0</v>
      </c>
      <c r="V224" s="437">
        <f t="shared" ref="V224:V233" si="379">+S224/0.0185*0.000318</f>
        <v>0</v>
      </c>
      <c r="W224" s="300"/>
      <c r="X224" s="131">
        <f>+W224*2.4</f>
        <v>0</v>
      </c>
      <c r="Z224" s="162">
        <f>IFERROR((D224/'REKAPAN OKEY AYAM'!$AC24),"-")</f>
        <v>0.12491096640512607</v>
      </c>
      <c r="AA224" s="162" t="str">
        <f>IFERROR((I224/'REKAPAN CHAMP AYAM'!$AC24),"-")</f>
        <v>-</v>
      </c>
      <c r="AB224" s="162" t="str">
        <f>IFERROR((N224/'REKAPAN CHAMP SAPI'!AC24),"-")</f>
        <v>-</v>
      </c>
      <c r="AC224" s="162" t="str">
        <f>IFERROR((S224/'REKAPAN CHAMP OTAK-OTAK'!AC24),"-")</f>
        <v>-</v>
      </c>
      <c r="AD224" s="162" t="str">
        <f>IFERROR((X224/'REKAPAN FIESTA'!AC24),"-")</f>
        <v>-</v>
      </c>
      <c r="AE224" s="163"/>
      <c r="AF224" s="162">
        <f t="shared" si="39"/>
        <v>1500</v>
      </c>
      <c r="AG224" s="162" t="str">
        <f>IFERROR(((D224/0.0125*0.000318)/#REF!),"-")</f>
        <v>-</v>
      </c>
      <c r="AH224" s="162" t="str">
        <f t="shared" si="40"/>
        <v>-</v>
      </c>
      <c r="AI224" s="162" t="str">
        <f>IFERROR(((I224/0.0185*0.000318)/#REF!),"-")</f>
        <v>-</v>
      </c>
      <c r="AJ224" s="162" t="str">
        <f t="shared" si="41"/>
        <v>-</v>
      </c>
      <c r="AK224" s="162" t="str">
        <f>IFERROR(((N224/0.0185*0.000318)/#REF!),"-")</f>
        <v>-</v>
      </c>
      <c r="AL224" s="162" t="str">
        <f t="shared" si="42"/>
        <v>-</v>
      </c>
      <c r="AM224" s="162" t="str">
        <f>IFERROR(((S224/0.0185*0.000318)/#REF!),"-")</f>
        <v>-</v>
      </c>
      <c r="AN224" s="164"/>
      <c r="AO224" s="164"/>
      <c r="AP224" s="166"/>
      <c r="AQ224" s="161">
        <f>IFERROR(('REKAPAN OKEY AYAM'!$AD24),"-")</f>
        <v>0.99574222346095043</v>
      </c>
      <c r="AR224" s="161" t="str">
        <f>IFERROR(('REKAPAN CHAMP AYAM'!$AD24),"-")</f>
        <v>-</v>
      </c>
      <c r="AS224" s="161" t="str">
        <f>IFERROR(('REKAPAN CHAMP SAPI'!$AD24),"-")</f>
        <v>-</v>
      </c>
      <c r="AT224" s="161" t="str">
        <f>IFERROR(('REKAPAN CHAMP OTAK-OTAK'!$AD24),"-")</f>
        <v>-</v>
      </c>
      <c r="AU224" s="161" t="str">
        <f>IFERROR(('REKAPAN FIESTA'!$AD24),"-")</f>
        <v>-</v>
      </c>
    </row>
    <row r="225" spans="1:47">
      <c r="A225" s="471">
        <f>+$A224</f>
        <v>46224</v>
      </c>
      <c r="B225" s="497" t="s">
        <v>286</v>
      </c>
      <c r="C225" s="426">
        <v>405</v>
      </c>
      <c r="D225" s="427">
        <f t="shared" si="362"/>
        <v>1569.375</v>
      </c>
      <c r="E225" s="428">
        <f t="shared" si="368"/>
        <v>15693.75</v>
      </c>
      <c r="F225" s="428">
        <f t="shared" si="369"/>
        <v>10.4625</v>
      </c>
      <c r="G225" s="428">
        <f t="shared" si="370"/>
        <v>39.924899999999994</v>
      </c>
      <c r="H225" s="429"/>
      <c r="I225" s="430">
        <f t="shared" si="287"/>
        <v>0</v>
      </c>
      <c r="J225" s="431">
        <f t="shared" si="371"/>
        <v>0</v>
      </c>
      <c r="K225" s="431">
        <f t="shared" si="372"/>
        <v>0</v>
      </c>
      <c r="L225" s="431">
        <f t="shared" si="373"/>
        <v>0</v>
      </c>
      <c r="M225" s="432"/>
      <c r="N225" s="433">
        <f t="shared" si="342"/>
        <v>0</v>
      </c>
      <c r="O225" s="434">
        <f t="shared" si="374"/>
        <v>0</v>
      </c>
      <c r="P225" s="434">
        <f t="shared" si="340"/>
        <v>0</v>
      </c>
      <c r="Q225" s="434">
        <f t="shared" si="376"/>
        <v>0</v>
      </c>
      <c r="R225" s="435"/>
      <c r="S225" s="436">
        <f t="shared" si="343"/>
        <v>0</v>
      </c>
      <c r="T225" s="437">
        <f t="shared" si="377"/>
        <v>0</v>
      </c>
      <c r="U225" s="437">
        <f t="shared" si="341"/>
        <v>0</v>
      </c>
      <c r="V225" s="437">
        <f t="shared" si="379"/>
        <v>0</v>
      </c>
      <c r="W225" s="300"/>
      <c r="X225" s="131"/>
      <c r="Z225" s="162"/>
      <c r="AA225" s="162"/>
      <c r="AB225" s="162"/>
      <c r="AC225" s="162"/>
      <c r="AD225" s="162"/>
      <c r="AE225" s="163"/>
      <c r="AF225" s="162"/>
      <c r="AG225" s="162"/>
      <c r="AH225" s="162"/>
      <c r="AI225" s="162"/>
      <c r="AJ225" s="162"/>
      <c r="AK225" s="162"/>
      <c r="AL225" s="162"/>
      <c r="AM225" s="162"/>
      <c r="AN225" s="164"/>
      <c r="AO225" s="164"/>
      <c r="AP225" s="166"/>
      <c r="AQ225" s="161"/>
      <c r="AR225" s="161"/>
      <c r="AS225" s="161"/>
      <c r="AT225" s="161"/>
      <c r="AU225" s="161"/>
    </row>
    <row r="226" spans="1:47">
      <c r="A226" s="471">
        <f t="shared" ref="A226:A233" si="380">+$A225</f>
        <v>46224</v>
      </c>
      <c r="B226" s="497" t="s">
        <v>287</v>
      </c>
      <c r="C226" s="426">
        <v>458</v>
      </c>
      <c r="D226" s="427">
        <f t="shared" si="362"/>
        <v>1774.75</v>
      </c>
      <c r="E226" s="428">
        <f t="shared" si="368"/>
        <v>17747.5</v>
      </c>
      <c r="F226" s="428">
        <f t="shared" si="369"/>
        <v>11.831666666666667</v>
      </c>
      <c r="G226" s="428">
        <f t="shared" si="370"/>
        <v>45.149639999999998</v>
      </c>
      <c r="H226" s="429"/>
      <c r="I226" s="430">
        <f t="shared" si="287"/>
        <v>0</v>
      </c>
      <c r="J226" s="431">
        <f t="shared" si="371"/>
        <v>0</v>
      </c>
      <c r="K226" s="431">
        <f t="shared" si="372"/>
        <v>0</v>
      </c>
      <c r="L226" s="431">
        <f t="shared" si="373"/>
        <v>0</v>
      </c>
      <c r="M226" s="432"/>
      <c r="N226" s="433">
        <f t="shared" si="342"/>
        <v>0</v>
      </c>
      <c r="O226" s="434">
        <f t="shared" si="374"/>
        <v>0</v>
      </c>
      <c r="P226" s="434">
        <f t="shared" si="340"/>
        <v>0</v>
      </c>
      <c r="Q226" s="434">
        <f t="shared" si="376"/>
        <v>0</v>
      </c>
      <c r="R226" s="435"/>
      <c r="S226" s="436">
        <f t="shared" si="343"/>
        <v>0</v>
      </c>
      <c r="T226" s="437">
        <f t="shared" si="377"/>
        <v>0</v>
      </c>
      <c r="U226" s="437">
        <f t="shared" si="341"/>
        <v>0</v>
      </c>
      <c r="V226" s="437">
        <f t="shared" si="379"/>
        <v>0</v>
      </c>
      <c r="W226" s="300"/>
      <c r="X226" s="131"/>
      <c r="Z226" s="162"/>
      <c r="AA226" s="162"/>
      <c r="AB226" s="162"/>
      <c r="AC226" s="162"/>
      <c r="AD226" s="162"/>
      <c r="AE226" s="163"/>
      <c r="AF226" s="162"/>
      <c r="AG226" s="162"/>
      <c r="AH226" s="162"/>
      <c r="AI226" s="162"/>
      <c r="AJ226" s="162"/>
      <c r="AK226" s="162"/>
      <c r="AL226" s="162"/>
      <c r="AM226" s="162"/>
      <c r="AN226" s="164"/>
      <c r="AO226" s="164"/>
      <c r="AP226" s="166"/>
      <c r="AQ226" s="161"/>
      <c r="AR226" s="161"/>
      <c r="AS226" s="161"/>
      <c r="AT226" s="161"/>
      <c r="AU226" s="161"/>
    </row>
    <row r="227" spans="1:47">
      <c r="A227" s="471">
        <f t="shared" si="380"/>
        <v>46224</v>
      </c>
      <c r="B227" s="497" t="s">
        <v>288</v>
      </c>
      <c r="C227" s="426">
        <v>505</v>
      </c>
      <c r="D227" s="427">
        <f t="shared" si="362"/>
        <v>1956.875</v>
      </c>
      <c r="E227" s="428">
        <f t="shared" si="368"/>
        <v>19568.75</v>
      </c>
      <c r="F227" s="428">
        <f t="shared" si="369"/>
        <v>13.045833333333333</v>
      </c>
      <c r="G227" s="428">
        <f t="shared" si="370"/>
        <v>49.782899999999998</v>
      </c>
      <c r="H227" s="429"/>
      <c r="I227" s="430">
        <f t="shared" si="287"/>
        <v>0</v>
      </c>
      <c r="J227" s="431">
        <f t="shared" si="371"/>
        <v>0</v>
      </c>
      <c r="K227" s="431">
        <f t="shared" si="372"/>
        <v>0</v>
      </c>
      <c r="L227" s="431">
        <f t="shared" si="373"/>
        <v>0</v>
      </c>
      <c r="M227" s="432"/>
      <c r="N227" s="433">
        <f t="shared" si="342"/>
        <v>0</v>
      </c>
      <c r="O227" s="434">
        <f t="shared" si="374"/>
        <v>0</v>
      </c>
      <c r="P227" s="434">
        <f t="shared" si="340"/>
        <v>0</v>
      </c>
      <c r="Q227" s="434">
        <f t="shared" si="376"/>
        <v>0</v>
      </c>
      <c r="R227" s="435"/>
      <c r="S227" s="436">
        <f t="shared" si="343"/>
        <v>0</v>
      </c>
      <c r="T227" s="437">
        <f t="shared" si="377"/>
        <v>0</v>
      </c>
      <c r="U227" s="437">
        <f t="shared" si="341"/>
        <v>0</v>
      </c>
      <c r="V227" s="437">
        <f t="shared" si="379"/>
        <v>0</v>
      </c>
      <c r="W227" s="300"/>
      <c r="X227" s="131"/>
      <c r="Z227" s="162"/>
      <c r="AA227" s="162"/>
      <c r="AB227" s="162"/>
      <c r="AC227" s="162"/>
      <c r="AD227" s="162"/>
      <c r="AE227" s="163"/>
      <c r="AF227" s="162"/>
      <c r="AG227" s="162"/>
      <c r="AH227" s="162"/>
      <c r="AI227" s="162"/>
      <c r="AJ227" s="162"/>
      <c r="AK227" s="162"/>
      <c r="AL227" s="162"/>
      <c r="AM227" s="162"/>
      <c r="AN227" s="164"/>
      <c r="AO227" s="164"/>
      <c r="AP227" s="166"/>
      <c r="AQ227" s="161"/>
      <c r="AR227" s="161"/>
      <c r="AS227" s="161"/>
      <c r="AT227" s="161"/>
      <c r="AU227" s="161"/>
    </row>
    <row r="228" spans="1:47">
      <c r="A228" s="471">
        <f t="shared" si="380"/>
        <v>46224</v>
      </c>
      <c r="B228" s="497" t="s">
        <v>289</v>
      </c>
      <c r="C228" s="426">
        <v>434</v>
      </c>
      <c r="D228" s="427">
        <f t="shared" si="362"/>
        <v>1681.75</v>
      </c>
      <c r="E228" s="428">
        <f t="shared" si="368"/>
        <v>16817.5</v>
      </c>
      <c r="F228" s="428">
        <f t="shared" si="369"/>
        <v>11.211666666666666</v>
      </c>
      <c r="G228" s="428">
        <f t="shared" si="370"/>
        <v>42.783719999999995</v>
      </c>
      <c r="H228" s="429"/>
      <c r="I228" s="430">
        <f t="shared" si="287"/>
        <v>0</v>
      </c>
      <c r="J228" s="431">
        <f t="shared" si="371"/>
        <v>0</v>
      </c>
      <c r="K228" s="431">
        <f t="shared" si="372"/>
        <v>0</v>
      </c>
      <c r="L228" s="431">
        <f t="shared" si="373"/>
        <v>0</v>
      </c>
      <c r="M228" s="432"/>
      <c r="N228" s="433">
        <f t="shared" si="342"/>
        <v>0</v>
      </c>
      <c r="O228" s="434">
        <f t="shared" si="374"/>
        <v>0</v>
      </c>
      <c r="P228" s="434">
        <f t="shared" si="340"/>
        <v>0</v>
      </c>
      <c r="Q228" s="434">
        <f t="shared" si="376"/>
        <v>0</v>
      </c>
      <c r="R228" s="435"/>
      <c r="S228" s="436">
        <f t="shared" si="343"/>
        <v>0</v>
      </c>
      <c r="T228" s="437">
        <f t="shared" si="377"/>
        <v>0</v>
      </c>
      <c r="U228" s="437">
        <f t="shared" si="341"/>
        <v>0</v>
      </c>
      <c r="V228" s="437">
        <f t="shared" si="379"/>
        <v>0</v>
      </c>
      <c r="W228" s="300"/>
      <c r="X228" s="131"/>
      <c r="Z228" s="162"/>
      <c r="AA228" s="162"/>
      <c r="AB228" s="162"/>
      <c r="AC228" s="162"/>
      <c r="AD228" s="162"/>
      <c r="AE228" s="163"/>
      <c r="AF228" s="162"/>
      <c r="AG228" s="162"/>
      <c r="AH228" s="162"/>
      <c r="AI228" s="162"/>
      <c r="AJ228" s="162"/>
      <c r="AK228" s="162"/>
      <c r="AL228" s="162"/>
      <c r="AM228" s="162"/>
      <c r="AN228" s="164"/>
      <c r="AO228" s="164"/>
      <c r="AP228" s="166"/>
      <c r="AQ228" s="161"/>
      <c r="AR228" s="161"/>
      <c r="AS228" s="161"/>
      <c r="AT228" s="161"/>
      <c r="AU228" s="161"/>
    </row>
    <row r="229" spans="1:47">
      <c r="A229" s="471">
        <f t="shared" si="380"/>
        <v>46224</v>
      </c>
      <c r="B229" s="497" t="s">
        <v>290</v>
      </c>
      <c r="C229" s="426">
        <v>451</v>
      </c>
      <c r="D229" s="427">
        <f t="shared" si="362"/>
        <v>1747.625</v>
      </c>
      <c r="E229" s="428">
        <f t="shared" si="368"/>
        <v>17476.25</v>
      </c>
      <c r="F229" s="428">
        <f t="shared" si="369"/>
        <v>11.650833333333333</v>
      </c>
      <c r="G229" s="428">
        <f t="shared" si="370"/>
        <v>44.459579999999995</v>
      </c>
      <c r="H229" s="429"/>
      <c r="I229" s="430">
        <f t="shared" si="287"/>
        <v>0</v>
      </c>
      <c r="J229" s="431">
        <f t="shared" si="371"/>
        <v>0</v>
      </c>
      <c r="K229" s="431">
        <f t="shared" si="372"/>
        <v>0</v>
      </c>
      <c r="L229" s="431">
        <f t="shared" si="373"/>
        <v>0</v>
      </c>
      <c r="M229" s="432"/>
      <c r="N229" s="433">
        <f t="shared" si="342"/>
        <v>0</v>
      </c>
      <c r="O229" s="434">
        <f t="shared" si="374"/>
        <v>0</v>
      </c>
      <c r="P229" s="434">
        <f t="shared" si="340"/>
        <v>0</v>
      </c>
      <c r="Q229" s="434">
        <f t="shared" si="376"/>
        <v>0</v>
      </c>
      <c r="R229" s="435"/>
      <c r="S229" s="436">
        <f t="shared" si="343"/>
        <v>0</v>
      </c>
      <c r="T229" s="437">
        <f t="shared" si="377"/>
        <v>0</v>
      </c>
      <c r="U229" s="437">
        <f t="shared" si="341"/>
        <v>0</v>
      </c>
      <c r="V229" s="437">
        <f t="shared" si="379"/>
        <v>0</v>
      </c>
      <c r="W229" s="300"/>
      <c r="X229" s="131"/>
      <c r="Z229" s="162"/>
      <c r="AA229" s="162"/>
      <c r="AB229" s="162"/>
      <c r="AC229" s="162"/>
      <c r="AD229" s="162"/>
      <c r="AE229" s="163"/>
      <c r="AF229" s="162"/>
      <c r="AG229" s="162"/>
      <c r="AH229" s="162"/>
      <c r="AI229" s="162"/>
      <c r="AJ229" s="162"/>
      <c r="AK229" s="162"/>
      <c r="AL229" s="162"/>
      <c r="AM229" s="162"/>
      <c r="AN229" s="164"/>
      <c r="AO229" s="164"/>
      <c r="AP229" s="166"/>
      <c r="AQ229" s="161"/>
      <c r="AR229" s="161"/>
      <c r="AS229" s="161"/>
      <c r="AT229" s="161"/>
      <c r="AU229" s="161"/>
    </row>
    <row r="230" spans="1:47">
      <c r="A230" s="471">
        <f t="shared" si="380"/>
        <v>46224</v>
      </c>
      <c r="B230" s="497" t="s">
        <v>291</v>
      </c>
      <c r="C230" s="426">
        <v>448</v>
      </c>
      <c r="D230" s="427">
        <f t="shared" si="362"/>
        <v>1736</v>
      </c>
      <c r="E230" s="428">
        <f t="shared" si="368"/>
        <v>17360</v>
      </c>
      <c r="F230" s="428">
        <f t="shared" si="369"/>
        <v>11.573333333333334</v>
      </c>
      <c r="G230" s="428">
        <f t="shared" si="370"/>
        <v>44.16384</v>
      </c>
      <c r="H230" s="429"/>
      <c r="I230" s="430">
        <f t="shared" si="287"/>
        <v>0</v>
      </c>
      <c r="J230" s="431">
        <f t="shared" si="371"/>
        <v>0</v>
      </c>
      <c r="K230" s="431">
        <f t="shared" si="372"/>
        <v>0</v>
      </c>
      <c r="L230" s="431">
        <f t="shared" si="373"/>
        <v>0</v>
      </c>
      <c r="M230" s="432"/>
      <c r="N230" s="433">
        <f t="shared" si="342"/>
        <v>0</v>
      </c>
      <c r="O230" s="434">
        <f t="shared" si="374"/>
        <v>0</v>
      </c>
      <c r="P230" s="434">
        <f t="shared" si="340"/>
        <v>0</v>
      </c>
      <c r="Q230" s="434">
        <f t="shared" si="376"/>
        <v>0</v>
      </c>
      <c r="R230" s="435"/>
      <c r="S230" s="436">
        <f t="shared" si="343"/>
        <v>0</v>
      </c>
      <c r="T230" s="437">
        <f t="shared" si="377"/>
        <v>0</v>
      </c>
      <c r="U230" s="437">
        <f t="shared" si="341"/>
        <v>0</v>
      </c>
      <c r="V230" s="437">
        <f t="shared" si="379"/>
        <v>0</v>
      </c>
      <c r="W230" s="300"/>
      <c r="X230" s="131"/>
      <c r="Z230" s="162"/>
      <c r="AA230" s="162"/>
      <c r="AB230" s="162"/>
      <c r="AC230" s="162"/>
      <c r="AD230" s="162"/>
      <c r="AE230" s="163"/>
      <c r="AF230" s="162"/>
      <c r="AG230" s="162"/>
      <c r="AH230" s="162"/>
      <c r="AI230" s="162"/>
      <c r="AJ230" s="162"/>
      <c r="AK230" s="162"/>
      <c r="AL230" s="162"/>
      <c r="AM230" s="162"/>
      <c r="AN230" s="164"/>
      <c r="AO230" s="164"/>
      <c r="AP230" s="166"/>
      <c r="AQ230" s="161"/>
      <c r="AR230" s="161"/>
      <c r="AS230" s="161"/>
      <c r="AT230" s="161"/>
      <c r="AU230" s="161"/>
    </row>
    <row r="231" spans="1:47">
      <c r="A231" s="471">
        <f t="shared" si="380"/>
        <v>46224</v>
      </c>
      <c r="B231" s="497" t="s">
        <v>292</v>
      </c>
      <c r="C231" s="426">
        <v>217</v>
      </c>
      <c r="D231" s="427">
        <f t="shared" si="362"/>
        <v>840.875</v>
      </c>
      <c r="E231" s="428">
        <f t="shared" si="368"/>
        <v>8408.75</v>
      </c>
      <c r="F231" s="428">
        <f t="shared" si="369"/>
        <v>5.605833333333333</v>
      </c>
      <c r="G231" s="428">
        <f t="shared" si="370"/>
        <v>21.391859999999998</v>
      </c>
      <c r="H231" s="429"/>
      <c r="I231" s="430">
        <f t="shared" si="287"/>
        <v>0</v>
      </c>
      <c r="J231" s="431">
        <f t="shared" si="371"/>
        <v>0</v>
      </c>
      <c r="K231" s="431">
        <f t="shared" si="372"/>
        <v>0</v>
      </c>
      <c r="L231" s="431">
        <f t="shared" si="373"/>
        <v>0</v>
      </c>
      <c r="M231" s="432"/>
      <c r="N231" s="433">
        <f t="shared" si="342"/>
        <v>0</v>
      </c>
      <c r="O231" s="434">
        <f t="shared" si="374"/>
        <v>0</v>
      </c>
      <c r="P231" s="434">
        <f t="shared" si="340"/>
        <v>0</v>
      </c>
      <c r="Q231" s="434">
        <f t="shared" si="376"/>
        <v>0</v>
      </c>
      <c r="R231" s="435"/>
      <c r="S231" s="436">
        <f t="shared" si="343"/>
        <v>0</v>
      </c>
      <c r="T231" s="437">
        <f t="shared" si="377"/>
        <v>0</v>
      </c>
      <c r="U231" s="437">
        <f t="shared" si="341"/>
        <v>0</v>
      </c>
      <c r="V231" s="437">
        <f t="shared" si="379"/>
        <v>0</v>
      </c>
      <c r="W231" s="300"/>
      <c r="X231" s="131"/>
      <c r="Z231" s="162"/>
      <c r="AA231" s="162"/>
      <c r="AB231" s="162"/>
      <c r="AC231" s="162"/>
      <c r="AD231" s="162"/>
      <c r="AE231" s="163"/>
      <c r="AF231" s="162"/>
      <c r="AG231" s="162"/>
      <c r="AH231" s="162"/>
      <c r="AI231" s="162"/>
      <c r="AJ231" s="162"/>
      <c r="AK231" s="162"/>
      <c r="AL231" s="162"/>
      <c r="AM231" s="162"/>
      <c r="AN231" s="164"/>
      <c r="AO231" s="164"/>
      <c r="AP231" s="166"/>
      <c r="AQ231" s="161"/>
      <c r="AR231" s="161"/>
      <c r="AS231" s="161"/>
      <c r="AT231" s="161"/>
      <c r="AU231" s="161"/>
    </row>
    <row r="232" spans="1:47">
      <c r="A232" s="471">
        <f t="shared" si="380"/>
        <v>46224</v>
      </c>
      <c r="B232" s="497" t="s">
        <v>293</v>
      </c>
      <c r="C232" s="426">
        <v>409</v>
      </c>
      <c r="D232" s="427">
        <f t="shared" si="362"/>
        <v>1584.875</v>
      </c>
      <c r="E232" s="428">
        <f t="shared" si="368"/>
        <v>15848.75</v>
      </c>
      <c r="F232" s="428">
        <f t="shared" si="369"/>
        <v>10.565833333333334</v>
      </c>
      <c r="G232" s="428">
        <f t="shared" si="370"/>
        <v>40.319219999999994</v>
      </c>
      <c r="H232" s="429"/>
      <c r="I232" s="430">
        <f t="shared" si="287"/>
        <v>0</v>
      </c>
      <c r="J232" s="431">
        <f t="shared" si="371"/>
        <v>0</v>
      </c>
      <c r="K232" s="431">
        <f t="shared" si="372"/>
        <v>0</v>
      </c>
      <c r="L232" s="431">
        <f t="shared" si="373"/>
        <v>0</v>
      </c>
      <c r="M232" s="432"/>
      <c r="N232" s="433">
        <f t="shared" si="342"/>
        <v>0</v>
      </c>
      <c r="O232" s="434">
        <f t="shared" si="374"/>
        <v>0</v>
      </c>
      <c r="P232" s="434">
        <f t="shared" si="340"/>
        <v>0</v>
      </c>
      <c r="Q232" s="434">
        <f t="shared" si="376"/>
        <v>0</v>
      </c>
      <c r="R232" s="435"/>
      <c r="S232" s="436">
        <f t="shared" si="343"/>
        <v>0</v>
      </c>
      <c r="T232" s="437">
        <f t="shared" si="377"/>
        <v>0</v>
      </c>
      <c r="U232" s="437">
        <f t="shared" si="341"/>
        <v>0</v>
      </c>
      <c r="V232" s="437">
        <f t="shared" si="379"/>
        <v>0</v>
      </c>
      <c r="W232" s="300"/>
      <c r="X232" s="131"/>
      <c r="Z232" s="162"/>
      <c r="AA232" s="162"/>
      <c r="AB232" s="162"/>
      <c r="AC232" s="162"/>
      <c r="AD232" s="162"/>
      <c r="AE232" s="163"/>
      <c r="AF232" s="162"/>
      <c r="AG232" s="162"/>
      <c r="AH232" s="162"/>
      <c r="AI232" s="162"/>
      <c r="AJ232" s="162"/>
      <c r="AK232" s="162"/>
      <c r="AL232" s="162"/>
      <c r="AM232" s="162"/>
      <c r="AN232" s="164"/>
      <c r="AO232" s="164"/>
      <c r="AP232" s="166"/>
      <c r="AQ232" s="161"/>
      <c r="AR232" s="161"/>
      <c r="AS232" s="161"/>
      <c r="AT232" s="161"/>
      <c r="AU232" s="161"/>
    </row>
    <row r="233" spans="1:47">
      <c r="A233" s="471">
        <f t="shared" si="380"/>
        <v>46224</v>
      </c>
      <c r="B233" s="497"/>
      <c r="C233" s="426"/>
      <c r="D233" s="427">
        <f t="shared" si="362"/>
        <v>0</v>
      </c>
      <c r="E233" s="428">
        <f t="shared" si="368"/>
        <v>0</v>
      </c>
      <c r="F233" s="428">
        <f t="shared" si="369"/>
        <v>0</v>
      </c>
      <c r="G233" s="428">
        <f t="shared" si="370"/>
        <v>0</v>
      </c>
      <c r="H233" s="429"/>
      <c r="I233" s="430">
        <f t="shared" si="287"/>
        <v>0</v>
      </c>
      <c r="J233" s="431">
        <f t="shared" si="371"/>
        <v>0</v>
      </c>
      <c r="K233" s="431">
        <f t="shared" si="372"/>
        <v>0</v>
      </c>
      <c r="L233" s="431">
        <f t="shared" si="373"/>
        <v>0</v>
      </c>
      <c r="M233" s="432"/>
      <c r="N233" s="433">
        <f t="shared" si="342"/>
        <v>0</v>
      </c>
      <c r="O233" s="434">
        <f t="shared" si="374"/>
        <v>0</v>
      </c>
      <c r="P233" s="434">
        <f t="shared" si="340"/>
        <v>0</v>
      </c>
      <c r="Q233" s="434">
        <f t="shared" si="376"/>
        <v>0</v>
      </c>
      <c r="R233" s="435"/>
      <c r="S233" s="436">
        <f t="shared" si="343"/>
        <v>0</v>
      </c>
      <c r="T233" s="437">
        <f t="shared" si="377"/>
        <v>0</v>
      </c>
      <c r="U233" s="437">
        <f t="shared" si="341"/>
        <v>0</v>
      </c>
      <c r="V233" s="437">
        <f t="shared" si="379"/>
        <v>0</v>
      </c>
      <c r="W233" s="300"/>
      <c r="X233" s="131"/>
      <c r="Z233" s="162"/>
      <c r="AA233" s="162"/>
      <c r="AB233" s="162"/>
      <c r="AC233" s="162"/>
      <c r="AD233" s="162"/>
      <c r="AE233" s="163"/>
      <c r="AF233" s="162"/>
      <c r="AG233" s="162"/>
      <c r="AH233" s="162"/>
      <c r="AI233" s="162"/>
      <c r="AJ233" s="162"/>
      <c r="AK233" s="162"/>
      <c r="AL233" s="162"/>
      <c r="AM233" s="162"/>
      <c r="AN233" s="164"/>
      <c r="AO233" s="164"/>
      <c r="AP233" s="166"/>
      <c r="AQ233" s="161"/>
      <c r="AR233" s="161"/>
      <c r="AS233" s="161"/>
      <c r="AT233" s="161"/>
      <c r="AU233" s="161"/>
    </row>
    <row r="234" spans="1:47" ht="14.25">
      <c r="A234" s="471"/>
      <c r="B234" s="498" t="s">
        <v>118</v>
      </c>
      <c r="C234" s="438">
        <f>SUM(C224:C233)</f>
        <v>3785</v>
      </c>
      <c r="D234" s="439">
        <f t="shared" si="362"/>
        <v>14666.875</v>
      </c>
      <c r="E234" s="438">
        <f t="shared" ref="E234:H234" si="381">SUM(E224:E233)</f>
        <v>146668.75</v>
      </c>
      <c r="F234" s="463">
        <f t="shared" si="381"/>
        <v>97.779166666666669</v>
      </c>
      <c r="G234" s="463">
        <f t="shared" si="381"/>
        <v>373.12529999999992</v>
      </c>
      <c r="H234" s="440">
        <f t="shared" si="381"/>
        <v>0</v>
      </c>
      <c r="I234" s="441">
        <f t="shared" si="287"/>
        <v>0</v>
      </c>
      <c r="J234" s="440">
        <f t="shared" ref="J234:L234" si="382">SUM(J224:J233)</f>
        <v>0</v>
      </c>
      <c r="K234" s="466">
        <f t="shared" si="382"/>
        <v>0</v>
      </c>
      <c r="L234" s="466">
        <f t="shared" si="382"/>
        <v>0</v>
      </c>
      <c r="M234" s="442">
        <f t="shared" ref="M234" si="383">SUM(M224:M233)</f>
        <v>0</v>
      </c>
      <c r="N234" s="443">
        <f t="shared" si="342"/>
        <v>0</v>
      </c>
      <c r="O234" s="442">
        <f t="shared" ref="O234:R234" si="384">SUM(O224:O233)</f>
        <v>0</v>
      </c>
      <c r="P234" s="468">
        <f t="shared" si="384"/>
        <v>0</v>
      </c>
      <c r="Q234" s="468">
        <f t="shared" si="384"/>
        <v>0</v>
      </c>
      <c r="R234" s="444">
        <f t="shared" si="384"/>
        <v>0</v>
      </c>
      <c r="S234" s="445">
        <f t="shared" si="343"/>
        <v>0</v>
      </c>
      <c r="T234" s="444">
        <f t="shared" ref="T234:V234" si="385">SUM(T224:T233)</f>
        <v>0</v>
      </c>
      <c r="U234" s="470">
        <f t="shared" si="385"/>
        <v>0</v>
      </c>
      <c r="V234" s="470">
        <f t="shared" si="385"/>
        <v>0</v>
      </c>
      <c r="W234" s="300"/>
      <c r="X234" s="131"/>
      <c r="Z234" s="162"/>
      <c r="AA234" s="162"/>
      <c r="AB234" s="162"/>
      <c r="AC234" s="162"/>
      <c r="AD234" s="162"/>
      <c r="AE234" s="163"/>
      <c r="AF234" s="162"/>
      <c r="AG234" s="162"/>
      <c r="AH234" s="162"/>
      <c r="AI234" s="162"/>
      <c r="AJ234" s="162"/>
      <c r="AK234" s="162"/>
      <c r="AL234" s="162"/>
      <c r="AM234" s="162"/>
      <c r="AN234" s="164"/>
      <c r="AO234" s="164"/>
      <c r="AP234" s="166"/>
      <c r="AQ234" s="161"/>
      <c r="AR234" s="161"/>
      <c r="AS234" s="161"/>
      <c r="AT234" s="161"/>
      <c r="AU234" s="161"/>
    </row>
    <row r="235" spans="1:47">
      <c r="A235" s="472">
        <f>+A224+1</f>
        <v>46225</v>
      </c>
      <c r="B235" s="497" t="s">
        <v>294</v>
      </c>
      <c r="C235" s="426">
        <v>447</v>
      </c>
      <c r="D235" s="427">
        <f t="shared" si="362"/>
        <v>1732.125</v>
      </c>
      <c r="E235" s="428">
        <f t="shared" ref="E235" si="386">+D235/0.0125*0.125</f>
        <v>17321.25</v>
      </c>
      <c r="F235" s="428">
        <f t="shared" ref="F235" si="387">+E235/1500</f>
        <v>11.547499999999999</v>
      </c>
      <c r="G235" s="428">
        <f t="shared" ref="G235:G244" si="388">+D235/0.0125*0.000318</f>
        <v>44.065259999999995</v>
      </c>
      <c r="H235" s="429"/>
      <c r="I235" s="430">
        <f t="shared" si="287"/>
        <v>0</v>
      </c>
      <c r="J235" s="431">
        <f t="shared" ref="J235:J244" si="389">+I235/0.0185*0.185</f>
        <v>0</v>
      </c>
      <c r="K235" s="431">
        <f t="shared" ref="K235" si="390">+J235/1500</f>
        <v>0</v>
      </c>
      <c r="L235" s="431">
        <f t="shared" ref="L235:L244" si="391">+I235/0.0185*0.000318</f>
        <v>0</v>
      </c>
      <c r="M235" s="432"/>
      <c r="N235" s="433">
        <f t="shared" si="342"/>
        <v>0</v>
      </c>
      <c r="O235" s="434">
        <f t="shared" ref="O235:O244" si="392">+N235/0.0185*0.185</f>
        <v>0</v>
      </c>
      <c r="P235" s="434">
        <f t="shared" ref="P235" si="393">+O235/1500</f>
        <v>0</v>
      </c>
      <c r="Q235" s="434">
        <f t="shared" ref="Q235:Q244" si="394">+N235/0.0185*0.000318</f>
        <v>0</v>
      </c>
      <c r="R235" s="435"/>
      <c r="S235" s="436">
        <f t="shared" si="343"/>
        <v>0</v>
      </c>
      <c r="T235" s="437">
        <f t="shared" ref="T235:T244" si="395">+S235/0.0185*0.185</f>
        <v>0</v>
      </c>
      <c r="U235" s="437">
        <f t="shared" ref="U235" si="396">+T235/1500</f>
        <v>0</v>
      </c>
      <c r="V235" s="437">
        <f t="shared" ref="V235:V244" si="397">+S235/0.0185*0.000318</f>
        <v>0</v>
      </c>
      <c r="W235" s="300"/>
      <c r="X235" s="131">
        <f>+W235*2.4</f>
        <v>0</v>
      </c>
      <c r="Z235" s="162">
        <f>IFERROR((D235/'REKAPAN OKEY AYAM'!$AC25),"-")</f>
        <v>0.13714978653051915</v>
      </c>
      <c r="AA235" s="162" t="str">
        <f>IFERROR((I235/'REKAPAN CHAMP AYAM'!$AC25),"-")</f>
        <v>-</v>
      </c>
      <c r="AB235" s="162" t="str">
        <f>IFERROR((N235/'REKAPAN CHAMP SAPI'!AC25),"-")</f>
        <v>-</v>
      </c>
      <c r="AC235" s="162" t="str">
        <f>IFERROR((S235/'REKAPAN CHAMP OTAK-OTAK'!AC25),"-")</f>
        <v>-</v>
      </c>
      <c r="AD235" s="162" t="str">
        <f>IFERROR((X235/'REKAPAN FIESTA'!AC25),"-")</f>
        <v>-</v>
      </c>
      <c r="AE235" s="163"/>
      <c r="AF235" s="162">
        <f t="shared" si="39"/>
        <v>1500</v>
      </c>
      <c r="AG235" s="162" t="str">
        <f>IFERROR(((D235/0.0125*0.000318)/#REF!),"-")</f>
        <v>-</v>
      </c>
      <c r="AH235" s="162" t="str">
        <f t="shared" si="40"/>
        <v>-</v>
      </c>
      <c r="AI235" s="162" t="str">
        <f>IFERROR(((I235/0.0185*0.000318)/#REF!),"-")</f>
        <v>-</v>
      </c>
      <c r="AJ235" s="162" t="str">
        <f t="shared" si="41"/>
        <v>-</v>
      </c>
      <c r="AK235" s="162" t="str">
        <f>IFERROR(((N235/0.0185*0.000318)/#REF!),"-")</f>
        <v>-</v>
      </c>
      <c r="AL235" s="162" t="str">
        <f t="shared" si="42"/>
        <v>-</v>
      </c>
      <c r="AM235" s="162" t="str">
        <f>IFERROR(((S235/0.0185*0.000318)/#REF!),"-")</f>
        <v>-</v>
      </c>
      <c r="AN235" s="164"/>
      <c r="AO235" s="164"/>
      <c r="AP235" s="166"/>
      <c r="AQ235" s="161">
        <f>IFERROR(('REKAPAN OKEY AYAM'!$AD25),"-")</f>
        <v>1.0474930004814149</v>
      </c>
      <c r="AR235" s="161" t="str">
        <f>IFERROR(('REKAPAN CHAMP AYAM'!$AD25),"-")</f>
        <v>-</v>
      </c>
      <c r="AS235" s="161" t="str">
        <f>IFERROR(('REKAPAN CHAMP SAPI'!$AD25),"-")</f>
        <v>-</v>
      </c>
      <c r="AT235" s="161" t="str">
        <f>IFERROR(('REKAPAN CHAMP OTAK-OTAK'!$AD25),"-")</f>
        <v>-</v>
      </c>
      <c r="AU235" s="161" t="str">
        <f>IFERROR(('REKAPAN FIESTA'!$AD25),"-")</f>
        <v>-</v>
      </c>
    </row>
    <row r="236" spans="1:47">
      <c r="A236" s="471">
        <f>+$A235</f>
        <v>46225</v>
      </c>
      <c r="B236" s="497" t="s">
        <v>295</v>
      </c>
      <c r="C236" s="426">
        <v>451</v>
      </c>
      <c r="D236" s="427">
        <f t="shared" si="362"/>
        <v>1747.625</v>
      </c>
      <c r="E236" s="428">
        <f t="shared" si="368"/>
        <v>17476.25</v>
      </c>
      <c r="F236" s="428">
        <f t="shared" si="369"/>
        <v>11.650833333333333</v>
      </c>
      <c r="G236" s="428">
        <f t="shared" si="388"/>
        <v>44.459579999999995</v>
      </c>
      <c r="H236" s="429"/>
      <c r="I236" s="430">
        <f t="shared" si="287"/>
        <v>0</v>
      </c>
      <c r="J236" s="431">
        <f t="shared" si="389"/>
        <v>0</v>
      </c>
      <c r="K236" s="431">
        <f t="shared" si="372"/>
        <v>0</v>
      </c>
      <c r="L236" s="431">
        <f t="shared" si="391"/>
        <v>0</v>
      </c>
      <c r="M236" s="432"/>
      <c r="N236" s="433">
        <f t="shared" si="342"/>
        <v>0</v>
      </c>
      <c r="O236" s="434">
        <f t="shared" si="392"/>
        <v>0</v>
      </c>
      <c r="P236" s="434">
        <f t="shared" si="340"/>
        <v>0</v>
      </c>
      <c r="Q236" s="434">
        <f t="shared" si="394"/>
        <v>0</v>
      </c>
      <c r="R236" s="435"/>
      <c r="S236" s="436">
        <f t="shared" si="343"/>
        <v>0</v>
      </c>
      <c r="T236" s="437">
        <f t="shared" si="395"/>
        <v>0</v>
      </c>
      <c r="U236" s="437">
        <f t="shared" si="341"/>
        <v>0</v>
      </c>
      <c r="V236" s="437">
        <f t="shared" si="397"/>
        <v>0</v>
      </c>
      <c r="W236" s="300"/>
      <c r="X236" s="131"/>
      <c r="Z236" s="162"/>
      <c r="AA236" s="162"/>
      <c r="AB236" s="162"/>
      <c r="AC236" s="162"/>
      <c r="AD236" s="162"/>
      <c r="AE236" s="163"/>
      <c r="AF236" s="162"/>
      <c r="AG236" s="162"/>
      <c r="AH236" s="162"/>
      <c r="AI236" s="162"/>
      <c r="AJ236" s="162"/>
      <c r="AK236" s="162"/>
      <c r="AL236" s="162"/>
      <c r="AM236" s="162"/>
      <c r="AN236" s="164"/>
      <c r="AO236" s="164"/>
      <c r="AP236" s="166"/>
      <c r="AQ236" s="161"/>
      <c r="AR236" s="161"/>
      <c r="AS236" s="161"/>
      <c r="AT236" s="161"/>
      <c r="AU236" s="161"/>
    </row>
    <row r="237" spans="1:47">
      <c r="A237" s="471">
        <f t="shared" ref="A237:A244" si="398">+$A236</f>
        <v>46225</v>
      </c>
      <c r="B237" s="497" t="s">
        <v>296</v>
      </c>
      <c r="C237" s="426">
        <v>470</v>
      </c>
      <c r="D237" s="427">
        <f t="shared" si="362"/>
        <v>1821.25</v>
      </c>
      <c r="E237" s="428">
        <f t="shared" si="368"/>
        <v>18212.5</v>
      </c>
      <c r="F237" s="428">
        <f t="shared" si="369"/>
        <v>12.141666666666667</v>
      </c>
      <c r="G237" s="428">
        <f t="shared" si="388"/>
        <v>46.332599999999999</v>
      </c>
      <c r="H237" s="429"/>
      <c r="I237" s="430">
        <f t="shared" si="287"/>
        <v>0</v>
      </c>
      <c r="J237" s="431">
        <f t="shared" si="389"/>
        <v>0</v>
      </c>
      <c r="K237" s="431">
        <f t="shared" si="372"/>
        <v>0</v>
      </c>
      <c r="L237" s="431">
        <f t="shared" si="391"/>
        <v>0</v>
      </c>
      <c r="M237" s="432"/>
      <c r="N237" s="433">
        <f t="shared" si="342"/>
        <v>0</v>
      </c>
      <c r="O237" s="434">
        <f t="shared" si="392"/>
        <v>0</v>
      </c>
      <c r="P237" s="434">
        <f t="shared" si="340"/>
        <v>0</v>
      </c>
      <c r="Q237" s="434">
        <f t="shared" si="394"/>
        <v>0</v>
      </c>
      <c r="R237" s="435"/>
      <c r="S237" s="436">
        <f t="shared" si="343"/>
        <v>0</v>
      </c>
      <c r="T237" s="437">
        <f t="shared" si="395"/>
        <v>0</v>
      </c>
      <c r="U237" s="437">
        <f t="shared" si="341"/>
        <v>0</v>
      </c>
      <c r="V237" s="437">
        <f t="shared" si="397"/>
        <v>0</v>
      </c>
      <c r="W237" s="300"/>
      <c r="X237" s="131"/>
      <c r="Z237" s="162"/>
      <c r="AA237" s="162"/>
      <c r="AB237" s="162"/>
      <c r="AC237" s="162"/>
      <c r="AD237" s="162"/>
      <c r="AE237" s="163"/>
      <c r="AF237" s="162"/>
      <c r="AG237" s="162"/>
      <c r="AH237" s="162"/>
      <c r="AI237" s="162"/>
      <c r="AJ237" s="162"/>
      <c r="AK237" s="162"/>
      <c r="AL237" s="162"/>
      <c r="AM237" s="162"/>
      <c r="AN237" s="164"/>
      <c r="AO237" s="164"/>
      <c r="AP237" s="166"/>
      <c r="AQ237" s="161"/>
      <c r="AR237" s="161"/>
      <c r="AS237" s="161"/>
      <c r="AT237" s="161"/>
      <c r="AU237" s="161"/>
    </row>
    <row r="238" spans="1:47">
      <c r="A238" s="471">
        <f t="shared" si="398"/>
        <v>46225</v>
      </c>
      <c r="B238" s="497" t="s">
        <v>297</v>
      </c>
      <c r="C238" s="426">
        <v>487</v>
      </c>
      <c r="D238" s="427">
        <f t="shared" si="362"/>
        <v>1887.125</v>
      </c>
      <c r="E238" s="428">
        <f t="shared" si="368"/>
        <v>18871.25</v>
      </c>
      <c r="F238" s="428">
        <f t="shared" si="369"/>
        <v>12.580833333333333</v>
      </c>
      <c r="G238" s="428">
        <f t="shared" si="388"/>
        <v>48.008459999999999</v>
      </c>
      <c r="H238" s="429"/>
      <c r="I238" s="430">
        <f t="shared" si="287"/>
        <v>0</v>
      </c>
      <c r="J238" s="431">
        <f t="shared" si="389"/>
        <v>0</v>
      </c>
      <c r="K238" s="431">
        <f t="shared" si="372"/>
        <v>0</v>
      </c>
      <c r="L238" s="431">
        <f t="shared" si="391"/>
        <v>0</v>
      </c>
      <c r="M238" s="432"/>
      <c r="N238" s="433">
        <f t="shared" si="342"/>
        <v>0</v>
      </c>
      <c r="O238" s="434">
        <f t="shared" si="392"/>
        <v>0</v>
      </c>
      <c r="P238" s="434">
        <f t="shared" si="340"/>
        <v>0</v>
      </c>
      <c r="Q238" s="434">
        <f t="shared" si="394"/>
        <v>0</v>
      </c>
      <c r="R238" s="435"/>
      <c r="S238" s="436">
        <f t="shared" si="343"/>
        <v>0</v>
      </c>
      <c r="T238" s="437">
        <f t="shared" si="395"/>
        <v>0</v>
      </c>
      <c r="U238" s="437">
        <f t="shared" si="341"/>
        <v>0</v>
      </c>
      <c r="V238" s="437">
        <f t="shared" si="397"/>
        <v>0</v>
      </c>
      <c r="W238" s="300"/>
      <c r="X238" s="131"/>
      <c r="Z238" s="162"/>
      <c r="AA238" s="162"/>
      <c r="AB238" s="162"/>
      <c r="AC238" s="162"/>
      <c r="AD238" s="162"/>
      <c r="AE238" s="163"/>
      <c r="AF238" s="162"/>
      <c r="AG238" s="162"/>
      <c r="AH238" s="162"/>
      <c r="AI238" s="162"/>
      <c r="AJ238" s="162"/>
      <c r="AK238" s="162"/>
      <c r="AL238" s="162"/>
      <c r="AM238" s="162"/>
      <c r="AN238" s="164"/>
      <c r="AO238" s="164"/>
      <c r="AP238" s="166"/>
      <c r="AQ238" s="161"/>
      <c r="AR238" s="161"/>
      <c r="AS238" s="161"/>
      <c r="AT238" s="161"/>
      <c r="AU238" s="161"/>
    </row>
    <row r="239" spans="1:47">
      <c r="A239" s="471">
        <f t="shared" si="398"/>
        <v>46225</v>
      </c>
      <c r="B239" s="497" t="s">
        <v>298</v>
      </c>
      <c r="C239" s="426">
        <v>437</v>
      </c>
      <c r="D239" s="427">
        <f t="shared" si="362"/>
        <v>1693.375</v>
      </c>
      <c r="E239" s="428">
        <f t="shared" si="368"/>
        <v>16933.75</v>
      </c>
      <c r="F239" s="428">
        <f t="shared" si="369"/>
        <v>11.289166666666667</v>
      </c>
      <c r="G239" s="428">
        <f t="shared" si="388"/>
        <v>43.079459999999997</v>
      </c>
      <c r="H239" s="429"/>
      <c r="I239" s="430">
        <f t="shared" si="287"/>
        <v>0</v>
      </c>
      <c r="J239" s="431">
        <f t="shared" si="389"/>
        <v>0</v>
      </c>
      <c r="K239" s="431">
        <f t="shared" si="372"/>
        <v>0</v>
      </c>
      <c r="L239" s="431">
        <f t="shared" si="391"/>
        <v>0</v>
      </c>
      <c r="M239" s="432"/>
      <c r="N239" s="433">
        <f t="shared" si="342"/>
        <v>0</v>
      </c>
      <c r="O239" s="434">
        <f t="shared" si="392"/>
        <v>0</v>
      </c>
      <c r="P239" s="434">
        <f t="shared" si="340"/>
        <v>0</v>
      </c>
      <c r="Q239" s="434">
        <f t="shared" si="394"/>
        <v>0</v>
      </c>
      <c r="R239" s="435"/>
      <c r="S239" s="436">
        <f t="shared" si="343"/>
        <v>0</v>
      </c>
      <c r="T239" s="437">
        <f t="shared" si="395"/>
        <v>0</v>
      </c>
      <c r="U239" s="437">
        <f t="shared" si="341"/>
        <v>0</v>
      </c>
      <c r="V239" s="437">
        <f t="shared" si="397"/>
        <v>0</v>
      </c>
      <c r="W239" s="300"/>
      <c r="X239" s="131"/>
      <c r="Z239" s="162"/>
      <c r="AA239" s="162"/>
      <c r="AB239" s="162"/>
      <c r="AC239" s="162"/>
      <c r="AD239" s="162"/>
      <c r="AE239" s="163"/>
      <c r="AF239" s="162"/>
      <c r="AG239" s="162"/>
      <c r="AH239" s="162"/>
      <c r="AI239" s="162"/>
      <c r="AJ239" s="162"/>
      <c r="AK239" s="162"/>
      <c r="AL239" s="162"/>
      <c r="AM239" s="162"/>
      <c r="AN239" s="164"/>
      <c r="AO239" s="164"/>
      <c r="AP239" s="166"/>
      <c r="AQ239" s="161"/>
      <c r="AR239" s="161"/>
      <c r="AS239" s="161"/>
      <c r="AT239" s="161"/>
      <c r="AU239" s="161"/>
    </row>
    <row r="240" spans="1:47">
      <c r="A240" s="471">
        <f t="shared" si="398"/>
        <v>46225</v>
      </c>
      <c r="B240" s="497" t="s">
        <v>299</v>
      </c>
      <c r="C240" s="426">
        <v>480</v>
      </c>
      <c r="D240" s="427">
        <f t="shared" si="362"/>
        <v>1860</v>
      </c>
      <c r="E240" s="428">
        <f t="shared" si="368"/>
        <v>18600</v>
      </c>
      <c r="F240" s="428">
        <f t="shared" si="369"/>
        <v>12.4</v>
      </c>
      <c r="G240" s="428">
        <f t="shared" si="388"/>
        <v>47.318399999999997</v>
      </c>
      <c r="H240" s="429"/>
      <c r="I240" s="430">
        <f t="shared" ref="I240:I303" si="399">+H240*3.276</f>
        <v>0</v>
      </c>
      <c r="J240" s="431">
        <f t="shared" si="389"/>
        <v>0</v>
      </c>
      <c r="K240" s="431">
        <f t="shared" si="372"/>
        <v>0</v>
      </c>
      <c r="L240" s="431">
        <f t="shared" si="391"/>
        <v>0</v>
      </c>
      <c r="M240" s="432"/>
      <c r="N240" s="433">
        <f t="shared" si="342"/>
        <v>0</v>
      </c>
      <c r="O240" s="434">
        <f t="shared" si="392"/>
        <v>0</v>
      </c>
      <c r="P240" s="434">
        <f t="shared" si="340"/>
        <v>0</v>
      </c>
      <c r="Q240" s="434">
        <f t="shared" si="394"/>
        <v>0</v>
      </c>
      <c r="R240" s="435"/>
      <c r="S240" s="436">
        <f t="shared" si="343"/>
        <v>0</v>
      </c>
      <c r="T240" s="437">
        <f t="shared" si="395"/>
        <v>0</v>
      </c>
      <c r="U240" s="437">
        <f t="shared" si="341"/>
        <v>0</v>
      </c>
      <c r="V240" s="437">
        <f t="shared" si="397"/>
        <v>0</v>
      </c>
      <c r="W240" s="300"/>
      <c r="X240" s="131"/>
      <c r="Z240" s="162"/>
      <c r="AA240" s="162"/>
      <c r="AB240" s="162"/>
      <c r="AC240" s="162"/>
      <c r="AD240" s="162"/>
      <c r="AE240" s="163"/>
      <c r="AF240" s="162"/>
      <c r="AG240" s="162"/>
      <c r="AH240" s="162"/>
      <c r="AI240" s="162"/>
      <c r="AJ240" s="162"/>
      <c r="AK240" s="162"/>
      <c r="AL240" s="162"/>
      <c r="AM240" s="162"/>
      <c r="AN240" s="164"/>
      <c r="AO240" s="164"/>
      <c r="AP240" s="166"/>
      <c r="AQ240" s="161"/>
      <c r="AR240" s="161"/>
      <c r="AS240" s="161"/>
      <c r="AT240" s="161"/>
      <c r="AU240" s="161"/>
    </row>
    <row r="241" spans="1:47">
      <c r="A241" s="471">
        <f t="shared" si="398"/>
        <v>46225</v>
      </c>
      <c r="B241" s="497" t="s">
        <v>300</v>
      </c>
      <c r="C241" s="426">
        <v>273</v>
      </c>
      <c r="D241" s="427">
        <f t="shared" si="362"/>
        <v>1057.875</v>
      </c>
      <c r="E241" s="428">
        <f t="shared" si="368"/>
        <v>10578.75</v>
      </c>
      <c r="F241" s="428">
        <f t="shared" si="369"/>
        <v>7.0525000000000002</v>
      </c>
      <c r="G241" s="428">
        <f t="shared" si="388"/>
        <v>26.912339999999997</v>
      </c>
      <c r="H241" s="429"/>
      <c r="I241" s="430">
        <f t="shared" si="399"/>
        <v>0</v>
      </c>
      <c r="J241" s="431">
        <f t="shared" si="389"/>
        <v>0</v>
      </c>
      <c r="K241" s="431">
        <f t="shared" si="372"/>
        <v>0</v>
      </c>
      <c r="L241" s="431">
        <f t="shared" si="391"/>
        <v>0</v>
      </c>
      <c r="M241" s="432"/>
      <c r="N241" s="433">
        <f t="shared" si="342"/>
        <v>0</v>
      </c>
      <c r="O241" s="434">
        <f t="shared" si="392"/>
        <v>0</v>
      </c>
      <c r="P241" s="434">
        <f t="shared" si="340"/>
        <v>0</v>
      </c>
      <c r="Q241" s="434">
        <f t="shared" si="394"/>
        <v>0</v>
      </c>
      <c r="R241" s="435"/>
      <c r="S241" s="436">
        <f t="shared" si="343"/>
        <v>0</v>
      </c>
      <c r="T241" s="437">
        <f t="shared" si="395"/>
        <v>0</v>
      </c>
      <c r="U241" s="437">
        <f t="shared" si="341"/>
        <v>0</v>
      </c>
      <c r="V241" s="437">
        <f t="shared" si="397"/>
        <v>0</v>
      </c>
      <c r="W241" s="300"/>
      <c r="X241" s="131"/>
      <c r="Z241" s="162"/>
      <c r="AA241" s="162"/>
      <c r="AB241" s="162"/>
      <c r="AC241" s="162"/>
      <c r="AD241" s="162"/>
      <c r="AE241" s="163"/>
      <c r="AF241" s="162"/>
      <c r="AG241" s="162"/>
      <c r="AH241" s="162"/>
      <c r="AI241" s="162"/>
      <c r="AJ241" s="162"/>
      <c r="AK241" s="162"/>
      <c r="AL241" s="162"/>
      <c r="AM241" s="162"/>
      <c r="AN241" s="164"/>
      <c r="AO241" s="164"/>
      <c r="AP241" s="166"/>
      <c r="AQ241" s="161"/>
      <c r="AR241" s="161"/>
      <c r="AS241" s="161"/>
      <c r="AT241" s="161"/>
      <c r="AU241" s="161"/>
    </row>
    <row r="242" spans="1:47">
      <c r="A242" s="471">
        <f t="shared" si="398"/>
        <v>46225</v>
      </c>
      <c r="B242" s="497" t="s">
        <v>301</v>
      </c>
      <c r="C242" s="426">
        <v>484</v>
      </c>
      <c r="D242" s="427">
        <f t="shared" si="362"/>
        <v>1875.5</v>
      </c>
      <c r="E242" s="428">
        <f t="shared" si="368"/>
        <v>18755</v>
      </c>
      <c r="F242" s="428">
        <f t="shared" si="369"/>
        <v>12.503333333333334</v>
      </c>
      <c r="G242" s="428">
        <f t="shared" si="388"/>
        <v>47.712719999999997</v>
      </c>
      <c r="H242" s="429"/>
      <c r="I242" s="430">
        <f t="shared" si="399"/>
        <v>0</v>
      </c>
      <c r="J242" s="431">
        <f t="shared" si="389"/>
        <v>0</v>
      </c>
      <c r="K242" s="431">
        <f t="shared" si="372"/>
        <v>0</v>
      </c>
      <c r="L242" s="431">
        <f t="shared" si="391"/>
        <v>0</v>
      </c>
      <c r="M242" s="432"/>
      <c r="N242" s="433">
        <f t="shared" si="342"/>
        <v>0</v>
      </c>
      <c r="O242" s="434">
        <f t="shared" si="392"/>
        <v>0</v>
      </c>
      <c r="P242" s="434">
        <f t="shared" si="340"/>
        <v>0</v>
      </c>
      <c r="Q242" s="434">
        <f t="shared" si="394"/>
        <v>0</v>
      </c>
      <c r="R242" s="435"/>
      <c r="S242" s="436">
        <f t="shared" si="343"/>
        <v>0</v>
      </c>
      <c r="T242" s="437">
        <f t="shared" si="395"/>
        <v>0</v>
      </c>
      <c r="U242" s="437">
        <f t="shared" si="341"/>
        <v>0</v>
      </c>
      <c r="V242" s="437">
        <f t="shared" si="397"/>
        <v>0</v>
      </c>
      <c r="W242" s="300"/>
      <c r="X242" s="131"/>
      <c r="Z242" s="162"/>
      <c r="AA242" s="162"/>
      <c r="AB242" s="162"/>
      <c r="AC242" s="162"/>
      <c r="AD242" s="162"/>
      <c r="AE242" s="163"/>
      <c r="AF242" s="162"/>
      <c r="AG242" s="162"/>
      <c r="AH242" s="162"/>
      <c r="AI242" s="162"/>
      <c r="AJ242" s="162"/>
      <c r="AK242" s="162"/>
      <c r="AL242" s="162"/>
      <c r="AM242" s="162"/>
      <c r="AN242" s="164"/>
      <c r="AO242" s="164"/>
      <c r="AP242" s="166"/>
      <c r="AQ242" s="161"/>
      <c r="AR242" s="161"/>
      <c r="AS242" s="161"/>
      <c r="AT242" s="161"/>
      <c r="AU242" s="161"/>
    </row>
    <row r="243" spans="1:47">
      <c r="A243" s="471">
        <f t="shared" si="398"/>
        <v>46225</v>
      </c>
      <c r="B243" s="497"/>
      <c r="C243" s="426"/>
      <c r="D243" s="427">
        <f t="shared" si="362"/>
        <v>0</v>
      </c>
      <c r="E243" s="428">
        <f t="shared" si="368"/>
        <v>0</v>
      </c>
      <c r="F243" s="428">
        <f t="shared" si="369"/>
        <v>0</v>
      </c>
      <c r="G243" s="428">
        <f t="shared" si="388"/>
        <v>0</v>
      </c>
      <c r="H243" s="429"/>
      <c r="I243" s="430">
        <f t="shared" si="399"/>
        <v>0</v>
      </c>
      <c r="J243" s="431">
        <f t="shared" si="389"/>
        <v>0</v>
      </c>
      <c r="K243" s="431">
        <f t="shared" si="372"/>
        <v>0</v>
      </c>
      <c r="L243" s="431">
        <f t="shared" si="391"/>
        <v>0</v>
      </c>
      <c r="M243" s="432"/>
      <c r="N243" s="433">
        <f t="shared" si="342"/>
        <v>0</v>
      </c>
      <c r="O243" s="434">
        <f t="shared" si="392"/>
        <v>0</v>
      </c>
      <c r="P243" s="434">
        <f t="shared" si="340"/>
        <v>0</v>
      </c>
      <c r="Q243" s="434">
        <f t="shared" si="394"/>
        <v>0</v>
      </c>
      <c r="R243" s="435"/>
      <c r="S243" s="436">
        <f t="shared" si="343"/>
        <v>0</v>
      </c>
      <c r="T243" s="437">
        <f t="shared" si="395"/>
        <v>0</v>
      </c>
      <c r="U243" s="437">
        <f t="shared" si="341"/>
        <v>0</v>
      </c>
      <c r="V243" s="437">
        <f t="shared" si="397"/>
        <v>0</v>
      </c>
      <c r="W243" s="300"/>
      <c r="X243" s="131"/>
      <c r="Z243" s="162"/>
      <c r="AA243" s="162"/>
      <c r="AB243" s="162"/>
      <c r="AC243" s="162"/>
      <c r="AD243" s="162"/>
      <c r="AE243" s="163"/>
      <c r="AF243" s="162"/>
      <c r="AG243" s="162"/>
      <c r="AH243" s="162"/>
      <c r="AI243" s="162"/>
      <c r="AJ243" s="162"/>
      <c r="AK243" s="162"/>
      <c r="AL243" s="162"/>
      <c r="AM243" s="162"/>
      <c r="AN243" s="164"/>
      <c r="AO243" s="164"/>
      <c r="AP243" s="166"/>
      <c r="AQ243" s="161"/>
      <c r="AR243" s="161"/>
      <c r="AS243" s="161"/>
      <c r="AT243" s="161"/>
      <c r="AU243" s="161"/>
    </row>
    <row r="244" spans="1:47">
      <c r="A244" s="471">
        <f t="shared" si="398"/>
        <v>46225</v>
      </c>
      <c r="B244" s="497"/>
      <c r="C244" s="426"/>
      <c r="D244" s="427">
        <f t="shared" si="362"/>
        <v>0</v>
      </c>
      <c r="E244" s="428">
        <f t="shared" si="368"/>
        <v>0</v>
      </c>
      <c r="F244" s="428">
        <f t="shared" si="369"/>
        <v>0</v>
      </c>
      <c r="G244" s="428">
        <f t="shared" si="388"/>
        <v>0</v>
      </c>
      <c r="H244" s="429"/>
      <c r="I244" s="430">
        <f t="shared" si="399"/>
        <v>0</v>
      </c>
      <c r="J244" s="431">
        <f t="shared" si="389"/>
        <v>0</v>
      </c>
      <c r="K244" s="431">
        <f t="shared" si="372"/>
        <v>0</v>
      </c>
      <c r="L244" s="431">
        <f t="shared" si="391"/>
        <v>0</v>
      </c>
      <c r="M244" s="432"/>
      <c r="N244" s="433">
        <f t="shared" si="342"/>
        <v>0</v>
      </c>
      <c r="O244" s="434">
        <f t="shared" si="392"/>
        <v>0</v>
      </c>
      <c r="P244" s="434">
        <f t="shared" si="340"/>
        <v>0</v>
      </c>
      <c r="Q244" s="434">
        <f t="shared" si="394"/>
        <v>0</v>
      </c>
      <c r="R244" s="435"/>
      <c r="S244" s="436">
        <f t="shared" si="343"/>
        <v>0</v>
      </c>
      <c r="T244" s="437">
        <f t="shared" si="395"/>
        <v>0</v>
      </c>
      <c r="U244" s="437">
        <f t="shared" si="341"/>
        <v>0</v>
      </c>
      <c r="V244" s="437">
        <f t="shared" si="397"/>
        <v>0</v>
      </c>
      <c r="W244" s="300"/>
      <c r="X244" s="131"/>
      <c r="Z244" s="162"/>
      <c r="AA244" s="162"/>
      <c r="AB244" s="162"/>
      <c r="AC244" s="162"/>
      <c r="AD244" s="162"/>
      <c r="AE244" s="163"/>
      <c r="AF244" s="162"/>
      <c r="AG244" s="162"/>
      <c r="AH244" s="162"/>
      <c r="AI244" s="162"/>
      <c r="AJ244" s="162"/>
      <c r="AK244" s="162"/>
      <c r="AL244" s="162"/>
      <c r="AM244" s="162"/>
      <c r="AN244" s="164"/>
      <c r="AO244" s="164"/>
      <c r="AP244" s="166"/>
      <c r="AQ244" s="161"/>
      <c r="AR244" s="161"/>
      <c r="AS244" s="161"/>
      <c r="AT244" s="161"/>
      <c r="AU244" s="161"/>
    </row>
    <row r="245" spans="1:47" ht="14.25">
      <c r="A245" s="471"/>
      <c r="B245" s="498" t="s">
        <v>118</v>
      </c>
      <c r="C245" s="438">
        <f>SUM(C235:C244)</f>
        <v>3529</v>
      </c>
      <c r="D245" s="439">
        <f t="shared" si="362"/>
        <v>13674.875</v>
      </c>
      <c r="E245" s="438">
        <f t="shared" ref="E245:H245" si="400">SUM(E235:E244)</f>
        <v>136748.75</v>
      </c>
      <c r="F245" s="463">
        <f t="shared" si="400"/>
        <v>91.165833333333325</v>
      </c>
      <c r="G245" s="463">
        <f t="shared" si="400"/>
        <v>347.88881999999995</v>
      </c>
      <c r="H245" s="440">
        <f t="shared" si="400"/>
        <v>0</v>
      </c>
      <c r="I245" s="441">
        <f t="shared" si="399"/>
        <v>0</v>
      </c>
      <c r="J245" s="440">
        <f t="shared" ref="J245:L245" si="401">SUM(J235:J244)</f>
        <v>0</v>
      </c>
      <c r="K245" s="466">
        <f t="shared" si="401"/>
        <v>0</v>
      </c>
      <c r="L245" s="466">
        <f t="shared" si="401"/>
        <v>0</v>
      </c>
      <c r="M245" s="442">
        <f t="shared" ref="M245" si="402">SUM(M235:M244)</f>
        <v>0</v>
      </c>
      <c r="N245" s="443">
        <f t="shared" si="342"/>
        <v>0</v>
      </c>
      <c r="O245" s="442">
        <f t="shared" ref="O245:R245" si="403">SUM(O235:O244)</f>
        <v>0</v>
      </c>
      <c r="P245" s="468">
        <f t="shared" si="403"/>
        <v>0</v>
      </c>
      <c r="Q245" s="468">
        <f t="shared" si="403"/>
        <v>0</v>
      </c>
      <c r="R245" s="444">
        <f t="shared" si="403"/>
        <v>0</v>
      </c>
      <c r="S245" s="445">
        <f t="shared" si="343"/>
        <v>0</v>
      </c>
      <c r="T245" s="444">
        <f t="shared" ref="T245:V245" si="404">SUM(T235:T244)</f>
        <v>0</v>
      </c>
      <c r="U245" s="470">
        <f t="shared" si="404"/>
        <v>0</v>
      </c>
      <c r="V245" s="470">
        <f t="shared" si="404"/>
        <v>0</v>
      </c>
      <c r="W245" s="300"/>
      <c r="X245" s="131"/>
      <c r="Z245" s="162"/>
      <c r="AA245" s="162"/>
      <c r="AB245" s="162"/>
      <c r="AC245" s="162"/>
      <c r="AD245" s="162"/>
      <c r="AE245" s="163"/>
      <c r="AF245" s="162"/>
      <c r="AG245" s="162"/>
      <c r="AH245" s="162"/>
      <c r="AI245" s="162"/>
      <c r="AJ245" s="162"/>
      <c r="AK245" s="162"/>
      <c r="AL245" s="162"/>
      <c r="AM245" s="162"/>
      <c r="AN245" s="164"/>
      <c r="AO245" s="164"/>
      <c r="AP245" s="166"/>
      <c r="AQ245" s="161"/>
      <c r="AR245" s="161"/>
      <c r="AS245" s="161"/>
      <c r="AT245" s="161"/>
      <c r="AU245" s="161"/>
    </row>
    <row r="246" spans="1:47">
      <c r="A246" s="472">
        <f>+A235+1</f>
        <v>46226</v>
      </c>
      <c r="B246" s="497" t="s">
        <v>302</v>
      </c>
      <c r="C246" s="426">
        <v>412</v>
      </c>
      <c r="D246" s="427">
        <f t="shared" si="362"/>
        <v>1596.5</v>
      </c>
      <c r="E246" s="428">
        <f t="shared" ref="E246" si="405">+D246/0.0125*0.125</f>
        <v>15965</v>
      </c>
      <c r="F246" s="428">
        <f t="shared" ref="F246" si="406">+E246/1500</f>
        <v>10.643333333333333</v>
      </c>
      <c r="G246" s="428">
        <f t="shared" ref="G246:G255" si="407">+D246/0.0125*0.000318</f>
        <v>40.614959999999996</v>
      </c>
      <c r="H246" s="429"/>
      <c r="I246" s="430">
        <f t="shared" si="399"/>
        <v>0</v>
      </c>
      <c r="J246" s="431">
        <f t="shared" ref="J246:J255" si="408">+I246/0.0185*0.185</f>
        <v>0</v>
      </c>
      <c r="K246" s="431">
        <f t="shared" ref="K246" si="409">+J246/1500</f>
        <v>0</v>
      </c>
      <c r="L246" s="431">
        <f t="shared" ref="L246:L255" si="410">+I246/0.0185*0.000318</f>
        <v>0</v>
      </c>
      <c r="M246" s="432"/>
      <c r="N246" s="433">
        <f t="shared" si="342"/>
        <v>0</v>
      </c>
      <c r="O246" s="434">
        <f t="shared" ref="O246:O255" si="411">+N246/0.0185*0.185</f>
        <v>0</v>
      </c>
      <c r="P246" s="434">
        <f t="shared" ref="P246" si="412">+O246/1500</f>
        <v>0</v>
      </c>
      <c r="Q246" s="434">
        <f t="shared" ref="Q246:Q255" si="413">+N246/0.0185*0.000318</f>
        <v>0</v>
      </c>
      <c r="R246" s="435"/>
      <c r="S246" s="436">
        <f t="shared" si="343"/>
        <v>0</v>
      </c>
      <c r="T246" s="437">
        <f t="shared" ref="T246:T255" si="414">+S246/0.0185*0.185</f>
        <v>0</v>
      </c>
      <c r="U246" s="437">
        <f t="shared" ref="U246" si="415">+T246/1500</f>
        <v>0</v>
      </c>
      <c r="V246" s="437">
        <f t="shared" ref="V246:V255" si="416">+S246/0.0185*0.000318</f>
        <v>0</v>
      </c>
      <c r="W246" s="300"/>
      <c r="X246" s="131">
        <f>+W246*2.4</f>
        <v>0</v>
      </c>
      <c r="Z246" s="162">
        <f>IFERROR((D246/'REKAPAN OKEY AYAM'!$AC26),"-")</f>
        <v>0.1011287911419667</v>
      </c>
      <c r="AA246" s="162" t="str">
        <f>IFERROR((I246/'REKAPAN CHAMP AYAM'!$AC26),"-")</f>
        <v>-</v>
      </c>
      <c r="AB246" s="162" t="str">
        <f>IFERROR((N246/'REKAPAN CHAMP SAPI'!AC26),"-")</f>
        <v>-</v>
      </c>
      <c r="AC246" s="162" t="str">
        <f>IFERROR((S246/'REKAPAN CHAMP OTAK-OTAK'!AC26),"-")</f>
        <v>-</v>
      </c>
      <c r="AD246" s="162" t="str">
        <f>IFERROR((X246/'REKAPAN FIESTA'!AC26),"-")</f>
        <v>-</v>
      </c>
      <c r="AE246" s="163"/>
      <c r="AF246" s="162">
        <f t="shared" si="39"/>
        <v>1500</v>
      </c>
      <c r="AG246" s="162" t="str">
        <f>IFERROR(((D246/0.0125*0.000318)/#REF!),"-")</f>
        <v>-</v>
      </c>
      <c r="AH246" s="162" t="str">
        <f t="shared" si="40"/>
        <v>-</v>
      </c>
      <c r="AI246" s="162" t="str">
        <f>IFERROR(((I246/0.0185*0.000318)/#REF!),"-")</f>
        <v>-</v>
      </c>
      <c r="AJ246" s="162" t="str">
        <f t="shared" si="41"/>
        <v>-</v>
      </c>
      <c r="AK246" s="162" t="str">
        <f>IFERROR(((N246/0.0185*0.000318)/#REF!),"-")</f>
        <v>-</v>
      </c>
      <c r="AL246" s="162" t="str">
        <f t="shared" si="42"/>
        <v>-</v>
      </c>
      <c r="AM246" s="162" t="str">
        <f>IFERROR(((S246/0.0185*0.000318)/#REF!),"-")</f>
        <v>-</v>
      </c>
      <c r="AN246" s="164"/>
      <c r="AO246" s="164"/>
      <c r="AP246" s="166"/>
      <c r="AQ246" s="161">
        <f>IFERROR(('REKAPAN OKEY AYAM'!$AD26),"-")</f>
        <v>0.97545100970430987</v>
      </c>
      <c r="AR246" s="161" t="str">
        <f>IFERROR(('REKAPAN CHAMP AYAM'!$AD26),"-")</f>
        <v>-</v>
      </c>
      <c r="AS246" s="161" t="str">
        <f>IFERROR(('REKAPAN CHAMP SAPI'!$AD26),"-")</f>
        <v>-</v>
      </c>
      <c r="AT246" s="161" t="str">
        <f>IFERROR(('REKAPAN CHAMP OTAK-OTAK'!$AD26),"-")</f>
        <v>-</v>
      </c>
      <c r="AU246" s="161" t="str">
        <f>IFERROR(('REKAPAN FIESTA'!$AD26),"-")</f>
        <v>-</v>
      </c>
    </row>
    <row r="247" spans="1:47">
      <c r="A247" s="471">
        <f>+$A246</f>
        <v>46226</v>
      </c>
      <c r="B247" s="497" t="s">
        <v>303</v>
      </c>
      <c r="C247" s="426">
        <v>496</v>
      </c>
      <c r="D247" s="427">
        <f t="shared" si="362"/>
        <v>1922</v>
      </c>
      <c r="E247" s="428">
        <f t="shared" si="368"/>
        <v>19220</v>
      </c>
      <c r="F247" s="428">
        <f t="shared" si="369"/>
        <v>12.813333333333333</v>
      </c>
      <c r="G247" s="428">
        <f t="shared" si="407"/>
        <v>48.895679999999999</v>
      </c>
      <c r="H247" s="429"/>
      <c r="I247" s="430">
        <f t="shared" si="399"/>
        <v>0</v>
      </c>
      <c r="J247" s="431">
        <f t="shared" si="408"/>
        <v>0</v>
      </c>
      <c r="K247" s="431">
        <f t="shared" si="372"/>
        <v>0</v>
      </c>
      <c r="L247" s="431">
        <f t="shared" si="410"/>
        <v>0</v>
      </c>
      <c r="M247" s="432"/>
      <c r="N247" s="433">
        <f t="shared" si="342"/>
        <v>0</v>
      </c>
      <c r="O247" s="434">
        <f t="shared" si="411"/>
        <v>0</v>
      </c>
      <c r="P247" s="434">
        <f t="shared" si="340"/>
        <v>0</v>
      </c>
      <c r="Q247" s="434">
        <f t="shared" si="413"/>
        <v>0</v>
      </c>
      <c r="R247" s="435"/>
      <c r="S247" s="436">
        <f t="shared" si="343"/>
        <v>0</v>
      </c>
      <c r="T247" s="437">
        <f t="shared" si="414"/>
        <v>0</v>
      </c>
      <c r="U247" s="437">
        <f t="shared" si="341"/>
        <v>0</v>
      </c>
      <c r="V247" s="437">
        <f t="shared" si="416"/>
        <v>0</v>
      </c>
      <c r="W247" s="300"/>
      <c r="X247" s="131"/>
      <c r="Z247" s="162"/>
      <c r="AA247" s="162"/>
      <c r="AB247" s="162"/>
      <c r="AC247" s="162"/>
      <c r="AD247" s="162"/>
      <c r="AE247" s="163"/>
      <c r="AF247" s="162"/>
      <c r="AG247" s="162"/>
      <c r="AH247" s="162"/>
      <c r="AI247" s="162"/>
      <c r="AJ247" s="162"/>
      <c r="AK247" s="162"/>
      <c r="AL247" s="162"/>
      <c r="AM247" s="162"/>
      <c r="AN247" s="164"/>
      <c r="AO247" s="164"/>
      <c r="AP247" s="166"/>
      <c r="AQ247" s="161"/>
      <c r="AR247" s="161"/>
      <c r="AS247" s="161"/>
      <c r="AT247" s="161"/>
      <c r="AU247" s="161"/>
    </row>
    <row r="248" spans="1:47">
      <c r="A248" s="471">
        <f t="shared" ref="A248:A255" si="417">+$A247</f>
        <v>46226</v>
      </c>
      <c r="B248" s="497" t="s">
        <v>304</v>
      </c>
      <c r="C248" s="426">
        <v>432</v>
      </c>
      <c r="D248" s="427">
        <f t="shared" si="362"/>
        <v>1674</v>
      </c>
      <c r="E248" s="428">
        <f t="shared" si="368"/>
        <v>16740</v>
      </c>
      <c r="F248" s="428">
        <f t="shared" si="369"/>
        <v>11.16</v>
      </c>
      <c r="G248" s="428">
        <f t="shared" si="407"/>
        <v>42.586559999999999</v>
      </c>
      <c r="H248" s="429"/>
      <c r="I248" s="430">
        <f t="shared" si="399"/>
        <v>0</v>
      </c>
      <c r="J248" s="431">
        <f t="shared" si="408"/>
        <v>0</v>
      </c>
      <c r="K248" s="431">
        <f t="shared" si="372"/>
        <v>0</v>
      </c>
      <c r="L248" s="431">
        <f t="shared" si="410"/>
        <v>0</v>
      </c>
      <c r="M248" s="432"/>
      <c r="N248" s="433">
        <f t="shared" si="342"/>
        <v>0</v>
      </c>
      <c r="O248" s="434">
        <f t="shared" si="411"/>
        <v>0</v>
      </c>
      <c r="P248" s="434">
        <f t="shared" si="340"/>
        <v>0</v>
      </c>
      <c r="Q248" s="434">
        <f t="shared" si="413"/>
        <v>0</v>
      </c>
      <c r="R248" s="435"/>
      <c r="S248" s="436">
        <f t="shared" si="343"/>
        <v>0</v>
      </c>
      <c r="T248" s="437">
        <f t="shared" si="414"/>
        <v>0</v>
      </c>
      <c r="U248" s="437">
        <f t="shared" si="341"/>
        <v>0</v>
      </c>
      <c r="V248" s="437">
        <f t="shared" si="416"/>
        <v>0</v>
      </c>
      <c r="W248" s="300"/>
      <c r="X248" s="131"/>
      <c r="Z248" s="162"/>
      <c r="AA248" s="162"/>
      <c r="AB248" s="162"/>
      <c r="AC248" s="162"/>
      <c r="AD248" s="162"/>
      <c r="AE248" s="163"/>
      <c r="AF248" s="162"/>
      <c r="AG248" s="162"/>
      <c r="AH248" s="162"/>
      <c r="AI248" s="162"/>
      <c r="AJ248" s="162"/>
      <c r="AK248" s="162"/>
      <c r="AL248" s="162"/>
      <c r="AM248" s="162"/>
      <c r="AN248" s="164"/>
      <c r="AO248" s="164"/>
      <c r="AP248" s="166"/>
      <c r="AQ248" s="161"/>
      <c r="AR248" s="161"/>
      <c r="AS248" s="161"/>
      <c r="AT248" s="161"/>
      <c r="AU248" s="161"/>
    </row>
    <row r="249" spans="1:47">
      <c r="A249" s="471">
        <f t="shared" si="417"/>
        <v>46226</v>
      </c>
      <c r="B249" s="497" t="s">
        <v>305</v>
      </c>
      <c r="C249" s="426">
        <v>477</v>
      </c>
      <c r="D249" s="427">
        <f t="shared" si="362"/>
        <v>1848.375</v>
      </c>
      <c r="E249" s="428">
        <f t="shared" si="368"/>
        <v>18483.75</v>
      </c>
      <c r="F249" s="428">
        <f t="shared" si="369"/>
        <v>12.3225</v>
      </c>
      <c r="G249" s="428">
        <f t="shared" si="407"/>
        <v>47.022659999999995</v>
      </c>
      <c r="H249" s="429"/>
      <c r="I249" s="430">
        <f t="shared" si="399"/>
        <v>0</v>
      </c>
      <c r="J249" s="431">
        <f t="shared" si="408"/>
        <v>0</v>
      </c>
      <c r="K249" s="431">
        <f t="shared" si="372"/>
        <v>0</v>
      </c>
      <c r="L249" s="431">
        <f t="shared" si="410"/>
        <v>0</v>
      </c>
      <c r="M249" s="432"/>
      <c r="N249" s="433">
        <f t="shared" si="342"/>
        <v>0</v>
      </c>
      <c r="O249" s="434">
        <f t="shared" si="411"/>
        <v>0</v>
      </c>
      <c r="P249" s="434">
        <f t="shared" si="340"/>
        <v>0</v>
      </c>
      <c r="Q249" s="434">
        <f t="shared" si="413"/>
        <v>0</v>
      </c>
      <c r="R249" s="435"/>
      <c r="S249" s="436">
        <f t="shared" si="343"/>
        <v>0</v>
      </c>
      <c r="T249" s="437">
        <f t="shared" si="414"/>
        <v>0</v>
      </c>
      <c r="U249" s="437">
        <f t="shared" si="341"/>
        <v>0</v>
      </c>
      <c r="V249" s="437">
        <f t="shared" si="416"/>
        <v>0</v>
      </c>
      <c r="W249" s="300"/>
      <c r="X249" s="131"/>
      <c r="Z249" s="162"/>
      <c r="AA249" s="162"/>
      <c r="AB249" s="162"/>
      <c r="AC249" s="162"/>
      <c r="AD249" s="162"/>
      <c r="AE249" s="163"/>
      <c r="AF249" s="162"/>
      <c r="AG249" s="162"/>
      <c r="AH249" s="162"/>
      <c r="AI249" s="162"/>
      <c r="AJ249" s="162"/>
      <c r="AK249" s="162"/>
      <c r="AL249" s="162"/>
      <c r="AM249" s="162"/>
      <c r="AN249" s="164"/>
      <c r="AO249" s="164"/>
      <c r="AP249" s="166"/>
      <c r="AQ249" s="161"/>
      <c r="AR249" s="161"/>
      <c r="AS249" s="161"/>
      <c r="AT249" s="161"/>
      <c r="AU249" s="161"/>
    </row>
    <row r="250" spans="1:47">
      <c r="A250" s="471">
        <f t="shared" si="417"/>
        <v>46226</v>
      </c>
      <c r="B250" s="497" t="s">
        <v>306</v>
      </c>
      <c r="C250" s="426">
        <v>439</v>
      </c>
      <c r="D250" s="427">
        <f t="shared" si="362"/>
        <v>1701.125</v>
      </c>
      <c r="E250" s="428">
        <f t="shared" si="368"/>
        <v>17011.25</v>
      </c>
      <c r="F250" s="428">
        <f t="shared" si="369"/>
        <v>11.340833333333334</v>
      </c>
      <c r="G250" s="428">
        <f t="shared" si="407"/>
        <v>43.276619999999994</v>
      </c>
      <c r="H250" s="429"/>
      <c r="I250" s="430">
        <f t="shared" si="399"/>
        <v>0</v>
      </c>
      <c r="J250" s="431">
        <f t="shared" si="408"/>
        <v>0</v>
      </c>
      <c r="K250" s="431">
        <f t="shared" si="372"/>
        <v>0</v>
      </c>
      <c r="L250" s="431">
        <f t="shared" si="410"/>
        <v>0</v>
      </c>
      <c r="M250" s="432"/>
      <c r="N250" s="433">
        <f t="shared" si="342"/>
        <v>0</v>
      </c>
      <c r="O250" s="434">
        <f t="shared" si="411"/>
        <v>0</v>
      </c>
      <c r="P250" s="434">
        <f t="shared" si="340"/>
        <v>0</v>
      </c>
      <c r="Q250" s="434">
        <f t="shared" si="413"/>
        <v>0</v>
      </c>
      <c r="R250" s="435"/>
      <c r="S250" s="436">
        <f t="shared" si="343"/>
        <v>0</v>
      </c>
      <c r="T250" s="437">
        <f t="shared" si="414"/>
        <v>0</v>
      </c>
      <c r="U250" s="437">
        <f t="shared" si="341"/>
        <v>0</v>
      </c>
      <c r="V250" s="437">
        <f t="shared" si="416"/>
        <v>0</v>
      </c>
      <c r="W250" s="300"/>
      <c r="X250" s="131"/>
      <c r="Z250" s="162"/>
      <c r="AA250" s="162"/>
      <c r="AB250" s="162"/>
      <c r="AC250" s="162"/>
      <c r="AD250" s="162"/>
      <c r="AE250" s="163"/>
      <c r="AF250" s="162"/>
      <c r="AG250" s="162"/>
      <c r="AH250" s="162"/>
      <c r="AI250" s="162"/>
      <c r="AJ250" s="162"/>
      <c r="AK250" s="162"/>
      <c r="AL250" s="162"/>
      <c r="AM250" s="162"/>
      <c r="AN250" s="164"/>
      <c r="AO250" s="164"/>
      <c r="AP250" s="166"/>
      <c r="AQ250" s="161"/>
      <c r="AR250" s="161"/>
      <c r="AS250" s="161"/>
      <c r="AT250" s="161"/>
      <c r="AU250" s="161"/>
    </row>
    <row r="251" spans="1:47">
      <c r="A251" s="471">
        <f t="shared" si="417"/>
        <v>46226</v>
      </c>
      <c r="B251" s="497" t="s">
        <v>307</v>
      </c>
      <c r="C251" s="426">
        <v>462</v>
      </c>
      <c r="D251" s="427">
        <f t="shared" si="362"/>
        <v>1790.25</v>
      </c>
      <c r="E251" s="428">
        <f t="shared" si="368"/>
        <v>17902.5</v>
      </c>
      <c r="F251" s="428">
        <f t="shared" si="369"/>
        <v>11.935</v>
      </c>
      <c r="G251" s="428">
        <f t="shared" si="407"/>
        <v>45.543959999999998</v>
      </c>
      <c r="H251" s="429"/>
      <c r="I251" s="430">
        <f t="shared" si="399"/>
        <v>0</v>
      </c>
      <c r="J251" s="431">
        <f t="shared" si="408"/>
        <v>0</v>
      </c>
      <c r="K251" s="431">
        <f t="shared" si="372"/>
        <v>0</v>
      </c>
      <c r="L251" s="431">
        <f t="shared" si="410"/>
        <v>0</v>
      </c>
      <c r="M251" s="432"/>
      <c r="N251" s="433">
        <f t="shared" si="342"/>
        <v>0</v>
      </c>
      <c r="O251" s="434">
        <f t="shared" si="411"/>
        <v>0</v>
      </c>
      <c r="P251" s="434">
        <f t="shared" si="340"/>
        <v>0</v>
      </c>
      <c r="Q251" s="434">
        <f t="shared" si="413"/>
        <v>0</v>
      </c>
      <c r="R251" s="435"/>
      <c r="S251" s="436">
        <f t="shared" si="343"/>
        <v>0</v>
      </c>
      <c r="T251" s="437">
        <f t="shared" si="414"/>
        <v>0</v>
      </c>
      <c r="U251" s="437">
        <f t="shared" si="341"/>
        <v>0</v>
      </c>
      <c r="V251" s="437">
        <f t="shared" si="416"/>
        <v>0</v>
      </c>
      <c r="W251" s="300"/>
      <c r="X251" s="131"/>
      <c r="Z251" s="162"/>
      <c r="AA251" s="162"/>
      <c r="AB251" s="162"/>
      <c r="AC251" s="162"/>
      <c r="AD251" s="162"/>
      <c r="AE251" s="163"/>
      <c r="AF251" s="162"/>
      <c r="AG251" s="162"/>
      <c r="AH251" s="162"/>
      <c r="AI251" s="162"/>
      <c r="AJ251" s="162"/>
      <c r="AK251" s="162"/>
      <c r="AL251" s="162"/>
      <c r="AM251" s="162"/>
      <c r="AN251" s="164"/>
      <c r="AO251" s="164"/>
      <c r="AP251" s="166"/>
      <c r="AQ251" s="161"/>
      <c r="AR251" s="161"/>
      <c r="AS251" s="161"/>
      <c r="AT251" s="161"/>
      <c r="AU251" s="161"/>
    </row>
    <row r="252" spans="1:47">
      <c r="A252" s="471">
        <f t="shared" si="417"/>
        <v>46226</v>
      </c>
      <c r="B252" s="497" t="s">
        <v>308</v>
      </c>
      <c r="C252" s="426">
        <v>473</v>
      </c>
      <c r="D252" s="427">
        <f t="shared" si="362"/>
        <v>1832.875</v>
      </c>
      <c r="E252" s="428">
        <f t="shared" si="368"/>
        <v>18328.75</v>
      </c>
      <c r="F252" s="428">
        <f t="shared" si="369"/>
        <v>12.219166666666666</v>
      </c>
      <c r="G252" s="428">
        <f t="shared" si="407"/>
        <v>46.628339999999994</v>
      </c>
      <c r="H252" s="429"/>
      <c r="I252" s="430">
        <f t="shared" si="399"/>
        <v>0</v>
      </c>
      <c r="J252" s="431">
        <f t="shared" si="408"/>
        <v>0</v>
      </c>
      <c r="K252" s="431">
        <f t="shared" si="372"/>
        <v>0</v>
      </c>
      <c r="L252" s="431">
        <f t="shared" si="410"/>
        <v>0</v>
      </c>
      <c r="M252" s="432"/>
      <c r="N252" s="433">
        <f t="shared" si="342"/>
        <v>0</v>
      </c>
      <c r="O252" s="434">
        <f t="shared" si="411"/>
        <v>0</v>
      </c>
      <c r="P252" s="434">
        <f t="shared" si="340"/>
        <v>0</v>
      </c>
      <c r="Q252" s="434">
        <f t="shared" si="413"/>
        <v>0</v>
      </c>
      <c r="R252" s="435"/>
      <c r="S252" s="436">
        <f t="shared" si="343"/>
        <v>0</v>
      </c>
      <c r="T252" s="437">
        <f t="shared" si="414"/>
        <v>0</v>
      </c>
      <c r="U252" s="437">
        <f t="shared" si="341"/>
        <v>0</v>
      </c>
      <c r="V252" s="437">
        <f t="shared" si="416"/>
        <v>0</v>
      </c>
      <c r="W252" s="300"/>
      <c r="X252" s="131"/>
      <c r="Z252" s="162"/>
      <c r="AA252" s="162"/>
      <c r="AB252" s="162"/>
      <c r="AC252" s="162"/>
      <c r="AD252" s="162"/>
      <c r="AE252" s="163"/>
      <c r="AF252" s="162"/>
      <c r="AG252" s="162"/>
      <c r="AH252" s="162"/>
      <c r="AI252" s="162"/>
      <c r="AJ252" s="162"/>
      <c r="AK252" s="162"/>
      <c r="AL252" s="162"/>
      <c r="AM252" s="162"/>
      <c r="AN252" s="164"/>
      <c r="AO252" s="164"/>
      <c r="AP252" s="166"/>
      <c r="AQ252" s="161"/>
      <c r="AR252" s="161"/>
      <c r="AS252" s="161"/>
      <c r="AT252" s="161"/>
      <c r="AU252" s="161"/>
    </row>
    <row r="253" spans="1:47">
      <c r="A253" s="471">
        <f t="shared" si="417"/>
        <v>46226</v>
      </c>
      <c r="B253" s="497" t="s">
        <v>309</v>
      </c>
      <c r="C253" s="426">
        <v>411</v>
      </c>
      <c r="D253" s="427">
        <f t="shared" si="362"/>
        <v>1592.625</v>
      </c>
      <c r="E253" s="428">
        <f t="shared" si="368"/>
        <v>15926.25</v>
      </c>
      <c r="F253" s="428">
        <f t="shared" si="369"/>
        <v>10.6175</v>
      </c>
      <c r="G253" s="428">
        <f t="shared" si="407"/>
        <v>40.516379999999998</v>
      </c>
      <c r="H253" s="429"/>
      <c r="I253" s="430">
        <f t="shared" si="399"/>
        <v>0</v>
      </c>
      <c r="J253" s="431">
        <f t="shared" si="408"/>
        <v>0</v>
      </c>
      <c r="K253" s="431">
        <f t="shared" si="372"/>
        <v>0</v>
      </c>
      <c r="L253" s="431">
        <f t="shared" si="410"/>
        <v>0</v>
      </c>
      <c r="M253" s="432"/>
      <c r="N253" s="433">
        <f t="shared" si="342"/>
        <v>0</v>
      </c>
      <c r="O253" s="434">
        <f t="shared" si="411"/>
        <v>0</v>
      </c>
      <c r="P253" s="434">
        <f t="shared" si="340"/>
        <v>0</v>
      </c>
      <c r="Q253" s="434">
        <f t="shared" si="413"/>
        <v>0</v>
      </c>
      <c r="R253" s="435"/>
      <c r="S253" s="436">
        <f t="shared" si="343"/>
        <v>0</v>
      </c>
      <c r="T253" s="437">
        <f t="shared" si="414"/>
        <v>0</v>
      </c>
      <c r="U253" s="437">
        <f t="shared" si="341"/>
        <v>0</v>
      </c>
      <c r="V253" s="437">
        <f t="shared" si="416"/>
        <v>0</v>
      </c>
      <c r="W253" s="300"/>
      <c r="X253" s="131"/>
      <c r="Z253" s="162"/>
      <c r="AA253" s="162"/>
      <c r="AB253" s="162"/>
      <c r="AC253" s="162"/>
      <c r="AD253" s="162"/>
      <c r="AE253" s="163"/>
      <c r="AF253" s="162"/>
      <c r="AG253" s="162"/>
      <c r="AH253" s="162"/>
      <c r="AI253" s="162"/>
      <c r="AJ253" s="162"/>
      <c r="AK253" s="162"/>
      <c r="AL253" s="162"/>
      <c r="AM253" s="162"/>
      <c r="AN253" s="164"/>
      <c r="AO253" s="164"/>
      <c r="AP253" s="166"/>
      <c r="AQ253" s="161"/>
      <c r="AR253" s="161"/>
      <c r="AS253" s="161"/>
      <c r="AT253" s="161"/>
      <c r="AU253" s="161"/>
    </row>
    <row r="254" spans="1:47">
      <c r="A254" s="471">
        <f t="shared" si="417"/>
        <v>46226</v>
      </c>
      <c r="B254" s="497" t="s">
        <v>310</v>
      </c>
      <c r="C254" s="426">
        <v>163</v>
      </c>
      <c r="D254" s="427">
        <f t="shared" si="362"/>
        <v>631.625</v>
      </c>
      <c r="E254" s="428">
        <f t="shared" si="368"/>
        <v>6316.25</v>
      </c>
      <c r="F254" s="428">
        <f t="shared" si="369"/>
        <v>4.2108333333333334</v>
      </c>
      <c r="G254" s="428">
        <f t="shared" si="407"/>
        <v>16.068539999999999</v>
      </c>
      <c r="H254" s="429"/>
      <c r="I254" s="430">
        <f t="shared" si="399"/>
        <v>0</v>
      </c>
      <c r="J254" s="431">
        <f t="shared" si="408"/>
        <v>0</v>
      </c>
      <c r="K254" s="431">
        <f t="shared" si="372"/>
        <v>0</v>
      </c>
      <c r="L254" s="431">
        <f t="shared" si="410"/>
        <v>0</v>
      </c>
      <c r="M254" s="432"/>
      <c r="N254" s="433">
        <f t="shared" si="342"/>
        <v>0</v>
      </c>
      <c r="O254" s="434">
        <f t="shared" si="411"/>
        <v>0</v>
      </c>
      <c r="P254" s="434">
        <f t="shared" si="340"/>
        <v>0</v>
      </c>
      <c r="Q254" s="434">
        <f t="shared" si="413"/>
        <v>0</v>
      </c>
      <c r="R254" s="435"/>
      <c r="S254" s="436">
        <f t="shared" si="343"/>
        <v>0</v>
      </c>
      <c r="T254" s="437">
        <f t="shared" si="414"/>
        <v>0</v>
      </c>
      <c r="U254" s="437">
        <f t="shared" si="341"/>
        <v>0</v>
      </c>
      <c r="V254" s="437">
        <f t="shared" si="416"/>
        <v>0</v>
      </c>
      <c r="W254" s="300"/>
      <c r="X254" s="131"/>
      <c r="Z254" s="162"/>
      <c r="AA254" s="162"/>
      <c r="AB254" s="162"/>
      <c r="AC254" s="162"/>
      <c r="AD254" s="162"/>
      <c r="AE254" s="163"/>
      <c r="AF254" s="162"/>
      <c r="AG254" s="162"/>
      <c r="AH254" s="162"/>
      <c r="AI254" s="162"/>
      <c r="AJ254" s="162"/>
      <c r="AK254" s="162"/>
      <c r="AL254" s="162"/>
      <c r="AM254" s="162"/>
      <c r="AN254" s="164"/>
      <c r="AO254" s="164"/>
      <c r="AP254" s="166"/>
      <c r="AQ254" s="161"/>
      <c r="AR254" s="161"/>
      <c r="AS254" s="161"/>
      <c r="AT254" s="161"/>
      <c r="AU254" s="161"/>
    </row>
    <row r="255" spans="1:47">
      <c r="A255" s="471">
        <f t="shared" si="417"/>
        <v>46226</v>
      </c>
      <c r="B255" s="497" t="s">
        <v>311</v>
      </c>
      <c r="C255" s="426">
        <v>436</v>
      </c>
      <c r="D255" s="427">
        <f t="shared" si="362"/>
        <v>1689.5</v>
      </c>
      <c r="E255" s="428">
        <f t="shared" si="368"/>
        <v>16895</v>
      </c>
      <c r="F255" s="428">
        <f t="shared" si="369"/>
        <v>11.263333333333334</v>
      </c>
      <c r="G255" s="428">
        <f t="shared" si="407"/>
        <v>42.980879999999999</v>
      </c>
      <c r="H255" s="429"/>
      <c r="I255" s="430">
        <f t="shared" si="399"/>
        <v>0</v>
      </c>
      <c r="J255" s="431">
        <f t="shared" si="408"/>
        <v>0</v>
      </c>
      <c r="K255" s="431">
        <f t="shared" si="372"/>
        <v>0</v>
      </c>
      <c r="L255" s="431">
        <f t="shared" si="410"/>
        <v>0</v>
      </c>
      <c r="M255" s="432"/>
      <c r="N255" s="433">
        <f t="shared" si="342"/>
        <v>0</v>
      </c>
      <c r="O255" s="434">
        <f t="shared" si="411"/>
        <v>0</v>
      </c>
      <c r="P255" s="434">
        <f t="shared" si="340"/>
        <v>0</v>
      </c>
      <c r="Q255" s="434">
        <f t="shared" si="413"/>
        <v>0</v>
      </c>
      <c r="R255" s="435"/>
      <c r="S255" s="436">
        <f t="shared" si="343"/>
        <v>0</v>
      </c>
      <c r="T255" s="437">
        <f t="shared" si="414"/>
        <v>0</v>
      </c>
      <c r="U255" s="437">
        <f t="shared" si="341"/>
        <v>0</v>
      </c>
      <c r="V255" s="437">
        <f t="shared" si="416"/>
        <v>0</v>
      </c>
      <c r="W255" s="300"/>
      <c r="X255" s="131"/>
      <c r="Z255" s="162"/>
      <c r="AA255" s="162"/>
      <c r="AB255" s="162"/>
      <c r="AC255" s="162"/>
      <c r="AD255" s="162"/>
      <c r="AE255" s="163"/>
      <c r="AF255" s="162"/>
      <c r="AG255" s="162"/>
      <c r="AH255" s="162"/>
      <c r="AI255" s="162"/>
      <c r="AJ255" s="162"/>
      <c r="AK255" s="162"/>
      <c r="AL255" s="162"/>
      <c r="AM255" s="162"/>
      <c r="AN255" s="164"/>
      <c r="AO255" s="164"/>
      <c r="AP255" s="166"/>
      <c r="AQ255" s="161"/>
      <c r="AR255" s="161"/>
      <c r="AS255" s="161"/>
      <c r="AT255" s="161"/>
      <c r="AU255" s="161"/>
    </row>
    <row r="256" spans="1:47" ht="14.25">
      <c r="A256" s="471"/>
      <c r="B256" s="498" t="s">
        <v>118</v>
      </c>
      <c r="C256" s="438">
        <f>SUM(C246:C255)</f>
        <v>4201</v>
      </c>
      <c r="D256" s="439">
        <f>+C256*3.875</f>
        <v>16278.875</v>
      </c>
      <c r="E256" s="438">
        <f t="shared" ref="E256:H256" si="418">SUM(E246:E255)</f>
        <v>162788.75</v>
      </c>
      <c r="F256" s="463">
        <f t="shared" si="418"/>
        <v>108.52583333333332</v>
      </c>
      <c r="G256" s="463">
        <f t="shared" si="418"/>
        <v>414.13457999999997</v>
      </c>
      <c r="H256" s="440">
        <f t="shared" si="418"/>
        <v>0</v>
      </c>
      <c r="I256" s="441">
        <f t="shared" si="399"/>
        <v>0</v>
      </c>
      <c r="J256" s="440">
        <f t="shared" ref="J256:L256" si="419">SUM(J246:J255)</f>
        <v>0</v>
      </c>
      <c r="K256" s="466">
        <f t="shared" si="419"/>
        <v>0</v>
      </c>
      <c r="L256" s="466">
        <f t="shared" si="419"/>
        <v>0</v>
      </c>
      <c r="M256" s="442">
        <f t="shared" ref="M256" si="420">SUM(M246:M255)</f>
        <v>0</v>
      </c>
      <c r="N256" s="443">
        <f t="shared" si="342"/>
        <v>0</v>
      </c>
      <c r="O256" s="442">
        <f t="shared" ref="O256:R256" si="421">SUM(O246:O255)</f>
        <v>0</v>
      </c>
      <c r="P256" s="468">
        <f t="shared" si="421"/>
        <v>0</v>
      </c>
      <c r="Q256" s="468">
        <f t="shared" si="421"/>
        <v>0</v>
      </c>
      <c r="R256" s="444">
        <f t="shared" si="421"/>
        <v>0</v>
      </c>
      <c r="S256" s="445">
        <f t="shared" si="343"/>
        <v>0</v>
      </c>
      <c r="T256" s="444">
        <f t="shared" ref="T256:V256" si="422">SUM(T246:T255)</f>
        <v>0</v>
      </c>
      <c r="U256" s="470">
        <f t="shared" si="422"/>
        <v>0</v>
      </c>
      <c r="V256" s="470">
        <f t="shared" si="422"/>
        <v>0</v>
      </c>
      <c r="W256" s="300"/>
      <c r="X256" s="131"/>
      <c r="Z256" s="162"/>
      <c r="AA256" s="162"/>
      <c r="AB256" s="162"/>
      <c r="AC256" s="162"/>
      <c r="AD256" s="162"/>
      <c r="AE256" s="163"/>
      <c r="AF256" s="162"/>
      <c r="AG256" s="162"/>
      <c r="AH256" s="162"/>
      <c r="AI256" s="162"/>
      <c r="AJ256" s="162"/>
      <c r="AK256" s="162"/>
      <c r="AL256" s="162"/>
      <c r="AM256" s="162"/>
      <c r="AN256" s="164"/>
      <c r="AO256" s="164"/>
      <c r="AP256" s="166"/>
      <c r="AQ256" s="161"/>
      <c r="AR256" s="161"/>
      <c r="AS256" s="161"/>
      <c r="AT256" s="161"/>
      <c r="AU256" s="161"/>
    </row>
    <row r="257" spans="1:47">
      <c r="A257" s="472">
        <f>+A246+1</f>
        <v>46227</v>
      </c>
      <c r="B257" s="497" t="s">
        <v>320</v>
      </c>
      <c r="C257" s="426">
        <v>441</v>
      </c>
      <c r="D257" s="427">
        <f t="shared" ref="D257:D320" si="423">+C257*3.875</f>
        <v>1708.875</v>
      </c>
      <c r="E257" s="428">
        <f t="shared" ref="E257:E288" si="424">+D257/0.0125*0.125</f>
        <v>17088.75</v>
      </c>
      <c r="F257" s="428">
        <f t="shared" ref="F257:F288" si="425">+E257/1500</f>
        <v>11.3925</v>
      </c>
      <c r="G257" s="428">
        <f t="shared" ref="G257:G266" si="426">+D257/0.0125*0.000318</f>
        <v>43.473779999999998</v>
      </c>
      <c r="H257" s="429"/>
      <c r="I257" s="430">
        <f t="shared" si="399"/>
        <v>0</v>
      </c>
      <c r="J257" s="431">
        <f t="shared" ref="J257:J266" si="427">+I257/0.0185*0.185</f>
        <v>0</v>
      </c>
      <c r="K257" s="431">
        <f t="shared" ref="K257:K288" si="428">+J257/1500</f>
        <v>0</v>
      </c>
      <c r="L257" s="431">
        <f t="shared" ref="L257:L266" si="429">+I257/0.0185*0.000318</f>
        <v>0</v>
      </c>
      <c r="M257" s="432"/>
      <c r="N257" s="433">
        <f t="shared" si="342"/>
        <v>0</v>
      </c>
      <c r="O257" s="434">
        <f t="shared" ref="O257:O266" si="430">+N257/0.0185*0.185</f>
        <v>0</v>
      </c>
      <c r="P257" s="434">
        <f t="shared" ref="P257" si="431">+O257/1500</f>
        <v>0</v>
      </c>
      <c r="Q257" s="434">
        <f t="shared" ref="Q257:Q266" si="432">+N257/0.0185*0.000318</f>
        <v>0</v>
      </c>
      <c r="R257" s="435"/>
      <c r="S257" s="436">
        <f t="shared" si="343"/>
        <v>0</v>
      </c>
      <c r="T257" s="437">
        <f t="shared" ref="T257:T266" si="433">+S257/0.0185*0.185</f>
        <v>0</v>
      </c>
      <c r="U257" s="437">
        <f t="shared" ref="U257" si="434">+T257/1500</f>
        <v>0</v>
      </c>
      <c r="V257" s="437">
        <f t="shared" ref="V257:V266" si="435">+S257/0.0185*0.000318</f>
        <v>0</v>
      </c>
      <c r="W257" s="300"/>
      <c r="X257" s="131">
        <f>+W257*2.4</f>
        <v>0</v>
      </c>
      <c r="Z257" s="162">
        <f>IFERROR((D257/'REKAPAN OKEY AYAM'!$AC27),"-")</f>
        <v>0.12027453315428079</v>
      </c>
      <c r="AA257" s="162" t="str">
        <f>IFERROR((I257/'REKAPAN CHAMP AYAM'!$AC27),"-")</f>
        <v>-</v>
      </c>
      <c r="AB257" s="162" t="str">
        <f>IFERROR((N257/'REKAPAN CHAMP SAPI'!AC27),"-")</f>
        <v>-</v>
      </c>
      <c r="AC257" s="162" t="str">
        <f>IFERROR((S257/'REKAPAN CHAMP OTAK-OTAK'!AC27),"-")</f>
        <v>-</v>
      </c>
      <c r="AD257" s="162" t="str">
        <f>IFERROR((X257/'REKAPAN FIESTA'!AC27),"-")</f>
        <v>-</v>
      </c>
      <c r="AE257" s="163"/>
      <c r="AF257" s="162">
        <f t="shared" si="39"/>
        <v>1500</v>
      </c>
      <c r="AG257" s="162" t="str">
        <f>IFERROR(((D257/0.0125*0.000318)/#REF!),"-")</f>
        <v>-</v>
      </c>
      <c r="AH257" s="162" t="str">
        <f t="shared" si="40"/>
        <v>-</v>
      </c>
      <c r="AI257" s="162" t="str">
        <f>IFERROR(((I257/0.0185*0.000318)/#REF!),"-")</f>
        <v>-</v>
      </c>
      <c r="AJ257" s="162" t="str">
        <f t="shared" si="41"/>
        <v>-</v>
      </c>
      <c r="AK257" s="162" t="str">
        <f>IFERROR(((N257/0.0185*0.000318)/#REF!),"-")</f>
        <v>-</v>
      </c>
      <c r="AL257" s="162" t="str">
        <f t="shared" si="42"/>
        <v>-</v>
      </c>
      <c r="AM257" s="162" t="str">
        <f>IFERROR(((S257/0.0185*0.000318)/#REF!),"-")</f>
        <v>-</v>
      </c>
      <c r="AN257" s="164"/>
      <c r="AO257" s="164"/>
      <c r="AP257" s="166"/>
      <c r="AQ257" s="161">
        <f>IFERROR(('REKAPAN OKEY AYAM'!$AD27),"-")</f>
        <v>0.37555109331846859</v>
      </c>
      <c r="AR257" s="161" t="str">
        <f>IFERROR(('REKAPAN CHAMP AYAM'!$AD27),"-")</f>
        <v>-</v>
      </c>
      <c r="AS257" s="161" t="str">
        <f>IFERROR(('REKAPAN CHAMP SAPI'!$AD27),"-")</f>
        <v>-</v>
      </c>
      <c r="AT257" s="161" t="str">
        <f>IFERROR(('REKAPAN CHAMP OTAK-OTAK'!$AD27),"-")</f>
        <v>-</v>
      </c>
      <c r="AU257" s="161" t="str">
        <f>IFERROR(('REKAPAN FIESTA'!$AD27),"-")</f>
        <v>-</v>
      </c>
    </row>
    <row r="258" spans="1:47">
      <c r="A258" s="471">
        <f>+$A257</f>
        <v>46227</v>
      </c>
      <c r="B258" s="497" t="s">
        <v>321</v>
      </c>
      <c r="C258" s="426">
        <v>453</v>
      </c>
      <c r="D258" s="427">
        <f t="shared" si="423"/>
        <v>1755.375</v>
      </c>
      <c r="E258" s="428">
        <f t="shared" si="424"/>
        <v>17553.75</v>
      </c>
      <c r="F258" s="428">
        <f t="shared" si="425"/>
        <v>11.702500000000001</v>
      </c>
      <c r="G258" s="428">
        <f t="shared" si="426"/>
        <v>44.656739999999999</v>
      </c>
      <c r="H258" s="429"/>
      <c r="I258" s="430">
        <f t="shared" si="399"/>
        <v>0</v>
      </c>
      <c r="J258" s="431">
        <f t="shared" si="427"/>
        <v>0</v>
      </c>
      <c r="K258" s="431">
        <f t="shared" si="428"/>
        <v>0</v>
      </c>
      <c r="L258" s="431">
        <f t="shared" si="429"/>
        <v>0</v>
      </c>
      <c r="M258" s="432"/>
      <c r="N258" s="433">
        <f t="shared" si="342"/>
        <v>0</v>
      </c>
      <c r="O258" s="434">
        <f t="shared" si="430"/>
        <v>0</v>
      </c>
      <c r="P258" s="434">
        <f t="shared" si="340"/>
        <v>0</v>
      </c>
      <c r="Q258" s="434">
        <f t="shared" si="432"/>
        <v>0</v>
      </c>
      <c r="R258" s="435"/>
      <c r="S258" s="436">
        <f t="shared" si="343"/>
        <v>0</v>
      </c>
      <c r="T258" s="437">
        <f t="shared" si="433"/>
        <v>0</v>
      </c>
      <c r="U258" s="437">
        <f t="shared" si="341"/>
        <v>0</v>
      </c>
      <c r="V258" s="437">
        <f t="shared" si="435"/>
        <v>0</v>
      </c>
      <c r="W258" s="300"/>
      <c r="X258" s="131"/>
      <c r="Z258" s="162"/>
      <c r="AA258" s="162"/>
      <c r="AB258" s="162"/>
      <c r="AC258" s="162"/>
      <c r="AD258" s="162"/>
      <c r="AE258" s="163"/>
      <c r="AF258" s="162"/>
      <c r="AG258" s="162"/>
      <c r="AH258" s="162"/>
      <c r="AI258" s="162"/>
      <c r="AJ258" s="162"/>
      <c r="AK258" s="162"/>
      <c r="AL258" s="162"/>
      <c r="AM258" s="162"/>
      <c r="AN258" s="164"/>
      <c r="AO258" s="164"/>
      <c r="AP258" s="166"/>
      <c r="AQ258" s="161"/>
      <c r="AR258" s="161"/>
      <c r="AS258" s="161"/>
      <c r="AT258" s="161"/>
      <c r="AU258" s="161"/>
    </row>
    <row r="259" spans="1:47">
      <c r="A259" s="471">
        <f t="shared" ref="A259:A266" si="436">+$A258</f>
        <v>46227</v>
      </c>
      <c r="B259" s="497" t="s">
        <v>322</v>
      </c>
      <c r="C259" s="426">
        <v>459</v>
      </c>
      <c r="D259" s="427">
        <f t="shared" si="423"/>
        <v>1778.625</v>
      </c>
      <c r="E259" s="428">
        <f t="shared" si="424"/>
        <v>17786.25</v>
      </c>
      <c r="F259" s="428">
        <f t="shared" si="425"/>
        <v>11.8575</v>
      </c>
      <c r="G259" s="428">
        <f t="shared" si="426"/>
        <v>45.248219999999996</v>
      </c>
      <c r="H259" s="429"/>
      <c r="I259" s="430">
        <f t="shared" si="399"/>
        <v>0</v>
      </c>
      <c r="J259" s="431">
        <f t="shared" si="427"/>
        <v>0</v>
      </c>
      <c r="K259" s="431">
        <f t="shared" si="428"/>
        <v>0</v>
      </c>
      <c r="L259" s="431">
        <f t="shared" si="429"/>
        <v>0</v>
      </c>
      <c r="M259" s="432"/>
      <c r="N259" s="433">
        <f t="shared" si="342"/>
        <v>0</v>
      </c>
      <c r="O259" s="434">
        <f t="shared" si="430"/>
        <v>0</v>
      </c>
      <c r="P259" s="434">
        <f t="shared" si="340"/>
        <v>0</v>
      </c>
      <c r="Q259" s="434">
        <f t="shared" si="432"/>
        <v>0</v>
      </c>
      <c r="R259" s="435"/>
      <c r="S259" s="436">
        <f t="shared" si="343"/>
        <v>0</v>
      </c>
      <c r="T259" s="437">
        <f t="shared" si="433"/>
        <v>0</v>
      </c>
      <c r="U259" s="437">
        <f t="shared" si="341"/>
        <v>0</v>
      </c>
      <c r="V259" s="437">
        <f t="shared" si="435"/>
        <v>0</v>
      </c>
      <c r="W259" s="300"/>
      <c r="X259" s="131"/>
      <c r="Z259" s="162"/>
      <c r="AA259" s="162"/>
      <c r="AB259" s="162"/>
      <c r="AC259" s="162"/>
      <c r="AD259" s="162"/>
      <c r="AE259" s="163"/>
      <c r="AF259" s="162"/>
      <c r="AG259" s="162"/>
      <c r="AH259" s="162"/>
      <c r="AI259" s="162"/>
      <c r="AJ259" s="162"/>
      <c r="AK259" s="162"/>
      <c r="AL259" s="162"/>
      <c r="AM259" s="162"/>
      <c r="AN259" s="164"/>
      <c r="AO259" s="164"/>
      <c r="AP259" s="166"/>
      <c r="AQ259" s="161"/>
      <c r="AR259" s="161"/>
      <c r="AS259" s="161"/>
      <c r="AT259" s="161"/>
      <c r="AU259" s="161"/>
    </row>
    <row r="260" spans="1:47">
      <c r="A260" s="471">
        <f t="shared" si="436"/>
        <v>46227</v>
      </c>
      <c r="B260" s="497" t="s">
        <v>323</v>
      </c>
      <c r="C260" s="426">
        <v>451</v>
      </c>
      <c r="D260" s="427">
        <f t="shared" si="423"/>
        <v>1747.625</v>
      </c>
      <c r="E260" s="428">
        <f t="shared" si="424"/>
        <v>17476.25</v>
      </c>
      <c r="F260" s="428">
        <f t="shared" si="425"/>
        <v>11.650833333333333</v>
      </c>
      <c r="G260" s="428">
        <f t="shared" si="426"/>
        <v>44.459579999999995</v>
      </c>
      <c r="H260" s="429"/>
      <c r="I260" s="430">
        <f t="shared" si="399"/>
        <v>0</v>
      </c>
      <c r="J260" s="431">
        <f t="shared" si="427"/>
        <v>0</v>
      </c>
      <c r="K260" s="431">
        <f t="shared" si="428"/>
        <v>0</v>
      </c>
      <c r="L260" s="431">
        <f t="shared" si="429"/>
        <v>0</v>
      </c>
      <c r="M260" s="432"/>
      <c r="N260" s="433">
        <f t="shared" si="342"/>
        <v>0</v>
      </c>
      <c r="O260" s="434">
        <f t="shared" si="430"/>
        <v>0</v>
      </c>
      <c r="P260" s="434">
        <f t="shared" si="340"/>
        <v>0</v>
      </c>
      <c r="Q260" s="434">
        <f t="shared" si="432"/>
        <v>0</v>
      </c>
      <c r="R260" s="435"/>
      <c r="S260" s="436">
        <f t="shared" si="343"/>
        <v>0</v>
      </c>
      <c r="T260" s="437">
        <f t="shared" si="433"/>
        <v>0</v>
      </c>
      <c r="U260" s="437">
        <f t="shared" si="341"/>
        <v>0</v>
      </c>
      <c r="V260" s="437">
        <f t="shared" si="435"/>
        <v>0</v>
      </c>
      <c r="W260" s="300"/>
      <c r="X260" s="131"/>
      <c r="Z260" s="162"/>
      <c r="AA260" s="162"/>
      <c r="AB260" s="162"/>
      <c r="AC260" s="162"/>
      <c r="AD260" s="162"/>
      <c r="AE260" s="163"/>
      <c r="AF260" s="162"/>
      <c r="AG260" s="162"/>
      <c r="AH260" s="162"/>
      <c r="AI260" s="162"/>
      <c r="AJ260" s="162"/>
      <c r="AK260" s="162"/>
      <c r="AL260" s="162"/>
      <c r="AM260" s="162"/>
      <c r="AN260" s="164"/>
      <c r="AO260" s="164"/>
      <c r="AP260" s="166"/>
      <c r="AQ260" s="161"/>
      <c r="AR260" s="161"/>
      <c r="AS260" s="161"/>
      <c r="AT260" s="161"/>
      <c r="AU260" s="161"/>
    </row>
    <row r="261" spans="1:47">
      <c r="A261" s="471">
        <f t="shared" si="436"/>
        <v>46227</v>
      </c>
      <c r="B261" s="497" t="s">
        <v>324</v>
      </c>
      <c r="C261" s="426">
        <v>478</v>
      </c>
      <c r="D261" s="427">
        <f t="shared" si="423"/>
        <v>1852.25</v>
      </c>
      <c r="E261" s="428">
        <f t="shared" si="424"/>
        <v>18522.5</v>
      </c>
      <c r="F261" s="428">
        <f t="shared" si="425"/>
        <v>12.348333333333333</v>
      </c>
      <c r="G261" s="428">
        <f t="shared" si="426"/>
        <v>47.121239999999993</v>
      </c>
      <c r="H261" s="429"/>
      <c r="I261" s="430">
        <f t="shared" si="399"/>
        <v>0</v>
      </c>
      <c r="J261" s="431">
        <f t="shared" si="427"/>
        <v>0</v>
      </c>
      <c r="K261" s="431">
        <f t="shared" si="428"/>
        <v>0</v>
      </c>
      <c r="L261" s="431">
        <f t="shared" si="429"/>
        <v>0</v>
      </c>
      <c r="M261" s="432"/>
      <c r="N261" s="433">
        <f t="shared" si="342"/>
        <v>0</v>
      </c>
      <c r="O261" s="434">
        <f t="shared" si="430"/>
        <v>0</v>
      </c>
      <c r="P261" s="434">
        <f t="shared" si="340"/>
        <v>0</v>
      </c>
      <c r="Q261" s="434">
        <f t="shared" si="432"/>
        <v>0</v>
      </c>
      <c r="R261" s="435"/>
      <c r="S261" s="436">
        <f t="shared" si="343"/>
        <v>0</v>
      </c>
      <c r="T261" s="437">
        <f t="shared" si="433"/>
        <v>0</v>
      </c>
      <c r="U261" s="437">
        <f t="shared" si="341"/>
        <v>0</v>
      </c>
      <c r="V261" s="437">
        <f t="shared" si="435"/>
        <v>0</v>
      </c>
      <c r="W261" s="300"/>
      <c r="X261" s="131"/>
      <c r="Z261" s="162"/>
      <c r="AA261" s="162"/>
      <c r="AB261" s="162"/>
      <c r="AC261" s="162"/>
      <c r="AD261" s="162"/>
      <c r="AE261" s="163"/>
      <c r="AF261" s="162"/>
      <c r="AG261" s="162"/>
      <c r="AH261" s="162"/>
      <c r="AI261" s="162"/>
      <c r="AJ261" s="162"/>
      <c r="AK261" s="162"/>
      <c r="AL261" s="162"/>
      <c r="AM261" s="162"/>
      <c r="AN261" s="164"/>
      <c r="AO261" s="164"/>
      <c r="AP261" s="166"/>
      <c r="AQ261" s="161"/>
      <c r="AR261" s="161"/>
      <c r="AS261" s="161"/>
      <c r="AT261" s="161"/>
      <c r="AU261" s="161"/>
    </row>
    <row r="262" spans="1:47">
      <c r="A262" s="471">
        <f t="shared" si="436"/>
        <v>46227</v>
      </c>
      <c r="B262" s="497" t="s">
        <v>325</v>
      </c>
      <c r="C262" s="426">
        <v>415</v>
      </c>
      <c r="D262" s="427">
        <f t="shared" si="423"/>
        <v>1608.125</v>
      </c>
      <c r="E262" s="428">
        <f t="shared" si="424"/>
        <v>16081.25</v>
      </c>
      <c r="F262" s="428">
        <f t="shared" si="425"/>
        <v>10.720833333333333</v>
      </c>
      <c r="G262" s="428">
        <f t="shared" si="426"/>
        <v>40.910699999999999</v>
      </c>
      <c r="H262" s="429"/>
      <c r="I262" s="430">
        <f t="shared" si="399"/>
        <v>0</v>
      </c>
      <c r="J262" s="431">
        <f t="shared" si="427"/>
        <v>0</v>
      </c>
      <c r="K262" s="431">
        <f t="shared" si="428"/>
        <v>0</v>
      </c>
      <c r="L262" s="431">
        <f t="shared" si="429"/>
        <v>0</v>
      </c>
      <c r="M262" s="432"/>
      <c r="N262" s="433">
        <f t="shared" si="342"/>
        <v>0</v>
      </c>
      <c r="O262" s="434">
        <f t="shared" si="430"/>
        <v>0</v>
      </c>
      <c r="P262" s="434">
        <f t="shared" si="340"/>
        <v>0</v>
      </c>
      <c r="Q262" s="434">
        <f t="shared" si="432"/>
        <v>0</v>
      </c>
      <c r="R262" s="435"/>
      <c r="S262" s="436">
        <f t="shared" si="343"/>
        <v>0</v>
      </c>
      <c r="T262" s="437">
        <f t="shared" si="433"/>
        <v>0</v>
      </c>
      <c r="U262" s="437">
        <f t="shared" si="341"/>
        <v>0</v>
      </c>
      <c r="V262" s="437">
        <f t="shared" si="435"/>
        <v>0</v>
      </c>
      <c r="W262" s="300"/>
      <c r="X262" s="131"/>
      <c r="Z262" s="162"/>
      <c r="AA262" s="162"/>
      <c r="AB262" s="162"/>
      <c r="AC262" s="162"/>
      <c r="AD262" s="162"/>
      <c r="AE262" s="163"/>
      <c r="AF262" s="162"/>
      <c r="AG262" s="162"/>
      <c r="AH262" s="162"/>
      <c r="AI262" s="162"/>
      <c r="AJ262" s="162"/>
      <c r="AK262" s="162"/>
      <c r="AL262" s="162"/>
      <c r="AM262" s="162"/>
      <c r="AN262" s="164"/>
      <c r="AO262" s="164"/>
      <c r="AP262" s="166"/>
      <c r="AQ262" s="161"/>
      <c r="AR262" s="161"/>
      <c r="AS262" s="161"/>
      <c r="AT262" s="161"/>
      <c r="AU262" s="161"/>
    </row>
    <row r="263" spans="1:47">
      <c r="A263" s="471">
        <f t="shared" si="436"/>
        <v>46227</v>
      </c>
      <c r="B263" s="497" t="s">
        <v>326</v>
      </c>
      <c r="C263" s="426">
        <v>432</v>
      </c>
      <c r="D263" s="427">
        <f t="shared" si="423"/>
        <v>1674</v>
      </c>
      <c r="E263" s="428">
        <f t="shared" si="424"/>
        <v>16740</v>
      </c>
      <c r="F263" s="428">
        <f t="shared" si="425"/>
        <v>11.16</v>
      </c>
      <c r="G263" s="428">
        <f t="shared" si="426"/>
        <v>42.586559999999999</v>
      </c>
      <c r="H263" s="429"/>
      <c r="I263" s="430">
        <f t="shared" si="399"/>
        <v>0</v>
      </c>
      <c r="J263" s="431">
        <f t="shared" si="427"/>
        <v>0</v>
      </c>
      <c r="K263" s="431">
        <f t="shared" si="428"/>
        <v>0</v>
      </c>
      <c r="L263" s="431">
        <f t="shared" si="429"/>
        <v>0</v>
      </c>
      <c r="M263" s="432"/>
      <c r="N263" s="433">
        <f t="shared" si="342"/>
        <v>0</v>
      </c>
      <c r="O263" s="434">
        <f t="shared" si="430"/>
        <v>0</v>
      </c>
      <c r="P263" s="434">
        <f t="shared" si="340"/>
        <v>0</v>
      </c>
      <c r="Q263" s="434">
        <f t="shared" si="432"/>
        <v>0</v>
      </c>
      <c r="R263" s="435"/>
      <c r="S263" s="436">
        <f t="shared" si="343"/>
        <v>0</v>
      </c>
      <c r="T263" s="437">
        <f t="shared" si="433"/>
        <v>0</v>
      </c>
      <c r="U263" s="437">
        <f t="shared" si="341"/>
        <v>0</v>
      </c>
      <c r="V263" s="437">
        <f t="shared" si="435"/>
        <v>0</v>
      </c>
      <c r="W263" s="300"/>
      <c r="X263" s="131"/>
      <c r="Z263" s="162"/>
      <c r="AA263" s="162"/>
      <c r="AB263" s="162"/>
      <c r="AC263" s="162"/>
      <c r="AD263" s="162"/>
      <c r="AE263" s="163"/>
      <c r="AF263" s="162"/>
      <c r="AG263" s="162"/>
      <c r="AH263" s="162"/>
      <c r="AI263" s="162"/>
      <c r="AJ263" s="162"/>
      <c r="AK263" s="162"/>
      <c r="AL263" s="162"/>
      <c r="AM263" s="162"/>
      <c r="AN263" s="164"/>
      <c r="AO263" s="164"/>
      <c r="AP263" s="166"/>
      <c r="AQ263" s="161"/>
      <c r="AR263" s="161"/>
      <c r="AS263" s="161"/>
      <c r="AT263" s="161"/>
      <c r="AU263" s="161"/>
    </row>
    <row r="264" spans="1:47">
      <c r="A264" s="471">
        <f t="shared" si="436"/>
        <v>46227</v>
      </c>
      <c r="B264" s="497" t="s">
        <v>327</v>
      </c>
      <c r="C264" s="426">
        <v>244</v>
      </c>
      <c r="D264" s="427">
        <f t="shared" si="423"/>
        <v>945.5</v>
      </c>
      <c r="E264" s="428">
        <f t="shared" si="424"/>
        <v>9455</v>
      </c>
      <c r="F264" s="428">
        <f t="shared" si="425"/>
        <v>6.3033333333333337</v>
      </c>
      <c r="G264" s="428">
        <f t="shared" si="426"/>
        <v>24.053519999999999</v>
      </c>
      <c r="H264" s="429"/>
      <c r="I264" s="430">
        <f t="shared" si="399"/>
        <v>0</v>
      </c>
      <c r="J264" s="431">
        <f t="shared" si="427"/>
        <v>0</v>
      </c>
      <c r="K264" s="431">
        <f t="shared" si="428"/>
        <v>0</v>
      </c>
      <c r="L264" s="431">
        <f t="shared" si="429"/>
        <v>0</v>
      </c>
      <c r="M264" s="432"/>
      <c r="N264" s="433">
        <f t="shared" si="342"/>
        <v>0</v>
      </c>
      <c r="O264" s="434">
        <f t="shared" si="430"/>
        <v>0</v>
      </c>
      <c r="P264" s="434">
        <f t="shared" si="340"/>
        <v>0</v>
      </c>
      <c r="Q264" s="434">
        <f t="shared" si="432"/>
        <v>0</v>
      </c>
      <c r="R264" s="435"/>
      <c r="S264" s="436">
        <f t="shared" si="343"/>
        <v>0</v>
      </c>
      <c r="T264" s="437">
        <f t="shared" si="433"/>
        <v>0</v>
      </c>
      <c r="U264" s="437">
        <f t="shared" si="341"/>
        <v>0</v>
      </c>
      <c r="V264" s="437">
        <f t="shared" si="435"/>
        <v>0</v>
      </c>
      <c r="W264" s="300"/>
      <c r="X264" s="131"/>
      <c r="Z264" s="162"/>
      <c r="AA264" s="162"/>
      <c r="AB264" s="162"/>
      <c r="AC264" s="162"/>
      <c r="AD264" s="162"/>
      <c r="AE264" s="163"/>
      <c r="AF264" s="162"/>
      <c r="AG264" s="162"/>
      <c r="AH264" s="162"/>
      <c r="AI264" s="162"/>
      <c r="AJ264" s="162"/>
      <c r="AK264" s="162"/>
      <c r="AL264" s="162"/>
      <c r="AM264" s="162"/>
      <c r="AN264" s="164"/>
      <c r="AO264" s="164"/>
      <c r="AP264" s="166"/>
      <c r="AQ264" s="161"/>
      <c r="AR264" s="161"/>
      <c r="AS264" s="161"/>
      <c r="AT264" s="161"/>
      <c r="AU264" s="161"/>
    </row>
    <row r="265" spans="1:47">
      <c r="A265" s="471">
        <f t="shared" si="436"/>
        <v>46227</v>
      </c>
      <c r="B265" s="497" t="s">
        <v>328</v>
      </c>
      <c r="C265" s="426">
        <v>422</v>
      </c>
      <c r="D265" s="427">
        <f t="shared" si="423"/>
        <v>1635.25</v>
      </c>
      <c r="E265" s="428">
        <f t="shared" si="424"/>
        <v>16352.5</v>
      </c>
      <c r="F265" s="428">
        <f t="shared" si="425"/>
        <v>10.901666666666667</v>
      </c>
      <c r="G265" s="428">
        <f t="shared" si="426"/>
        <v>41.600759999999994</v>
      </c>
      <c r="H265" s="429"/>
      <c r="I265" s="430">
        <f t="shared" si="399"/>
        <v>0</v>
      </c>
      <c r="J265" s="431">
        <f t="shared" si="427"/>
        <v>0</v>
      </c>
      <c r="K265" s="431">
        <f t="shared" si="428"/>
        <v>0</v>
      </c>
      <c r="L265" s="431">
        <f t="shared" si="429"/>
        <v>0</v>
      </c>
      <c r="M265" s="432"/>
      <c r="N265" s="433">
        <f t="shared" si="342"/>
        <v>0</v>
      </c>
      <c r="O265" s="434">
        <f t="shared" si="430"/>
        <v>0</v>
      </c>
      <c r="P265" s="434">
        <f t="shared" si="340"/>
        <v>0</v>
      </c>
      <c r="Q265" s="434">
        <f t="shared" si="432"/>
        <v>0</v>
      </c>
      <c r="R265" s="435"/>
      <c r="S265" s="436">
        <f t="shared" si="343"/>
        <v>0</v>
      </c>
      <c r="T265" s="437">
        <f t="shared" si="433"/>
        <v>0</v>
      </c>
      <c r="U265" s="437">
        <f t="shared" si="341"/>
        <v>0</v>
      </c>
      <c r="V265" s="437">
        <f t="shared" si="435"/>
        <v>0</v>
      </c>
      <c r="W265" s="300"/>
      <c r="X265" s="131"/>
      <c r="Z265" s="162"/>
      <c r="AA265" s="162"/>
      <c r="AB265" s="162"/>
      <c r="AC265" s="162"/>
      <c r="AD265" s="162"/>
      <c r="AE265" s="163"/>
      <c r="AF265" s="162"/>
      <c r="AG265" s="162"/>
      <c r="AH265" s="162"/>
      <c r="AI265" s="162"/>
      <c r="AJ265" s="162"/>
      <c r="AK265" s="162"/>
      <c r="AL265" s="162"/>
      <c r="AM265" s="162"/>
      <c r="AN265" s="164"/>
      <c r="AO265" s="164"/>
      <c r="AP265" s="166"/>
      <c r="AQ265" s="161"/>
      <c r="AR265" s="161"/>
      <c r="AS265" s="161"/>
      <c r="AT265" s="161"/>
      <c r="AU265" s="161"/>
    </row>
    <row r="266" spans="1:47">
      <c r="A266" s="471">
        <f t="shared" si="436"/>
        <v>46227</v>
      </c>
      <c r="B266" s="497"/>
      <c r="C266" s="426"/>
      <c r="D266" s="427">
        <f t="shared" si="423"/>
        <v>0</v>
      </c>
      <c r="E266" s="428">
        <f t="shared" si="424"/>
        <v>0</v>
      </c>
      <c r="F266" s="428">
        <f t="shared" si="425"/>
        <v>0</v>
      </c>
      <c r="G266" s="428">
        <f t="shared" si="426"/>
        <v>0</v>
      </c>
      <c r="H266" s="429"/>
      <c r="I266" s="430">
        <f t="shared" si="399"/>
        <v>0</v>
      </c>
      <c r="J266" s="431">
        <f t="shared" si="427"/>
        <v>0</v>
      </c>
      <c r="K266" s="431">
        <f t="shared" si="428"/>
        <v>0</v>
      </c>
      <c r="L266" s="431">
        <f t="shared" si="429"/>
        <v>0</v>
      </c>
      <c r="M266" s="432"/>
      <c r="N266" s="433">
        <f t="shared" si="342"/>
        <v>0</v>
      </c>
      <c r="O266" s="434">
        <f t="shared" si="430"/>
        <v>0</v>
      </c>
      <c r="P266" s="434">
        <f t="shared" si="340"/>
        <v>0</v>
      </c>
      <c r="Q266" s="434">
        <f t="shared" si="432"/>
        <v>0</v>
      </c>
      <c r="R266" s="435"/>
      <c r="S266" s="436">
        <f t="shared" si="343"/>
        <v>0</v>
      </c>
      <c r="T266" s="437">
        <f t="shared" si="433"/>
        <v>0</v>
      </c>
      <c r="U266" s="437">
        <f t="shared" si="341"/>
        <v>0</v>
      </c>
      <c r="V266" s="437">
        <f t="shared" si="435"/>
        <v>0</v>
      </c>
      <c r="W266" s="300"/>
      <c r="X266" s="131"/>
      <c r="Z266" s="162"/>
      <c r="AA266" s="162"/>
      <c r="AB266" s="162"/>
      <c r="AC266" s="162"/>
      <c r="AD266" s="162"/>
      <c r="AE266" s="163"/>
      <c r="AF266" s="162"/>
      <c r="AG266" s="162"/>
      <c r="AH266" s="162"/>
      <c r="AI266" s="162"/>
      <c r="AJ266" s="162"/>
      <c r="AK266" s="162"/>
      <c r="AL266" s="162"/>
      <c r="AM266" s="162"/>
      <c r="AN266" s="164"/>
      <c r="AO266" s="164"/>
      <c r="AP266" s="166"/>
      <c r="AQ266" s="161"/>
      <c r="AR266" s="161"/>
      <c r="AS266" s="161"/>
      <c r="AT266" s="161"/>
      <c r="AU266" s="161"/>
    </row>
    <row r="267" spans="1:47" ht="14.25">
      <c r="A267" s="471"/>
      <c r="B267" s="498" t="s">
        <v>118</v>
      </c>
      <c r="C267" s="438">
        <f>SUM(C257:C266)</f>
        <v>3795</v>
      </c>
      <c r="D267" s="439">
        <f t="shared" si="423"/>
        <v>14705.625</v>
      </c>
      <c r="E267" s="438">
        <f t="shared" ref="E267:H267" si="437">SUM(E257:E266)</f>
        <v>147056.25</v>
      </c>
      <c r="F267" s="463">
        <f t="shared" si="437"/>
        <v>98.037499999999994</v>
      </c>
      <c r="G267" s="463">
        <f t="shared" si="437"/>
        <v>374.11109999999996</v>
      </c>
      <c r="H267" s="440">
        <f t="shared" si="437"/>
        <v>0</v>
      </c>
      <c r="I267" s="441">
        <f t="shared" si="399"/>
        <v>0</v>
      </c>
      <c r="J267" s="440">
        <f t="shared" ref="J267:L267" si="438">SUM(J257:J266)</f>
        <v>0</v>
      </c>
      <c r="K267" s="466">
        <f t="shared" si="438"/>
        <v>0</v>
      </c>
      <c r="L267" s="466">
        <f t="shared" si="438"/>
        <v>0</v>
      </c>
      <c r="M267" s="442">
        <f t="shared" ref="M267" si="439">SUM(M257:M266)</f>
        <v>0</v>
      </c>
      <c r="N267" s="443">
        <f t="shared" si="342"/>
        <v>0</v>
      </c>
      <c r="O267" s="442">
        <f t="shared" ref="O267:R267" si="440">SUM(O257:O266)</f>
        <v>0</v>
      </c>
      <c r="P267" s="468">
        <f t="shared" si="440"/>
        <v>0</v>
      </c>
      <c r="Q267" s="468">
        <f t="shared" si="440"/>
        <v>0</v>
      </c>
      <c r="R267" s="444">
        <f t="shared" si="440"/>
        <v>0</v>
      </c>
      <c r="S267" s="445">
        <f t="shared" si="343"/>
        <v>0</v>
      </c>
      <c r="T267" s="444">
        <f t="shared" ref="T267:V267" si="441">SUM(T257:T266)</f>
        <v>0</v>
      </c>
      <c r="U267" s="470">
        <f t="shared" si="441"/>
        <v>0</v>
      </c>
      <c r="V267" s="470">
        <f t="shared" si="441"/>
        <v>0</v>
      </c>
      <c r="W267" s="300"/>
      <c r="X267" s="131"/>
      <c r="Z267" s="162"/>
      <c r="AA267" s="162"/>
      <c r="AB267" s="162"/>
      <c r="AC267" s="162"/>
      <c r="AD267" s="162"/>
      <c r="AE267" s="163"/>
      <c r="AF267" s="162"/>
      <c r="AG267" s="162"/>
      <c r="AH267" s="162"/>
      <c r="AI267" s="162"/>
      <c r="AJ267" s="162"/>
      <c r="AK267" s="162"/>
      <c r="AL267" s="162"/>
      <c r="AM267" s="162"/>
      <c r="AN267" s="164"/>
      <c r="AO267" s="164"/>
      <c r="AP267" s="166"/>
      <c r="AQ267" s="161"/>
      <c r="AR267" s="161"/>
      <c r="AS267" s="161"/>
      <c r="AT267" s="161"/>
      <c r="AU267" s="161"/>
    </row>
    <row r="268" spans="1:47">
      <c r="A268" s="472">
        <f>+A257+1</f>
        <v>46228</v>
      </c>
      <c r="B268" s="497" t="s">
        <v>329</v>
      </c>
      <c r="C268" s="426">
        <v>486</v>
      </c>
      <c r="D268" s="427">
        <f t="shared" si="423"/>
        <v>1883.25</v>
      </c>
      <c r="E268" s="428">
        <f t="shared" ref="E268" si="442">+D268/0.0125*0.125</f>
        <v>18832.5</v>
      </c>
      <c r="F268" s="428">
        <f t="shared" ref="F268" si="443">+E268/1500</f>
        <v>12.555</v>
      </c>
      <c r="G268" s="428">
        <f t="shared" ref="G268:G277" si="444">+D268/0.0125*0.000318</f>
        <v>47.909879999999994</v>
      </c>
      <c r="H268" s="429"/>
      <c r="I268" s="430">
        <f t="shared" si="399"/>
        <v>0</v>
      </c>
      <c r="J268" s="431">
        <f t="shared" ref="J268:J277" si="445">+I268/0.0185*0.185</f>
        <v>0</v>
      </c>
      <c r="K268" s="431">
        <f t="shared" ref="K268" si="446">+J268/1500</f>
        <v>0</v>
      </c>
      <c r="L268" s="431">
        <f t="shared" ref="L268:L277" si="447">+I268/0.0185*0.000318</f>
        <v>0</v>
      </c>
      <c r="M268" s="432"/>
      <c r="N268" s="433">
        <f t="shared" si="342"/>
        <v>0</v>
      </c>
      <c r="O268" s="434">
        <f t="shared" ref="O268:O277" si="448">+N268/0.0185*0.185</f>
        <v>0</v>
      </c>
      <c r="P268" s="434">
        <f t="shared" ref="P268" si="449">+O268/1500</f>
        <v>0</v>
      </c>
      <c r="Q268" s="434">
        <f t="shared" ref="Q268:Q277" si="450">+N268/0.0185*0.000318</f>
        <v>0</v>
      </c>
      <c r="R268" s="435"/>
      <c r="S268" s="436">
        <f t="shared" si="343"/>
        <v>0</v>
      </c>
      <c r="T268" s="437">
        <f t="shared" ref="T268:T277" si="451">+S268/0.0185*0.185</f>
        <v>0</v>
      </c>
      <c r="U268" s="437">
        <f t="shared" ref="U268" si="452">+T268/1500</f>
        <v>0</v>
      </c>
      <c r="V268" s="437">
        <f t="shared" ref="V268:V277" si="453">+S268/0.0185*0.000318</f>
        <v>0</v>
      </c>
      <c r="W268" s="300"/>
      <c r="X268" s="131">
        <f>+W268*2.4</f>
        <v>0</v>
      </c>
      <c r="Z268" s="162">
        <f>IFERROR((D268/'REKAPAN OKEY AYAM'!$AC28),"-")</f>
        <v>0.14911587528821546</v>
      </c>
      <c r="AA268" s="162" t="str">
        <f>IFERROR((I268/'REKAPAN CHAMP AYAM'!$AC28),"-")</f>
        <v>-</v>
      </c>
      <c r="AB268" s="162" t="str">
        <f>IFERROR((N268/'REKAPAN CHAMP SAPI'!AC28),"-")</f>
        <v>-</v>
      </c>
      <c r="AC268" s="162" t="str">
        <f>IFERROR((S268/'REKAPAN CHAMP OTAK-OTAK'!AC28),"-")</f>
        <v>-</v>
      </c>
      <c r="AD268" s="162" t="str">
        <f>IFERROR((X268/'REKAPAN FIESTA'!AC28),"-")</f>
        <v>-</v>
      </c>
      <c r="AE268" s="163"/>
      <c r="AF268" s="162">
        <f t="shared" si="39"/>
        <v>1500</v>
      </c>
      <c r="AG268" s="162" t="str">
        <f>IFERROR(((D268/0.0125*0.000318)/#REF!),"-")</f>
        <v>-</v>
      </c>
      <c r="AH268" s="162" t="str">
        <f t="shared" si="40"/>
        <v>-</v>
      </c>
      <c r="AI268" s="162" t="str">
        <f>IFERROR(((I268/0.0185*0.000318)/#REF!),"-")</f>
        <v>-</v>
      </c>
      <c r="AJ268" s="162" t="str">
        <f t="shared" si="41"/>
        <v>-</v>
      </c>
      <c r="AK268" s="162" t="str">
        <f>IFERROR(((N268/0.0185*0.000318)/#REF!),"-")</f>
        <v>-</v>
      </c>
      <c r="AL268" s="162" t="str">
        <f t="shared" si="42"/>
        <v>-</v>
      </c>
      <c r="AM268" s="162" t="str">
        <f>IFERROR(((S268/0.0185*0.000318)/#REF!),"-")</f>
        <v>-</v>
      </c>
      <c r="AN268" s="164"/>
      <c r="AO268" s="164"/>
      <c r="AP268" s="166"/>
      <c r="AQ268" s="161">
        <f>IFERROR(('REKAPAN OKEY AYAM'!$AD28),"-")</f>
        <v>0.20250304051486051</v>
      </c>
      <c r="AR268" s="161" t="str">
        <f>IFERROR(('REKAPAN CHAMP AYAM'!$AD28),"-")</f>
        <v>-</v>
      </c>
      <c r="AS268" s="161" t="str">
        <f>IFERROR(('REKAPAN CHAMP SAPI'!$AD28),"-")</f>
        <v>-</v>
      </c>
      <c r="AT268" s="161" t="str">
        <f>IFERROR(('REKAPAN CHAMP OTAK-OTAK'!$AD28),"-")</f>
        <v>-</v>
      </c>
      <c r="AU268" s="161" t="str">
        <f>IFERROR(('REKAPAN FIESTA'!$AD28),"-")</f>
        <v>-</v>
      </c>
    </row>
    <row r="269" spans="1:47">
      <c r="A269" s="471">
        <f>+$A268</f>
        <v>46228</v>
      </c>
      <c r="B269" s="497" t="s">
        <v>330</v>
      </c>
      <c r="C269" s="426">
        <v>431</v>
      </c>
      <c r="D269" s="427">
        <f t="shared" si="423"/>
        <v>1670.125</v>
      </c>
      <c r="E269" s="428">
        <f t="shared" si="424"/>
        <v>16701.25</v>
      </c>
      <c r="F269" s="428">
        <f t="shared" si="425"/>
        <v>11.134166666666667</v>
      </c>
      <c r="G269" s="428">
        <f t="shared" si="444"/>
        <v>42.48798</v>
      </c>
      <c r="H269" s="429"/>
      <c r="I269" s="430">
        <f t="shared" si="399"/>
        <v>0</v>
      </c>
      <c r="J269" s="431">
        <f t="shared" si="445"/>
        <v>0</v>
      </c>
      <c r="K269" s="431">
        <f t="shared" si="428"/>
        <v>0</v>
      </c>
      <c r="L269" s="431">
        <f t="shared" si="447"/>
        <v>0</v>
      </c>
      <c r="M269" s="432"/>
      <c r="N269" s="433">
        <f t="shared" si="342"/>
        <v>0</v>
      </c>
      <c r="O269" s="434">
        <f t="shared" si="448"/>
        <v>0</v>
      </c>
      <c r="P269" s="434">
        <f t="shared" si="340"/>
        <v>0</v>
      </c>
      <c r="Q269" s="434">
        <f t="shared" si="450"/>
        <v>0</v>
      </c>
      <c r="R269" s="435"/>
      <c r="S269" s="436">
        <f t="shared" si="343"/>
        <v>0</v>
      </c>
      <c r="T269" s="437">
        <f t="shared" si="451"/>
        <v>0</v>
      </c>
      <c r="U269" s="437">
        <f t="shared" si="341"/>
        <v>0</v>
      </c>
      <c r="V269" s="437">
        <f t="shared" si="453"/>
        <v>0</v>
      </c>
      <c r="W269" s="300"/>
      <c r="X269" s="131"/>
      <c r="Z269" s="162"/>
      <c r="AA269" s="162"/>
      <c r="AB269" s="162"/>
      <c r="AC269" s="162"/>
      <c r="AD269" s="162"/>
      <c r="AE269" s="163"/>
      <c r="AF269" s="162"/>
      <c r="AG269" s="162"/>
      <c r="AH269" s="162"/>
      <c r="AI269" s="162"/>
      <c r="AJ269" s="162"/>
      <c r="AK269" s="162"/>
      <c r="AL269" s="162"/>
      <c r="AM269" s="162"/>
      <c r="AN269" s="164"/>
      <c r="AO269" s="164"/>
      <c r="AP269" s="166"/>
      <c r="AQ269" s="161"/>
      <c r="AR269" s="161"/>
      <c r="AS269" s="161"/>
      <c r="AT269" s="161"/>
      <c r="AU269" s="161"/>
    </row>
    <row r="270" spans="1:47">
      <c r="A270" s="471">
        <f t="shared" ref="A270:A277" si="454">+$A269</f>
        <v>46228</v>
      </c>
      <c r="B270" s="497" t="s">
        <v>331</v>
      </c>
      <c r="C270" s="426">
        <v>433</v>
      </c>
      <c r="D270" s="427">
        <f t="shared" si="423"/>
        <v>1677.875</v>
      </c>
      <c r="E270" s="428">
        <f t="shared" si="424"/>
        <v>16778.75</v>
      </c>
      <c r="F270" s="428">
        <f t="shared" si="425"/>
        <v>11.185833333333333</v>
      </c>
      <c r="G270" s="428">
        <f t="shared" si="444"/>
        <v>42.685139999999997</v>
      </c>
      <c r="H270" s="429"/>
      <c r="I270" s="430">
        <f t="shared" si="399"/>
        <v>0</v>
      </c>
      <c r="J270" s="431">
        <f t="shared" si="445"/>
        <v>0</v>
      </c>
      <c r="K270" s="431">
        <f t="shared" si="428"/>
        <v>0</v>
      </c>
      <c r="L270" s="431">
        <f t="shared" si="447"/>
        <v>0</v>
      </c>
      <c r="M270" s="432"/>
      <c r="N270" s="433">
        <f t="shared" si="342"/>
        <v>0</v>
      </c>
      <c r="O270" s="434">
        <f t="shared" si="448"/>
        <v>0</v>
      </c>
      <c r="P270" s="434">
        <f t="shared" si="340"/>
        <v>0</v>
      </c>
      <c r="Q270" s="434">
        <f t="shared" si="450"/>
        <v>0</v>
      </c>
      <c r="R270" s="435"/>
      <c r="S270" s="436">
        <f t="shared" si="343"/>
        <v>0</v>
      </c>
      <c r="T270" s="437">
        <f t="shared" si="451"/>
        <v>0</v>
      </c>
      <c r="U270" s="437">
        <f t="shared" si="341"/>
        <v>0</v>
      </c>
      <c r="V270" s="437">
        <f t="shared" si="453"/>
        <v>0</v>
      </c>
      <c r="W270" s="300"/>
      <c r="X270" s="131"/>
      <c r="Z270" s="162"/>
      <c r="AA270" s="162"/>
      <c r="AB270" s="162"/>
      <c r="AC270" s="162"/>
      <c r="AD270" s="162"/>
      <c r="AE270" s="163"/>
      <c r="AF270" s="162"/>
      <c r="AG270" s="162"/>
      <c r="AH270" s="162"/>
      <c r="AI270" s="162"/>
      <c r="AJ270" s="162"/>
      <c r="AK270" s="162"/>
      <c r="AL270" s="162"/>
      <c r="AM270" s="162"/>
      <c r="AN270" s="164"/>
      <c r="AO270" s="164"/>
      <c r="AP270" s="166"/>
      <c r="AQ270" s="161"/>
      <c r="AR270" s="161"/>
      <c r="AS270" s="161"/>
      <c r="AT270" s="161"/>
      <c r="AU270" s="161"/>
    </row>
    <row r="271" spans="1:47">
      <c r="A271" s="471">
        <f t="shared" si="454"/>
        <v>46228</v>
      </c>
      <c r="B271" s="497" t="s">
        <v>332</v>
      </c>
      <c r="C271" s="426">
        <v>488</v>
      </c>
      <c r="D271" s="427">
        <f t="shared" si="423"/>
        <v>1891</v>
      </c>
      <c r="E271" s="428">
        <f t="shared" si="424"/>
        <v>18910</v>
      </c>
      <c r="F271" s="428">
        <f t="shared" si="425"/>
        <v>12.606666666666667</v>
      </c>
      <c r="G271" s="428">
        <f t="shared" si="444"/>
        <v>48.107039999999998</v>
      </c>
      <c r="H271" s="429"/>
      <c r="I271" s="430">
        <f t="shared" si="399"/>
        <v>0</v>
      </c>
      <c r="J271" s="431">
        <f t="shared" si="445"/>
        <v>0</v>
      </c>
      <c r="K271" s="431">
        <f t="shared" si="428"/>
        <v>0</v>
      </c>
      <c r="L271" s="431">
        <f t="shared" si="447"/>
        <v>0</v>
      </c>
      <c r="M271" s="432"/>
      <c r="N271" s="433">
        <f t="shared" si="342"/>
        <v>0</v>
      </c>
      <c r="O271" s="434">
        <f t="shared" si="448"/>
        <v>0</v>
      </c>
      <c r="P271" s="434">
        <f t="shared" ref="P271:P332" si="455">+O271/1500</f>
        <v>0</v>
      </c>
      <c r="Q271" s="434">
        <f t="shared" si="450"/>
        <v>0</v>
      </c>
      <c r="R271" s="435"/>
      <c r="S271" s="436">
        <f t="shared" si="343"/>
        <v>0</v>
      </c>
      <c r="T271" s="437">
        <f t="shared" si="451"/>
        <v>0</v>
      </c>
      <c r="U271" s="437">
        <f t="shared" ref="U271:U332" si="456">+T271/1500</f>
        <v>0</v>
      </c>
      <c r="V271" s="437">
        <f t="shared" si="453"/>
        <v>0</v>
      </c>
      <c r="W271" s="300"/>
      <c r="X271" s="131"/>
      <c r="Z271" s="162"/>
      <c r="AA271" s="162"/>
      <c r="AB271" s="162"/>
      <c r="AC271" s="162"/>
      <c r="AD271" s="162"/>
      <c r="AE271" s="163"/>
      <c r="AF271" s="162"/>
      <c r="AG271" s="162"/>
      <c r="AH271" s="162"/>
      <c r="AI271" s="162"/>
      <c r="AJ271" s="162"/>
      <c r="AK271" s="162"/>
      <c r="AL271" s="162"/>
      <c r="AM271" s="162"/>
      <c r="AN271" s="164"/>
      <c r="AO271" s="164"/>
      <c r="AP271" s="166"/>
      <c r="AQ271" s="161"/>
      <c r="AR271" s="161"/>
      <c r="AS271" s="161"/>
      <c r="AT271" s="161"/>
      <c r="AU271" s="161"/>
    </row>
    <row r="272" spans="1:47">
      <c r="A272" s="471">
        <f t="shared" si="454"/>
        <v>46228</v>
      </c>
      <c r="B272" s="497" t="s">
        <v>333</v>
      </c>
      <c r="C272" s="426">
        <v>477</v>
      </c>
      <c r="D272" s="427">
        <f t="shared" si="423"/>
        <v>1848.375</v>
      </c>
      <c r="E272" s="428">
        <f t="shared" si="424"/>
        <v>18483.75</v>
      </c>
      <c r="F272" s="428">
        <f t="shared" si="425"/>
        <v>12.3225</v>
      </c>
      <c r="G272" s="428">
        <f t="shared" si="444"/>
        <v>47.022659999999995</v>
      </c>
      <c r="H272" s="429"/>
      <c r="I272" s="430">
        <f t="shared" si="399"/>
        <v>0</v>
      </c>
      <c r="J272" s="431">
        <f t="shared" si="445"/>
        <v>0</v>
      </c>
      <c r="K272" s="431">
        <f t="shared" si="428"/>
        <v>0</v>
      </c>
      <c r="L272" s="431">
        <f t="shared" si="447"/>
        <v>0</v>
      </c>
      <c r="M272" s="432"/>
      <c r="N272" s="433">
        <f t="shared" ref="N272:N335" si="457">+M272*3.276</f>
        <v>0</v>
      </c>
      <c r="O272" s="434">
        <f t="shared" si="448"/>
        <v>0</v>
      </c>
      <c r="P272" s="434">
        <f t="shared" si="455"/>
        <v>0</v>
      </c>
      <c r="Q272" s="434">
        <f t="shared" si="450"/>
        <v>0</v>
      </c>
      <c r="R272" s="435"/>
      <c r="S272" s="436">
        <f t="shared" ref="S272:S335" si="458">+R272*3.276</f>
        <v>0</v>
      </c>
      <c r="T272" s="437">
        <f t="shared" si="451"/>
        <v>0</v>
      </c>
      <c r="U272" s="437">
        <f t="shared" si="456"/>
        <v>0</v>
      </c>
      <c r="V272" s="437">
        <f t="shared" si="453"/>
        <v>0</v>
      </c>
      <c r="W272" s="300"/>
      <c r="X272" s="131"/>
      <c r="Z272" s="162"/>
      <c r="AA272" s="162"/>
      <c r="AB272" s="162"/>
      <c r="AC272" s="162"/>
      <c r="AD272" s="162"/>
      <c r="AE272" s="163"/>
      <c r="AF272" s="162"/>
      <c r="AG272" s="162"/>
      <c r="AH272" s="162"/>
      <c r="AI272" s="162"/>
      <c r="AJ272" s="162"/>
      <c r="AK272" s="162"/>
      <c r="AL272" s="162"/>
      <c r="AM272" s="162"/>
      <c r="AN272" s="164"/>
      <c r="AO272" s="164"/>
      <c r="AP272" s="166"/>
      <c r="AQ272" s="161"/>
      <c r="AR272" s="161"/>
      <c r="AS272" s="161"/>
      <c r="AT272" s="161"/>
      <c r="AU272" s="161"/>
    </row>
    <row r="273" spans="1:47">
      <c r="A273" s="471">
        <f t="shared" si="454"/>
        <v>46228</v>
      </c>
      <c r="B273" s="497" t="s">
        <v>334</v>
      </c>
      <c r="C273" s="426">
        <v>437</v>
      </c>
      <c r="D273" s="427">
        <f t="shared" si="423"/>
        <v>1693.375</v>
      </c>
      <c r="E273" s="428">
        <f t="shared" si="424"/>
        <v>16933.75</v>
      </c>
      <c r="F273" s="428">
        <f t="shared" si="425"/>
        <v>11.289166666666667</v>
      </c>
      <c r="G273" s="428">
        <f t="shared" si="444"/>
        <v>43.079459999999997</v>
      </c>
      <c r="H273" s="429"/>
      <c r="I273" s="430">
        <f t="shared" si="399"/>
        <v>0</v>
      </c>
      <c r="J273" s="431">
        <f t="shared" si="445"/>
        <v>0</v>
      </c>
      <c r="K273" s="431">
        <f t="shared" si="428"/>
        <v>0</v>
      </c>
      <c r="L273" s="431">
        <f t="shared" si="447"/>
        <v>0</v>
      </c>
      <c r="M273" s="432"/>
      <c r="N273" s="433">
        <f t="shared" si="457"/>
        <v>0</v>
      </c>
      <c r="O273" s="434">
        <f t="shared" si="448"/>
        <v>0</v>
      </c>
      <c r="P273" s="434">
        <f t="shared" si="455"/>
        <v>0</v>
      </c>
      <c r="Q273" s="434">
        <f t="shared" si="450"/>
        <v>0</v>
      </c>
      <c r="R273" s="435"/>
      <c r="S273" s="436">
        <f t="shared" si="458"/>
        <v>0</v>
      </c>
      <c r="T273" s="437">
        <f t="shared" si="451"/>
        <v>0</v>
      </c>
      <c r="U273" s="437">
        <f t="shared" si="456"/>
        <v>0</v>
      </c>
      <c r="V273" s="437">
        <f t="shared" si="453"/>
        <v>0</v>
      </c>
      <c r="W273" s="300"/>
      <c r="X273" s="131"/>
      <c r="Z273" s="162"/>
      <c r="AA273" s="162"/>
      <c r="AB273" s="162"/>
      <c r="AC273" s="162"/>
      <c r="AD273" s="162"/>
      <c r="AE273" s="163"/>
      <c r="AF273" s="162"/>
      <c r="AG273" s="162"/>
      <c r="AH273" s="162"/>
      <c r="AI273" s="162"/>
      <c r="AJ273" s="162"/>
      <c r="AK273" s="162"/>
      <c r="AL273" s="162"/>
      <c r="AM273" s="162"/>
      <c r="AN273" s="164"/>
      <c r="AO273" s="164"/>
      <c r="AP273" s="166"/>
      <c r="AQ273" s="161"/>
      <c r="AR273" s="161"/>
      <c r="AS273" s="161"/>
      <c r="AT273" s="161"/>
      <c r="AU273" s="161"/>
    </row>
    <row r="274" spans="1:47">
      <c r="A274" s="471">
        <f t="shared" si="454"/>
        <v>46228</v>
      </c>
      <c r="B274" s="497" t="s">
        <v>335</v>
      </c>
      <c r="C274" s="426">
        <v>333</v>
      </c>
      <c r="D274" s="427">
        <f t="shared" si="423"/>
        <v>1290.375</v>
      </c>
      <c r="E274" s="428">
        <f t="shared" si="424"/>
        <v>12903.75</v>
      </c>
      <c r="F274" s="428">
        <f t="shared" si="425"/>
        <v>8.6024999999999991</v>
      </c>
      <c r="G274" s="428">
        <f t="shared" si="444"/>
        <v>32.82714</v>
      </c>
      <c r="H274" s="429"/>
      <c r="I274" s="430">
        <f t="shared" si="399"/>
        <v>0</v>
      </c>
      <c r="J274" s="431">
        <f t="shared" si="445"/>
        <v>0</v>
      </c>
      <c r="K274" s="431">
        <f t="shared" si="428"/>
        <v>0</v>
      </c>
      <c r="L274" s="431">
        <f t="shared" si="447"/>
        <v>0</v>
      </c>
      <c r="M274" s="432"/>
      <c r="N274" s="433">
        <f t="shared" si="457"/>
        <v>0</v>
      </c>
      <c r="O274" s="434">
        <f t="shared" si="448"/>
        <v>0</v>
      </c>
      <c r="P274" s="434">
        <f t="shared" si="455"/>
        <v>0</v>
      </c>
      <c r="Q274" s="434">
        <f t="shared" si="450"/>
        <v>0</v>
      </c>
      <c r="R274" s="435"/>
      <c r="S274" s="436">
        <f t="shared" si="458"/>
        <v>0</v>
      </c>
      <c r="T274" s="437">
        <f t="shared" si="451"/>
        <v>0</v>
      </c>
      <c r="U274" s="437">
        <f t="shared" si="456"/>
        <v>0</v>
      </c>
      <c r="V274" s="437">
        <f t="shared" si="453"/>
        <v>0</v>
      </c>
      <c r="W274" s="300"/>
      <c r="X274" s="131"/>
      <c r="Z274" s="162"/>
      <c r="AA274" s="162"/>
      <c r="AB274" s="162"/>
      <c r="AC274" s="162"/>
      <c r="AD274" s="162"/>
      <c r="AE274" s="163"/>
      <c r="AF274" s="162"/>
      <c r="AG274" s="162"/>
      <c r="AH274" s="162"/>
      <c r="AI274" s="162"/>
      <c r="AJ274" s="162"/>
      <c r="AK274" s="162"/>
      <c r="AL274" s="162"/>
      <c r="AM274" s="162"/>
      <c r="AN274" s="164"/>
      <c r="AO274" s="164"/>
      <c r="AP274" s="166"/>
      <c r="AQ274" s="161"/>
      <c r="AR274" s="161"/>
      <c r="AS274" s="161"/>
      <c r="AT274" s="161"/>
      <c r="AU274" s="161"/>
    </row>
    <row r="275" spans="1:47">
      <c r="A275" s="471">
        <f t="shared" si="454"/>
        <v>46228</v>
      </c>
      <c r="B275" s="497" t="s">
        <v>336</v>
      </c>
      <c r="C275" s="426">
        <v>203</v>
      </c>
      <c r="D275" s="427">
        <f t="shared" si="423"/>
        <v>786.625</v>
      </c>
      <c r="E275" s="428">
        <f t="shared" si="424"/>
        <v>7866.25</v>
      </c>
      <c r="F275" s="428">
        <f t="shared" si="425"/>
        <v>5.2441666666666666</v>
      </c>
      <c r="G275" s="428">
        <f t="shared" si="444"/>
        <v>20.01174</v>
      </c>
      <c r="H275" s="429"/>
      <c r="I275" s="430">
        <f t="shared" si="399"/>
        <v>0</v>
      </c>
      <c r="J275" s="431">
        <f t="shared" si="445"/>
        <v>0</v>
      </c>
      <c r="K275" s="431">
        <f t="shared" si="428"/>
        <v>0</v>
      </c>
      <c r="L275" s="431">
        <f t="shared" si="447"/>
        <v>0</v>
      </c>
      <c r="M275" s="432"/>
      <c r="N275" s="433">
        <f t="shared" si="457"/>
        <v>0</v>
      </c>
      <c r="O275" s="434">
        <f t="shared" si="448"/>
        <v>0</v>
      </c>
      <c r="P275" s="434">
        <f t="shared" si="455"/>
        <v>0</v>
      </c>
      <c r="Q275" s="434">
        <f t="shared" si="450"/>
        <v>0</v>
      </c>
      <c r="R275" s="435"/>
      <c r="S275" s="436">
        <f t="shared" si="458"/>
        <v>0</v>
      </c>
      <c r="T275" s="437">
        <f t="shared" si="451"/>
        <v>0</v>
      </c>
      <c r="U275" s="437">
        <f t="shared" si="456"/>
        <v>0</v>
      </c>
      <c r="V275" s="437">
        <f t="shared" si="453"/>
        <v>0</v>
      </c>
      <c r="W275" s="300"/>
      <c r="X275" s="131"/>
      <c r="Z275" s="162"/>
      <c r="AA275" s="162"/>
      <c r="AB275" s="162"/>
      <c r="AC275" s="162"/>
      <c r="AD275" s="162"/>
      <c r="AE275" s="163"/>
      <c r="AF275" s="162"/>
      <c r="AG275" s="162"/>
      <c r="AH275" s="162"/>
      <c r="AI275" s="162"/>
      <c r="AJ275" s="162"/>
      <c r="AK275" s="162"/>
      <c r="AL275" s="162"/>
      <c r="AM275" s="162"/>
      <c r="AN275" s="164"/>
      <c r="AO275" s="164"/>
      <c r="AP275" s="166"/>
      <c r="AQ275" s="161"/>
      <c r="AR275" s="161"/>
      <c r="AS275" s="161"/>
      <c r="AT275" s="161"/>
      <c r="AU275" s="161"/>
    </row>
    <row r="276" spans="1:47">
      <c r="A276" s="471">
        <f t="shared" si="454"/>
        <v>46228</v>
      </c>
      <c r="B276" s="497"/>
      <c r="C276" s="426"/>
      <c r="D276" s="427">
        <f t="shared" si="423"/>
        <v>0</v>
      </c>
      <c r="E276" s="428">
        <f t="shared" si="424"/>
        <v>0</v>
      </c>
      <c r="F276" s="428">
        <f t="shared" si="425"/>
        <v>0</v>
      </c>
      <c r="G276" s="428">
        <f t="shared" si="444"/>
        <v>0</v>
      </c>
      <c r="H276" s="429"/>
      <c r="I276" s="430">
        <f t="shared" si="399"/>
        <v>0</v>
      </c>
      <c r="J276" s="431">
        <f t="shared" si="445"/>
        <v>0</v>
      </c>
      <c r="K276" s="431">
        <f t="shared" si="428"/>
        <v>0</v>
      </c>
      <c r="L276" s="431">
        <f t="shared" si="447"/>
        <v>0</v>
      </c>
      <c r="M276" s="432"/>
      <c r="N276" s="433">
        <f t="shared" si="457"/>
        <v>0</v>
      </c>
      <c r="O276" s="434">
        <f t="shared" si="448"/>
        <v>0</v>
      </c>
      <c r="P276" s="434">
        <f t="shared" si="455"/>
        <v>0</v>
      </c>
      <c r="Q276" s="434">
        <f t="shared" si="450"/>
        <v>0</v>
      </c>
      <c r="R276" s="435"/>
      <c r="S276" s="436">
        <f t="shared" si="458"/>
        <v>0</v>
      </c>
      <c r="T276" s="437">
        <f t="shared" si="451"/>
        <v>0</v>
      </c>
      <c r="U276" s="437">
        <f t="shared" si="456"/>
        <v>0</v>
      </c>
      <c r="V276" s="437">
        <f t="shared" si="453"/>
        <v>0</v>
      </c>
      <c r="W276" s="300"/>
      <c r="X276" s="131"/>
      <c r="Z276" s="162"/>
      <c r="AA276" s="162"/>
      <c r="AB276" s="162"/>
      <c r="AC276" s="162"/>
      <c r="AD276" s="162"/>
      <c r="AE276" s="163"/>
      <c r="AF276" s="162"/>
      <c r="AG276" s="162"/>
      <c r="AH276" s="162"/>
      <c r="AI276" s="162"/>
      <c r="AJ276" s="162"/>
      <c r="AK276" s="162"/>
      <c r="AL276" s="162"/>
      <c r="AM276" s="162"/>
      <c r="AN276" s="164"/>
      <c r="AO276" s="164"/>
      <c r="AP276" s="166"/>
      <c r="AQ276" s="161"/>
      <c r="AR276" s="161"/>
      <c r="AS276" s="161"/>
      <c r="AT276" s="161"/>
      <c r="AU276" s="161"/>
    </row>
    <row r="277" spans="1:47">
      <c r="A277" s="471">
        <f t="shared" si="454"/>
        <v>46228</v>
      </c>
      <c r="B277" s="497"/>
      <c r="C277" s="426"/>
      <c r="D277" s="427">
        <f t="shared" si="423"/>
        <v>0</v>
      </c>
      <c r="E277" s="428">
        <f t="shared" si="424"/>
        <v>0</v>
      </c>
      <c r="F277" s="428">
        <f t="shared" si="425"/>
        <v>0</v>
      </c>
      <c r="G277" s="428">
        <f t="shared" si="444"/>
        <v>0</v>
      </c>
      <c r="H277" s="429"/>
      <c r="I277" s="430">
        <f t="shared" si="399"/>
        <v>0</v>
      </c>
      <c r="J277" s="431">
        <f t="shared" si="445"/>
        <v>0</v>
      </c>
      <c r="K277" s="431">
        <f t="shared" si="428"/>
        <v>0</v>
      </c>
      <c r="L277" s="431">
        <f t="shared" si="447"/>
        <v>0</v>
      </c>
      <c r="M277" s="432"/>
      <c r="N277" s="433">
        <f t="shared" si="457"/>
        <v>0</v>
      </c>
      <c r="O277" s="434">
        <f t="shared" si="448"/>
        <v>0</v>
      </c>
      <c r="P277" s="434">
        <f t="shared" si="455"/>
        <v>0</v>
      </c>
      <c r="Q277" s="434">
        <f t="shared" si="450"/>
        <v>0</v>
      </c>
      <c r="R277" s="435"/>
      <c r="S277" s="436">
        <f t="shared" si="458"/>
        <v>0</v>
      </c>
      <c r="T277" s="437">
        <f t="shared" si="451"/>
        <v>0</v>
      </c>
      <c r="U277" s="437">
        <f t="shared" si="456"/>
        <v>0</v>
      </c>
      <c r="V277" s="437">
        <f t="shared" si="453"/>
        <v>0</v>
      </c>
      <c r="W277" s="300"/>
      <c r="X277" s="131"/>
      <c r="Z277" s="162"/>
      <c r="AA277" s="162"/>
      <c r="AB277" s="162"/>
      <c r="AC277" s="162"/>
      <c r="AD277" s="162"/>
      <c r="AE277" s="163"/>
      <c r="AF277" s="162"/>
      <c r="AG277" s="162"/>
      <c r="AH277" s="162"/>
      <c r="AI277" s="162"/>
      <c r="AJ277" s="162"/>
      <c r="AK277" s="162"/>
      <c r="AL277" s="162"/>
      <c r="AM277" s="162"/>
      <c r="AN277" s="164"/>
      <c r="AO277" s="164"/>
      <c r="AP277" s="166"/>
      <c r="AQ277" s="161"/>
      <c r="AR277" s="161"/>
      <c r="AS277" s="161"/>
      <c r="AT277" s="161"/>
      <c r="AU277" s="161"/>
    </row>
    <row r="278" spans="1:47" ht="14.25">
      <c r="A278" s="471"/>
      <c r="B278" s="498" t="s">
        <v>118</v>
      </c>
      <c r="C278" s="438">
        <f>SUM(C268:C277)</f>
        <v>3288</v>
      </c>
      <c r="D278" s="439">
        <f t="shared" si="423"/>
        <v>12741</v>
      </c>
      <c r="E278" s="438">
        <f t="shared" ref="E278:H278" si="459">SUM(E268:E277)</f>
        <v>127410</v>
      </c>
      <c r="F278" s="463">
        <f t="shared" si="459"/>
        <v>84.94</v>
      </c>
      <c r="G278" s="463">
        <f t="shared" si="459"/>
        <v>324.13103999999998</v>
      </c>
      <c r="H278" s="440">
        <f t="shared" si="459"/>
        <v>0</v>
      </c>
      <c r="I278" s="441">
        <f t="shared" si="399"/>
        <v>0</v>
      </c>
      <c r="J278" s="440">
        <f t="shared" ref="J278:L278" si="460">SUM(J268:J277)</f>
        <v>0</v>
      </c>
      <c r="K278" s="466">
        <f t="shared" si="460"/>
        <v>0</v>
      </c>
      <c r="L278" s="466">
        <f t="shared" si="460"/>
        <v>0</v>
      </c>
      <c r="M278" s="442">
        <f t="shared" ref="M278" si="461">SUM(M268:M277)</f>
        <v>0</v>
      </c>
      <c r="N278" s="443">
        <f t="shared" si="457"/>
        <v>0</v>
      </c>
      <c r="O278" s="442">
        <f t="shared" ref="O278:R278" si="462">SUM(O268:O277)</f>
        <v>0</v>
      </c>
      <c r="P278" s="468">
        <f t="shared" si="462"/>
        <v>0</v>
      </c>
      <c r="Q278" s="468">
        <f t="shared" si="462"/>
        <v>0</v>
      </c>
      <c r="R278" s="444">
        <f t="shared" si="462"/>
        <v>0</v>
      </c>
      <c r="S278" s="445">
        <f t="shared" si="458"/>
        <v>0</v>
      </c>
      <c r="T278" s="444">
        <f t="shared" ref="T278:V278" si="463">SUM(T268:T277)</f>
        <v>0</v>
      </c>
      <c r="U278" s="470">
        <f t="shared" si="463"/>
        <v>0</v>
      </c>
      <c r="V278" s="470">
        <f t="shared" si="463"/>
        <v>0</v>
      </c>
      <c r="W278" s="300"/>
      <c r="X278" s="131"/>
      <c r="Z278" s="162"/>
      <c r="AA278" s="162"/>
      <c r="AB278" s="162"/>
      <c r="AC278" s="162"/>
      <c r="AD278" s="162"/>
      <c r="AE278" s="163"/>
      <c r="AF278" s="162"/>
      <c r="AG278" s="162"/>
      <c r="AH278" s="162"/>
      <c r="AI278" s="162"/>
      <c r="AJ278" s="162"/>
      <c r="AK278" s="162"/>
      <c r="AL278" s="162"/>
      <c r="AM278" s="162"/>
      <c r="AN278" s="164"/>
      <c r="AO278" s="164"/>
      <c r="AP278" s="166"/>
      <c r="AQ278" s="161"/>
      <c r="AR278" s="161"/>
      <c r="AS278" s="161"/>
      <c r="AT278" s="161"/>
      <c r="AU278" s="161"/>
    </row>
    <row r="279" spans="1:47">
      <c r="A279" s="472">
        <f>+A268+1</f>
        <v>46229</v>
      </c>
      <c r="B279" s="497"/>
      <c r="C279" s="426"/>
      <c r="D279" s="427">
        <f t="shared" si="423"/>
        <v>0</v>
      </c>
      <c r="E279" s="428">
        <f t="shared" ref="E279" si="464">+D279/0.0125*0.125</f>
        <v>0</v>
      </c>
      <c r="F279" s="428">
        <f t="shared" ref="F279" si="465">+E279/1500</f>
        <v>0</v>
      </c>
      <c r="G279" s="428">
        <f t="shared" ref="G279:G288" si="466">+D279/0.0125*0.000318</f>
        <v>0</v>
      </c>
      <c r="H279" s="429"/>
      <c r="I279" s="430">
        <f t="shared" si="399"/>
        <v>0</v>
      </c>
      <c r="J279" s="431">
        <f t="shared" ref="J279:J288" si="467">+I279/0.0185*0.185</f>
        <v>0</v>
      </c>
      <c r="K279" s="431">
        <f t="shared" ref="K279" si="468">+J279/1500</f>
        <v>0</v>
      </c>
      <c r="L279" s="431">
        <f t="shared" ref="L279:L288" si="469">+I279/0.0185*0.000318</f>
        <v>0</v>
      </c>
      <c r="M279" s="432"/>
      <c r="N279" s="433">
        <f t="shared" si="457"/>
        <v>0</v>
      </c>
      <c r="O279" s="434">
        <f t="shared" ref="O279:O288" si="470">+N279/0.0185*0.185</f>
        <v>0</v>
      </c>
      <c r="P279" s="434">
        <f t="shared" ref="P279" si="471">+O279/1500</f>
        <v>0</v>
      </c>
      <c r="Q279" s="434">
        <f t="shared" ref="Q279:Q288" si="472">+N279/0.0185*0.000318</f>
        <v>0</v>
      </c>
      <c r="R279" s="435"/>
      <c r="S279" s="436">
        <f t="shared" si="458"/>
        <v>0</v>
      </c>
      <c r="T279" s="437">
        <f t="shared" ref="T279:T288" si="473">+S279/0.0185*0.185</f>
        <v>0</v>
      </c>
      <c r="U279" s="437">
        <f t="shared" ref="U279" si="474">+T279/1500</f>
        <v>0</v>
      </c>
      <c r="V279" s="437">
        <f t="shared" ref="V279:V288" si="475">+S279/0.0185*0.000318</f>
        <v>0</v>
      </c>
      <c r="W279" s="300"/>
      <c r="X279" s="131">
        <f>+W279*2.4</f>
        <v>0</v>
      </c>
      <c r="Z279" s="162" t="str">
        <f>IFERROR((D279/'REKAPAN OKEY AYAM'!$AC29),"-")</f>
        <v>-</v>
      </c>
      <c r="AA279" s="162" t="str">
        <f>IFERROR((I279/'REKAPAN CHAMP AYAM'!$AC29),"-")</f>
        <v>-</v>
      </c>
      <c r="AB279" s="162" t="str">
        <f>IFERROR((N279/'REKAPAN CHAMP SAPI'!AC29),"-")</f>
        <v>-</v>
      </c>
      <c r="AC279" s="162" t="str">
        <f>IFERROR((S279/'REKAPAN CHAMP OTAK-OTAK'!AC29),"-")</f>
        <v>-</v>
      </c>
      <c r="AD279" s="162" t="str">
        <f>IFERROR((X279/'REKAPAN FIESTA'!AC29),"-")</f>
        <v>-</v>
      </c>
      <c r="AE279" s="163"/>
      <c r="AF279" s="162" t="str">
        <f t="shared" si="39"/>
        <v>-</v>
      </c>
      <c r="AG279" s="162" t="str">
        <f>IFERROR(((D279/0.0125*0.000318)/#REF!),"-")</f>
        <v>-</v>
      </c>
      <c r="AH279" s="162" t="str">
        <f t="shared" si="40"/>
        <v>-</v>
      </c>
      <c r="AI279" s="162" t="str">
        <f>IFERROR(((I279/0.0185*0.000318)/#REF!),"-")</f>
        <v>-</v>
      </c>
      <c r="AJ279" s="162" t="str">
        <f t="shared" si="41"/>
        <v>-</v>
      </c>
      <c r="AK279" s="162" t="str">
        <f>IFERROR(((N279/0.0185*0.000318)/#REF!),"-")</f>
        <v>-</v>
      </c>
      <c r="AL279" s="162" t="str">
        <f t="shared" si="42"/>
        <v>-</v>
      </c>
      <c r="AM279" s="162" t="str">
        <f>IFERROR(((S279/0.0185*0.000318)/#REF!),"-")</f>
        <v>-</v>
      </c>
      <c r="AN279" s="164"/>
      <c r="AO279" s="164"/>
      <c r="AP279" s="166"/>
      <c r="AQ279" s="161" t="str">
        <f>IFERROR(('REKAPAN OKEY AYAM'!$AD29),"-")</f>
        <v>-</v>
      </c>
      <c r="AR279" s="161" t="str">
        <f>IFERROR(('REKAPAN CHAMP AYAM'!$AD29),"-")</f>
        <v>-</v>
      </c>
      <c r="AS279" s="161" t="str">
        <f>IFERROR(('REKAPAN CHAMP SAPI'!$AD29),"-")</f>
        <v>-</v>
      </c>
      <c r="AT279" s="161" t="str">
        <f>IFERROR(('REKAPAN CHAMP OTAK-OTAK'!$AD29),"-")</f>
        <v>-</v>
      </c>
      <c r="AU279" s="161" t="str">
        <f>IFERROR(('REKAPAN FIESTA'!$AD29),"-")</f>
        <v>-</v>
      </c>
    </row>
    <row r="280" spans="1:47">
      <c r="A280" s="471">
        <f>+$A279</f>
        <v>46229</v>
      </c>
      <c r="B280" s="497"/>
      <c r="C280" s="426"/>
      <c r="D280" s="427">
        <f t="shared" si="423"/>
        <v>0</v>
      </c>
      <c r="E280" s="428">
        <f t="shared" si="424"/>
        <v>0</v>
      </c>
      <c r="F280" s="428">
        <f t="shared" si="425"/>
        <v>0</v>
      </c>
      <c r="G280" s="428">
        <f t="shared" si="466"/>
        <v>0</v>
      </c>
      <c r="H280" s="429"/>
      <c r="I280" s="430">
        <f t="shared" si="399"/>
        <v>0</v>
      </c>
      <c r="J280" s="431">
        <f t="shared" si="467"/>
        <v>0</v>
      </c>
      <c r="K280" s="431">
        <f t="shared" si="428"/>
        <v>0</v>
      </c>
      <c r="L280" s="431">
        <f t="shared" si="469"/>
        <v>0</v>
      </c>
      <c r="M280" s="432"/>
      <c r="N280" s="433">
        <f t="shared" si="457"/>
        <v>0</v>
      </c>
      <c r="O280" s="434">
        <f t="shared" si="470"/>
        <v>0</v>
      </c>
      <c r="P280" s="434">
        <f t="shared" si="455"/>
        <v>0</v>
      </c>
      <c r="Q280" s="434">
        <f t="shared" si="472"/>
        <v>0</v>
      </c>
      <c r="R280" s="435"/>
      <c r="S280" s="436">
        <f t="shared" si="458"/>
        <v>0</v>
      </c>
      <c r="T280" s="437">
        <f t="shared" si="473"/>
        <v>0</v>
      </c>
      <c r="U280" s="437">
        <f t="shared" si="456"/>
        <v>0</v>
      </c>
      <c r="V280" s="437">
        <f t="shared" si="475"/>
        <v>0</v>
      </c>
      <c r="W280" s="300"/>
      <c r="X280" s="131"/>
      <c r="Z280" s="162"/>
      <c r="AA280" s="162"/>
      <c r="AB280" s="162"/>
      <c r="AC280" s="162"/>
      <c r="AD280" s="162"/>
      <c r="AE280" s="163"/>
      <c r="AF280" s="162"/>
      <c r="AG280" s="162"/>
      <c r="AH280" s="162"/>
      <c r="AI280" s="162"/>
      <c r="AJ280" s="162"/>
      <c r="AK280" s="162"/>
      <c r="AL280" s="162"/>
      <c r="AM280" s="162"/>
      <c r="AN280" s="164"/>
      <c r="AO280" s="164"/>
      <c r="AP280" s="166"/>
      <c r="AQ280" s="161"/>
      <c r="AR280" s="161"/>
      <c r="AS280" s="161"/>
      <c r="AT280" s="161"/>
      <c r="AU280" s="161"/>
    </row>
    <row r="281" spans="1:47">
      <c r="A281" s="471">
        <f t="shared" ref="A281:A288" si="476">+$A280</f>
        <v>46229</v>
      </c>
      <c r="B281" s="497"/>
      <c r="C281" s="426"/>
      <c r="D281" s="427">
        <f t="shared" si="423"/>
        <v>0</v>
      </c>
      <c r="E281" s="428">
        <f t="shared" si="424"/>
        <v>0</v>
      </c>
      <c r="F281" s="428">
        <f t="shared" si="425"/>
        <v>0</v>
      </c>
      <c r="G281" s="428">
        <f t="shared" si="466"/>
        <v>0</v>
      </c>
      <c r="H281" s="429"/>
      <c r="I281" s="430">
        <f t="shared" si="399"/>
        <v>0</v>
      </c>
      <c r="J281" s="431">
        <f t="shared" si="467"/>
        <v>0</v>
      </c>
      <c r="K281" s="431">
        <f t="shared" si="428"/>
        <v>0</v>
      </c>
      <c r="L281" s="431">
        <f t="shared" si="469"/>
        <v>0</v>
      </c>
      <c r="M281" s="432"/>
      <c r="N281" s="433">
        <f t="shared" si="457"/>
        <v>0</v>
      </c>
      <c r="O281" s="434">
        <f t="shared" si="470"/>
        <v>0</v>
      </c>
      <c r="P281" s="434">
        <f t="shared" si="455"/>
        <v>0</v>
      </c>
      <c r="Q281" s="434">
        <f t="shared" si="472"/>
        <v>0</v>
      </c>
      <c r="R281" s="435"/>
      <c r="S281" s="436">
        <f t="shared" si="458"/>
        <v>0</v>
      </c>
      <c r="T281" s="437">
        <f t="shared" si="473"/>
        <v>0</v>
      </c>
      <c r="U281" s="437">
        <f t="shared" si="456"/>
        <v>0</v>
      </c>
      <c r="V281" s="437">
        <f t="shared" si="475"/>
        <v>0</v>
      </c>
      <c r="W281" s="300"/>
      <c r="X281" s="131"/>
      <c r="Z281" s="162"/>
      <c r="AA281" s="162"/>
      <c r="AB281" s="162"/>
      <c r="AC281" s="162"/>
      <c r="AD281" s="162"/>
      <c r="AE281" s="163"/>
      <c r="AF281" s="162"/>
      <c r="AG281" s="162"/>
      <c r="AH281" s="162"/>
      <c r="AI281" s="162"/>
      <c r="AJ281" s="162"/>
      <c r="AK281" s="162"/>
      <c r="AL281" s="162"/>
      <c r="AM281" s="162"/>
      <c r="AN281" s="164"/>
      <c r="AO281" s="164"/>
      <c r="AP281" s="166"/>
      <c r="AQ281" s="161"/>
      <c r="AR281" s="161"/>
      <c r="AS281" s="161"/>
      <c r="AT281" s="161"/>
      <c r="AU281" s="161"/>
    </row>
    <row r="282" spans="1:47">
      <c r="A282" s="471">
        <f t="shared" si="476"/>
        <v>46229</v>
      </c>
      <c r="B282" s="497"/>
      <c r="C282" s="426"/>
      <c r="D282" s="427">
        <f t="shared" si="423"/>
        <v>0</v>
      </c>
      <c r="E282" s="428">
        <f t="shared" si="424"/>
        <v>0</v>
      </c>
      <c r="F282" s="428">
        <f t="shared" si="425"/>
        <v>0</v>
      </c>
      <c r="G282" s="428">
        <f t="shared" si="466"/>
        <v>0</v>
      </c>
      <c r="H282" s="429"/>
      <c r="I282" s="430">
        <f t="shared" si="399"/>
        <v>0</v>
      </c>
      <c r="J282" s="431">
        <f t="shared" si="467"/>
        <v>0</v>
      </c>
      <c r="K282" s="431">
        <f t="shared" si="428"/>
        <v>0</v>
      </c>
      <c r="L282" s="431">
        <f t="shared" si="469"/>
        <v>0</v>
      </c>
      <c r="M282" s="432"/>
      <c r="N282" s="433">
        <f t="shared" si="457"/>
        <v>0</v>
      </c>
      <c r="O282" s="434">
        <f t="shared" si="470"/>
        <v>0</v>
      </c>
      <c r="P282" s="434">
        <f t="shared" si="455"/>
        <v>0</v>
      </c>
      <c r="Q282" s="434">
        <f t="shared" si="472"/>
        <v>0</v>
      </c>
      <c r="R282" s="435"/>
      <c r="S282" s="436">
        <f t="shared" si="458"/>
        <v>0</v>
      </c>
      <c r="T282" s="437">
        <f t="shared" si="473"/>
        <v>0</v>
      </c>
      <c r="U282" s="437">
        <f t="shared" si="456"/>
        <v>0</v>
      </c>
      <c r="V282" s="437">
        <f t="shared" si="475"/>
        <v>0</v>
      </c>
      <c r="W282" s="300"/>
      <c r="X282" s="131"/>
      <c r="Z282" s="162"/>
      <c r="AA282" s="162"/>
      <c r="AB282" s="162"/>
      <c r="AC282" s="162"/>
      <c r="AD282" s="162"/>
      <c r="AE282" s="163"/>
      <c r="AF282" s="162"/>
      <c r="AG282" s="162"/>
      <c r="AH282" s="162"/>
      <c r="AI282" s="162"/>
      <c r="AJ282" s="162"/>
      <c r="AK282" s="162"/>
      <c r="AL282" s="162"/>
      <c r="AM282" s="162"/>
      <c r="AN282" s="164"/>
      <c r="AO282" s="164"/>
      <c r="AP282" s="166"/>
      <c r="AQ282" s="161"/>
      <c r="AR282" s="161"/>
      <c r="AS282" s="161"/>
      <c r="AT282" s="161"/>
      <c r="AU282" s="161"/>
    </row>
    <row r="283" spans="1:47">
      <c r="A283" s="471">
        <f t="shared" si="476"/>
        <v>46229</v>
      </c>
      <c r="B283" s="497"/>
      <c r="C283" s="426"/>
      <c r="D283" s="427">
        <f t="shared" si="423"/>
        <v>0</v>
      </c>
      <c r="E283" s="428">
        <f t="shared" si="424"/>
        <v>0</v>
      </c>
      <c r="F283" s="428">
        <f t="shared" si="425"/>
        <v>0</v>
      </c>
      <c r="G283" s="428">
        <f t="shared" si="466"/>
        <v>0</v>
      </c>
      <c r="H283" s="429"/>
      <c r="I283" s="430">
        <f t="shared" si="399"/>
        <v>0</v>
      </c>
      <c r="J283" s="431">
        <f t="shared" si="467"/>
        <v>0</v>
      </c>
      <c r="K283" s="431">
        <f t="shared" si="428"/>
        <v>0</v>
      </c>
      <c r="L283" s="431">
        <f t="shared" si="469"/>
        <v>0</v>
      </c>
      <c r="M283" s="432"/>
      <c r="N283" s="433">
        <f t="shared" si="457"/>
        <v>0</v>
      </c>
      <c r="O283" s="434">
        <f t="shared" si="470"/>
        <v>0</v>
      </c>
      <c r="P283" s="434">
        <f t="shared" si="455"/>
        <v>0</v>
      </c>
      <c r="Q283" s="434">
        <f t="shared" si="472"/>
        <v>0</v>
      </c>
      <c r="R283" s="435"/>
      <c r="S283" s="436">
        <f t="shared" si="458"/>
        <v>0</v>
      </c>
      <c r="T283" s="437">
        <f t="shared" si="473"/>
        <v>0</v>
      </c>
      <c r="U283" s="437">
        <f t="shared" si="456"/>
        <v>0</v>
      </c>
      <c r="V283" s="437">
        <f t="shared" si="475"/>
        <v>0</v>
      </c>
      <c r="W283" s="300"/>
      <c r="X283" s="131"/>
      <c r="Z283" s="162"/>
      <c r="AA283" s="162"/>
      <c r="AB283" s="162"/>
      <c r="AC283" s="162"/>
      <c r="AD283" s="162"/>
      <c r="AE283" s="163"/>
      <c r="AF283" s="162"/>
      <c r="AG283" s="162"/>
      <c r="AH283" s="162"/>
      <c r="AI283" s="162"/>
      <c r="AJ283" s="162"/>
      <c r="AK283" s="162"/>
      <c r="AL283" s="162"/>
      <c r="AM283" s="162"/>
      <c r="AN283" s="164"/>
      <c r="AO283" s="164"/>
      <c r="AP283" s="166"/>
      <c r="AQ283" s="161"/>
      <c r="AR283" s="161"/>
      <c r="AS283" s="161"/>
      <c r="AT283" s="161"/>
      <c r="AU283" s="161"/>
    </row>
    <row r="284" spans="1:47">
      <c r="A284" s="471">
        <f t="shared" si="476"/>
        <v>46229</v>
      </c>
      <c r="B284" s="497"/>
      <c r="C284" s="426"/>
      <c r="D284" s="427">
        <f t="shared" si="423"/>
        <v>0</v>
      </c>
      <c r="E284" s="428">
        <f t="shared" si="424"/>
        <v>0</v>
      </c>
      <c r="F284" s="428">
        <f t="shared" si="425"/>
        <v>0</v>
      </c>
      <c r="G284" s="428">
        <f t="shared" si="466"/>
        <v>0</v>
      </c>
      <c r="H284" s="429"/>
      <c r="I284" s="430">
        <f t="shared" si="399"/>
        <v>0</v>
      </c>
      <c r="J284" s="431">
        <f t="shared" si="467"/>
        <v>0</v>
      </c>
      <c r="K284" s="431">
        <f t="shared" si="428"/>
        <v>0</v>
      </c>
      <c r="L284" s="431">
        <f t="shared" si="469"/>
        <v>0</v>
      </c>
      <c r="M284" s="432"/>
      <c r="N284" s="433">
        <f t="shared" si="457"/>
        <v>0</v>
      </c>
      <c r="O284" s="434">
        <f t="shared" si="470"/>
        <v>0</v>
      </c>
      <c r="P284" s="434">
        <f t="shared" si="455"/>
        <v>0</v>
      </c>
      <c r="Q284" s="434">
        <f t="shared" si="472"/>
        <v>0</v>
      </c>
      <c r="R284" s="435"/>
      <c r="S284" s="436">
        <f t="shared" si="458"/>
        <v>0</v>
      </c>
      <c r="T284" s="437">
        <f t="shared" si="473"/>
        <v>0</v>
      </c>
      <c r="U284" s="437">
        <f t="shared" si="456"/>
        <v>0</v>
      </c>
      <c r="V284" s="437">
        <f t="shared" si="475"/>
        <v>0</v>
      </c>
      <c r="W284" s="300"/>
      <c r="X284" s="131"/>
      <c r="Z284" s="162"/>
      <c r="AA284" s="162"/>
      <c r="AB284" s="162"/>
      <c r="AC284" s="162"/>
      <c r="AD284" s="162"/>
      <c r="AE284" s="163"/>
      <c r="AF284" s="162"/>
      <c r="AG284" s="162"/>
      <c r="AH284" s="162"/>
      <c r="AI284" s="162"/>
      <c r="AJ284" s="162"/>
      <c r="AK284" s="162"/>
      <c r="AL284" s="162"/>
      <c r="AM284" s="162"/>
      <c r="AN284" s="164"/>
      <c r="AO284" s="164"/>
      <c r="AP284" s="166"/>
      <c r="AQ284" s="161"/>
      <c r="AR284" s="161"/>
      <c r="AS284" s="161"/>
      <c r="AT284" s="161"/>
      <c r="AU284" s="161"/>
    </row>
    <row r="285" spans="1:47">
      <c r="A285" s="471">
        <f t="shared" si="476"/>
        <v>46229</v>
      </c>
      <c r="B285" s="497"/>
      <c r="C285" s="426"/>
      <c r="D285" s="427">
        <f t="shared" si="423"/>
        <v>0</v>
      </c>
      <c r="E285" s="428">
        <f t="shared" si="424"/>
        <v>0</v>
      </c>
      <c r="F285" s="428">
        <f t="shared" si="425"/>
        <v>0</v>
      </c>
      <c r="G285" s="428">
        <f t="shared" si="466"/>
        <v>0</v>
      </c>
      <c r="H285" s="429"/>
      <c r="I285" s="430">
        <f t="shared" si="399"/>
        <v>0</v>
      </c>
      <c r="J285" s="431">
        <f t="shared" si="467"/>
        <v>0</v>
      </c>
      <c r="K285" s="431">
        <f t="shared" si="428"/>
        <v>0</v>
      </c>
      <c r="L285" s="431">
        <f t="shared" si="469"/>
        <v>0</v>
      </c>
      <c r="M285" s="432"/>
      <c r="N285" s="433">
        <f t="shared" si="457"/>
        <v>0</v>
      </c>
      <c r="O285" s="434">
        <f t="shared" si="470"/>
        <v>0</v>
      </c>
      <c r="P285" s="434">
        <f t="shared" si="455"/>
        <v>0</v>
      </c>
      <c r="Q285" s="434">
        <f t="shared" si="472"/>
        <v>0</v>
      </c>
      <c r="R285" s="435"/>
      <c r="S285" s="436">
        <f t="shared" si="458"/>
        <v>0</v>
      </c>
      <c r="T285" s="437">
        <f t="shared" si="473"/>
        <v>0</v>
      </c>
      <c r="U285" s="437">
        <f t="shared" si="456"/>
        <v>0</v>
      </c>
      <c r="V285" s="437">
        <f t="shared" si="475"/>
        <v>0</v>
      </c>
      <c r="W285" s="300"/>
      <c r="X285" s="131"/>
      <c r="Z285" s="162"/>
      <c r="AA285" s="162"/>
      <c r="AB285" s="162"/>
      <c r="AC285" s="162"/>
      <c r="AD285" s="162"/>
      <c r="AE285" s="163"/>
      <c r="AF285" s="162"/>
      <c r="AG285" s="162"/>
      <c r="AH285" s="162"/>
      <c r="AI285" s="162"/>
      <c r="AJ285" s="162"/>
      <c r="AK285" s="162"/>
      <c r="AL285" s="162"/>
      <c r="AM285" s="162"/>
      <c r="AN285" s="164"/>
      <c r="AO285" s="164"/>
      <c r="AP285" s="166"/>
      <c r="AQ285" s="161"/>
      <c r="AR285" s="161"/>
      <c r="AS285" s="161"/>
      <c r="AT285" s="161"/>
      <c r="AU285" s="161"/>
    </row>
    <row r="286" spans="1:47">
      <c r="A286" s="471">
        <f t="shared" si="476"/>
        <v>46229</v>
      </c>
      <c r="B286" s="497"/>
      <c r="C286" s="426"/>
      <c r="D286" s="427">
        <f t="shared" si="423"/>
        <v>0</v>
      </c>
      <c r="E286" s="428">
        <f t="shared" si="424"/>
        <v>0</v>
      </c>
      <c r="F286" s="428">
        <f t="shared" si="425"/>
        <v>0</v>
      </c>
      <c r="G286" s="428">
        <f t="shared" si="466"/>
        <v>0</v>
      </c>
      <c r="H286" s="429"/>
      <c r="I286" s="430">
        <f t="shared" si="399"/>
        <v>0</v>
      </c>
      <c r="J286" s="431">
        <f t="shared" si="467"/>
        <v>0</v>
      </c>
      <c r="K286" s="431">
        <f t="shared" si="428"/>
        <v>0</v>
      </c>
      <c r="L286" s="431">
        <f t="shared" si="469"/>
        <v>0</v>
      </c>
      <c r="M286" s="432"/>
      <c r="N286" s="433">
        <f t="shared" si="457"/>
        <v>0</v>
      </c>
      <c r="O286" s="434">
        <f t="shared" si="470"/>
        <v>0</v>
      </c>
      <c r="P286" s="434">
        <f t="shared" si="455"/>
        <v>0</v>
      </c>
      <c r="Q286" s="434">
        <f t="shared" si="472"/>
        <v>0</v>
      </c>
      <c r="R286" s="435"/>
      <c r="S286" s="436">
        <f t="shared" si="458"/>
        <v>0</v>
      </c>
      <c r="T286" s="437">
        <f t="shared" si="473"/>
        <v>0</v>
      </c>
      <c r="U286" s="437">
        <f t="shared" si="456"/>
        <v>0</v>
      </c>
      <c r="V286" s="437">
        <f t="shared" si="475"/>
        <v>0</v>
      </c>
      <c r="W286" s="300"/>
      <c r="X286" s="131"/>
      <c r="Z286" s="162"/>
      <c r="AA286" s="162"/>
      <c r="AB286" s="162"/>
      <c r="AC286" s="162"/>
      <c r="AD286" s="162"/>
      <c r="AE286" s="163"/>
      <c r="AF286" s="162"/>
      <c r="AG286" s="162"/>
      <c r="AH286" s="162"/>
      <c r="AI286" s="162"/>
      <c r="AJ286" s="162"/>
      <c r="AK286" s="162"/>
      <c r="AL286" s="162"/>
      <c r="AM286" s="162"/>
      <c r="AN286" s="164"/>
      <c r="AO286" s="164"/>
      <c r="AP286" s="166"/>
      <c r="AQ286" s="161"/>
      <c r="AR286" s="161"/>
      <c r="AS286" s="161"/>
      <c r="AT286" s="161"/>
      <c r="AU286" s="161"/>
    </row>
    <row r="287" spans="1:47">
      <c r="A287" s="471">
        <f t="shared" si="476"/>
        <v>46229</v>
      </c>
      <c r="B287" s="497"/>
      <c r="C287" s="426"/>
      <c r="D287" s="427">
        <f t="shared" si="423"/>
        <v>0</v>
      </c>
      <c r="E287" s="428">
        <f t="shared" si="424"/>
        <v>0</v>
      </c>
      <c r="F287" s="428">
        <f t="shared" si="425"/>
        <v>0</v>
      </c>
      <c r="G287" s="428">
        <f t="shared" si="466"/>
        <v>0</v>
      </c>
      <c r="H287" s="429"/>
      <c r="I287" s="430">
        <f t="shared" si="399"/>
        <v>0</v>
      </c>
      <c r="J287" s="431">
        <f t="shared" si="467"/>
        <v>0</v>
      </c>
      <c r="K287" s="431">
        <f t="shared" si="428"/>
        <v>0</v>
      </c>
      <c r="L287" s="431">
        <f t="shared" si="469"/>
        <v>0</v>
      </c>
      <c r="M287" s="432"/>
      <c r="N287" s="433">
        <f t="shared" si="457"/>
        <v>0</v>
      </c>
      <c r="O287" s="434">
        <f t="shared" si="470"/>
        <v>0</v>
      </c>
      <c r="P287" s="434">
        <f t="shared" si="455"/>
        <v>0</v>
      </c>
      <c r="Q287" s="434">
        <f t="shared" si="472"/>
        <v>0</v>
      </c>
      <c r="R287" s="435"/>
      <c r="S287" s="436">
        <f t="shared" si="458"/>
        <v>0</v>
      </c>
      <c r="T287" s="437">
        <f t="shared" si="473"/>
        <v>0</v>
      </c>
      <c r="U287" s="437">
        <f t="shared" si="456"/>
        <v>0</v>
      </c>
      <c r="V287" s="437">
        <f t="shared" si="475"/>
        <v>0</v>
      </c>
      <c r="W287" s="300"/>
      <c r="X287" s="131"/>
      <c r="Z287" s="162"/>
      <c r="AA287" s="162"/>
      <c r="AB287" s="162"/>
      <c r="AC287" s="162"/>
      <c r="AD287" s="162"/>
      <c r="AE287" s="163"/>
      <c r="AF287" s="162"/>
      <c r="AG287" s="162"/>
      <c r="AH287" s="162"/>
      <c r="AI287" s="162"/>
      <c r="AJ287" s="162"/>
      <c r="AK287" s="162"/>
      <c r="AL287" s="162"/>
      <c r="AM287" s="162"/>
      <c r="AN287" s="164"/>
      <c r="AO287" s="164"/>
      <c r="AP287" s="166"/>
      <c r="AQ287" s="161"/>
      <c r="AR287" s="161"/>
      <c r="AS287" s="161"/>
      <c r="AT287" s="161"/>
      <c r="AU287" s="161"/>
    </row>
    <row r="288" spans="1:47">
      <c r="A288" s="471">
        <f t="shared" si="476"/>
        <v>46229</v>
      </c>
      <c r="B288" s="497"/>
      <c r="C288" s="426"/>
      <c r="D288" s="427">
        <f t="shared" si="423"/>
        <v>0</v>
      </c>
      <c r="E288" s="428">
        <f t="shared" si="424"/>
        <v>0</v>
      </c>
      <c r="F288" s="428">
        <f t="shared" si="425"/>
        <v>0</v>
      </c>
      <c r="G288" s="428">
        <f t="shared" si="466"/>
        <v>0</v>
      </c>
      <c r="H288" s="429"/>
      <c r="I288" s="430">
        <f t="shared" si="399"/>
        <v>0</v>
      </c>
      <c r="J288" s="431">
        <f t="shared" si="467"/>
        <v>0</v>
      </c>
      <c r="K288" s="431">
        <f t="shared" si="428"/>
        <v>0</v>
      </c>
      <c r="L288" s="431">
        <f t="shared" si="469"/>
        <v>0</v>
      </c>
      <c r="M288" s="432"/>
      <c r="N288" s="433">
        <f t="shared" si="457"/>
        <v>0</v>
      </c>
      <c r="O288" s="434">
        <f t="shared" si="470"/>
        <v>0</v>
      </c>
      <c r="P288" s="434">
        <f t="shared" si="455"/>
        <v>0</v>
      </c>
      <c r="Q288" s="434">
        <f t="shared" si="472"/>
        <v>0</v>
      </c>
      <c r="R288" s="435"/>
      <c r="S288" s="436">
        <f t="shared" si="458"/>
        <v>0</v>
      </c>
      <c r="T288" s="437">
        <f t="shared" si="473"/>
        <v>0</v>
      </c>
      <c r="U288" s="437">
        <f t="shared" si="456"/>
        <v>0</v>
      </c>
      <c r="V288" s="437">
        <f t="shared" si="475"/>
        <v>0</v>
      </c>
      <c r="W288" s="300"/>
      <c r="X288" s="131"/>
      <c r="Z288" s="162"/>
      <c r="AA288" s="162"/>
      <c r="AB288" s="162"/>
      <c r="AC288" s="162"/>
      <c r="AD288" s="162"/>
      <c r="AE288" s="163"/>
      <c r="AF288" s="162"/>
      <c r="AG288" s="162"/>
      <c r="AH288" s="162"/>
      <c r="AI288" s="162"/>
      <c r="AJ288" s="162"/>
      <c r="AK288" s="162"/>
      <c r="AL288" s="162"/>
      <c r="AM288" s="162"/>
      <c r="AN288" s="164"/>
      <c r="AO288" s="164"/>
      <c r="AP288" s="166"/>
      <c r="AQ288" s="161"/>
      <c r="AR288" s="161"/>
      <c r="AS288" s="161"/>
      <c r="AT288" s="161"/>
      <c r="AU288" s="161"/>
    </row>
    <row r="289" spans="1:47" ht="14.25">
      <c r="A289" s="471"/>
      <c r="B289" s="498" t="s">
        <v>118</v>
      </c>
      <c r="C289" s="438">
        <f>SUM(C279:C288)</f>
        <v>0</v>
      </c>
      <c r="D289" s="439">
        <f t="shared" si="423"/>
        <v>0</v>
      </c>
      <c r="E289" s="438">
        <f t="shared" ref="E289:H289" si="477">SUM(E279:E288)</f>
        <v>0</v>
      </c>
      <c r="F289" s="463">
        <f t="shared" si="477"/>
        <v>0</v>
      </c>
      <c r="G289" s="463">
        <f t="shared" si="477"/>
        <v>0</v>
      </c>
      <c r="H289" s="440">
        <f t="shared" si="477"/>
        <v>0</v>
      </c>
      <c r="I289" s="441">
        <f t="shared" si="399"/>
        <v>0</v>
      </c>
      <c r="J289" s="440">
        <f t="shared" ref="J289:L289" si="478">SUM(J279:J288)</f>
        <v>0</v>
      </c>
      <c r="K289" s="466">
        <f t="shared" si="478"/>
        <v>0</v>
      </c>
      <c r="L289" s="466">
        <f t="shared" si="478"/>
        <v>0</v>
      </c>
      <c r="M289" s="442">
        <f t="shared" ref="M289" si="479">SUM(M279:M288)</f>
        <v>0</v>
      </c>
      <c r="N289" s="443">
        <f t="shared" si="457"/>
        <v>0</v>
      </c>
      <c r="O289" s="442">
        <f t="shared" ref="O289:R289" si="480">SUM(O279:O288)</f>
        <v>0</v>
      </c>
      <c r="P289" s="468">
        <f t="shared" si="480"/>
        <v>0</v>
      </c>
      <c r="Q289" s="468">
        <f t="shared" si="480"/>
        <v>0</v>
      </c>
      <c r="R289" s="444">
        <f t="shared" si="480"/>
        <v>0</v>
      </c>
      <c r="S289" s="445">
        <f t="shared" si="458"/>
        <v>0</v>
      </c>
      <c r="T289" s="444">
        <f t="shared" ref="T289:V289" si="481">SUM(T279:T288)</f>
        <v>0</v>
      </c>
      <c r="U289" s="470">
        <f t="shared" si="481"/>
        <v>0</v>
      </c>
      <c r="V289" s="470">
        <f t="shared" si="481"/>
        <v>0</v>
      </c>
      <c r="W289" s="300"/>
      <c r="X289" s="131"/>
      <c r="Z289" s="162"/>
      <c r="AA289" s="162"/>
      <c r="AB289" s="162"/>
      <c r="AC289" s="162"/>
      <c r="AD289" s="162"/>
      <c r="AE289" s="163"/>
      <c r="AF289" s="162"/>
      <c r="AG289" s="162"/>
      <c r="AH289" s="162"/>
      <c r="AI289" s="162"/>
      <c r="AJ289" s="162"/>
      <c r="AK289" s="162"/>
      <c r="AL289" s="162"/>
      <c r="AM289" s="162"/>
      <c r="AN289" s="164"/>
      <c r="AO289" s="164"/>
      <c r="AP289" s="166"/>
      <c r="AQ289" s="161"/>
      <c r="AR289" s="161"/>
      <c r="AS289" s="161"/>
      <c r="AT289" s="161"/>
      <c r="AU289" s="161"/>
    </row>
    <row r="290" spans="1:47">
      <c r="A290" s="472">
        <f>+A279+1</f>
        <v>46230</v>
      </c>
      <c r="B290" s="497"/>
      <c r="C290" s="426"/>
      <c r="D290" s="427">
        <f t="shared" si="423"/>
        <v>0</v>
      </c>
      <c r="E290" s="428">
        <f t="shared" ref="E290:E310" si="482">+D290/0.0125*0.125</f>
        <v>0</v>
      </c>
      <c r="F290" s="428">
        <f t="shared" ref="F290:F310" si="483">+E290/1500</f>
        <v>0</v>
      </c>
      <c r="G290" s="428">
        <f t="shared" ref="G290:G299" si="484">+D290/0.0125*0.000318</f>
        <v>0</v>
      </c>
      <c r="H290" s="429"/>
      <c r="I290" s="430">
        <f t="shared" si="399"/>
        <v>0</v>
      </c>
      <c r="J290" s="431">
        <f t="shared" ref="J290:J299" si="485">+I290/0.0185*0.185</f>
        <v>0</v>
      </c>
      <c r="K290" s="431">
        <f t="shared" ref="K290:K310" si="486">+J290/1500</f>
        <v>0</v>
      </c>
      <c r="L290" s="431">
        <f t="shared" ref="L290:L299" si="487">+I290/0.0185*0.000318</f>
        <v>0</v>
      </c>
      <c r="M290" s="432"/>
      <c r="N290" s="433">
        <f t="shared" si="457"/>
        <v>0</v>
      </c>
      <c r="O290" s="434">
        <f t="shared" ref="O290:O299" si="488">+N290/0.0185*0.185</f>
        <v>0</v>
      </c>
      <c r="P290" s="434">
        <f t="shared" ref="P290" si="489">+O290/1500</f>
        <v>0</v>
      </c>
      <c r="Q290" s="434">
        <f t="shared" ref="Q290:Q299" si="490">+N290/0.0185*0.000318</f>
        <v>0</v>
      </c>
      <c r="R290" s="435"/>
      <c r="S290" s="436">
        <f t="shared" si="458"/>
        <v>0</v>
      </c>
      <c r="T290" s="437">
        <f t="shared" ref="T290:T299" si="491">+S290/0.0185*0.185</f>
        <v>0</v>
      </c>
      <c r="U290" s="437">
        <f t="shared" ref="U290" si="492">+T290/1500</f>
        <v>0</v>
      </c>
      <c r="V290" s="437">
        <f t="shared" ref="V290:V299" si="493">+S290/0.0185*0.000318</f>
        <v>0</v>
      </c>
      <c r="W290" s="300"/>
      <c r="X290" s="131">
        <f>+W290*2.4</f>
        <v>0</v>
      </c>
      <c r="Z290" s="162" t="str">
        <f>IFERROR((D290/'REKAPAN OKEY AYAM'!$AC30),"-")</f>
        <v>-</v>
      </c>
      <c r="AA290" s="162" t="str">
        <f>IFERROR((I290/'REKAPAN CHAMP AYAM'!$AC30),"-")</f>
        <v>-</v>
      </c>
      <c r="AB290" s="162" t="str">
        <f>IFERROR((N290/'REKAPAN CHAMP SAPI'!AC30),"-")</f>
        <v>-</v>
      </c>
      <c r="AC290" s="162" t="str">
        <f>IFERROR((S290/'REKAPAN CHAMP OTAK-OTAK'!AC30),"-")</f>
        <v>-</v>
      </c>
      <c r="AD290" s="162" t="str">
        <f>IFERROR((X290/'REKAPAN FIESTA'!AC30),"-")</f>
        <v>-</v>
      </c>
      <c r="AE290" s="163"/>
      <c r="AF290" s="162" t="str">
        <f t="shared" si="39"/>
        <v>-</v>
      </c>
      <c r="AG290" s="162" t="str">
        <f>IFERROR(((D290/0.0125*0.000318)/#REF!),"-")</f>
        <v>-</v>
      </c>
      <c r="AH290" s="162" t="str">
        <f t="shared" si="40"/>
        <v>-</v>
      </c>
      <c r="AI290" s="162" t="str">
        <f>IFERROR(((I290/0.0185*0.000318)/#REF!),"-")</f>
        <v>-</v>
      </c>
      <c r="AJ290" s="162" t="str">
        <f t="shared" si="41"/>
        <v>-</v>
      </c>
      <c r="AK290" s="162" t="str">
        <f>IFERROR(((N290/0.0185*0.000318)/#REF!),"-")</f>
        <v>-</v>
      </c>
      <c r="AL290" s="162" t="str">
        <f t="shared" si="42"/>
        <v>-</v>
      </c>
      <c r="AM290" s="162" t="str">
        <f>IFERROR(((S290/0.0185*0.000318)/#REF!),"-")</f>
        <v>-</v>
      </c>
      <c r="AN290" s="164"/>
      <c r="AO290" s="164"/>
      <c r="AP290" s="166"/>
      <c r="AQ290" s="161" t="str">
        <f>IFERROR(('REKAPAN OKEY AYAM'!$AD30),"-")</f>
        <v>-</v>
      </c>
      <c r="AR290" s="161" t="str">
        <f>IFERROR(('REKAPAN CHAMP AYAM'!$AD30),"-")</f>
        <v>-</v>
      </c>
      <c r="AS290" s="161" t="str">
        <f>IFERROR(('REKAPAN CHAMP SAPI'!$AD30),"-")</f>
        <v>-</v>
      </c>
      <c r="AT290" s="161" t="str">
        <f>IFERROR(('REKAPAN CHAMP OTAK-OTAK'!$AD30),"-")</f>
        <v>-</v>
      </c>
      <c r="AU290" s="161" t="str">
        <f>IFERROR(('REKAPAN FIESTA'!$AD30),"-")</f>
        <v>-</v>
      </c>
    </row>
    <row r="291" spans="1:47">
      <c r="A291" s="471">
        <f>+$A290</f>
        <v>46230</v>
      </c>
      <c r="B291" s="497"/>
      <c r="C291" s="426"/>
      <c r="D291" s="427">
        <f t="shared" si="423"/>
        <v>0</v>
      </c>
      <c r="E291" s="428">
        <f t="shared" si="482"/>
        <v>0</v>
      </c>
      <c r="F291" s="428">
        <f t="shared" si="483"/>
        <v>0</v>
      </c>
      <c r="G291" s="428">
        <f t="shared" si="484"/>
        <v>0</v>
      </c>
      <c r="H291" s="429"/>
      <c r="I291" s="430">
        <f t="shared" si="399"/>
        <v>0</v>
      </c>
      <c r="J291" s="431">
        <f t="shared" si="485"/>
        <v>0</v>
      </c>
      <c r="K291" s="431">
        <f t="shared" si="486"/>
        <v>0</v>
      </c>
      <c r="L291" s="431">
        <f t="shared" si="487"/>
        <v>0</v>
      </c>
      <c r="M291" s="432"/>
      <c r="N291" s="433">
        <f t="shared" si="457"/>
        <v>0</v>
      </c>
      <c r="O291" s="434">
        <f t="shared" si="488"/>
        <v>0</v>
      </c>
      <c r="P291" s="434">
        <f t="shared" si="455"/>
        <v>0</v>
      </c>
      <c r="Q291" s="434">
        <f t="shared" si="490"/>
        <v>0</v>
      </c>
      <c r="R291" s="435"/>
      <c r="S291" s="436">
        <f t="shared" si="458"/>
        <v>0</v>
      </c>
      <c r="T291" s="437">
        <f t="shared" si="491"/>
        <v>0</v>
      </c>
      <c r="U291" s="437">
        <f t="shared" si="456"/>
        <v>0</v>
      </c>
      <c r="V291" s="437">
        <f t="shared" si="493"/>
        <v>0</v>
      </c>
      <c r="W291" s="300"/>
      <c r="X291" s="131"/>
      <c r="Z291" s="162"/>
      <c r="AA291" s="162"/>
      <c r="AB291" s="162"/>
      <c r="AC291" s="162"/>
      <c r="AD291" s="162"/>
      <c r="AE291" s="163"/>
      <c r="AF291" s="162"/>
      <c r="AG291" s="162"/>
      <c r="AH291" s="162"/>
      <c r="AI291" s="162"/>
      <c r="AJ291" s="162"/>
      <c r="AK291" s="162"/>
      <c r="AL291" s="162"/>
      <c r="AM291" s="162"/>
      <c r="AN291" s="164"/>
      <c r="AO291" s="164"/>
      <c r="AP291" s="166"/>
      <c r="AQ291" s="161"/>
      <c r="AR291" s="161"/>
      <c r="AS291" s="161"/>
      <c r="AT291" s="161"/>
      <c r="AU291" s="161"/>
    </row>
    <row r="292" spans="1:47">
      <c r="A292" s="471">
        <f t="shared" ref="A292:A299" si="494">+$A291</f>
        <v>46230</v>
      </c>
      <c r="B292" s="497"/>
      <c r="C292" s="426"/>
      <c r="D292" s="427">
        <f t="shared" si="423"/>
        <v>0</v>
      </c>
      <c r="E292" s="428">
        <f t="shared" si="482"/>
        <v>0</v>
      </c>
      <c r="F292" s="428">
        <f t="shared" si="483"/>
        <v>0</v>
      </c>
      <c r="G292" s="428">
        <f t="shared" si="484"/>
        <v>0</v>
      </c>
      <c r="H292" s="429"/>
      <c r="I292" s="430">
        <f t="shared" si="399"/>
        <v>0</v>
      </c>
      <c r="J292" s="431">
        <f t="shared" si="485"/>
        <v>0</v>
      </c>
      <c r="K292" s="431">
        <f t="shared" si="486"/>
        <v>0</v>
      </c>
      <c r="L292" s="431">
        <f t="shared" si="487"/>
        <v>0</v>
      </c>
      <c r="M292" s="432"/>
      <c r="N292" s="433">
        <f t="shared" si="457"/>
        <v>0</v>
      </c>
      <c r="O292" s="434">
        <f t="shared" si="488"/>
        <v>0</v>
      </c>
      <c r="P292" s="434">
        <f t="shared" si="455"/>
        <v>0</v>
      </c>
      <c r="Q292" s="434">
        <f t="shared" si="490"/>
        <v>0</v>
      </c>
      <c r="R292" s="435"/>
      <c r="S292" s="436">
        <f t="shared" si="458"/>
        <v>0</v>
      </c>
      <c r="T292" s="437">
        <f t="shared" si="491"/>
        <v>0</v>
      </c>
      <c r="U292" s="437">
        <f t="shared" si="456"/>
        <v>0</v>
      </c>
      <c r="V292" s="437">
        <f t="shared" si="493"/>
        <v>0</v>
      </c>
      <c r="W292" s="300"/>
      <c r="X292" s="131"/>
      <c r="Z292" s="162"/>
      <c r="AA292" s="162"/>
      <c r="AB292" s="162"/>
      <c r="AC292" s="162"/>
      <c r="AD292" s="162"/>
      <c r="AE292" s="163"/>
      <c r="AF292" s="162"/>
      <c r="AG292" s="162"/>
      <c r="AH292" s="162"/>
      <c r="AI292" s="162"/>
      <c r="AJ292" s="162"/>
      <c r="AK292" s="162"/>
      <c r="AL292" s="162"/>
      <c r="AM292" s="162"/>
      <c r="AN292" s="164"/>
      <c r="AO292" s="164"/>
      <c r="AP292" s="166"/>
      <c r="AQ292" s="161"/>
      <c r="AR292" s="161"/>
      <c r="AS292" s="161"/>
      <c r="AT292" s="161"/>
      <c r="AU292" s="161"/>
    </row>
    <row r="293" spans="1:47">
      <c r="A293" s="471">
        <f t="shared" si="494"/>
        <v>46230</v>
      </c>
      <c r="B293" s="497"/>
      <c r="C293" s="426"/>
      <c r="D293" s="427">
        <f t="shared" si="423"/>
        <v>0</v>
      </c>
      <c r="E293" s="428">
        <f t="shared" si="482"/>
        <v>0</v>
      </c>
      <c r="F293" s="428">
        <f t="shared" si="483"/>
        <v>0</v>
      </c>
      <c r="G293" s="428">
        <f t="shared" si="484"/>
        <v>0</v>
      </c>
      <c r="H293" s="429"/>
      <c r="I293" s="430">
        <f t="shared" si="399"/>
        <v>0</v>
      </c>
      <c r="J293" s="431">
        <f t="shared" si="485"/>
        <v>0</v>
      </c>
      <c r="K293" s="431">
        <f t="shared" si="486"/>
        <v>0</v>
      </c>
      <c r="L293" s="431">
        <f t="shared" si="487"/>
        <v>0</v>
      </c>
      <c r="M293" s="432"/>
      <c r="N293" s="433">
        <f t="shared" si="457"/>
        <v>0</v>
      </c>
      <c r="O293" s="434">
        <f t="shared" si="488"/>
        <v>0</v>
      </c>
      <c r="P293" s="434">
        <f t="shared" si="455"/>
        <v>0</v>
      </c>
      <c r="Q293" s="434">
        <f t="shared" si="490"/>
        <v>0</v>
      </c>
      <c r="R293" s="435"/>
      <c r="S293" s="436">
        <f t="shared" si="458"/>
        <v>0</v>
      </c>
      <c r="T293" s="437">
        <f t="shared" si="491"/>
        <v>0</v>
      </c>
      <c r="U293" s="437">
        <f t="shared" si="456"/>
        <v>0</v>
      </c>
      <c r="V293" s="437">
        <f t="shared" si="493"/>
        <v>0</v>
      </c>
      <c r="W293" s="300"/>
      <c r="X293" s="131"/>
      <c r="Z293" s="162"/>
      <c r="AA293" s="162"/>
      <c r="AB293" s="162"/>
      <c r="AC293" s="162"/>
      <c r="AD293" s="162"/>
      <c r="AE293" s="163"/>
      <c r="AF293" s="162"/>
      <c r="AG293" s="162"/>
      <c r="AH293" s="162"/>
      <c r="AI293" s="162"/>
      <c r="AJ293" s="162"/>
      <c r="AK293" s="162"/>
      <c r="AL293" s="162"/>
      <c r="AM293" s="162"/>
      <c r="AN293" s="164"/>
      <c r="AO293" s="164"/>
      <c r="AP293" s="166"/>
      <c r="AQ293" s="161"/>
      <c r="AR293" s="161"/>
      <c r="AS293" s="161"/>
      <c r="AT293" s="161"/>
      <c r="AU293" s="161"/>
    </row>
    <row r="294" spans="1:47">
      <c r="A294" s="471">
        <f t="shared" si="494"/>
        <v>46230</v>
      </c>
      <c r="B294" s="497"/>
      <c r="C294" s="426"/>
      <c r="D294" s="427">
        <f t="shared" si="423"/>
        <v>0</v>
      </c>
      <c r="E294" s="428">
        <f t="shared" si="482"/>
        <v>0</v>
      </c>
      <c r="F294" s="428">
        <f t="shared" si="483"/>
        <v>0</v>
      </c>
      <c r="G294" s="428">
        <f t="shared" si="484"/>
        <v>0</v>
      </c>
      <c r="H294" s="429"/>
      <c r="I294" s="430">
        <f t="shared" si="399"/>
        <v>0</v>
      </c>
      <c r="J294" s="431">
        <f t="shared" si="485"/>
        <v>0</v>
      </c>
      <c r="K294" s="431">
        <f t="shared" si="486"/>
        <v>0</v>
      </c>
      <c r="L294" s="431">
        <f t="shared" si="487"/>
        <v>0</v>
      </c>
      <c r="M294" s="432"/>
      <c r="N294" s="433">
        <f t="shared" si="457"/>
        <v>0</v>
      </c>
      <c r="O294" s="434">
        <f t="shared" si="488"/>
        <v>0</v>
      </c>
      <c r="P294" s="434">
        <f t="shared" si="455"/>
        <v>0</v>
      </c>
      <c r="Q294" s="434">
        <f t="shared" si="490"/>
        <v>0</v>
      </c>
      <c r="R294" s="435"/>
      <c r="S294" s="436">
        <f t="shared" si="458"/>
        <v>0</v>
      </c>
      <c r="T294" s="437">
        <f t="shared" si="491"/>
        <v>0</v>
      </c>
      <c r="U294" s="437">
        <f t="shared" si="456"/>
        <v>0</v>
      </c>
      <c r="V294" s="437">
        <f t="shared" si="493"/>
        <v>0</v>
      </c>
      <c r="W294" s="300"/>
      <c r="X294" s="131"/>
      <c r="Z294" s="162"/>
      <c r="AA294" s="162"/>
      <c r="AB294" s="162"/>
      <c r="AC294" s="162"/>
      <c r="AD294" s="162"/>
      <c r="AE294" s="163"/>
      <c r="AF294" s="162"/>
      <c r="AG294" s="162"/>
      <c r="AH294" s="162"/>
      <c r="AI294" s="162"/>
      <c r="AJ294" s="162"/>
      <c r="AK294" s="162"/>
      <c r="AL294" s="162"/>
      <c r="AM294" s="162"/>
      <c r="AN294" s="164"/>
      <c r="AO294" s="164"/>
      <c r="AP294" s="166"/>
      <c r="AQ294" s="161"/>
      <c r="AR294" s="161"/>
      <c r="AS294" s="161"/>
      <c r="AT294" s="161"/>
      <c r="AU294" s="161"/>
    </row>
    <row r="295" spans="1:47">
      <c r="A295" s="471">
        <f t="shared" si="494"/>
        <v>46230</v>
      </c>
      <c r="B295" s="497"/>
      <c r="C295" s="426"/>
      <c r="D295" s="427">
        <f t="shared" si="423"/>
        <v>0</v>
      </c>
      <c r="E295" s="428">
        <f t="shared" si="482"/>
        <v>0</v>
      </c>
      <c r="F295" s="428">
        <f t="shared" si="483"/>
        <v>0</v>
      </c>
      <c r="G295" s="428">
        <f t="shared" si="484"/>
        <v>0</v>
      </c>
      <c r="H295" s="429"/>
      <c r="I295" s="430">
        <f t="shared" si="399"/>
        <v>0</v>
      </c>
      <c r="J295" s="431">
        <f t="shared" si="485"/>
        <v>0</v>
      </c>
      <c r="K295" s="431">
        <f t="shared" si="486"/>
        <v>0</v>
      </c>
      <c r="L295" s="431">
        <f t="shared" si="487"/>
        <v>0</v>
      </c>
      <c r="M295" s="432"/>
      <c r="N295" s="433">
        <f t="shared" si="457"/>
        <v>0</v>
      </c>
      <c r="O295" s="434">
        <f t="shared" si="488"/>
        <v>0</v>
      </c>
      <c r="P295" s="434">
        <f t="shared" si="455"/>
        <v>0</v>
      </c>
      <c r="Q295" s="434">
        <f t="shared" si="490"/>
        <v>0</v>
      </c>
      <c r="R295" s="435"/>
      <c r="S295" s="436">
        <f t="shared" si="458"/>
        <v>0</v>
      </c>
      <c r="T295" s="437">
        <f t="shared" si="491"/>
        <v>0</v>
      </c>
      <c r="U295" s="437">
        <f t="shared" si="456"/>
        <v>0</v>
      </c>
      <c r="V295" s="437">
        <f t="shared" si="493"/>
        <v>0</v>
      </c>
      <c r="W295" s="300"/>
      <c r="X295" s="131"/>
      <c r="Z295" s="162"/>
      <c r="AA295" s="162"/>
      <c r="AB295" s="162"/>
      <c r="AC295" s="162"/>
      <c r="AD295" s="162"/>
      <c r="AE295" s="163"/>
      <c r="AF295" s="162"/>
      <c r="AG295" s="162"/>
      <c r="AH295" s="162"/>
      <c r="AI295" s="162"/>
      <c r="AJ295" s="162"/>
      <c r="AK295" s="162"/>
      <c r="AL295" s="162"/>
      <c r="AM295" s="162"/>
      <c r="AN295" s="164"/>
      <c r="AO295" s="164"/>
      <c r="AP295" s="166"/>
      <c r="AQ295" s="161"/>
      <c r="AR295" s="161"/>
      <c r="AS295" s="161"/>
      <c r="AT295" s="161"/>
      <c r="AU295" s="161"/>
    </row>
    <row r="296" spans="1:47">
      <c r="A296" s="471">
        <f t="shared" si="494"/>
        <v>46230</v>
      </c>
      <c r="B296" s="497"/>
      <c r="C296" s="426"/>
      <c r="D296" s="427">
        <f t="shared" si="423"/>
        <v>0</v>
      </c>
      <c r="E296" s="428">
        <f t="shared" si="482"/>
        <v>0</v>
      </c>
      <c r="F296" s="428">
        <f t="shared" si="483"/>
        <v>0</v>
      </c>
      <c r="G296" s="428">
        <f t="shared" si="484"/>
        <v>0</v>
      </c>
      <c r="H296" s="429"/>
      <c r="I296" s="430">
        <f t="shared" si="399"/>
        <v>0</v>
      </c>
      <c r="J296" s="431">
        <f t="shared" si="485"/>
        <v>0</v>
      </c>
      <c r="K296" s="431">
        <f t="shared" si="486"/>
        <v>0</v>
      </c>
      <c r="L296" s="431">
        <f t="shared" si="487"/>
        <v>0</v>
      </c>
      <c r="M296" s="432"/>
      <c r="N296" s="433">
        <f t="shared" si="457"/>
        <v>0</v>
      </c>
      <c r="O296" s="434">
        <f t="shared" si="488"/>
        <v>0</v>
      </c>
      <c r="P296" s="434">
        <f t="shared" si="455"/>
        <v>0</v>
      </c>
      <c r="Q296" s="434">
        <f t="shared" si="490"/>
        <v>0</v>
      </c>
      <c r="R296" s="435"/>
      <c r="S296" s="436">
        <f t="shared" si="458"/>
        <v>0</v>
      </c>
      <c r="T296" s="437">
        <f t="shared" si="491"/>
        <v>0</v>
      </c>
      <c r="U296" s="437">
        <f t="shared" si="456"/>
        <v>0</v>
      </c>
      <c r="V296" s="437">
        <f t="shared" si="493"/>
        <v>0</v>
      </c>
      <c r="W296" s="300"/>
      <c r="X296" s="131"/>
      <c r="Z296" s="162"/>
      <c r="AA296" s="162"/>
      <c r="AB296" s="162"/>
      <c r="AC296" s="162"/>
      <c r="AD296" s="162"/>
      <c r="AE296" s="163"/>
      <c r="AF296" s="162"/>
      <c r="AG296" s="162"/>
      <c r="AH296" s="162"/>
      <c r="AI296" s="162"/>
      <c r="AJ296" s="162"/>
      <c r="AK296" s="162"/>
      <c r="AL296" s="162"/>
      <c r="AM296" s="162"/>
      <c r="AN296" s="164"/>
      <c r="AO296" s="164"/>
      <c r="AP296" s="166"/>
      <c r="AQ296" s="161"/>
      <c r="AR296" s="161"/>
      <c r="AS296" s="161"/>
      <c r="AT296" s="161"/>
      <c r="AU296" s="161"/>
    </row>
    <row r="297" spans="1:47">
      <c r="A297" s="471">
        <f t="shared" si="494"/>
        <v>46230</v>
      </c>
      <c r="B297" s="497"/>
      <c r="C297" s="426"/>
      <c r="D297" s="427">
        <f t="shared" si="423"/>
        <v>0</v>
      </c>
      <c r="E297" s="428">
        <f t="shared" si="482"/>
        <v>0</v>
      </c>
      <c r="F297" s="428">
        <f t="shared" si="483"/>
        <v>0</v>
      </c>
      <c r="G297" s="428">
        <f t="shared" si="484"/>
        <v>0</v>
      </c>
      <c r="H297" s="429"/>
      <c r="I297" s="430">
        <f t="shared" si="399"/>
        <v>0</v>
      </c>
      <c r="J297" s="431">
        <f t="shared" si="485"/>
        <v>0</v>
      </c>
      <c r="K297" s="431">
        <f t="shared" si="486"/>
        <v>0</v>
      </c>
      <c r="L297" s="431">
        <f t="shared" si="487"/>
        <v>0</v>
      </c>
      <c r="M297" s="432"/>
      <c r="N297" s="433">
        <f t="shared" si="457"/>
        <v>0</v>
      </c>
      <c r="O297" s="434">
        <f t="shared" si="488"/>
        <v>0</v>
      </c>
      <c r="P297" s="434">
        <f t="shared" si="455"/>
        <v>0</v>
      </c>
      <c r="Q297" s="434">
        <f t="shared" si="490"/>
        <v>0</v>
      </c>
      <c r="R297" s="435"/>
      <c r="S297" s="436">
        <f t="shared" si="458"/>
        <v>0</v>
      </c>
      <c r="T297" s="437">
        <f t="shared" si="491"/>
        <v>0</v>
      </c>
      <c r="U297" s="437">
        <f t="shared" si="456"/>
        <v>0</v>
      </c>
      <c r="V297" s="437">
        <f t="shared" si="493"/>
        <v>0</v>
      </c>
      <c r="W297" s="300"/>
      <c r="X297" s="131"/>
      <c r="Z297" s="162"/>
      <c r="AA297" s="162"/>
      <c r="AB297" s="162"/>
      <c r="AC297" s="162"/>
      <c r="AD297" s="162"/>
      <c r="AE297" s="163"/>
      <c r="AF297" s="162"/>
      <c r="AG297" s="162"/>
      <c r="AH297" s="162"/>
      <c r="AI297" s="162"/>
      <c r="AJ297" s="162"/>
      <c r="AK297" s="162"/>
      <c r="AL297" s="162"/>
      <c r="AM297" s="162"/>
      <c r="AN297" s="164"/>
      <c r="AO297" s="164"/>
      <c r="AP297" s="166"/>
      <c r="AQ297" s="161"/>
      <c r="AR297" s="161"/>
      <c r="AS297" s="161"/>
      <c r="AT297" s="161"/>
      <c r="AU297" s="161"/>
    </row>
    <row r="298" spans="1:47">
      <c r="A298" s="471">
        <f t="shared" si="494"/>
        <v>46230</v>
      </c>
      <c r="B298" s="497"/>
      <c r="C298" s="426"/>
      <c r="D298" s="427">
        <f t="shared" si="423"/>
        <v>0</v>
      </c>
      <c r="E298" s="428">
        <f t="shared" si="482"/>
        <v>0</v>
      </c>
      <c r="F298" s="428">
        <f t="shared" si="483"/>
        <v>0</v>
      </c>
      <c r="G298" s="428">
        <f t="shared" si="484"/>
        <v>0</v>
      </c>
      <c r="H298" s="429"/>
      <c r="I298" s="430">
        <f t="shared" si="399"/>
        <v>0</v>
      </c>
      <c r="J298" s="431">
        <f t="shared" si="485"/>
        <v>0</v>
      </c>
      <c r="K298" s="431">
        <f t="shared" si="486"/>
        <v>0</v>
      </c>
      <c r="L298" s="431">
        <f t="shared" si="487"/>
        <v>0</v>
      </c>
      <c r="M298" s="432"/>
      <c r="N298" s="433">
        <f t="shared" si="457"/>
        <v>0</v>
      </c>
      <c r="O298" s="434">
        <f t="shared" si="488"/>
        <v>0</v>
      </c>
      <c r="P298" s="434">
        <f t="shared" si="455"/>
        <v>0</v>
      </c>
      <c r="Q298" s="434">
        <f t="shared" si="490"/>
        <v>0</v>
      </c>
      <c r="R298" s="435"/>
      <c r="S298" s="436">
        <f t="shared" si="458"/>
        <v>0</v>
      </c>
      <c r="T298" s="437">
        <f t="shared" si="491"/>
        <v>0</v>
      </c>
      <c r="U298" s="437">
        <f t="shared" si="456"/>
        <v>0</v>
      </c>
      <c r="V298" s="437">
        <f t="shared" si="493"/>
        <v>0</v>
      </c>
      <c r="W298" s="300"/>
      <c r="X298" s="131"/>
      <c r="Z298" s="162"/>
      <c r="AA298" s="162"/>
      <c r="AB298" s="162"/>
      <c r="AC298" s="162"/>
      <c r="AD298" s="162"/>
      <c r="AE298" s="163"/>
      <c r="AF298" s="162"/>
      <c r="AG298" s="162"/>
      <c r="AH298" s="162"/>
      <c r="AI298" s="162"/>
      <c r="AJ298" s="162"/>
      <c r="AK298" s="162"/>
      <c r="AL298" s="162"/>
      <c r="AM298" s="162"/>
      <c r="AN298" s="164"/>
      <c r="AO298" s="164"/>
      <c r="AP298" s="166"/>
      <c r="AQ298" s="161"/>
      <c r="AR298" s="161"/>
      <c r="AS298" s="161"/>
      <c r="AT298" s="161"/>
      <c r="AU298" s="161"/>
    </row>
    <row r="299" spans="1:47">
      <c r="A299" s="471">
        <f t="shared" si="494"/>
        <v>46230</v>
      </c>
      <c r="B299" s="497"/>
      <c r="C299" s="426"/>
      <c r="D299" s="427">
        <f t="shared" si="423"/>
        <v>0</v>
      </c>
      <c r="E299" s="428">
        <f t="shared" si="482"/>
        <v>0</v>
      </c>
      <c r="F299" s="428">
        <f t="shared" si="483"/>
        <v>0</v>
      </c>
      <c r="G299" s="428">
        <f t="shared" si="484"/>
        <v>0</v>
      </c>
      <c r="H299" s="429"/>
      <c r="I299" s="430">
        <f t="shared" si="399"/>
        <v>0</v>
      </c>
      <c r="J299" s="431">
        <f t="shared" si="485"/>
        <v>0</v>
      </c>
      <c r="K299" s="431">
        <f t="shared" si="486"/>
        <v>0</v>
      </c>
      <c r="L299" s="431">
        <f t="shared" si="487"/>
        <v>0</v>
      </c>
      <c r="M299" s="432"/>
      <c r="N299" s="433">
        <f t="shared" si="457"/>
        <v>0</v>
      </c>
      <c r="O299" s="434">
        <f t="shared" si="488"/>
        <v>0</v>
      </c>
      <c r="P299" s="434">
        <f t="shared" si="455"/>
        <v>0</v>
      </c>
      <c r="Q299" s="434">
        <f t="shared" si="490"/>
        <v>0</v>
      </c>
      <c r="R299" s="435"/>
      <c r="S299" s="436">
        <f t="shared" si="458"/>
        <v>0</v>
      </c>
      <c r="T299" s="437">
        <f t="shared" si="491"/>
        <v>0</v>
      </c>
      <c r="U299" s="437">
        <f t="shared" si="456"/>
        <v>0</v>
      </c>
      <c r="V299" s="437">
        <f t="shared" si="493"/>
        <v>0</v>
      </c>
      <c r="W299" s="300"/>
      <c r="X299" s="131"/>
      <c r="Z299" s="162"/>
      <c r="AA299" s="162"/>
      <c r="AB299" s="162"/>
      <c r="AC299" s="162"/>
      <c r="AD299" s="162"/>
      <c r="AE299" s="163"/>
      <c r="AF299" s="162"/>
      <c r="AG299" s="162"/>
      <c r="AH299" s="162"/>
      <c r="AI299" s="162"/>
      <c r="AJ299" s="162"/>
      <c r="AK299" s="162"/>
      <c r="AL299" s="162"/>
      <c r="AM299" s="162"/>
      <c r="AN299" s="164"/>
      <c r="AO299" s="164"/>
      <c r="AP299" s="166"/>
      <c r="AQ299" s="161"/>
      <c r="AR299" s="161"/>
      <c r="AS299" s="161"/>
      <c r="AT299" s="161"/>
      <c r="AU299" s="161"/>
    </row>
    <row r="300" spans="1:47" ht="14.25">
      <c r="A300" s="471"/>
      <c r="B300" s="498" t="s">
        <v>118</v>
      </c>
      <c r="C300" s="438">
        <f>SUM(C290:C299)</f>
        <v>0</v>
      </c>
      <c r="D300" s="439">
        <f t="shared" si="423"/>
        <v>0</v>
      </c>
      <c r="E300" s="438">
        <f t="shared" ref="E300:H300" si="495">SUM(E290:E299)</f>
        <v>0</v>
      </c>
      <c r="F300" s="463">
        <f t="shared" si="495"/>
        <v>0</v>
      </c>
      <c r="G300" s="463">
        <f t="shared" si="495"/>
        <v>0</v>
      </c>
      <c r="H300" s="440">
        <f t="shared" si="495"/>
        <v>0</v>
      </c>
      <c r="I300" s="441">
        <f t="shared" si="399"/>
        <v>0</v>
      </c>
      <c r="J300" s="440">
        <f t="shared" ref="J300:L300" si="496">SUM(J290:J299)</f>
        <v>0</v>
      </c>
      <c r="K300" s="466">
        <f t="shared" si="496"/>
        <v>0</v>
      </c>
      <c r="L300" s="466">
        <f t="shared" si="496"/>
        <v>0</v>
      </c>
      <c r="M300" s="442">
        <f t="shared" ref="M300" si="497">SUM(M290:M299)</f>
        <v>0</v>
      </c>
      <c r="N300" s="443">
        <f t="shared" si="457"/>
        <v>0</v>
      </c>
      <c r="O300" s="442">
        <f t="shared" ref="O300:R300" si="498">SUM(O290:O299)</f>
        <v>0</v>
      </c>
      <c r="P300" s="468">
        <f t="shared" si="498"/>
        <v>0</v>
      </c>
      <c r="Q300" s="468">
        <f t="shared" si="498"/>
        <v>0</v>
      </c>
      <c r="R300" s="444">
        <f t="shared" si="498"/>
        <v>0</v>
      </c>
      <c r="S300" s="445">
        <f t="shared" si="458"/>
        <v>0</v>
      </c>
      <c r="T300" s="444">
        <f t="shared" ref="T300:V300" si="499">SUM(T290:T299)</f>
        <v>0</v>
      </c>
      <c r="U300" s="470">
        <f t="shared" si="499"/>
        <v>0</v>
      </c>
      <c r="V300" s="470">
        <f t="shared" si="499"/>
        <v>0</v>
      </c>
      <c r="W300" s="300"/>
      <c r="X300" s="131"/>
      <c r="Z300" s="162"/>
      <c r="AA300" s="162"/>
      <c r="AB300" s="162"/>
      <c r="AC300" s="162"/>
      <c r="AD300" s="162"/>
      <c r="AE300" s="163"/>
      <c r="AF300" s="162"/>
      <c r="AG300" s="162"/>
      <c r="AH300" s="162"/>
      <c r="AI300" s="162"/>
      <c r="AJ300" s="162"/>
      <c r="AK300" s="162"/>
      <c r="AL300" s="162"/>
      <c r="AM300" s="162"/>
      <c r="AN300" s="164"/>
      <c r="AO300" s="164"/>
      <c r="AP300" s="166"/>
      <c r="AQ300" s="161"/>
      <c r="AR300" s="161"/>
      <c r="AS300" s="161"/>
      <c r="AT300" s="161"/>
      <c r="AU300" s="161"/>
    </row>
    <row r="301" spans="1:47">
      <c r="A301" s="472">
        <f>+A290+1</f>
        <v>46231</v>
      </c>
      <c r="B301" s="497"/>
      <c r="C301" s="426"/>
      <c r="D301" s="427">
        <f t="shared" si="423"/>
        <v>0</v>
      </c>
      <c r="E301" s="428">
        <f t="shared" ref="E301" si="500">+D301/0.0125*0.125</f>
        <v>0</v>
      </c>
      <c r="F301" s="428">
        <f t="shared" ref="F301" si="501">+E301/1500</f>
        <v>0</v>
      </c>
      <c r="G301" s="428">
        <f t="shared" ref="G301:G310" si="502">+D301/0.0125*0.000318</f>
        <v>0</v>
      </c>
      <c r="H301" s="429"/>
      <c r="I301" s="430">
        <f t="shared" si="399"/>
        <v>0</v>
      </c>
      <c r="J301" s="431">
        <f t="shared" ref="J301:J310" si="503">+I301/0.0185*0.185</f>
        <v>0</v>
      </c>
      <c r="K301" s="431">
        <f t="shared" ref="K301" si="504">+J301/1500</f>
        <v>0</v>
      </c>
      <c r="L301" s="431">
        <f t="shared" ref="L301:L310" si="505">+I301/0.0185*0.000318</f>
        <v>0</v>
      </c>
      <c r="M301" s="432"/>
      <c r="N301" s="433">
        <f t="shared" si="457"/>
        <v>0</v>
      </c>
      <c r="O301" s="434">
        <f t="shared" ref="O301:O310" si="506">+N301/0.0185*0.185</f>
        <v>0</v>
      </c>
      <c r="P301" s="434">
        <f t="shared" ref="P301" si="507">+O301/1500</f>
        <v>0</v>
      </c>
      <c r="Q301" s="434">
        <f t="shared" ref="Q301:Q310" si="508">+N301/0.0185*0.000318</f>
        <v>0</v>
      </c>
      <c r="R301" s="435"/>
      <c r="S301" s="436">
        <f t="shared" si="458"/>
        <v>0</v>
      </c>
      <c r="T301" s="437">
        <f t="shared" ref="T301:T310" si="509">+S301/0.0185*0.185</f>
        <v>0</v>
      </c>
      <c r="U301" s="437">
        <f t="shared" ref="U301" si="510">+T301/1500</f>
        <v>0</v>
      </c>
      <c r="V301" s="437">
        <f t="shared" ref="V301:V310" si="511">+S301/0.0185*0.000318</f>
        <v>0</v>
      </c>
      <c r="W301" s="300"/>
      <c r="X301" s="131">
        <f>+W301*2.4</f>
        <v>0</v>
      </c>
      <c r="Z301" s="162" t="str">
        <f>IFERROR((D301/'REKAPAN OKEY AYAM'!$AC31),"-")</f>
        <v>-</v>
      </c>
      <c r="AA301" s="162" t="str">
        <f>IFERROR((I301/'REKAPAN CHAMP AYAM'!$AC31),"-")</f>
        <v>-</v>
      </c>
      <c r="AB301" s="162" t="str">
        <f>IFERROR((N301/'REKAPAN CHAMP SAPI'!AC31),"-")</f>
        <v>-</v>
      </c>
      <c r="AC301" s="162" t="str">
        <f>IFERROR((S301/'REKAPAN CHAMP OTAK-OTAK'!AC31),"-")</f>
        <v>-</v>
      </c>
      <c r="AD301" s="162" t="str">
        <f>IFERROR((X301/'REKAPAN FIESTA'!AC31),"-")</f>
        <v>-</v>
      </c>
      <c r="AE301" s="163"/>
      <c r="AF301" s="162" t="str">
        <f t="shared" si="39"/>
        <v>-</v>
      </c>
      <c r="AG301" s="162" t="str">
        <f>IFERROR(((D301/0.0125*0.000318)/#REF!),"-")</f>
        <v>-</v>
      </c>
      <c r="AH301" s="162" t="str">
        <f t="shared" si="40"/>
        <v>-</v>
      </c>
      <c r="AI301" s="162" t="str">
        <f>IFERROR(((I301/0.0185*0.000318)/#REF!),"-")</f>
        <v>-</v>
      </c>
      <c r="AJ301" s="162" t="str">
        <f t="shared" si="41"/>
        <v>-</v>
      </c>
      <c r="AK301" s="162" t="str">
        <f>IFERROR(((N301/0.0185*0.000318)/#REF!),"-")</f>
        <v>-</v>
      </c>
      <c r="AL301" s="162" t="str">
        <f t="shared" si="42"/>
        <v>-</v>
      </c>
      <c r="AM301" s="162" t="str">
        <f>IFERROR(((S301/0.0185*0.000318)/#REF!),"-")</f>
        <v>-</v>
      </c>
      <c r="AN301" s="164"/>
      <c r="AO301" s="164"/>
      <c r="AP301" s="166"/>
      <c r="AQ301" s="161" t="str">
        <f>IFERROR(('REKAPAN OKEY AYAM'!$AD31),"-")</f>
        <v>-</v>
      </c>
      <c r="AR301" s="161" t="str">
        <f>IFERROR(('REKAPAN CHAMP AYAM'!$AD31),"-")</f>
        <v>-</v>
      </c>
      <c r="AS301" s="161" t="str">
        <f>IFERROR(('REKAPAN CHAMP SAPI'!$AD31),"-")</f>
        <v>-</v>
      </c>
      <c r="AT301" s="161" t="str">
        <f>IFERROR(('REKAPAN CHAMP OTAK-OTAK'!$AD31),"-")</f>
        <v>-</v>
      </c>
      <c r="AU301" s="161" t="str">
        <f>IFERROR(('REKAPAN FIESTA'!$AD31),"-")</f>
        <v>-</v>
      </c>
    </row>
    <row r="302" spans="1:47">
      <c r="A302" s="471">
        <f>+$A301</f>
        <v>46231</v>
      </c>
      <c r="B302" s="497"/>
      <c r="C302" s="426"/>
      <c r="D302" s="427">
        <f t="shared" si="423"/>
        <v>0</v>
      </c>
      <c r="E302" s="428">
        <f t="shared" si="482"/>
        <v>0</v>
      </c>
      <c r="F302" s="428">
        <f t="shared" si="483"/>
        <v>0</v>
      </c>
      <c r="G302" s="428">
        <f t="shared" si="502"/>
        <v>0</v>
      </c>
      <c r="H302" s="429"/>
      <c r="I302" s="430">
        <f t="shared" si="399"/>
        <v>0</v>
      </c>
      <c r="J302" s="431">
        <f t="shared" si="503"/>
        <v>0</v>
      </c>
      <c r="K302" s="431">
        <f t="shared" si="486"/>
        <v>0</v>
      </c>
      <c r="L302" s="431">
        <f t="shared" si="505"/>
        <v>0</v>
      </c>
      <c r="M302" s="432"/>
      <c r="N302" s="433">
        <f t="shared" si="457"/>
        <v>0</v>
      </c>
      <c r="O302" s="434">
        <f t="shared" si="506"/>
        <v>0</v>
      </c>
      <c r="P302" s="434">
        <f t="shared" si="455"/>
        <v>0</v>
      </c>
      <c r="Q302" s="434">
        <f t="shared" si="508"/>
        <v>0</v>
      </c>
      <c r="R302" s="435"/>
      <c r="S302" s="436">
        <f t="shared" si="458"/>
        <v>0</v>
      </c>
      <c r="T302" s="437">
        <f t="shared" si="509"/>
        <v>0</v>
      </c>
      <c r="U302" s="437">
        <f t="shared" si="456"/>
        <v>0</v>
      </c>
      <c r="V302" s="437">
        <f t="shared" si="511"/>
        <v>0</v>
      </c>
      <c r="W302" s="300"/>
      <c r="X302" s="131"/>
      <c r="Z302" s="162"/>
      <c r="AA302" s="162"/>
      <c r="AB302" s="162"/>
      <c r="AC302" s="162"/>
      <c r="AD302" s="162"/>
      <c r="AE302" s="163"/>
      <c r="AF302" s="162"/>
      <c r="AG302" s="162"/>
      <c r="AH302" s="162"/>
      <c r="AI302" s="162"/>
      <c r="AJ302" s="162"/>
      <c r="AK302" s="162"/>
      <c r="AL302" s="162"/>
      <c r="AM302" s="162"/>
      <c r="AN302" s="164"/>
      <c r="AO302" s="164"/>
      <c r="AP302" s="166"/>
      <c r="AQ302" s="161"/>
      <c r="AR302" s="161"/>
      <c r="AS302" s="161"/>
      <c r="AT302" s="161"/>
      <c r="AU302" s="161"/>
    </row>
    <row r="303" spans="1:47">
      <c r="A303" s="471">
        <f t="shared" ref="A303:A310" si="512">+$A302</f>
        <v>46231</v>
      </c>
      <c r="B303" s="497"/>
      <c r="C303" s="426"/>
      <c r="D303" s="427">
        <f t="shared" si="423"/>
        <v>0</v>
      </c>
      <c r="E303" s="428">
        <f t="shared" si="482"/>
        <v>0</v>
      </c>
      <c r="F303" s="428">
        <f t="shared" si="483"/>
        <v>0</v>
      </c>
      <c r="G303" s="428">
        <f t="shared" si="502"/>
        <v>0</v>
      </c>
      <c r="H303" s="429"/>
      <c r="I303" s="430">
        <f t="shared" si="399"/>
        <v>0</v>
      </c>
      <c r="J303" s="431">
        <f t="shared" si="503"/>
        <v>0</v>
      </c>
      <c r="K303" s="431">
        <f t="shared" si="486"/>
        <v>0</v>
      </c>
      <c r="L303" s="431">
        <f t="shared" si="505"/>
        <v>0</v>
      </c>
      <c r="M303" s="432"/>
      <c r="N303" s="433">
        <f t="shared" si="457"/>
        <v>0</v>
      </c>
      <c r="O303" s="434">
        <f t="shared" si="506"/>
        <v>0</v>
      </c>
      <c r="P303" s="434">
        <f t="shared" si="455"/>
        <v>0</v>
      </c>
      <c r="Q303" s="434">
        <f t="shared" si="508"/>
        <v>0</v>
      </c>
      <c r="R303" s="435"/>
      <c r="S303" s="436">
        <f t="shared" si="458"/>
        <v>0</v>
      </c>
      <c r="T303" s="437">
        <f t="shared" si="509"/>
        <v>0</v>
      </c>
      <c r="U303" s="437">
        <f t="shared" si="456"/>
        <v>0</v>
      </c>
      <c r="V303" s="437">
        <f t="shared" si="511"/>
        <v>0</v>
      </c>
      <c r="W303" s="300"/>
      <c r="X303" s="131"/>
      <c r="Z303" s="162"/>
      <c r="AA303" s="162"/>
      <c r="AB303" s="162"/>
      <c r="AC303" s="162"/>
      <c r="AD303" s="162"/>
      <c r="AE303" s="163"/>
      <c r="AF303" s="162"/>
      <c r="AG303" s="162"/>
      <c r="AH303" s="162"/>
      <c r="AI303" s="162"/>
      <c r="AJ303" s="162"/>
      <c r="AK303" s="162"/>
      <c r="AL303" s="162"/>
      <c r="AM303" s="162"/>
      <c r="AN303" s="164"/>
      <c r="AO303" s="164"/>
      <c r="AP303" s="166"/>
      <c r="AQ303" s="161"/>
      <c r="AR303" s="161"/>
      <c r="AS303" s="161"/>
      <c r="AT303" s="161"/>
      <c r="AU303" s="161"/>
    </row>
    <row r="304" spans="1:47">
      <c r="A304" s="471">
        <f t="shared" si="512"/>
        <v>46231</v>
      </c>
      <c r="B304" s="497"/>
      <c r="C304" s="426"/>
      <c r="D304" s="427">
        <f t="shared" si="423"/>
        <v>0</v>
      </c>
      <c r="E304" s="428">
        <f t="shared" si="482"/>
        <v>0</v>
      </c>
      <c r="F304" s="428">
        <f t="shared" si="483"/>
        <v>0</v>
      </c>
      <c r="G304" s="428">
        <f t="shared" si="502"/>
        <v>0</v>
      </c>
      <c r="H304" s="429"/>
      <c r="I304" s="430">
        <f t="shared" ref="I304:I344" si="513">+H304*3.276</f>
        <v>0</v>
      </c>
      <c r="J304" s="431">
        <f t="shared" si="503"/>
        <v>0</v>
      </c>
      <c r="K304" s="431">
        <f t="shared" si="486"/>
        <v>0</v>
      </c>
      <c r="L304" s="431">
        <f t="shared" si="505"/>
        <v>0</v>
      </c>
      <c r="M304" s="432"/>
      <c r="N304" s="433">
        <f t="shared" si="457"/>
        <v>0</v>
      </c>
      <c r="O304" s="434">
        <f t="shared" si="506"/>
        <v>0</v>
      </c>
      <c r="P304" s="434">
        <f t="shared" si="455"/>
        <v>0</v>
      </c>
      <c r="Q304" s="434">
        <f t="shared" si="508"/>
        <v>0</v>
      </c>
      <c r="R304" s="435"/>
      <c r="S304" s="436">
        <f t="shared" si="458"/>
        <v>0</v>
      </c>
      <c r="T304" s="437">
        <f t="shared" si="509"/>
        <v>0</v>
      </c>
      <c r="U304" s="437">
        <f t="shared" si="456"/>
        <v>0</v>
      </c>
      <c r="V304" s="437">
        <f t="shared" si="511"/>
        <v>0</v>
      </c>
      <c r="W304" s="300"/>
      <c r="X304" s="131"/>
      <c r="Z304" s="162"/>
      <c r="AA304" s="162"/>
      <c r="AB304" s="162"/>
      <c r="AC304" s="162"/>
      <c r="AD304" s="162"/>
      <c r="AE304" s="163"/>
      <c r="AF304" s="162"/>
      <c r="AG304" s="162"/>
      <c r="AH304" s="162"/>
      <c r="AI304" s="162"/>
      <c r="AJ304" s="162"/>
      <c r="AK304" s="162"/>
      <c r="AL304" s="162"/>
      <c r="AM304" s="162"/>
      <c r="AN304" s="164"/>
      <c r="AO304" s="164"/>
      <c r="AP304" s="166"/>
      <c r="AQ304" s="161"/>
      <c r="AR304" s="161"/>
      <c r="AS304" s="161"/>
      <c r="AT304" s="161"/>
      <c r="AU304" s="161"/>
    </row>
    <row r="305" spans="1:47">
      <c r="A305" s="471">
        <f t="shared" si="512"/>
        <v>46231</v>
      </c>
      <c r="B305" s="497"/>
      <c r="C305" s="426"/>
      <c r="D305" s="427">
        <f t="shared" si="423"/>
        <v>0</v>
      </c>
      <c r="E305" s="428">
        <f t="shared" si="482"/>
        <v>0</v>
      </c>
      <c r="F305" s="428">
        <f t="shared" si="483"/>
        <v>0</v>
      </c>
      <c r="G305" s="428">
        <f t="shared" si="502"/>
        <v>0</v>
      </c>
      <c r="H305" s="429"/>
      <c r="I305" s="430">
        <f t="shared" si="513"/>
        <v>0</v>
      </c>
      <c r="J305" s="431">
        <f t="shared" si="503"/>
        <v>0</v>
      </c>
      <c r="K305" s="431">
        <f t="shared" si="486"/>
        <v>0</v>
      </c>
      <c r="L305" s="431">
        <f t="shared" si="505"/>
        <v>0</v>
      </c>
      <c r="M305" s="432"/>
      <c r="N305" s="433">
        <f t="shared" si="457"/>
        <v>0</v>
      </c>
      <c r="O305" s="434">
        <f t="shared" si="506"/>
        <v>0</v>
      </c>
      <c r="P305" s="434">
        <f t="shared" si="455"/>
        <v>0</v>
      </c>
      <c r="Q305" s="434">
        <f t="shared" si="508"/>
        <v>0</v>
      </c>
      <c r="R305" s="435"/>
      <c r="S305" s="436">
        <f t="shared" si="458"/>
        <v>0</v>
      </c>
      <c r="T305" s="437">
        <f t="shared" si="509"/>
        <v>0</v>
      </c>
      <c r="U305" s="437">
        <f t="shared" si="456"/>
        <v>0</v>
      </c>
      <c r="V305" s="437">
        <f t="shared" si="511"/>
        <v>0</v>
      </c>
      <c r="W305" s="300"/>
      <c r="X305" s="131"/>
      <c r="Z305" s="162"/>
      <c r="AA305" s="162"/>
      <c r="AB305" s="162"/>
      <c r="AC305" s="162"/>
      <c r="AD305" s="162"/>
      <c r="AE305" s="163"/>
      <c r="AF305" s="162"/>
      <c r="AG305" s="162"/>
      <c r="AH305" s="162"/>
      <c r="AI305" s="162"/>
      <c r="AJ305" s="162"/>
      <c r="AK305" s="162"/>
      <c r="AL305" s="162"/>
      <c r="AM305" s="162"/>
      <c r="AN305" s="164"/>
      <c r="AO305" s="164"/>
      <c r="AP305" s="166"/>
      <c r="AQ305" s="161"/>
      <c r="AR305" s="161"/>
      <c r="AS305" s="161"/>
      <c r="AT305" s="161"/>
      <c r="AU305" s="161"/>
    </row>
    <row r="306" spans="1:47">
      <c r="A306" s="471">
        <f t="shared" si="512"/>
        <v>46231</v>
      </c>
      <c r="B306" s="497"/>
      <c r="C306" s="426"/>
      <c r="D306" s="427">
        <f t="shared" si="423"/>
        <v>0</v>
      </c>
      <c r="E306" s="428">
        <f t="shared" si="482"/>
        <v>0</v>
      </c>
      <c r="F306" s="428">
        <f t="shared" si="483"/>
        <v>0</v>
      </c>
      <c r="G306" s="428">
        <f t="shared" si="502"/>
        <v>0</v>
      </c>
      <c r="H306" s="429"/>
      <c r="I306" s="430">
        <f t="shared" si="513"/>
        <v>0</v>
      </c>
      <c r="J306" s="431">
        <f t="shared" si="503"/>
        <v>0</v>
      </c>
      <c r="K306" s="431">
        <f t="shared" si="486"/>
        <v>0</v>
      </c>
      <c r="L306" s="431">
        <f t="shared" si="505"/>
        <v>0</v>
      </c>
      <c r="M306" s="432"/>
      <c r="N306" s="433">
        <f t="shared" si="457"/>
        <v>0</v>
      </c>
      <c r="O306" s="434">
        <f t="shared" si="506"/>
        <v>0</v>
      </c>
      <c r="P306" s="434">
        <f t="shared" si="455"/>
        <v>0</v>
      </c>
      <c r="Q306" s="434">
        <f t="shared" si="508"/>
        <v>0</v>
      </c>
      <c r="R306" s="435"/>
      <c r="S306" s="436">
        <f t="shared" si="458"/>
        <v>0</v>
      </c>
      <c r="T306" s="437">
        <f t="shared" si="509"/>
        <v>0</v>
      </c>
      <c r="U306" s="437">
        <f t="shared" si="456"/>
        <v>0</v>
      </c>
      <c r="V306" s="437">
        <f t="shared" si="511"/>
        <v>0</v>
      </c>
      <c r="W306" s="300"/>
      <c r="X306" s="131"/>
      <c r="Z306" s="162"/>
      <c r="AA306" s="162"/>
      <c r="AB306" s="162"/>
      <c r="AC306" s="162"/>
      <c r="AD306" s="162"/>
      <c r="AE306" s="163"/>
      <c r="AF306" s="162"/>
      <c r="AG306" s="162"/>
      <c r="AH306" s="162"/>
      <c r="AI306" s="162"/>
      <c r="AJ306" s="162"/>
      <c r="AK306" s="162"/>
      <c r="AL306" s="162"/>
      <c r="AM306" s="162"/>
      <c r="AN306" s="164"/>
      <c r="AO306" s="164"/>
      <c r="AP306" s="166"/>
      <c r="AQ306" s="161"/>
      <c r="AR306" s="161"/>
      <c r="AS306" s="161"/>
      <c r="AT306" s="161"/>
      <c r="AU306" s="161"/>
    </row>
    <row r="307" spans="1:47">
      <c r="A307" s="471">
        <f t="shared" si="512"/>
        <v>46231</v>
      </c>
      <c r="B307" s="497"/>
      <c r="C307" s="426"/>
      <c r="D307" s="427">
        <f t="shared" si="423"/>
        <v>0</v>
      </c>
      <c r="E307" s="428">
        <f t="shared" si="482"/>
        <v>0</v>
      </c>
      <c r="F307" s="428">
        <f t="shared" si="483"/>
        <v>0</v>
      </c>
      <c r="G307" s="428">
        <f t="shared" si="502"/>
        <v>0</v>
      </c>
      <c r="H307" s="429"/>
      <c r="I307" s="430">
        <f t="shared" si="513"/>
        <v>0</v>
      </c>
      <c r="J307" s="431">
        <f t="shared" si="503"/>
        <v>0</v>
      </c>
      <c r="K307" s="431">
        <f t="shared" si="486"/>
        <v>0</v>
      </c>
      <c r="L307" s="431">
        <f t="shared" si="505"/>
        <v>0</v>
      </c>
      <c r="M307" s="432"/>
      <c r="N307" s="433">
        <f t="shared" si="457"/>
        <v>0</v>
      </c>
      <c r="O307" s="434">
        <f t="shared" si="506"/>
        <v>0</v>
      </c>
      <c r="P307" s="434">
        <f t="shared" si="455"/>
        <v>0</v>
      </c>
      <c r="Q307" s="434">
        <f t="shared" si="508"/>
        <v>0</v>
      </c>
      <c r="R307" s="435"/>
      <c r="S307" s="436">
        <f t="shared" si="458"/>
        <v>0</v>
      </c>
      <c r="T307" s="437">
        <f t="shared" si="509"/>
        <v>0</v>
      </c>
      <c r="U307" s="437">
        <f t="shared" si="456"/>
        <v>0</v>
      </c>
      <c r="V307" s="437">
        <f t="shared" si="511"/>
        <v>0</v>
      </c>
      <c r="W307" s="300"/>
      <c r="X307" s="131"/>
      <c r="Z307" s="162"/>
      <c r="AA307" s="162"/>
      <c r="AB307" s="162"/>
      <c r="AC307" s="162"/>
      <c r="AD307" s="162"/>
      <c r="AE307" s="163"/>
      <c r="AF307" s="162"/>
      <c r="AG307" s="162"/>
      <c r="AH307" s="162"/>
      <c r="AI307" s="162"/>
      <c r="AJ307" s="162"/>
      <c r="AK307" s="162"/>
      <c r="AL307" s="162"/>
      <c r="AM307" s="162"/>
      <c r="AN307" s="164"/>
      <c r="AO307" s="164"/>
      <c r="AP307" s="166"/>
      <c r="AQ307" s="161"/>
      <c r="AR307" s="161"/>
      <c r="AS307" s="161"/>
      <c r="AT307" s="161"/>
      <c r="AU307" s="161"/>
    </row>
    <row r="308" spans="1:47">
      <c r="A308" s="471">
        <f t="shared" si="512"/>
        <v>46231</v>
      </c>
      <c r="B308" s="497"/>
      <c r="C308" s="426"/>
      <c r="D308" s="427">
        <f t="shared" si="423"/>
        <v>0</v>
      </c>
      <c r="E308" s="428">
        <f t="shared" si="482"/>
        <v>0</v>
      </c>
      <c r="F308" s="428">
        <f t="shared" si="483"/>
        <v>0</v>
      </c>
      <c r="G308" s="428">
        <f t="shared" si="502"/>
        <v>0</v>
      </c>
      <c r="H308" s="429"/>
      <c r="I308" s="430">
        <f t="shared" si="513"/>
        <v>0</v>
      </c>
      <c r="J308" s="431">
        <f t="shared" si="503"/>
        <v>0</v>
      </c>
      <c r="K308" s="431">
        <f t="shared" si="486"/>
        <v>0</v>
      </c>
      <c r="L308" s="431">
        <f t="shared" si="505"/>
        <v>0</v>
      </c>
      <c r="M308" s="432"/>
      <c r="N308" s="433">
        <f t="shared" si="457"/>
        <v>0</v>
      </c>
      <c r="O308" s="434">
        <f t="shared" si="506"/>
        <v>0</v>
      </c>
      <c r="P308" s="434">
        <f t="shared" si="455"/>
        <v>0</v>
      </c>
      <c r="Q308" s="434">
        <f t="shared" si="508"/>
        <v>0</v>
      </c>
      <c r="R308" s="435"/>
      <c r="S308" s="436">
        <f t="shared" si="458"/>
        <v>0</v>
      </c>
      <c r="T308" s="437">
        <f t="shared" si="509"/>
        <v>0</v>
      </c>
      <c r="U308" s="437">
        <f t="shared" si="456"/>
        <v>0</v>
      </c>
      <c r="V308" s="437">
        <f t="shared" si="511"/>
        <v>0</v>
      </c>
      <c r="W308" s="300"/>
      <c r="X308" s="131"/>
      <c r="Z308" s="162"/>
      <c r="AA308" s="162"/>
      <c r="AB308" s="162"/>
      <c r="AC308" s="162"/>
      <c r="AD308" s="162"/>
      <c r="AE308" s="163"/>
      <c r="AF308" s="162"/>
      <c r="AG308" s="162"/>
      <c r="AH308" s="162"/>
      <c r="AI308" s="162"/>
      <c r="AJ308" s="162"/>
      <c r="AK308" s="162"/>
      <c r="AL308" s="162"/>
      <c r="AM308" s="162"/>
      <c r="AN308" s="164"/>
      <c r="AO308" s="164"/>
      <c r="AP308" s="166"/>
      <c r="AQ308" s="161"/>
      <c r="AR308" s="161"/>
      <c r="AS308" s="161"/>
      <c r="AT308" s="161"/>
      <c r="AU308" s="161"/>
    </row>
    <row r="309" spans="1:47">
      <c r="A309" s="471">
        <f t="shared" si="512"/>
        <v>46231</v>
      </c>
      <c r="B309" s="497"/>
      <c r="C309" s="426"/>
      <c r="D309" s="427">
        <f t="shared" si="423"/>
        <v>0</v>
      </c>
      <c r="E309" s="428">
        <f t="shared" si="482"/>
        <v>0</v>
      </c>
      <c r="F309" s="428">
        <f t="shared" si="483"/>
        <v>0</v>
      </c>
      <c r="G309" s="428">
        <f t="shared" si="502"/>
        <v>0</v>
      </c>
      <c r="H309" s="429"/>
      <c r="I309" s="430">
        <f t="shared" si="513"/>
        <v>0</v>
      </c>
      <c r="J309" s="431">
        <f t="shared" si="503"/>
        <v>0</v>
      </c>
      <c r="K309" s="431">
        <f t="shared" si="486"/>
        <v>0</v>
      </c>
      <c r="L309" s="431">
        <f t="shared" si="505"/>
        <v>0</v>
      </c>
      <c r="M309" s="432"/>
      <c r="N309" s="433">
        <f t="shared" si="457"/>
        <v>0</v>
      </c>
      <c r="O309" s="434">
        <f t="shared" si="506"/>
        <v>0</v>
      </c>
      <c r="P309" s="434">
        <f t="shared" si="455"/>
        <v>0</v>
      </c>
      <c r="Q309" s="434">
        <f t="shared" si="508"/>
        <v>0</v>
      </c>
      <c r="R309" s="435"/>
      <c r="S309" s="436">
        <f t="shared" si="458"/>
        <v>0</v>
      </c>
      <c r="T309" s="437">
        <f t="shared" si="509"/>
        <v>0</v>
      </c>
      <c r="U309" s="437">
        <f t="shared" si="456"/>
        <v>0</v>
      </c>
      <c r="V309" s="437">
        <f t="shared" si="511"/>
        <v>0</v>
      </c>
      <c r="W309" s="300"/>
      <c r="X309" s="131"/>
      <c r="Z309" s="162"/>
      <c r="AA309" s="162"/>
      <c r="AB309" s="162"/>
      <c r="AC309" s="162"/>
      <c r="AD309" s="162"/>
      <c r="AE309" s="163"/>
      <c r="AF309" s="162"/>
      <c r="AG309" s="162"/>
      <c r="AH309" s="162"/>
      <c r="AI309" s="162"/>
      <c r="AJ309" s="162"/>
      <c r="AK309" s="162"/>
      <c r="AL309" s="162"/>
      <c r="AM309" s="162"/>
      <c r="AN309" s="164"/>
      <c r="AO309" s="164"/>
      <c r="AP309" s="166"/>
      <c r="AQ309" s="161"/>
      <c r="AR309" s="161"/>
      <c r="AS309" s="161"/>
      <c r="AT309" s="161"/>
      <c r="AU309" s="161"/>
    </row>
    <row r="310" spans="1:47">
      <c r="A310" s="471">
        <f t="shared" si="512"/>
        <v>46231</v>
      </c>
      <c r="B310" s="497"/>
      <c r="C310" s="426"/>
      <c r="D310" s="427">
        <f t="shared" si="423"/>
        <v>0</v>
      </c>
      <c r="E310" s="428">
        <f t="shared" si="482"/>
        <v>0</v>
      </c>
      <c r="F310" s="428">
        <f t="shared" si="483"/>
        <v>0</v>
      </c>
      <c r="G310" s="428">
        <f t="shared" si="502"/>
        <v>0</v>
      </c>
      <c r="H310" s="429"/>
      <c r="I310" s="430">
        <f t="shared" si="513"/>
        <v>0</v>
      </c>
      <c r="J310" s="431">
        <f t="shared" si="503"/>
        <v>0</v>
      </c>
      <c r="K310" s="431">
        <f t="shared" si="486"/>
        <v>0</v>
      </c>
      <c r="L310" s="431">
        <f t="shared" si="505"/>
        <v>0</v>
      </c>
      <c r="M310" s="432"/>
      <c r="N310" s="433">
        <f t="shared" si="457"/>
        <v>0</v>
      </c>
      <c r="O310" s="434">
        <f t="shared" si="506"/>
        <v>0</v>
      </c>
      <c r="P310" s="434">
        <f t="shared" si="455"/>
        <v>0</v>
      </c>
      <c r="Q310" s="434">
        <f t="shared" si="508"/>
        <v>0</v>
      </c>
      <c r="R310" s="435"/>
      <c r="S310" s="436">
        <f t="shared" si="458"/>
        <v>0</v>
      </c>
      <c r="T310" s="437">
        <f t="shared" si="509"/>
        <v>0</v>
      </c>
      <c r="U310" s="437">
        <f t="shared" si="456"/>
        <v>0</v>
      </c>
      <c r="V310" s="437">
        <f t="shared" si="511"/>
        <v>0</v>
      </c>
      <c r="W310" s="300"/>
      <c r="X310" s="131"/>
      <c r="Z310" s="162"/>
      <c r="AA310" s="162"/>
      <c r="AB310" s="162"/>
      <c r="AC310" s="162"/>
      <c r="AD310" s="162"/>
      <c r="AE310" s="163"/>
      <c r="AF310" s="162"/>
      <c r="AG310" s="162"/>
      <c r="AH310" s="162"/>
      <c r="AI310" s="162"/>
      <c r="AJ310" s="162"/>
      <c r="AK310" s="162"/>
      <c r="AL310" s="162"/>
      <c r="AM310" s="162"/>
      <c r="AN310" s="164"/>
      <c r="AO310" s="164"/>
      <c r="AP310" s="166"/>
      <c r="AQ310" s="161"/>
      <c r="AR310" s="161"/>
      <c r="AS310" s="161"/>
      <c r="AT310" s="161"/>
      <c r="AU310" s="161"/>
    </row>
    <row r="311" spans="1:47" ht="14.25">
      <c r="A311" s="471"/>
      <c r="B311" s="498" t="s">
        <v>118</v>
      </c>
      <c r="C311" s="438">
        <f>SUM(C301:C310)</f>
        <v>0</v>
      </c>
      <c r="D311" s="439">
        <f t="shared" si="423"/>
        <v>0</v>
      </c>
      <c r="E311" s="438">
        <f t="shared" ref="E311:H311" si="514">SUM(E301:E310)</f>
        <v>0</v>
      </c>
      <c r="F311" s="463">
        <f t="shared" si="514"/>
        <v>0</v>
      </c>
      <c r="G311" s="463">
        <f t="shared" si="514"/>
        <v>0</v>
      </c>
      <c r="H311" s="440">
        <f t="shared" si="514"/>
        <v>0</v>
      </c>
      <c r="I311" s="441">
        <f t="shared" si="513"/>
        <v>0</v>
      </c>
      <c r="J311" s="440">
        <f t="shared" ref="J311:L311" si="515">SUM(J301:J310)</f>
        <v>0</v>
      </c>
      <c r="K311" s="466">
        <f t="shared" si="515"/>
        <v>0</v>
      </c>
      <c r="L311" s="466">
        <f t="shared" si="515"/>
        <v>0</v>
      </c>
      <c r="M311" s="442">
        <f t="shared" ref="M311" si="516">SUM(M301:M310)</f>
        <v>0</v>
      </c>
      <c r="N311" s="443">
        <f t="shared" si="457"/>
        <v>0</v>
      </c>
      <c r="O311" s="442">
        <f t="shared" ref="O311:R311" si="517">SUM(O301:O310)</f>
        <v>0</v>
      </c>
      <c r="P311" s="468">
        <f t="shared" si="517"/>
        <v>0</v>
      </c>
      <c r="Q311" s="468">
        <f t="shared" si="517"/>
        <v>0</v>
      </c>
      <c r="R311" s="444">
        <f t="shared" si="517"/>
        <v>0</v>
      </c>
      <c r="S311" s="445">
        <f t="shared" si="458"/>
        <v>0</v>
      </c>
      <c r="T311" s="444">
        <f t="shared" ref="T311:V311" si="518">SUM(T301:T310)</f>
        <v>0</v>
      </c>
      <c r="U311" s="470">
        <f t="shared" si="518"/>
        <v>0</v>
      </c>
      <c r="V311" s="470">
        <f t="shared" si="518"/>
        <v>0</v>
      </c>
      <c r="W311" s="300"/>
      <c r="X311" s="131"/>
      <c r="Z311" s="162"/>
      <c r="AA311" s="162"/>
      <c r="AB311" s="162"/>
      <c r="AC311" s="162"/>
      <c r="AD311" s="162"/>
      <c r="AE311" s="163"/>
      <c r="AF311" s="162"/>
      <c r="AG311" s="162"/>
      <c r="AH311" s="162"/>
      <c r="AI311" s="162"/>
      <c r="AJ311" s="162"/>
      <c r="AK311" s="162"/>
      <c r="AL311" s="162"/>
      <c r="AM311" s="162"/>
      <c r="AN311" s="164"/>
      <c r="AO311" s="164"/>
      <c r="AP311" s="166"/>
      <c r="AQ311" s="161"/>
      <c r="AR311" s="161"/>
      <c r="AS311" s="161"/>
      <c r="AT311" s="161"/>
      <c r="AU311" s="161"/>
    </row>
    <row r="312" spans="1:47">
      <c r="A312" s="472">
        <f>+A301+1</f>
        <v>46232</v>
      </c>
      <c r="B312" s="497"/>
      <c r="C312" s="426"/>
      <c r="D312" s="427">
        <f t="shared" si="423"/>
        <v>0</v>
      </c>
      <c r="E312" s="428">
        <f>+D312/0.0125*0.125</f>
        <v>0</v>
      </c>
      <c r="F312" s="428">
        <f>+E312/1500</f>
        <v>0</v>
      </c>
      <c r="G312" s="428">
        <f t="shared" ref="G312:G321" si="519">+D312/0.0125*0.000318</f>
        <v>0</v>
      </c>
      <c r="H312" s="429"/>
      <c r="I312" s="430">
        <f t="shared" si="513"/>
        <v>0</v>
      </c>
      <c r="J312" s="431">
        <f t="shared" ref="J312:J321" si="520">+I312/0.0185*0.185</f>
        <v>0</v>
      </c>
      <c r="K312" s="431">
        <f>+J312/1500</f>
        <v>0</v>
      </c>
      <c r="L312" s="431">
        <f t="shared" ref="L312:L321" si="521">+I312/0.0185*0.000318</f>
        <v>0</v>
      </c>
      <c r="M312" s="432"/>
      <c r="N312" s="433">
        <f t="shared" si="457"/>
        <v>0</v>
      </c>
      <c r="O312" s="434">
        <f t="shared" ref="O312:O321" si="522">+N312/0.0185*0.185</f>
        <v>0</v>
      </c>
      <c r="P312" s="434">
        <f t="shared" ref="P312" si="523">+O312/1500</f>
        <v>0</v>
      </c>
      <c r="Q312" s="434">
        <f t="shared" ref="Q312:Q321" si="524">+N312/0.0185*0.000318</f>
        <v>0</v>
      </c>
      <c r="R312" s="435"/>
      <c r="S312" s="436">
        <f t="shared" si="458"/>
        <v>0</v>
      </c>
      <c r="T312" s="437">
        <f t="shared" ref="T312:T321" si="525">+S312/0.0185*0.185</f>
        <v>0</v>
      </c>
      <c r="U312" s="437">
        <f t="shared" ref="U312" si="526">+T312/1500</f>
        <v>0</v>
      </c>
      <c r="V312" s="437">
        <f t="shared" ref="V312:V321" si="527">+S312/0.0185*0.000318</f>
        <v>0</v>
      </c>
      <c r="W312" s="300"/>
      <c r="X312" s="131">
        <f>+W312*2.4</f>
        <v>0</v>
      </c>
      <c r="Z312" s="162" t="str">
        <f>IFERROR((D312/'REKAPAN OKEY AYAM'!$AC32),"-")</f>
        <v>-</v>
      </c>
      <c r="AA312" s="162" t="str">
        <f>IFERROR((I312/'REKAPAN CHAMP AYAM'!$AC32),"-")</f>
        <v>-</v>
      </c>
      <c r="AB312" s="162" t="str">
        <f>IFERROR((N312/'REKAPAN CHAMP SAPI'!AC32),"-")</f>
        <v>-</v>
      </c>
      <c r="AC312" s="162" t="str">
        <f>IFERROR((S312/'REKAPAN CHAMP OTAK-OTAK'!AC32),"-")</f>
        <v>-</v>
      </c>
      <c r="AD312" s="162" t="str">
        <f>IFERROR((X312/'REKAPAN FIESTA'!AC32),"-")</f>
        <v>-</v>
      </c>
      <c r="AE312" s="163"/>
      <c r="AF312" s="162" t="str">
        <f t="shared" si="39"/>
        <v>-</v>
      </c>
      <c r="AG312" s="162" t="str">
        <f>IFERROR(((D312/0.0125*0.000318)/#REF!),"-")</f>
        <v>-</v>
      </c>
      <c r="AH312" s="162" t="str">
        <f t="shared" si="40"/>
        <v>-</v>
      </c>
      <c r="AI312" s="162" t="str">
        <f>IFERROR(((I312/0.0185*0.000318)/#REF!),"-")</f>
        <v>-</v>
      </c>
      <c r="AJ312" s="162" t="str">
        <f t="shared" si="41"/>
        <v>-</v>
      </c>
      <c r="AK312" s="162" t="str">
        <f>IFERROR(((N312/0.0185*0.000318)/#REF!),"-")</f>
        <v>-</v>
      </c>
      <c r="AL312" s="162" t="str">
        <f t="shared" si="42"/>
        <v>-</v>
      </c>
      <c r="AM312" s="162" t="str">
        <f>IFERROR(((S312/0.0185*0.000318)/#REF!),"-")</f>
        <v>-</v>
      </c>
      <c r="AN312" s="164"/>
      <c r="AO312" s="164"/>
      <c r="AP312" s="166"/>
      <c r="AQ312" s="161" t="str">
        <f>IFERROR(('REKAPAN OKEY AYAM'!$AD32),"-")</f>
        <v>-</v>
      </c>
      <c r="AR312" s="161" t="str">
        <f>IFERROR(('REKAPAN CHAMP AYAM'!$AD32),"-")</f>
        <v>-</v>
      </c>
      <c r="AS312" s="161" t="str">
        <f>IFERROR(('REKAPAN CHAMP SAPI'!$AD32),"-")</f>
        <v>-</v>
      </c>
      <c r="AT312" s="161" t="str">
        <f>IFERROR(('REKAPAN CHAMP OTAK-OTAK'!$AD32),"-")</f>
        <v>-</v>
      </c>
      <c r="AU312" s="161" t="str">
        <f>IFERROR(('REKAPAN FIESTA'!$AD32),"-")</f>
        <v>-</v>
      </c>
    </row>
    <row r="313" spans="1:47">
      <c r="A313" s="471">
        <f>+$A312</f>
        <v>46232</v>
      </c>
      <c r="B313" s="497"/>
      <c r="C313" s="426"/>
      <c r="D313" s="427">
        <f t="shared" si="423"/>
        <v>0</v>
      </c>
      <c r="E313" s="428">
        <f t="shared" ref="E313:E321" si="528">+D313/0.0125*0.125</f>
        <v>0</v>
      </c>
      <c r="F313" s="428">
        <f t="shared" ref="F313:F321" si="529">+E313/1500</f>
        <v>0</v>
      </c>
      <c r="G313" s="428">
        <f t="shared" si="519"/>
        <v>0</v>
      </c>
      <c r="H313" s="429"/>
      <c r="I313" s="430">
        <f t="shared" si="513"/>
        <v>0</v>
      </c>
      <c r="J313" s="431">
        <f t="shared" si="520"/>
        <v>0</v>
      </c>
      <c r="K313" s="431">
        <f t="shared" ref="K313:K321" si="530">+J313/1500</f>
        <v>0</v>
      </c>
      <c r="L313" s="431">
        <f t="shared" si="521"/>
        <v>0</v>
      </c>
      <c r="M313" s="432"/>
      <c r="N313" s="433">
        <f t="shared" si="457"/>
        <v>0</v>
      </c>
      <c r="O313" s="434">
        <f t="shared" si="522"/>
        <v>0</v>
      </c>
      <c r="P313" s="434">
        <f t="shared" si="455"/>
        <v>0</v>
      </c>
      <c r="Q313" s="434">
        <f t="shared" si="524"/>
        <v>0</v>
      </c>
      <c r="R313" s="435"/>
      <c r="S313" s="436">
        <f t="shared" si="458"/>
        <v>0</v>
      </c>
      <c r="T313" s="437">
        <f t="shared" si="525"/>
        <v>0</v>
      </c>
      <c r="U313" s="437">
        <f t="shared" si="456"/>
        <v>0</v>
      </c>
      <c r="V313" s="437">
        <f t="shared" si="527"/>
        <v>0</v>
      </c>
      <c r="W313" s="300"/>
      <c r="X313" s="131"/>
      <c r="Z313" s="162"/>
      <c r="AA313" s="162"/>
      <c r="AB313" s="162"/>
      <c r="AC313" s="162"/>
      <c r="AD313" s="162"/>
      <c r="AE313" s="163"/>
      <c r="AF313" s="162"/>
      <c r="AG313" s="162"/>
      <c r="AH313" s="162"/>
      <c r="AI313" s="162"/>
      <c r="AJ313" s="162"/>
      <c r="AK313" s="162"/>
      <c r="AL313" s="162"/>
      <c r="AM313" s="162"/>
      <c r="AN313" s="164"/>
      <c r="AO313" s="164"/>
      <c r="AP313" s="166"/>
      <c r="AQ313" s="161"/>
      <c r="AR313" s="161"/>
      <c r="AS313" s="161"/>
      <c r="AT313" s="161"/>
      <c r="AU313" s="161"/>
    </row>
    <row r="314" spans="1:47">
      <c r="A314" s="471">
        <f t="shared" ref="A314:A321" si="531">+$A313</f>
        <v>46232</v>
      </c>
      <c r="B314" s="497"/>
      <c r="C314" s="426"/>
      <c r="D314" s="427">
        <f t="shared" si="423"/>
        <v>0</v>
      </c>
      <c r="E314" s="428">
        <f t="shared" si="528"/>
        <v>0</v>
      </c>
      <c r="F314" s="428">
        <f t="shared" si="529"/>
        <v>0</v>
      </c>
      <c r="G314" s="428">
        <f t="shared" si="519"/>
        <v>0</v>
      </c>
      <c r="H314" s="429"/>
      <c r="I314" s="430">
        <f t="shared" si="513"/>
        <v>0</v>
      </c>
      <c r="J314" s="431">
        <f t="shared" si="520"/>
        <v>0</v>
      </c>
      <c r="K314" s="431">
        <f t="shared" si="530"/>
        <v>0</v>
      </c>
      <c r="L314" s="431">
        <f t="shared" si="521"/>
        <v>0</v>
      </c>
      <c r="M314" s="432"/>
      <c r="N314" s="433">
        <f t="shared" si="457"/>
        <v>0</v>
      </c>
      <c r="O314" s="434">
        <f t="shared" si="522"/>
        <v>0</v>
      </c>
      <c r="P314" s="434">
        <f t="shared" si="455"/>
        <v>0</v>
      </c>
      <c r="Q314" s="434">
        <f t="shared" si="524"/>
        <v>0</v>
      </c>
      <c r="R314" s="435"/>
      <c r="S314" s="436">
        <f t="shared" si="458"/>
        <v>0</v>
      </c>
      <c r="T314" s="437">
        <f t="shared" si="525"/>
        <v>0</v>
      </c>
      <c r="U314" s="437">
        <f t="shared" si="456"/>
        <v>0</v>
      </c>
      <c r="V314" s="437">
        <f t="shared" si="527"/>
        <v>0</v>
      </c>
      <c r="W314" s="300"/>
      <c r="X314" s="131"/>
      <c r="Z314" s="162"/>
      <c r="AA314" s="162"/>
      <c r="AB314" s="162"/>
      <c r="AC314" s="162"/>
      <c r="AD314" s="162"/>
      <c r="AE314" s="163"/>
      <c r="AF314" s="162"/>
      <c r="AG314" s="162"/>
      <c r="AH314" s="162"/>
      <c r="AI314" s="162"/>
      <c r="AJ314" s="162"/>
      <c r="AK314" s="162"/>
      <c r="AL314" s="162"/>
      <c r="AM314" s="162"/>
      <c r="AN314" s="164"/>
      <c r="AO314" s="164"/>
      <c r="AP314" s="166"/>
      <c r="AQ314" s="161"/>
      <c r="AR314" s="161"/>
      <c r="AS314" s="161"/>
      <c r="AT314" s="161"/>
      <c r="AU314" s="161"/>
    </row>
    <row r="315" spans="1:47">
      <c r="A315" s="471">
        <f t="shared" si="531"/>
        <v>46232</v>
      </c>
      <c r="B315" s="497"/>
      <c r="C315" s="426"/>
      <c r="D315" s="427">
        <f t="shared" si="423"/>
        <v>0</v>
      </c>
      <c r="E315" s="428">
        <f t="shared" si="528"/>
        <v>0</v>
      </c>
      <c r="F315" s="428">
        <f t="shared" si="529"/>
        <v>0</v>
      </c>
      <c r="G315" s="428">
        <f t="shared" si="519"/>
        <v>0</v>
      </c>
      <c r="H315" s="429"/>
      <c r="I315" s="430">
        <f t="shared" si="513"/>
        <v>0</v>
      </c>
      <c r="J315" s="431">
        <f t="shared" si="520"/>
        <v>0</v>
      </c>
      <c r="K315" s="431">
        <f t="shared" si="530"/>
        <v>0</v>
      </c>
      <c r="L315" s="431">
        <f t="shared" si="521"/>
        <v>0</v>
      </c>
      <c r="M315" s="432"/>
      <c r="N315" s="433">
        <f t="shared" si="457"/>
        <v>0</v>
      </c>
      <c r="O315" s="434">
        <f t="shared" si="522"/>
        <v>0</v>
      </c>
      <c r="P315" s="434">
        <f t="shared" si="455"/>
        <v>0</v>
      </c>
      <c r="Q315" s="434">
        <f t="shared" si="524"/>
        <v>0</v>
      </c>
      <c r="R315" s="435"/>
      <c r="S315" s="436">
        <f t="shared" si="458"/>
        <v>0</v>
      </c>
      <c r="T315" s="437">
        <f t="shared" si="525"/>
        <v>0</v>
      </c>
      <c r="U315" s="437">
        <f t="shared" si="456"/>
        <v>0</v>
      </c>
      <c r="V315" s="437">
        <f t="shared" si="527"/>
        <v>0</v>
      </c>
      <c r="W315" s="300"/>
      <c r="X315" s="131"/>
      <c r="Z315" s="162"/>
      <c r="AA315" s="162"/>
      <c r="AB315" s="162"/>
      <c r="AC315" s="162"/>
      <c r="AD315" s="162"/>
      <c r="AE315" s="163"/>
      <c r="AF315" s="162"/>
      <c r="AG315" s="162"/>
      <c r="AH315" s="162"/>
      <c r="AI315" s="162"/>
      <c r="AJ315" s="162"/>
      <c r="AK315" s="162"/>
      <c r="AL315" s="162"/>
      <c r="AM315" s="162"/>
      <c r="AN315" s="164"/>
      <c r="AO315" s="164"/>
      <c r="AP315" s="166"/>
      <c r="AQ315" s="161"/>
      <c r="AR315" s="161"/>
      <c r="AS315" s="161"/>
      <c r="AT315" s="161"/>
      <c r="AU315" s="161"/>
    </row>
    <row r="316" spans="1:47">
      <c r="A316" s="471">
        <f t="shared" si="531"/>
        <v>46232</v>
      </c>
      <c r="B316" s="497"/>
      <c r="C316" s="426"/>
      <c r="D316" s="427">
        <f t="shared" si="423"/>
        <v>0</v>
      </c>
      <c r="E316" s="428">
        <f t="shared" si="528"/>
        <v>0</v>
      </c>
      <c r="F316" s="428">
        <f t="shared" si="529"/>
        <v>0</v>
      </c>
      <c r="G316" s="428">
        <f t="shared" si="519"/>
        <v>0</v>
      </c>
      <c r="H316" s="429"/>
      <c r="I316" s="430">
        <f t="shared" si="513"/>
        <v>0</v>
      </c>
      <c r="J316" s="431">
        <f t="shared" si="520"/>
        <v>0</v>
      </c>
      <c r="K316" s="431">
        <f t="shared" si="530"/>
        <v>0</v>
      </c>
      <c r="L316" s="431">
        <f t="shared" si="521"/>
        <v>0</v>
      </c>
      <c r="M316" s="432"/>
      <c r="N316" s="433">
        <f t="shared" si="457"/>
        <v>0</v>
      </c>
      <c r="O316" s="434">
        <f t="shared" si="522"/>
        <v>0</v>
      </c>
      <c r="P316" s="434">
        <f t="shared" si="455"/>
        <v>0</v>
      </c>
      <c r="Q316" s="434">
        <f t="shared" si="524"/>
        <v>0</v>
      </c>
      <c r="R316" s="435"/>
      <c r="S316" s="436">
        <f t="shared" si="458"/>
        <v>0</v>
      </c>
      <c r="T316" s="437">
        <f t="shared" si="525"/>
        <v>0</v>
      </c>
      <c r="U316" s="437">
        <f t="shared" si="456"/>
        <v>0</v>
      </c>
      <c r="V316" s="437">
        <f t="shared" si="527"/>
        <v>0</v>
      </c>
      <c r="W316" s="300"/>
      <c r="X316" s="131"/>
      <c r="Z316" s="162"/>
      <c r="AA316" s="162"/>
      <c r="AB316" s="162"/>
      <c r="AC316" s="162"/>
      <c r="AD316" s="162"/>
      <c r="AE316" s="163"/>
      <c r="AF316" s="162"/>
      <c r="AG316" s="162"/>
      <c r="AH316" s="162"/>
      <c r="AI316" s="162"/>
      <c r="AJ316" s="162"/>
      <c r="AK316" s="162"/>
      <c r="AL316" s="162"/>
      <c r="AM316" s="162"/>
      <c r="AN316" s="164"/>
      <c r="AO316" s="164"/>
      <c r="AP316" s="166"/>
      <c r="AQ316" s="161"/>
      <c r="AR316" s="161"/>
      <c r="AS316" s="161"/>
      <c r="AT316" s="161"/>
      <c r="AU316" s="161"/>
    </row>
    <row r="317" spans="1:47">
      <c r="A317" s="471">
        <f t="shared" si="531"/>
        <v>46232</v>
      </c>
      <c r="B317" s="497"/>
      <c r="C317" s="426"/>
      <c r="D317" s="427">
        <f t="shared" si="423"/>
        <v>0</v>
      </c>
      <c r="E317" s="428">
        <f t="shared" si="528"/>
        <v>0</v>
      </c>
      <c r="F317" s="428">
        <f t="shared" si="529"/>
        <v>0</v>
      </c>
      <c r="G317" s="428">
        <f t="shared" si="519"/>
        <v>0</v>
      </c>
      <c r="H317" s="429"/>
      <c r="I317" s="430">
        <f t="shared" si="513"/>
        <v>0</v>
      </c>
      <c r="J317" s="431">
        <f t="shared" si="520"/>
        <v>0</v>
      </c>
      <c r="K317" s="431">
        <f t="shared" si="530"/>
        <v>0</v>
      </c>
      <c r="L317" s="431">
        <f t="shared" si="521"/>
        <v>0</v>
      </c>
      <c r="M317" s="432"/>
      <c r="N317" s="433">
        <f t="shared" si="457"/>
        <v>0</v>
      </c>
      <c r="O317" s="434">
        <f t="shared" si="522"/>
        <v>0</v>
      </c>
      <c r="P317" s="434">
        <f t="shared" si="455"/>
        <v>0</v>
      </c>
      <c r="Q317" s="434">
        <f t="shared" si="524"/>
        <v>0</v>
      </c>
      <c r="R317" s="435"/>
      <c r="S317" s="436">
        <f t="shared" si="458"/>
        <v>0</v>
      </c>
      <c r="T317" s="437">
        <f t="shared" si="525"/>
        <v>0</v>
      </c>
      <c r="U317" s="437">
        <f t="shared" si="456"/>
        <v>0</v>
      </c>
      <c r="V317" s="437">
        <f t="shared" si="527"/>
        <v>0</v>
      </c>
      <c r="W317" s="300"/>
      <c r="X317" s="131"/>
      <c r="Z317" s="162"/>
      <c r="AA317" s="162"/>
      <c r="AB317" s="162"/>
      <c r="AC317" s="162"/>
      <c r="AD317" s="162"/>
      <c r="AE317" s="163"/>
      <c r="AF317" s="162"/>
      <c r="AG317" s="162"/>
      <c r="AH317" s="162"/>
      <c r="AI317" s="162"/>
      <c r="AJ317" s="162"/>
      <c r="AK317" s="162"/>
      <c r="AL317" s="162"/>
      <c r="AM317" s="162"/>
      <c r="AN317" s="164"/>
      <c r="AO317" s="164"/>
      <c r="AP317" s="166"/>
      <c r="AQ317" s="161"/>
      <c r="AR317" s="161"/>
      <c r="AS317" s="161"/>
      <c r="AT317" s="161"/>
      <c r="AU317" s="161"/>
    </row>
    <row r="318" spans="1:47">
      <c r="A318" s="471">
        <f t="shared" si="531"/>
        <v>46232</v>
      </c>
      <c r="B318" s="497"/>
      <c r="C318" s="426"/>
      <c r="D318" s="427">
        <f t="shared" si="423"/>
        <v>0</v>
      </c>
      <c r="E318" s="428">
        <f t="shared" si="528"/>
        <v>0</v>
      </c>
      <c r="F318" s="428">
        <f t="shared" si="529"/>
        <v>0</v>
      </c>
      <c r="G318" s="428">
        <f t="shared" si="519"/>
        <v>0</v>
      </c>
      <c r="H318" s="429"/>
      <c r="I318" s="430">
        <f t="shared" si="513"/>
        <v>0</v>
      </c>
      <c r="J318" s="431">
        <f t="shared" si="520"/>
        <v>0</v>
      </c>
      <c r="K318" s="431">
        <f t="shared" si="530"/>
        <v>0</v>
      </c>
      <c r="L318" s="431">
        <f t="shared" si="521"/>
        <v>0</v>
      </c>
      <c r="M318" s="432"/>
      <c r="N318" s="433">
        <f t="shared" si="457"/>
        <v>0</v>
      </c>
      <c r="O318" s="434">
        <f t="shared" si="522"/>
        <v>0</v>
      </c>
      <c r="P318" s="434">
        <f t="shared" si="455"/>
        <v>0</v>
      </c>
      <c r="Q318" s="434">
        <f t="shared" si="524"/>
        <v>0</v>
      </c>
      <c r="R318" s="435"/>
      <c r="S318" s="436">
        <f t="shared" si="458"/>
        <v>0</v>
      </c>
      <c r="T318" s="437">
        <f t="shared" si="525"/>
        <v>0</v>
      </c>
      <c r="U318" s="437">
        <f t="shared" si="456"/>
        <v>0</v>
      </c>
      <c r="V318" s="437">
        <f t="shared" si="527"/>
        <v>0</v>
      </c>
      <c r="W318" s="300"/>
      <c r="X318" s="131"/>
      <c r="Z318" s="162"/>
      <c r="AA318" s="162"/>
      <c r="AB318" s="162"/>
      <c r="AC318" s="162"/>
      <c r="AD318" s="162"/>
      <c r="AE318" s="163"/>
      <c r="AF318" s="162"/>
      <c r="AG318" s="162"/>
      <c r="AH318" s="162"/>
      <c r="AI318" s="162"/>
      <c r="AJ318" s="162"/>
      <c r="AK318" s="162"/>
      <c r="AL318" s="162"/>
      <c r="AM318" s="162"/>
      <c r="AN318" s="164"/>
      <c r="AO318" s="164"/>
      <c r="AP318" s="166"/>
      <c r="AQ318" s="161"/>
      <c r="AR318" s="161"/>
      <c r="AS318" s="161"/>
      <c r="AT318" s="161"/>
      <c r="AU318" s="161"/>
    </row>
    <row r="319" spans="1:47">
      <c r="A319" s="471">
        <f t="shared" si="531"/>
        <v>46232</v>
      </c>
      <c r="B319" s="497"/>
      <c r="C319" s="426"/>
      <c r="D319" s="427">
        <f t="shared" si="423"/>
        <v>0</v>
      </c>
      <c r="E319" s="428">
        <f t="shared" si="528"/>
        <v>0</v>
      </c>
      <c r="F319" s="428">
        <f t="shared" si="529"/>
        <v>0</v>
      </c>
      <c r="G319" s="428">
        <f t="shared" si="519"/>
        <v>0</v>
      </c>
      <c r="H319" s="429"/>
      <c r="I319" s="430">
        <f t="shared" si="513"/>
        <v>0</v>
      </c>
      <c r="J319" s="431">
        <f t="shared" si="520"/>
        <v>0</v>
      </c>
      <c r="K319" s="431">
        <f t="shared" si="530"/>
        <v>0</v>
      </c>
      <c r="L319" s="431">
        <f t="shared" si="521"/>
        <v>0</v>
      </c>
      <c r="M319" s="432"/>
      <c r="N319" s="433">
        <f t="shared" si="457"/>
        <v>0</v>
      </c>
      <c r="O319" s="434">
        <f t="shared" si="522"/>
        <v>0</v>
      </c>
      <c r="P319" s="434">
        <f t="shared" si="455"/>
        <v>0</v>
      </c>
      <c r="Q319" s="434">
        <f t="shared" si="524"/>
        <v>0</v>
      </c>
      <c r="R319" s="435"/>
      <c r="S319" s="436">
        <f t="shared" si="458"/>
        <v>0</v>
      </c>
      <c r="T319" s="437">
        <f t="shared" si="525"/>
        <v>0</v>
      </c>
      <c r="U319" s="437">
        <f t="shared" si="456"/>
        <v>0</v>
      </c>
      <c r="V319" s="437">
        <f t="shared" si="527"/>
        <v>0</v>
      </c>
      <c r="W319" s="300"/>
      <c r="X319" s="131"/>
      <c r="Z319" s="162"/>
      <c r="AA319" s="162"/>
      <c r="AB319" s="162"/>
      <c r="AC319" s="162"/>
      <c r="AD319" s="162"/>
      <c r="AE319" s="163"/>
      <c r="AF319" s="162"/>
      <c r="AG319" s="162"/>
      <c r="AH319" s="162"/>
      <c r="AI319" s="162"/>
      <c r="AJ319" s="162"/>
      <c r="AK319" s="162"/>
      <c r="AL319" s="162"/>
      <c r="AM319" s="162"/>
      <c r="AN319" s="164"/>
      <c r="AO319" s="164"/>
      <c r="AP319" s="166"/>
      <c r="AQ319" s="161"/>
      <c r="AR319" s="161"/>
      <c r="AS319" s="161"/>
      <c r="AT319" s="161"/>
      <c r="AU319" s="161"/>
    </row>
    <row r="320" spans="1:47">
      <c r="A320" s="471">
        <f t="shared" si="531"/>
        <v>46232</v>
      </c>
      <c r="B320" s="497"/>
      <c r="C320" s="426"/>
      <c r="D320" s="427">
        <f t="shared" si="423"/>
        <v>0</v>
      </c>
      <c r="E320" s="428">
        <f t="shared" si="528"/>
        <v>0</v>
      </c>
      <c r="F320" s="428">
        <f t="shared" si="529"/>
        <v>0</v>
      </c>
      <c r="G320" s="428">
        <f t="shared" si="519"/>
        <v>0</v>
      </c>
      <c r="H320" s="429"/>
      <c r="I320" s="430">
        <f t="shared" si="513"/>
        <v>0</v>
      </c>
      <c r="J320" s="431">
        <f t="shared" si="520"/>
        <v>0</v>
      </c>
      <c r="K320" s="431">
        <f t="shared" si="530"/>
        <v>0</v>
      </c>
      <c r="L320" s="431">
        <f t="shared" si="521"/>
        <v>0</v>
      </c>
      <c r="M320" s="432"/>
      <c r="N320" s="433">
        <f t="shared" si="457"/>
        <v>0</v>
      </c>
      <c r="O320" s="434">
        <f t="shared" si="522"/>
        <v>0</v>
      </c>
      <c r="P320" s="434">
        <f t="shared" si="455"/>
        <v>0</v>
      </c>
      <c r="Q320" s="434">
        <f t="shared" si="524"/>
        <v>0</v>
      </c>
      <c r="R320" s="435"/>
      <c r="S320" s="436">
        <f t="shared" si="458"/>
        <v>0</v>
      </c>
      <c r="T320" s="437">
        <f t="shared" si="525"/>
        <v>0</v>
      </c>
      <c r="U320" s="437">
        <f t="shared" si="456"/>
        <v>0</v>
      </c>
      <c r="V320" s="437">
        <f t="shared" si="527"/>
        <v>0</v>
      </c>
      <c r="W320" s="300"/>
      <c r="X320" s="131"/>
      <c r="Z320" s="162"/>
      <c r="AA320" s="162"/>
      <c r="AB320" s="162"/>
      <c r="AC320" s="162"/>
      <c r="AD320" s="162"/>
      <c r="AE320" s="163"/>
      <c r="AF320" s="162"/>
      <c r="AG320" s="162"/>
      <c r="AH320" s="162"/>
      <c r="AI320" s="162"/>
      <c r="AJ320" s="162"/>
      <c r="AK320" s="162"/>
      <c r="AL320" s="162"/>
      <c r="AM320" s="162"/>
      <c r="AN320" s="164"/>
      <c r="AO320" s="164"/>
      <c r="AP320" s="166"/>
      <c r="AQ320" s="161"/>
      <c r="AR320" s="161"/>
      <c r="AS320" s="161"/>
      <c r="AT320" s="161"/>
      <c r="AU320" s="161"/>
    </row>
    <row r="321" spans="1:47">
      <c r="A321" s="471">
        <f t="shared" si="531"/>
        <v>46232</v>
      </c>
      <c r="B321" s="497"/>
      <c r="C321" s="426"/>
      <c r="D321" s="427">
        <f t="shared" ref="D321:D344" si="532">+C321*3.875</f>
        <v>0</v>
      </c>
      <c r="E321" s="428">
        <f t="shared" si="528"/>
        <v>0</v>
      </c>
      <c r="F321" s="428">
        <f t="shared" si="529"/>
        <v>0</v>
      </c>
      <c r="G321" s="428">
        <f t="shared" si="519"/>
        <v>0</v>
      </c>
      <c r="H321" s="429"/>
      <c r="I321" s="430">
        <f t="shared" si="513"/>
        <v>0</v>
      </c>
      <c r="J321" s="431">
        <f t="shared" si="520"/>
        <v>0</v>
      </c>
      <c r="K321" s="431">
        <f t="shared" si="530"/>
        <v>0</v>
      </c>
      <c r="L321" s="431">
        <f t="shared" si="521"/>
        <v>0</v>
      </c>
      <c r="M321" s="432"/>
      <c r="N321" s="433">
        <f t="shared" si="457"/>
        <v>0</v>
      </c>
      <c r="O321" s="434">
        <f t="shared" si="522"/>
        <v>0</v>
      </c>
      <c r="P321" s="434">
        <f t="shared" si="455"/>
        <v>0</v>
      </c>
      <c r="Q321" s="434">
        <f t="shared" si="524"/>
        <v>0</v>
      </c>
      <c r="R321" s="435"/>
      <c r="S321" s="436">
        <f t="shared" si="458"/>
        <v>0</v>
      </c>
      <c r="T321" s="437">
        <f t="shared" si="525"/>
        <v>0</v>
      </c>
      <c r="U321" s="437">
        <f t="shared" si="456"/>
        <v>0</v>
      </c>
      <c r="V321" s="437">
        <f t="shared" si="527"/>
        <v>0</v>
      </c>
      <c r="W321" s="300"/>
      <c r="X321" s="131"/>
      <c r="Z321" s="162"/>
      <c r="AA321" s="162"/>
      <c r="AB321" s="162"/>
      <c r="AC321" s="162"/>
      <c r="AD321" s="162"/>
      <c r="AE321" s="163"/>
      <c r="AF321" s="162"/>
      <c r="AG321" s="162"/>
      <c r="AH321" s="162"/>
      <c r="AI321" s="162"/>
      <c r="AJ321" s="162"/>
      <c r="AK321" s="162"/>
      <c r="AL321" s="162"/>
      <c r="AM321" s="162"/>
      <c r="AN321" s="164"/>
      <c r="AO321" s="164"/>
      <c r="AP321" s="166"/>
      <c r="AQ321" s="161"/>
      <c r="AR321" s="161"/>
      <c r="AS321" s="161"/>
      <c r="AT321" s="161"/>
      <c r="AU321" s="161"/>
    </row>
    <row r="322" spans="1:47" ht="14.25">
      <c r="A322" s="471"/>
      <c r="B322" s="498" t="s">
        <v>118</v>
      </c>
      <c r="C322" s="438">
        <f>SUM(C312:C321)</f>
        <v>0</v>
      </c>
      <c r="D322" s="439">
        <f t="shared" si="532"/>
        <v>0</v>
      </c>
      <c r="E322" s="438">
        <f>SUM(E312:E321)</f>
        <v>0</v>
      </c>
      <c r="F322" s="463">
        <f>SUM(F312:F321)</f>
        <v>0</v>
      </c>
      <c r="G322" s="463">
        <f>SUM(G312:G321)</f>
        <v>0</v>
      </c>
      <c r="H322" s="440">
        <f>SUM(H312:H321)</f>
        <v>0</v>
      </c>
      <c r="I322" s="441">
        <f t="shared" si="513"/>
        <v>0</v>
      </c>
      <c r="J322" s="440">
        <f>SUM(J312:J321)</f>
        <v>0</v>
      </c>
      <c r="K322" s="466">
        <f>SUM(K312:K321)</f>
        <v>0</v>
      </c>
      <c r="L322" s="466">
        <f>SUM(L312:L321)</f>
        <v>0</v>
      </c>
      <c r="M322" s="442">
        <f t="shared" ref="M322" si="533">SUM(M312:M321)</f>
        <v>0</v>
      </c>
      <c r="N322" s="443">
        <f t="shared" si="457"/>
        <v>0</v>
      </c>
      <c r="O322" s="442">
        <f t="shared" ref="O322:R322" si="534">SUM(O312:O321)</f>
        <v>0</v>
      </c>
      <c r="P322" s="468">
        <f t="shared" si="534"/>
        <v>0</v>
      </c>
      <c r="Q322" s="468">
        <f t="shared" si="534"/>
        <v>0</v>
      </c>
      <c r="R322" s="444">
        <f t="shared" si="534"/>
        <v>0</v>
      </c>
      <c r="S322" s="445">
        <f t="shared" si="458"/>
        <v>0</v>
      </c>
      <c r="T322" s="444">
        <f t="shared" ref="T322:V322" si="535">SUM(T312:T321)</f>
        <v>0</v>
      </c>
      <c r="U322" s="470">
        <f t="shared" si="535"/>
        <v>0</v>
      </c>
      <c r="V322" s="470">
        <f t="shared" si="535"/>
        <v>0</v>
      </c>
      <c r="W322" s="300"/>
      <c r="X322" s="131"/>
      <c r="Z322" s="162"/>
      <c r="AA322" s="162"/>
      <c r="AB322" s="162"/>
      <c r="AC322" s="162"/>
      <c r="AD322" s="162"/>
      <c r="AE322" s="163"/>
      <c r="AF322" s="162"/>
      <c r="AG322" s="162"/>
      <c r="AH322" s="162"/>
      <c r="AI322" s="162"/>
      <c r="AJ322" s="162"/>
      <c r="AK322" s="162"/>
      <c r="AL322" s="162"/>
      <c r="AM322" s="162"/>
      <c r="AN322" s="164"/>
      <c r="AO322" s="164"/>
      <c r="AP322" s="166"/>
      <c r="AQ322" s="161"/>
      <c r="AR322" s="161"/>
      <c r="AS322" s="161"/>
      <c r="AT322" s="161"/>
      <c r="AU322" s="161"/>
    </row>
    <row r="323" spans="1:47">
      <c r="A323" s="472">
        <f>+A312+1</f>
        <v>46233</v>
      </c>
      <c r="B323" s="497"/>
      <c r="C323" s="426"/>
      <c r="D323" s="427">
        <f t="shared" si="532"/>
        <v>0</v>
      </c>
      <c r="E323" s="428">
        <f>+D323/0.0125*0.125</f>
        <v>0</v>
      </c>
      <c r="F323" s="428">
        <f>+E323/1500</f>
        <v>0</v>
      </c>
      <c r="G323" s="428">
        <f t="shared" ref="G323:G332" si="536">+D323/0.0125*0.000318</f>
        <v>0</v>
      </c>
      <c r="H323" s="429"/>
      <c r="I323" s="430">
        <f t="shared" si="513"/>
        <v>0</v>
      </c>
      <c r="J323" s="431">
        <f t="shared" ref="J323:J332" si="537">+I323/0.0185*0.185</f>
        <v>0</v>
      </c>
      <c r="K323" s="431">
        <f>+J323/1500</f>
        <v>0</v>
      </c>
      <c r="L323" s="431">
        <f t="shared" ref="L323:L332" si="538">+I323/0.0185*0.000318</f>
        <v>0</v>
      </c>
      <c r="M323" s="432"/>
      <c r="N323" s="433">
        <f t="shared" si="457"/>
        <v>0</v>
      </c>
      <c r="O323" s="434">
        <f t="shared" ref="O323:O332" si="539">+N323/0.0185*0.185</f>
        <v>0</v>
      </c>
      <c r="P323" s="434">
        <f t="shared" ref="P323" si="540">+O323/1500</f>
        <v>0</v>
      </c>
      <c r="Q323" s="434">
        <f t="shared" ref="Q323:Q332" si="541">+N323/0.0185*0.000318</f>
        <v>0</v>
      </c>
      <c r="R323" s="435"/>
      <c r="S323" s="436">
        <f t="shared" si="458"/>
        <v>0</v>
      </c>
      <c r="T323" s="437">
        <f t="shared" ref="T323:T332" si="542">+S323/0.0185*0.185</f>
        <v>0</v>
      </c>
      <c r="U323" s="437">
        <f t="shared" ref="U323" si="543">+T323/1500</f>
        <v>0</v>
      </c>
      <c r="V323" s="437">
        <f t="shared" ref="V323:V332" si="544">+S323/0.0185*0.000318</f>
        <v>0</v>
      </c>
      <c r="W323" s="300"/>
      <c r="X323" s="131">
        <f>+W323*2.4</f>
        <v>0</v>
      </c>
      <c r="Z323" s="162" t="str">
        <f>IFERROR((D323/'REKAPAN OKEY AYAM'!$AC33),"-")</f>
        <v>-</v>
      </c>
      <c r="AA323" s="162" t="str">
        <f>IFERROR((I323/'REKAPAN CHAMP AYAM'!$AC33),"-")</f>
        <v>-</v>
      </c>
      <c r="AB323" s="162" t="str">
        <f>IFERROR((N323/'REKAPAN CHAMP SAPI'!AC33),"-")</f>
        <v>-</v>
      </c>
      <c r="AC323" s="162" t="str">
        <f>IFERROR((S323/'REKAPAN CHAMP OTAK-OTAK'!AC33),"-")</f>
        <v>-</v>
      </c>
      <c r="AD323" s="162" t="str">
        <f>IFERROR((X323/'REKAPAN FIESTA'!AC33),"-")</f>
        <v>-</v>
      </c>
      <c r="AE323" s="163"/>
      <c r="AF323" s="162" t="str">
        <f t="shared" si="39"/>
        <v>-</v>
      </c>
      <c r="AG323" s="162" t="str">
        <f>IFERROR(((D323/0.0125*0.000318)/#REF!),"-")</f>
        <v>-</v>
      </c>
      <c r="AH323" s="162" t="str">
        <f t="shared" si="40"/>
        <v>-</v>
      </c>
      <c r="AI323" s="162" t="str">
        <f>IFERROR(((I323/0.0185*0.000318)/#REF!),"-")</f>
        <v>-</v>
      </c>
      <c r="AJ323" s="162" t="str">
        <f t="shared" si="41"/>
        <v>-</v>
      </c>
      <c r="AK323" s="162" t="str">
        <f>IFERROR(((N323/0.0185*0.000318)/#REF!),"-")</f>
        <v>-</v>
      </c>
      <c r="AL323" s="162" t="str">
        <f t="shared" si="42"/>
        <v>-</v>
      </c>
      <c r="AM323" s="162" t="str">
        <f>IFERROR(((S323/0.0185*0.000318)/#REF!),"-")</f>
        <v>-</v>
      </c>
      <c r="AN323" s="164"/>
      <c r="AO323" s="164"/>
      <c r="AP323" s="166"/>
      <c r="AQ323" s="161" t="str">
        <f>IFERROR(('REKAPAN OKEY AYAM'!$AD33),"-")</f>
        <v>-</v>
      </c>
      <c r="AR323" s="161" t="str">
        <f>IFERROR(('REKAPAN CHAMP AYAM'!$AD33),"-")</f>
        <v>-</v>
      </c>
      <c r="AS323" s="161" t="str">
        <f>IFERROR(('REKAPAN CHAMP SAPI'!$AD33),"-")</f>
        <v>-</v>
      </c>
      <c r="AT323" s="161" t="str">
        <f>IFERROR(('REKAPAN CHAMP OTAK-OTAK'!$AD33),"-")</f>
        <v>-</v>
      </c>
      <c r="AU323" s="161">
        <f>IFERROR(('REKAPAN FIESTA'!$AD33),"-")</f>
        <v>0</v>
      </c>
    </row>
    <row r="324" spans="1:47">
      <c r="A324" s="471">
        <f>+$A323</f>
        <v>46233</v>
      </c>
      <c r="B324" s="497"/>
      <c r="C324" s="426"/>
      <c r="D324" s="427">
        <f t="shared" si="532"/>
        <v>0</v>
      </c>
      <c r="E324" s="428">
        <f t="shared" ref="E324:E332" si="545">+D324/0.0125*0.125</f>
        <v>0</v>
      </c>
      <c r="F324" s="428">
        <f t="shared" ref="F324:F332" si="546">+E324/1500</f>
        <v>0</v>
      </c>
      <c r="G324" s="428">
        <f t="shared" si="536"/>
        <v>0</v>
      </c>
      <c r="H324" s="429"/>
      <c r="I324" s="430">
        <f t="shared" si="513"/>
        <v>0</v>
      </c>
      <c r="J324" s="431">
        <f t="shared" si="537"/>
        <v>0</v>
      </c>
      <c r="K324" s="431">
        <f t="shared" ref="K324:K332" si="547">+J324/1500</f>
        <v>0</v>
      </c>
      <c r="L324" s="431">
        <f t="shared" si="538"/>
        <v>0</v>
      </c>
      <c r="M324" s="432"/>
      <c r="N324" s="433">
        <f t="shared" si="457"/>
        <v>0</v>
      </c>
      <c r="O324" s="434">
        <f t="shared" si="539"/>
        <v>0</v>
      </c>
      <c r="P324" s="434">
        <f t="shared" si="455"/>
        <v>0</v>
      </c>
      <c r="Q324" s="434">
        <f t="shared" si="541"/>
        <v>0</v>
      </c>
      <c r="R324" s="435"/>
      <c r="S324" s="436">
        <f t="shared" si="458"/>
        <v>0</v>
      </c>
      <c r="T324" s="437">
        <f t="shared" si="542"/>
        <v>0</v>
      </c>
      <c r="U324" s="437">
        <f t="shared" si="456"/>
        <v>0</v>
      </c>
      <c r="V324" s="437">
        <f t="shared" si="544"/>
        <v>0</v>
      </c>
      <c r="W324" s="300"/>
      <c r="X324" s="131"/>
      <c r="Z324" s="162"/>
      <c r="AA324" s="162"/>
      <c r="AB324" s="162"/>
      <c r="AC324" s="162"/>
      <c r="AD324" s="162"/>
      <c r="AE324" s="163"/>
      <c r="AF324" s="162"/>
      <c r="AG324" s="162"/>
      <c r="AH324" s="162"/>
      <c r="AI324" s="162"/>
      <c r="AJ324" s="162"/>
      <c r="AK324" s="162"/>
      <c r="AL324" s="162"/>
      <c r="AM324" s="162"/>
      <c r="AN324" s="164"/>
      <c r="AO324" s="164"/>
      <c r="AP324" s="166"/>
      <c r="AQ324" s="161"/>
      <c r="AR324" s="161"/>
      <c r="AS324" s="161"/>
      <c r="AT324" s="161"/>
      <c r="AU324" s="161"/>
    </row>
    <row r="325" spans="1:47">
      <c r="A325" s="471">
        <f t="shared" ref="A325:A332" si="548">+$A324</f>
        <v>46233</v>
      </c>
      <c r="B325" s="497"/>
      <c r="C325" s="426"/>
      <c r="D325" s="427">
        <f t="shared" si="532"/>
        <v>0</v>
      </c>
      <c r="E325" s="428">
        <f t="shared" si="545"/>
        <v>0</v>
      </c>
      <c r="F325" s="428">
        <f t="shared" si="546"/>
        <v>0</v>
      </c>
      <c r="G325" s="428">
        <f t="shared" si="536"/>
        <v>0</v>
      </c>
      <c r="H325" s="429"/>
      <c r="I325" s="430">
        <f t="shared" si="513"/>
        <v>0</v>
      </c>
      <c r="J325" s="431">
        <f t="shared" si="537"/>
        <v>0</v>
      </c>
      <c r="K325" s="431">
        <f t="shared" si="547"/>
        <v>0</v>
      </c>
      <c r="L325" s="431">
        <f t="shared" si="538"/>
        <v>0</v>
      </c>
      <c r="M325" s="432"/>
      <c r="N325" s="433">
        <f t="shared" si="457"/>
        <v>0</v>
      </c>
      <c r="O325" s="434">
        <f t="shared" si="539"/>
        <v>0</v>
      </c>
      <c r="P325" s="434">
        <f t="shared" si="455"/>
        <v>0</v>
      </c>
      <c r="Q325" s="434">
        <f t="shared" si="541"/>
        <v>0</v>
      </c>
      <c r="R325" s="435"/>
      <c r="S325" s="436">
        <f t="shared" si="458"/>
        <v>0</v>
      </c>
      <c r="T325" s="437">
        <f t="shared" si="542"/>
        <v>0</v>
      </c>
      <c r="U325" s="437">
        <f t="shared" si="456"/>
        <v>0</v>
      </c>
      <c r="V325" s="437">
        <f t="shared" si="544"/>
        <v>0</v>
      </c>
      <c r="W325" s="300"/>
      <c r="X325" s="131"/>
      <c r="Z325" s="162"/>
      <c r="AA325" s="162"/>
      <c r="AB325" s="162"/>
      <c r="AC325" s="162"/>
      <c r="AD325" s="162"/>
      <c r="AE325" s="163"/>
      <c r="AF325" s="162"/>
      <c r="AG325" s="162"/>
      <c r="AH325" s="162"/>
      <c r="AI325" s="162"/>
      <c r="AJ325" s="162"/>
      <c r="AK325" s="162"/>
      <c r="AL325" s="162"/>
      <c r="AM325" s="162"/>
      <c r="AN325" s="164"/>
      <c r="AO325" s="164"/>
      <c r="AP325" s="166"/>
      <c r="AQ325" s="161"/>
      <c r="AR325" s="161"/>
      <c r="AS325" s="161"/>
      <c r="AT325" s="161"/>
      <c r="AU325" s="161"/>
    </row>
    <row r="326" spans="1:47">
      <c r="A326" s="471">
        <f t="shared" si="548"/>
        <v>46233</v>
      </c>
      <c r="B326" s="497"/>
      <c r="C326" s="426"/>
      <c r="D326" s="427">
        <f t="shared" si="532"/>
        <v>0</v>
      </c>
      <c r="E326" s="428">
        <f t="shared" si="545"/>
        <v>0</v>
      </c>
      <c r="F326" s="428">
        <f t="shared" si="546"/>
        <v>0</v>
      </c>
      <c r="G326" s="428">
        <f t="shared" si="536"/>
        <v>0</v>
      </c>
      <c r="H326" s="429"/>
      <c r="I326" s="430">
        <f t="shared" si="513"/>
        <v>0</v>
      </c>
      <c r="J326" s="431">
        <f t="shared" si="537"/>
        <v>0</v>
      </c>
      <c r="K326" s="431">
        <f t="shared" si="547"/>
        <v>0</v>
      </c>
      <c r="L326" s="431">
        <f t="shared" si="538"/>
        <v>0</v>
      </c>
      <c r="M326" s="432"/>
      <c r="N326" s="433">
        <f t="shared" si="457"/>
        <v>0</v>
      </c>
      <c r="O326" s="434">
        <f t="shared" si="539"/>
        <v>0</v>
      </c>
      <c r="P326" s="434">
        <f t="shared" si="455"/>
        <v>0</v>
      </c>
      <c r="Q326" s="434">
        <f t="shared" si="541"/>
        <v>0</v>
      </c>
      <c r="R326" s="435"/>
      <c r="S326" s="436">
        <f t="shared" si="458"/>
        <v>0</v>
      </c>
      <c r="T326" s="437">
        <f t="shared" si="542"/>
        <v>0</v>
      </c>
      <c r="U326" s="437">
        <f t="shared" si="456"/>
        <v>0</v>
      </c>
      <c r="V326" s="437">
        <f t="shared" si="544"/>
        <v>0</v>
      </c>
      <c r="W326" s="300"/>
      <c r="X326" s="131"/>
      <c r="Z326" s="162"/>
      <c r="AA326" s="162"/>
      <c r="AB326" s="162"/>
      <c r="AC326" s="162"/>
      <c r="AD326" s="162"/>
      <c r="AE326" s="163"/>
      <c r="AF326" s="162"/>
      <c r="AG326" s="162"/>
      <c r="AH326" s="162"/>
      <c r="AI326" s="162"/>
      <c r="AJ326" s="162"/>
      <c r="AK326" s="162"/>
      <c r="AL326" s="162"/>
      <c r="AM326" s="162"/>
      <c r="AN326" s="164"/>
      <c r="AO326" s="164"/>
      <c r="AP326" s="166"/>
      <c r="AQ326" s="161"/>
      <c r="AR326" s="161"/>
      <c r="AS326" s="161"/>
      <c r="AT326" s="161"/>
      <c r="AU326" s="161"/>
    </row>
    <row r="327" spans="1:47">
      <c r="A327" s="471">
        <f t="shared" si="548"/>
        <v>46233</v>
      </c>
      <c r="B327" s="497"/>
      <c r="C327" s="426"/>
      <c r="D327" s="427">
        <f t="shared" si="532"/>
        <v>0</v>
      </c>
      <c r="E327" s="428">
        <f t="shared" si="545"/>
        <v>0</v>
      </c>
      <c r="F327" s="428">
        <f t="shared" si="546"/>
        <v>0</v>
      </c>
      <c r="G327" s="428">
        <f t="shared" si="536"/>
        <v>0</v>
      </c>
      <c r="H327" s="429"/>
      <c r="I327" s="430">
        <f t="shared" si="513"/>
        <v>0</v>
      </c>
      <c r="J327" s="431">
        <f t="shared" si="537"/>
        <v>0</v>
      </c>
      <c r="K327" s="431">
        <f t="shared" si="547"/>
        <v>0</v>
      </c>
      <c r="L327" s="431">
        <f t="shared" si="538"/>
        <v>0</v>
      </c>
      <c r="M327" s="432"/>
      <c r="N327" s="433">
        <f t="shared" si="457"/>
        <v>0</v>
      </c>
      <c r="O327" s="434">
        <f t="shared" si="539"/>
        <v>0</v>
      </c>
      <c r="P327" s="434">
        <f t="shared" si="455"/>
        <v>0</v>
      </c>
      <c r="Q327" s="434">
        <f t="shared" si="541"/>
        <v>0</v>
      </c>
      <c r="R327" s="435"/>
      <c r="S327" s="436">
        <f t="shared" si="458"/>
        <v>0</v>
      </c>
      <c r="T327" s="437">
        <f t="shared" si="542"/>
        <v>0</v>
      </c>
      <c r="U327" s="437">
        <f t="shared" si="456"/>
        <v>0</v>
      </c>
      <c r="V327" s="437">
        <f t="shared" si="544"/>
        <v>0</v>
      </c>
      <c r="W327" s="300"/>
      <c r="X327" s="131"/>
      <c r="Z327" s="162"/>
      <c r="AA327" s="162"/>
      <c r="AB327" s="162"/>
      <c r="AC327" s="162"/>
      <c r="AD327" s="162"/>
      <c r="AE327" s="163"/>
      <c r="AF327" s="162"/>
      <c r="AG327" s="162"/>
      <c r="AH327" s="162"/>
      <c r="AI327" s="162"/>
      <c r="AJ327" s="162"/>
      <c r="AK327" s="162"/>
      <c r="AL327" s="162"/>
      <c r="AM327" s="162"/>
      <c r="AN327" s="164"/>
      <c r="AO327" s="164"/>
      <c r="AP327" s="166"/>
      <c r="AQ327" s="161"/>
      <c r="AR327" s="161"/>
      <c r="AS327" s="161"/>
      <c r="AT327" s="161"/>
      <c r="AU327" s="161"/>
    </row>
    <row r="328" spans="1:47">
      <c r="A328" s="471">
        <f t="shared" si="548"/>
        <v>46233</v>
      </c>
      <c r="B328" s="497"/>
      <c r="C328" s="426"/>
      <c r="D328" s="427">
        <f t="shared" si="532"/>
        <v>0</v>
      </c>
      <c r="E328" s="428">
        <f t="shared" si="545"/>
        <v>0</v>
      </c>
      <c r="F328" s="428">
        <f t="shared" si="546"/>
        <v>0</v>
      </c>
      <c r="G328" s="428">
        <f t="shared" si="536"/>
        <v>0</v>
      </c>
      <c r="H328" s="429"/>
      <c r="I328" s="430">
        <f t="shared" si="513"/>
        <v>0</v>
      </c>
      <c r="J328" s="431">
        <f t="shared" si="537"/>
        <v>0</v>
      </c>
      <c r="K328" s="431">
        <f t="shared" si="547"/>
        <v>0</v>
      </c>
      <c r="L328" s="431">
        <f t="shared" si="538"/>
        <v>0</v>
      </c>
      <c r="M328" s="432"/>
      <c r="N328" s="433">
        <f t="shared" si="457"/>
        <v>0</v>
      </c>
      <c r="O328" s="434">
        <f t="shared" si="539"/>
        <v>0</v>
      </c>
      <c r="P328" s="434">
        <f t="shared" si="455"/>
        <v>0</v>
      </c>
      <c r="Q328" s="434">
        <f t="shared" si="541"/>
        <v>0</v>
      </c>
      <c r="R328" s="435"/>
      <c r="S328" s="436">
        <f t="shared" si="458"/>
        <v>0</v>
      </c>
      <c r="T328" s="437">
        <f t="shared" si="542"/>
        <v>0</v>
      </c>
      <c r="U328" s="437">
        <f t="shared" si="456"/>
        <v>0</v>
      </c>
      <c r="V328" s="437">
        <f t="shared" si="544"/>
        <v>0</v>
      </c>
      <c r="W328" s="300"/>
      <c r="X328" s="131"/>
      <c r="Z328" s="162"/>
      <c r="AA328" s="162"/>
      <c r="AB328" s="162"/>
      <c r="AC328" s="162"/>
      <c r="AD328" s="162"/>
      <c r="AE328" s="163"/>
      <c r="AF328" s="162"/>
      <c r="AG328" s="162"/>
      <c r="AH328" s="162"/>
      <c r="AI328" s="162"/>
      <c r="AJ328" s="162"/>
      <c r="AK328" s="162"/>
      <c r="AL328" s="162"/>
      <c r="AM328" s="162"/>
      <c r="AN328" s="164"/>
      <c r="AO328" s="164"/>
      <c r="AP328" s="166"/>
      <c r="AQ328" s="161"/>
      <c r="AR328" s="161"/>
      <c r="AS328" s="161"/>
      <c r="AT328" s="161"/>
      <c r="AU328" s="161"/>
    </row>
    <row r="329" spans="1:47">
      <c r="A329" s="471">
        <f t="shared" si="548"/>
        <v>46233</v>
      </c>
      <c r="B329" s="497"/>
      <c r="C329" s="426"/>
      <c r="D329" s="427">
        <f t="shared" si="532"/>
        <v>0</v>
      </c>
      <c r="E329" s="428">
        <f t="shared" si="545"/>
        <v>0</v>
      </c>
      <c r="F329" s="428">
        <f t="shared" si="546"/>
        <v>0</v>
      </c>
      <c r="G329" s="428">
        <f t="shared" si="536"/>
        <v>0</v>
      </c>
      <c r="H329" s="429"/>
      <c r="I329" s="430">
        <f t="shared" si="513"/>
        <v>0</v>
      </c>
      <c r="J329" s="431">
        <f t="shared" si="537"/>
        <v>0</v>
      </c>
      <c r="K329" s="431">
        <f t="shared" si="547"/>
        <v>0</v>
      </c>
      <c r="L329" s="431">
        <f t="shared" si="538"/>
        <v>0</v>
      </c>
      <c r="M329" s="432"/>
      <c r="N329" s="433">
        <f t="shared" si="457"/>
        <v>0</v>
      </c>
      <c r="O329" s="434">
        <f t="shared" si="539"/>
        <v>0</v>
      </c>
      <c r="P329" s="434">
        <f t="shared" si="455"/>
        <v>0</v>
      </c>
      <c r="Q329" s="434">
        <f t="shared" si="541"/>
        <v>0</v>
      </c>
      <c r="R329" s="435"/>
      <c r="S329" s="436">
        <f t="shared" si="458"/>
        <v>0</v>
      </c>
      <c r="T329" s="437">
        <f t="shared" si="542"/>
        <v>0</v>
      </c>
      <c r="U329" s="437">
        <f t="shared" si="456"/>
        <v>0</v>
      </c>
      <c r="V329" s="437">
        <f t="shared" si="544"/>
        <v>0</v>
      </c>
      <c r="W329" s="300"/>
      <c r="X329" s="131"/>
      <c r="Z329" s="162"/>
      <c r="AA329" s="162"/>
      <c r="AB329" s="162"/>
      <c r="AC329" s="162"/>
      <c r="AD329" s="162"/>
      <c r="AE329" s="163"/>
      <c r="AF329" s="162"/>
      <c r="AG329" s="162"/>
      <c r="AH329" s="162"/>
      <c r="AI329" s="162"/>
      <c r="AJ329" s="162"/>
      <c r="AK329" s="162"/>
      <c r="AL329" s="162"/>
      <c r="AM329" s="162"/>
      <c r="AN329" s="164"/>
      <c r="AO329" s="164"/>
      <c r="AP329" s="166"/>
      <c r="AQ329" s="161"/>
      <c r="AR329" s="161"/>
      <c r="AS329" s="161"/>
      <c r="AT329" s="161"/>
      <c r="AU329" s="161"/>
    </row>
    <row r="330" spans="1:47">
      <c r="A330" s="471">
        <f t="shared" si="548"/>
        <v>46233</v>
      </c>
      <c r="B330" s="497"/>
      <c r="C330" s="426"/>
      <c r="D330" s="427">
        <f t="shared" si="532"/>
        <v>0</v>
      </c>
      <c r="E330" s="428">
        <f t="shared" si="545"/>
        <v>0</v>
      </c>
      <c r="F330" s="428">
        <f t="shared" si="546"/>
        <v>0</v>
      </c>
      <c r="G330" s="428">
        <f t="shared" si="536"/>
        <v>0</v>
      </c>
      <c r="H330" s="429"/>
      <c r="I330" s="430">
        <f t="shared" si="513"/>
        <v>0</v>
      </c>
      <c r="J330" s="431">
        <f t="shared" si="537"/>
        <v>0</v>
      </c>
      <c r="K330" s="431">
        <f t="shared" si="547"/>
        <v>0</v>
      </c>
      <c r="L330" s="431">
        <f t="shared" si="538"/>
        <v>0</v>
      </c>
      <c r="M330" s="432"/>
      <c r="N330" s="433">
        <f t="shared" si="457"/>
        <v>0</v>
      </c>
      <c r="O330" s="434">
        <f t="shared" si="539"/>
        <v>0</v>
      </c>
      <c r="P330" s="434">
        <f t="shared" si="455"/>
        <v>0</v>
      </c>
      <c r="Q330" s="434">
        <f t="shared" si="541"/>
        <v>0</v>
      </c>
      <c r="R330" s="435"/>
      <c r="S330" s="436">
        <f t="shared" si="458"/>
        <v>0</v>
      </c>
      <c r="T330" s="437">
        <f t="shared" si="542"/>
        <v>0</v>
      </c>
      <c r="U330" s="437">
        <f t="shared" si="456"/>
        <v>0</v>
      </c>
      <c r="V330" s="437">
        <f t="shared" si="544"/>
        <v>0</v>
      </c>
      <c r="W330" s="300"/>
      <c r="X330" s="131"/>
      <c r="Z330" s="162"/>
      <c r="AA330" s="162"/>
      <c r="AB330" s="162"/>
      <c r="AC330" s="162"/>
      <c r="AD330" s="162"/>
      <c r="AE330" s="163"/>
      <c r="AF330" s="162"/>
      <c r="AG330" s="162"/>
      <c r="AH330" s="162"/>
      <c r="AI330" s="162"/>
      <c r="AJ330" s="162"/>
      <c r="AK330" s="162"/>
      <c r="AL330" s="162"/>
      <c r="AM330" s="162"/>
      <c r="AN330" s="164"/>
      <c r="AO330" s="164"/>
      <c r="AP330" s="166"/>
      <c r="AQ330" s="161"/>
      <c r="AR330" s="161"/>
      <c r="AS330" s="161"/>
      <c r="AT330" s="161"/>
      <c r="AU330" s="161"/>
    </row>
    <row r="331" spans="1:47">
      <c r="A331" s="471">
        <f t="shared" si="548"/>
        <v>46233</v>
      </c>
      <c r="B331" s="497"/>
      <c r="C331" s="426"/>
      <c r="D331" s="427">
        <f t="shared" si="532"/>
        <v>0</v>
      </c>
      <c r="E331" s="428">
        <f t="shared" si="545"/>
        <v>0</v>
      </c>
      <c r="F331" s="428">
        <f t="shared" si="546"/>
        <v>0</v>
      </c>
      <c r="G331" s="428">
        <f t="shared" si="536"/>
        <v>0</v>
      </c>
      <c r="H331" s="429"/>
      <c r="I331" s="430">
        <f t="shared" si="513"/>
        <v>0</v>
      </c>
      <c r="J331" s="431">
        <f t="shared" si="537"/>
        <v>0</v>
      </c>
      <c r="K331" s="431">
        <f t="shared" si="547"/>
        <v>0</v>
      </c>
      <c r="L331" s="431">
        <f t="shared" si="538"/>
        <v>0</v>
      </c>
      <c r="M331" s="432"/>
      <c r="N331" s="433">
        <f t="shared" si="457"/>
        <v>0</v>
      </c>
      <c r="O331" s="434">
        <f t="shared" si="539"/>
        <v>0</v>
      </c>
      <c r="P331" s="434">
        <f t="shared" si="455"/>
        <v>0</v>
      </c>
      <c r="Q331" s="434">
        <f t="shared" si="541"/>
        <v>0</v>
      </c>
      <c r="R331" s="435"/>
      <c r="S331" s="436">
        <f t="shared" si="458"/>
        <v>0</v>
      </c>
      <c r="T331" s="437">
        <f t="shared" si="542"/>
        <v>0</v>
      </c>
      <c r="U331" s="437">
        <f t="shared" si="456"/>
        <v>0</v>
      </c>
      <c r="V331" s="437">
        <f t="shared" si="544"/>
        <v>0</v>
      </c>
      <c r="W331" s="300"/>
      <c r="X331" s="131"/>
      <c r="Z331" s="162"/>
      <c r="AA331" s="162"/>
      <c r="AB331" s="162"/>
      <c r="AC331" s="162"/>
      <c r="AD331" s="162"/>
      <c r="AE331" s="163"/>
      <c r="AF331" s="162"/>
      <c r="AG331" s="162"/>
      <c r="AH331" s="162"/>
      <c r="AI331" s="162"/>
      <c r="AJ331" s="162"/>
      <c r="AK331" s="162"/>
      <c r="AL331" s="162"/>
      <c r="AM331" s="162"/>
      <c r="AN331" s="164"/>
      <c r="AO331" s="164"/>
      <c r="AP331" s="166"/>
      <c r="AQ331" s="161"/>
      <c r="AR331" s="161"/>
      <c r="AS331" s="161"/>
      <c r="AT331" s="161"/>
      <c r="AU331" s="161"/>
    </row>
    <row r="332" spans="1:47">
      <c r="A332" s="471">
        <f t="shared" si="548"/>
        <v>46233</v>
      </c>
      <c r="B332" s="497"/>
      <c r="C332" s="426"/>
      <c r="D332" s="427">
        <f t="shared" si="532"/>
        <v>0</v>
      </c>
      <c r="E332" s="428">
        <f t="shared" si="545"/>
        <v>0</v>
      </c>
      <c r="F332" s="428">
        <f t="shared" si="546"/>
        <v>0</v>
      </c>
      <c r="G332" s="428">
        <f t="shared" si="536"/>
        <v>0</v>
      </c>
      <c r="H332" s="429"/>
      <c r="I332" s="430">
        <f t="shared" si="513"/>
        <v>0</v>
      </c>
      <c r="J332" s="431">
        <f t="shared" si="537"/>
        <v>0</v>
      </c>
      <c r="K332" s="431">
        <f t="shared" si="547"/>
        <v>0</v>
      </c>
      <c r="L332" s="431">
        <f t="shared" si="538"/>
        <v>0</v>
      </c>
      <c r="M332" s="432"/>
      <c r="N332" s="433">
        <f t="shared" si="457"/>
        <v>0</v>
      </c>
      <c r="O332" s="434">
        <f t="shared" si="539"/>
        <v>0</v>
      </c>
      <c r="P332" s="434">
        <f t="shared" si="455"/>
        <v>0</v>
      </c>
      <c r="Q332" s="434">
        <f t="shared" si="541"/>
        <v>0</v>
      </c>
      <c r="R332" s="435"/>
      <c r="S332" s="436">
        <f t="shared" si="458"/>
        <v>0</v>
      </c>
      <c r="T332" s="437">
        <f t="shared" si="542"/>
        <v>0</v>
      </c>
      <c r="U332" s="437">
        <f t="shared" si="456"/>
        <v>0</v>
      </c>
      <c r="V332" s="437">
        <f t="shared" si="544"/>
        <v>0</v>
      </c>
      <c r="W332" s="300"/>
      <c r="X332" s="131"/>
      <c r="Z332" s="162"/>
      <c r="AA332" s="162"/>
      <c r="AB332" s="162"/>
      <c r="AC332" s="162"/>
      <c r="AD332" s="162"/>
      <c r="AE332" s="163"/>
      <c r="AF332" s="162"/>
      <c r="AG332" s="162"/>
      <c r="AH332" s="162"/>
      <c r="AI332" s="162"/>
      <c r="AJ332" s="162"/>
      <c r="AK332" s="162"/>
      <c r="AL332" s="162"/>
      <c r="AM332" s="162"/>
      <c r="AN332" s="164"/>
      <c r="AO332" s="164"/>
      <c r="AP332" s="166"/>
      <c r="AQ332" s="161"/>
      <c r="AR332" s="161"/>
      <c r="AS332" s="161"/>
      <c r="AT332" s="161"/>
      <c r="AU332" s="161"/>
    </row>
    <row r="333" spans="1:47" ht="14.25">
      <c r="A333" s="471"/>
      <c r="B333" s="498" t="s">
        <v>118</v>
      </c>
      <c r="C333" s="438">
        <f>SUM(C323:C332)</f>
        <v>0</v>
      </c>
      <c r="D333" s="439">
        <f t="shared" si="532"/>
        <v>0</v>
      </c>
      <c r="E333" s="438">
        <f>SUM(E323:E332)</f>
        <v>0</v>
      </c>
      <c r="F333" s="463">
        <f>SUM(F323:F332)</f>
        <v>0</v>
      </c>
      <c r="G333" s="463">
        <f>SUM(G323:G332)</f>
        <v>0</v>
      </c>
      <c r="H333" s="440">
        <f>SUM(H323:H332)</f>
        <v>0</v>
      </c>
      <c r="I333" s="441">
        <f t="shared" si="513"/>
        <v>0</v>
      </c>
      <c r="J333" s="440">
        <f>SUM(J323:J332)</f>
        <v>0</v>
      </c>
      <c r="K333" s="466">
        <f>SUM(K323:K332)</f>
        <v>0</v>
      </c>
      <c r="L333" s="466">
        <f>SUM(L323:L332)</f>
        <v>0</v>
      </c>
      <c r="M333" s="442">
        <f t="shared" ref="M333" si="549">SUM(M323:M332)</f>
        <v>0</v>
      </c>
      <c r="N333" s="443">
        <f t="shared" si="457"/>
        <v>0</v>
      </c>
      <c r="O333" s="442">
        <f t="shared" ref="O333:R333" si="550">SUM(O323:O332)</f>
        <v>0</v>
      </c>
      <c r="P333" s="468">
        <f t="shared" si="550"/>
        <v>0</v>
      </c>
      <c r="Q333" s="468">
        <f t="shared" si="550"/>
        <v>0</v>
      </c>
      <c r="R333" s="444">
        <f t="shared" si="550"/>
        <v>0</v>
      </c>
      <c r="S333" s="445">
        <f t="shared" si="458"/>
        <v>0</v>
      </c>
      <c r="T333" s="444">
        <f t="shared" ref="T333:V333" si="551">SUM(T323:T332)</f>
        <v>0</v>
      </c>
      <c r="U333" s="470">
        <f t="shared" si="551"/>
        <v>0</v>
      </c>
      <c r="V333" s="470">
        <f t="shared" si="551"/>
        <v>0</v>
      </c>
      <c r="W333" s="300"/>
      <c r="X333" s="131"/>
      <c r="Z333" s="162"/>
      <c r="AA333" s="162"/>
      <c r="AB333" s="162"/>
      <c r="AC333" s="162"/>
      <c r="AD333" s="162"/>
      <c r="AE333" s="163"/>
      <c r="AF333" s="162"/>
      <c r="AG333" s="162"/>
      <c r="AH333" s="162"/>
      <c r="AI333" s="162"/>
      <c r="AJ333" s="162"/>
      <c r="AK333" s="162"/>
      <c r="AL333" s="162"/>
      <c r="AM333" s="162"/>
      <c r="AN333" s="164"/>
      <c r="AO333" s="164"/>
      <c r="AP333" s="166"/>
      <c r="AQ333" s="161"/>
      <c r="AR333" s="161"/>
      <c r="AS333" s="161"/>
      <c r="AT333" s="161"/>
      <c r="AU333" s="161"/>
    </row>
    <row r="334" spans="1:47">
      <c r="A334" s="472">
        <f>+A323+1</f>
        <v>46234</v>
      </c>
      <c r="B334" s="497"/>
      <c r="C334" s="426"/>
      <c r="D334" s="427">
        <f t="shared" si="532"/>
        <v>0</v>
      </c>
      <c r="E334" s="428">
        <f>+D334/0.0125*0.125</f>
        <v>0</v>
      </c>
      <c r="F334" s="428">
        <f>+E334/1500</f>
        <v>0</v>
      </c>
      <c r="G334" s="428">
        <f t="shared" ref="G334:G343" si="552">+D334/0.0125*0.000318</f>
        <v>0</v>
      </c>
      <c r="H334" s="429"/>
      <c r="I334" s="430">
        <f t="shared" si="513"/>
        <v>0</v>
      </c>
      <c r="J334" s="431">
        <f t="shared" ref="J334:J343" si="553">+I334/0.0185*0.185</f>
        <v>0</v>
      </c>
      <c r="K334" s="431">
        <f>+J334/1500</f>
        <v>0</v>
      </c>
      <c r="L334" s="431">
        <f t="shared" ref="L334:L343" si="554">+I334/0.0185*0.000318</f>
        <v>0</v>
      </c>
      <c r="M334" s="432"/>
      <c r="N334" s="433">
        <f t="shared" si="457"/>
        <v>0</v>
      </c>
      <c r="O334" s="434">
        <f t="shared" ref="O334:O343" si="555">+N334/0.0185*0.185</f>
        <v>0</v>
      </c>
      <c r="P334" s="434">
        <f t="shared" ref="P334:P343" si="556">+O334/1500</f>
        <v>0</v>
      </c>
      <c r="Q334" s="434">
        <f t="shared" ref="Q334:Q343" si="557">+N334/0.0185*0.000318</f>
        <v>0</v>
      </c>
      <c r="R334" s="435"/>
      <c r="S334" s="436">
        <f t="shared" si="458"/>
        <v>0</v>
      </c>
      <c r="T334" s="437">
        <f t="shared" ref="T334:T343" si="558">+S334/0.0185*0.185</f>
        <v>0</v>
      </c>
      <c r="U334" s="437">
        <f t="shared" ref="U334:U343" si="559">+T334/1500</f>
        <v>0</v>
      </c>
      <c r="V334" s="437">
        <f t="shared" ref="V334:V343" si="560">+S334/0.0185*0.000318</f>
        <v>0</v>
      </c>
      <c r="W334" s="300"/>
      <c r="X334" s="131">
        <f>+W334*2.4</f>
        <v>0</v>
      </c>
      <c r="Z334" s="162" t="str">
        <f>IFERROR((D334/'REKAPAN OKEY AYAM'!$AC34),"-")</f>
        <v>-</v>
      </c>
      <c r="AA334" s="162" t="str">
        <f>IFERROR((I334/'REKAPAN CHAMP AYAM'!$AC34),"-")</f>
        <v>-</v>
      </c>
      <c r="AB334" s="162" t="str">
        <f>IFERROR((N334/'REKAPAN CHAMP SAPI'!AC34),"-")</f>
        <v>-</v>
      </c>
      <c r="AC334" s="162" t="str">
        <f>IFERROR((S334/'REKAPAN CHAMP OTAK-OTAK'!AC34),"-")</f>
        <v>-</v>
      </c>
      <c r="AD334" s="162" t="str">
        <f>IFERROR((X334/'REKAPAN FIESTA'!AC34),"-")</f>
        <v>-</v>
      </c>
      <c r="AE334" s="163"/>
      <c r="AF334" s="162" t="str">
        <f t="shared" si="39"/>
        <v>-</v>
      </c>
      <c r="AG334" s="162" t="str">
        <f>IFERROR(((D334/0.0125*0.000318)/#REF!),"-")</f>
        <v>-</v>
      </c>
      <c r="AH334" s="162" t="str">
        <f t="shared" si="40"/>
        <v>-</v>
      </c>
      <c r="AI334" s="162" t="str">
        <f>IFERROR(((I334/0.0185*0.000318)/#REF!),"-")</f>
        <v>-</v>
      </c>
      <c r="AJ334" s="162" t="str">
        <f t="shared" si="41"/>
        <v>-</v>
      </c>
      <c r="AK334" s="162" t="str">
        <f>IFERROR(((N334/0.0185*0.000318)/#REF!),"-")</f>
        <v>-</v>
      </c>
      <c r="AL334" s="162" t="str">
        <f t="shared" si="42"/>
        <v>-</v>
      </c>
      <c r="AM334" s="162" t="str">
        <f>IFERROR(((S334/0.0185*0.000318)/#REF!),"-")</f>
        <v>-</v>
      </c>
      <c r="AN334" s="164"/>
      <c r="AO334" s="164"/>
      <c r="AP334" s="166"/>
      <c r="AQ334" s="161" t="str">
        <f>IFERROR(('REKAPAN OKEY AYAM'!$AD34),"-")</f>
        <v>-</v>
      </c>
      <c r="AR334" s="161">
        <f>IFERROR(('REKAPAN CHAMP AYAM'!$AD34),"-")</f>
        <v>0</v>
      </c>
      <c r="AS334" s="161">
        <f>IFERROR(('REKAPAN CHAMP SAPI'!$AD34),"-")</f>
        <v>0</v>
      </c>
      <c r="AT334" s="161" t="str">
        <f>IFERROR(('REKAPAN CHAMP OTAK-OTAK'!$AD34),"-")</f>
        <v>-</v>
      </c>
      <c r="AU334" s="161">
        <f>IFERROR(('REKAPAN FIESTA'!$AD34),"-")</f>
        <v>0</v>
      </c>
    </row>
    <row r="335" spans="1:47">
      <c r="A335" s="471">
        <f>+$A334</f>
        <v>46234</v>
      </c>
      <c r="B335" s="497"/>
      <c r="C335" s="426"/>
      <c r="D335" s="427">
        <f t="shared" si="532"/>
        <v>0</v>
      </c>
      <c r="E335" s="428">
        <f t="shared" ref="E335:E343" si="561">+D335/0.0125*0.125</f>
        <v>0</v>
      </c>
      <c r="F335" s="428">
        <f t="shared" ref="F335:F343" si="562">+E335/1500</f>
        <v>0</v>
      </c>
      <c r="G335" s="428">
        <f t="shared" si="552"/>
        <v>0</v>
      </c>
      <c r="H335" s="429"/>
      <c r="I335" s="430">
        <f t="shared" si="513"/>
        <v>0</v>
      </c>
      <c r="J335" s="431">
        <f t="shared" si="553"/>
        <v>0</v>
      </c>
      <c r="K335" s="431">
        <f t="shared" ref="K335:K343" si="563">+J335/1500</f>
        <v>0</v>
      </c>
      <c r="L335" s="431">
        <f t="shared" si="554"/>
        <v>0</v>
      </c>
      <c r="M335" s="432"/>
      <c r="N335" s="433">
        <f t="shared" si="457"/>
        <v>0</v>
      </c>
      <c r="O335" s="434">
        <f t="shared" si="555"/>
        <v>0</v>
      </c>
      <c r="P335" s="434">
        <f t="shared" si="556"/>
        <v>0</v>
      </c>
      <c r="Q335" s="434">
        <f t="shared" si="557"/>
        <v>0</v>
      </c>
      <c r="R335" s="435"/>
      <c r="S335" s="436">
        <f t="shared" si="458"/>
        <v>0</v>
      </c>
      <c r="T335" s="437">
        <f t="shared" si="558"/>
        <v>0</v>
      </c>
      <c r="U335" s="437">
        <f t="shared" si="559"/>
        <v>0</v>
      </c>
      <c r="V335" s="437">
        <f t="shared" si="560"/>
        <v>0</v>
      </c>
      <c r="W335" s="300"/>
      <c r="X335" s="131"/>
      <c r="Z335" s="423"/>
      <c r="AA335" s="423"/>
      <c r="AB335" s="423"/>
      <c r="AC335" s="423"/>
      <c r="AD335" s="423"/>
      <c r="AE335" s="163"/>
      <c r="AF335" s="423"/>
      <c r="AG335" s="423"/>
      <c r="AH335" s="423"/>
      <c r="AI335" s="423"/>
      <c r="AJ335" s="423"/>
      <c r="AK335" s="423"/>
      <c r="AL335" s="423"/>
      <c r="AM335" s="423"/>
      <c r="AN335" s="424"/>
      <c r="AO335" s="424"/>
      <c r="AP335" s="166"/>
      <c r="AQ335" s="425"/>
      <c r="AR335" s="425"/>
      <c r="AS335" s="425"/>
      <c r="AT335" s="425"/>
      <c r="AU335" s="425"/>
    </row>
    <row r="336" spans="1:47">
      <c r="A336" s="471">
        <f t="shared" ref="A336:A343" si="564">+$A335</f>
        <v>46234</v>
      </c>
      <c r="B336" s="497"/>
      <c r="C336" s="426"/>
      <c r="D336" s="427">
        <f t="shared" si="532"/>
        <v>0</v>
      </c>
      <c r="E336" s="428">
        <f t="shared" si="561"/>
        <v>0</v>
      </c>
      <c r="F336" s="428">
        <f t="shared" si="562"/>
        <v>0</v>
      </c>
      <c r="G336" s="428">
        <f t="shared" si="552"/>
        <v>0</v>
      </c>
      <c r="H336" s="429"/>
      <c r="I336" s="430">
        <f t="shared" si="513"/>
        <v>0</v>
      </c>
      <c r="J336" s="431">
        <f t="shared" si="553"/>
        <v>0</v>
      </c>
      <c r="K336" s="431">
        <f t="shared" si="563"/>
        <v>0</v>
      </c>
      <c r="L336" s="431">
        <f t="shared" si="554"/>
        <v>0</v>
      </c>
      <c r="M336" s="432"/>
      <c r="N336" s="433">
        <f t="shared" ref="N336:N344" si="565">+M336*3.276</f>
        <v>0</v>
      </c>
      <c r="O336" s="434">
        <f t="shared" si="555"/>
        <v>0</v>
      </c>
      <c r="P336" s="434">
        <f t="shared" si="556"/>
        <v>0</v>
      </c>
      <c r="Q336" s="434">
        <f t="shared" si="557"/>
        <v>0</v>
      </c>
      <c r="R336" s="435"/>
      <c r="S336" s="436">
        <f t="shared" ref="S336:S344" si="566">+R336*3.276</f>
        <v>0</v>
      </c>
      <c r="T336" s="437">
        <f t="shared" si="558"/>
        <v>0</v>
      </c>
      <c r="U336" s="437">
        <f t="shared" si="559"/>
        <v>0</v>
      </c>
      <c r="V336" s="437">
        <f t="shared" si="560"/>
        <v>0</v>
      </c>
      <c r="W336" s="300"/>
      <c r="X336" s="131"/>
      <c r="Z336" s="423"/>
      <c r="AA336" s="423"/>
      <c r="AB336" s="423"/>
      <c r="AC336" s="423"/>
      <c r="AD336" s="423"/>
      <c r="AE336" s="163"/>
      <c r="AF336" s="423"/>
      <c r="AG336" s="423"/>
      <c r="AH336" s="423"/>
      <c r="AI336" s="423"/>
      <c r="AJ336" s="423"/>
      <c r="AK336" s="423"/>
      <c r="AL336" s="423"/>
      <c r="AM336" s="423"/>
      <c r="AN336" s="424"/>
      <c r="AO336" s="424"/>
      <c r="AP336" s="166"/>
      <c r="AQ336" s="425"/>
      <c r="AR336" s="425"/>
      <c r="AS336" s="425"/>
      <c r="AT336" s="425"/>
      <c r="AU336" s="425"/>
    </row>
    <row r="337" spans="1:47">
      <c r="A337" s="471">
        <f t="shared" si="564"/>
        <v>46234</v>
      </c>
      <c r="B337" s="497"/>
      <c r="C337" s="426"/>
      <c r="D337" s="427">
        <f t="shared" si="532"/>
        <v>0</v>
      </c>
      <c r="E337" s="428">
        <f t="shared" si="561"/>
        <v>0</v>
      </c>
      <c r="F337" s="428">
        <f t="shared" si="562"/>
        <v>0</v>
      </c>
      <c r="G337" s="428">
        <f t="shared" si="552"/>
        <v>0</v>
      </c>
      <c r="H337" s="429"/>
      <c r="I337" s="430">
        <f t="shared" si="513"/>
        <v>0</v>
      </c>
      <c r="J337" s="431">
        <f t="shared" si="553"/>
        <v>0</v>
      </c>
      <c r="K337" s="431">
        <f t="shared" si="563"/>
        <v>0</v>
      </c>
      <c r="L337" s="431">
        <f t="shared" si="554"/>
        <v>0</v>
      </c>
      <c r="M337" s="432"/>
      <c r="N337" s="433">
        <f t="shared" si="565"/>
        <v>0</v>
      </c>
      <c r="O337" s="434">
        <f t="shared" si="555"/>
        <v>0</v>
      </c>
      <c r="P337" s="434">
        <f t="shared" si="556"/>
        <v>0</v>
      </c>
      <c r="Q337" s="434">
        <f t="shared" si="557"/>
        <v>0</v>
      </c>
      <c r="R337" s="435"/>
      <c r="S337" s="436">
        <f t="shared" si="566"/>
        <v>0</v>
      </c>
      <c r="T337" s="437">
        <f t="shared" si="558"/>
        <v>0</v>
      </c>
      <c r="U337" s="437">
        <f t="shared" si="559"/>
        <v>0</v>
      </c>
      <c r="V337" s="437">
        <f t="shared" si="560"/>
        <v>0</v>
      </c>
      <c r="W337" s="300"/>
      <c r="X337" s="131"/>
      <c r="Z337" s="423"/>
      <c r="AA337" s="423"/>
      <c r="AB337" s="423"/>
      <c r="AC337" s="423"/>
      <c r="AD337" s="423"/>
      <c r="AE337" s="163"/>
      <c r="AF337" s="423"/>
      <c r="AG337" s="423"/>
      <c r="AH337" s="423"/>
      <c r="AI337" s="423"/>
      <c r="AJ337" s="423"/>
      <c r="AK337" s="423"/>
      <c r="AL337" s="423"/>
      <c r="AM337" s="423"/>
      <c r="AN337" s="424"/>
      <c r="AO337" s="424"/>
      <c r="AP337" s="166"/>
      <c r="AQ337" s="425"/>
      <c r="AR337" s="425"/>
      <c r="AS337" s="425"/>
      <c r="AT337" s="425"/>
      <c r="AU337" s="425"/>
    </row>
    <row r="338" spans="1:47">
      <c r="A338" s="471">
        <f t="shared" si="564"/>
        <v>46234</v>
      </c>
      <c r="B338" s="497"/>
      <c r="C338" s="426"/>
      <c r="D338" s="427">
        <f t="shared" si="532"/>
        <v>0</v>
      </c>
      <c r="E338" s="428">
        <f t="shared" si="561"/>
        <v>0</v>
      </c>
      <c r="F338" s="428">
        <f t="shared" si="562"/>
        <v>0</v>
      </c>
      <c r="G338" s="428">
        <f t="shared" si="552"/>
        <v>0</v>
      </c>
      <c r="H338" s="429"/>
      <c r="I338" s="430">
        <f t="shared" si="513"/>
        <v>0</v>
      </c>
      <c r="J338" s="431">
        <f t="shared" si="553"/>
        <v>0</v>
      </c>
      <c r="K338" s="431">
        <f t="shared" si="563"/>
        <v>0</v>
      </c>
      <c r="L338" s="431">
        <f t="shared" si="554"/>
        <v>0</v>
      </c>
      <c r="M338" s="432"/>
      <c r="N338" s="433">
        <f t="shared" si="565"/>
        <v>0</v>
      </c>
      <c r="O338" s="434">
        <f t="shared" si="555"/>
        <v>0</v>
      </c>
      <c r="P338" s="434">
        <f t="shared" si="556"/>
        <v>0</v>
      </c>
      <c r="Q338" s="434">
        <f t="shared" si="557"/>
        <v>0</v>
      </c>
      <c r="R338" s="435"/>
      <c r="S338" s="436">
        <f t="shared" si="566"/>
        <v>0</v>
      </c>
      <c r="T338" s="437">
        <f t="shared" si="558"/>
        <v>0</v>
      </c>
      <c r="U338" s="437">
        <f t="shared" si="559"/>
        <v>0</v>
      </c>
      <c r="V338" s="437">
        <f t="shared" si="560"/>
        <v>0</v>
      </c>
      <c r="W338" s="300"/>
      <c r="X338" s="131"/>
      <c r="Z338" s="423"/>
      <c r="AA338" s="423"/>
      <c r="AB338" s="423"/>
      <c r="AC338" s="423"/>
      <c r="AD338" s="423"/>
      <c r="AE338" s="163"/>
      <c r="AF338" s="423"/>
      <c r="AG338" s="423"/>
      <c r="AH338" s="423"/>
      <c r="AI338" s="423"/>
      <c r="AJ338" s="423"/>
      <c r="AK338" s="423"/>
      <c r="AL338" s="423"/>
      <c r="AM338" s="423"/>
      <c r="AN338" s="424"/>
      <c r="AO338" s="424"/>
      <c r="AP338" s="166"/>
      <c r="AQ338" s="425"/>
      <c r="AR338" s="425"/>
      <c r="AS338" s="425"/>
      <c r="AT338" s="425"/>
      <c r="AU338" s="425"/>
    </row>
    <row r="339" spans="1:47">
      <c r="A339" s="471">
        <f t="shared" si="564"/>
        <v>46234</v>
      </c>
      <c r="B339" s="497"/>
      <c r="C339" s="426"/>
      <c r="D339" s="427">
        <f t="shared" si="532"/>
        <v>0</v>
      </c>
      <c r="E339" s="428">
        <f t="shared" si="561"/>
        <v>0</v>
      </c>
      <c r="F339" s="428">
        <f t="shared" si="562"/>
        <v>0</v>
      </c>
      <c r="G339" s="428">
        <f t="shared" si="552"/>
        <v>0</v>
      </c>
      <c r="H339" s="429"/>
      <c r="I339" s="430">
        <f t="shared" si="513"/>
        <v>0</v>
      </c>
      <c r="J339" s="431">
        <f t="shared" si="553"/>
        <v>0</v>
      </c>
      <c r="K339" s="431">
        <f t="shared" si="563"/>
        <v>0</v>
      </c>
      <c r="L339" s="431">
        <f t="shared" si="554"/>
        <v>0</v>
      </c>
      <c r="M339" s="432"/>
      <c r="N339" s="433">
        <f t="shared" si="565"/>
        <v>0</v>
      </c>
      <c r="O339" s="434">
        <f t="shared" si="555"/>
        <v>0</v>
      </c>
      <c r="P339" s="434">
        <f t="shared" si="556"/>
        <v>0</v>
      </c>
      <c r="Q339" s="434">
        <f t="shared" si="557"/>
        <v>0</v>
      </c>
      <c r="R339" s="435"/>
      <c r="S339" s="436">
        <f t="shared" si="566"/>
        <v>0</v>
      </c>
      <c r="T339" s="437">
        <f t="shared" si="558"/>
        <v>0</v>
      </c>
      <c r="U339" s="437">
        <f t="shared" si="559"/>
        <v>0</v>
      </c>
      <c r="V339" s="437">
        <f t="shared" si="560"/>
        <v>0</v>
      </c>
      <c r="W339" s="300"/>
      <c r="X339" s="131"/>
      <c r="Z339" s="423"/>
      <c r="AA339" s="423"/>
      <c r="AB339" s="423"/>
      <c r="AC339" s="423"/>
      <c r="AD339" s="423"/>
      <c r="AE339" s="163"/>
      <c r="AF339" s="423"/>
      <c r="AG339" s="423"/>
      <c r="AH339" s="423"/>
      <c r="AI339" s="423"/>
      <c r="AJ339" s="423"/>
      <c r="AK339" s="423"/>
      <c r="AL339" s="423"/>
      <c r="AM339" s="423"/>
      <c r="AN339" s="424"/>
      <c r="AO339" s="424"/>
      <c r="AP339" s="166"/>
      <c r="AQ339" s="425"/>
      <c r="AR339" s="425"/>
      <c r="AS339" s="425"/>
      <c r="AT339" s="425"/>
      <c r="AU339" s="425"/>
    </row>
    <row r="340" spans="1:47">
      <c r="A340" s="471">
        <f t="shared" si="564"/>
        <v>46234</v>
      </c>
      <c r="B340" s="497"/>
      <c r="C340" s="426"/>
      <c r="D340" s="427">
        <f t="shared" si="532"/>
        <v>0</v>
      </c>
      <c r="E340" s="428">
        <f t="shared" si="561"/>
        <v>0</v>
      </c>
      <c r="F340" s="428">
        <f t="shared" si="562"/>
        <v>0</v>
      </c>
      <c r="G340" s="428">
        <f t="shared" si="552"/>
        <v>0</v>
      </c>
      <c r="H340" s="429"/>
      <c r="I340" s="430">
        <f t="shared" si="513"/>
        <v>0</v>
      </c>
      <c r="J340" s="431">
        <f t="shared" si="553"/>
        <v>0</v>
      </c>
      <c r="K340" s="431">
        <f t="shared" si="563"/>
        <v>0</v>
      </c>
      <c r="L340" s="431">
        <f t="shared" si="554"/>
        <v>0</v>
      </c>
      <c r="M340" s="432"/>
      <c r="N340" s="433">
        <f t="shared" si="565"/>
        <v>0</v>
      </c>
      <c r="O340" s="434">
        <f t="shared" si="555"/>
        <v>0</v>
      </c>
      <c r="P340" s="434">
        <f t="shared" si="556"/>
        <v>0</v>
      </c>
      <c r="Q340" s="434">
        <f t="shared" si="557"/>
        <v>0</v>
      </c>
      <c r="R340" s="435"/>
      <c r="S340" s="436">
        <f t="shared" si="566"/>
        <v>0</v>
      </c>
      <c r="T340" s="437">
        <f t="shared" si="558"/>
        <v>0</v>
      </c>
      <c r="U340" s="437">
        <f t="shared" si="559"/>
        <v>0</v>
      </c>
      <c r="V340" s="437">
        <f t="shared" si="560"/>
        <v>0</v>
      </c>
      <c r="W340" s="300"/>
      <c r="X340" s="131"/>
      <c r="Z340" s="423"/>
      <c r="AA340" s="423"/>
      <c r="AB340" s="423"/>
      <c r="AC340" s="423"/>
      <c r="AD340" s="423"/>
      <c r="AE340" s="163"/>
      <c r="AF340" s="423"/>
      <c r="AG340" s="423"/>
      <c r="AH340" s="423"/>
      <c r="AI340" s="423"/>
      <c r="AJ340" s="423"/>
      <c r="AK340" s="423"/>
      <c r="AL340" s="423"/>
      <c r="AM340" s="423"/>
      <c r="AN340" s="424"/>
      <c r="AO340" s="424"/>
      <c r="AP340" s="166"/>
      <c r="AQ340" s="425"/>
      <c r="AR340" s="425"/>
      <c r="AS340" s="425"/>
      <c r="AT340" s="425"/>
      <c r="AU340" s="425"/>
    </row>
    <row r="341" spans="1:47">
      <c r="A341" s="471">
        <f t="shared" si="564"/>
        <v>46234</v>
      </c>
      <c r="B341" s="497"/>
      <c r="C341" s="426"/>
      <c r="D341" s="427">
        <f t="shared" si="532"/>
        <v>0</v>
      </c>
      <c r="E341" s="428">
        <f t="shared" si="561"/>
        <v>0</v>
      </c>
      <c r="F341" s="428">
        <f t="shared" si="562"/>
        <v>0</v>
      </c>
      <c r="G341" s="428">
        <f t="shared" si="552"/>
        <v>0</v>
      </c>
      <c r="H341" s="429"/>
      <c r="I341" s="430">
        <f t="shared" si="513"/>
        <v>0</v>
      </c>
      <c r="J341" s="431">
        <f t="shared" si="553"/>
        <v>0</v>
      </c>
      <c r="K341" s="431">
        <f t="shared" si="563"/>
        <v>0</v>
      </c>
      <c r="L341" s="431">
        <f t="shared" si="554"/>
        <v>0</v>
      </c>
      <c r="M341" s="432"/>
      <c r="N341" s="433">
        <f t="shared" si="565"/>
        <v>0</v>
      </c>
      <c r="O341" s="434">
        <f t="shared" si="555"/>
        <v>0</v>
      </c>
      <c r="P341" s="434">
        <f t="shared" si="556"/>
        <v>0</v>
      </c>
      <c r="Q341" s="434">
        <f t="shared" si="557"/>
        <v>0</v>
      </c>
      <c r="R341" s="435"/>
      <c r="S341" s="436">
        <f t="shared" si="566"/>
        <v>0</v>
      </c>
      <c r="T341" s="437">
        <f t="shared" si="558"/>
        <v>0</v>
      </c>
      <c r="U341" s="437">
        <f t="shared" si="559"/>
        <v>0</v>
      </c>
      <c r="V341" s="437">
        <f t="shared" si="560"/>
        <v>0</v>
      </c>
      <c r="W341" s="300"/>
      <c r="X341" s="131"/>
      <c r="Z341" s="423"/>
      <c r="AA341" s="423"/>
      <c r="AB341" s="423"/>
      <c r="AC341" s="423"/>
      <c r="AD341" s="423"/>
      <c r="AE341" s="163"/>
      <c r="AF341" s="423"/>
      <c r="AG341" s="423"/>
      <c r="AH341" s="423"/>
      <c r="AI341" s="423"/>
      <c r="AJ341" s="423"/>
      <c r="AK341" s="423"/>
      <c r="AL341" s="423"/>
      <c r="AM341" s="423"/>
      <c r="AN341" s="424"/>
      <c r="AO341" s="424"/>
      <c r="AP341" s="166"/>
      <c r="AQ341" s="425"/>
      <c r="AR341" s="425"/>
      <c r="AS341" s="425"/>
      <c r="AT341" s="425"/>
      <c r="AU341" s="425"/>
    </row>
    <row r="342" spans="1:47">
      <c r="A342" s="471">
        <f t="shared" si="564"/>
        <v>46234</v>
      </c>
      <c r="B342" s="497"/>
      <c r="C342" s="426"/>
      <c r="D342" s="427">
        <f t="shared" si="532"/>
        <v>0</v>
      </c>
      <c r="E342" s="428">
        <f t="shared" si="561"/>
        <v>0</v>
      </c>
      <c r="F342" s="428">
        <f t="shared" si="562"/>
        <v>0</v>
      </c>
      <c r="G342" s="428">
        <f t="shared" si="552"/>
        <v>0</v>
      </c>
      <c r="H342" s="429"/>
      <c r="I342" s="430">
        <f t="shared" si="513"/>
        <v>0</v>
      </c>
      <c r="J342" s="431">
        <f t="shared" si="553"/>
        <v>0</v>
      </c>
      <c r="K342" s="431">
        <f t="shared" si="563"/>
        <v>0</v>
      </c>
      <c r="L342" s="431">
        <f t="shared" si="554"/>
        <v>0</v>
      </c>
      <c r="M342" s="432"/>
      <c r="N342" s="433">
        <f t="shared" si="565"/>
        <v>0</v>
      </c>
      <c r="O342" s="434">
        <f t="shared" si="555"/>
        <v>0</v>
      </c>
      <c r="P342" s="434">
        <f t="shared" si="556"/>
        <v>0</v>
      </c>
      <c r="Q342" s="434">
        <f t="shared" si="557"/>
        <v>0</v>
      </c>
      <c r="R342" s="435"/>
      <c r="S342" s="436">
        <f t="shared" si="566"/>
        <v>0</v>
      </c>
      <c r="T342" s="437">
        <f t="shared" si="558"/>
        <v>0</v>
      </c>
      <c r="U342" s="437">
        <f t="shared" si="559"/>
        <v>0</v>
      </c>
      <c r="V342" s="437">
        <f t="shared" si="560"/>
        <v>0</v>
      </c>
      <c r="W342" s="300"/>
      <c r="X342" s="131"/>
      <c r="Z342" s="423"/>
      <c r="AA342" s="423"/>
      <c r="AB342" s="423"/>
      <c r="AC342" s="423"/>
      <c r="AD342" s="423"/>
      <c r="AE342" s="163"/>
      <c r="AF342" s="423"/>
      <c r="AG342" s="423"/>
      <c r="AH342" s="423"/>
      <c r="AI342" s="423"/>
      <c r="AJ342" s="423"/>
      <c r="AK342" s="423"/>
      <c r="AL342" s="423"/>
      <c r="AM342" s="423"/>
      <c r="AN342" s="424"/>
      <c r="AO342" s="424"/>
      <c r="AP342" s="166"/>
      <c r="AQ342" s="425"/>
      <c r="AR342" s="425"/>
      <c r="AS342" s="425"/>
      <c r="AT342" s="425"/>
      <c r="AU342" s="425"/>
    </row>
    <row r="343" spans="1:47">
      <c r="A343" s="471">
        <f t="shared" si="564"/>
        <v>46234</v>
      </c>
      <c r="B343" s="497"/>
      <c r="C343" s="426"/>
      <c r="D343" s="427">
        <f t="shared" si="532"/>
        <v>0</v>
      </c>
      <c r="E343" s="428">
        <f t="shared" si="561"/>
        <v>0</v>
      </c>
      <c r="F343" s="428">
        <f t="shared" si="562"/>
        <v>0</v>
      </c>
      <c r="G343" s="428">
        <f t="shared" si="552"/>
        <v>0</v>
      </c>
      <c r="H343" s="429"/>
      <c r="I343" s="430">
        <f t="shared" si="513"/>
        <v>0</v>
      </c>
      <c r="J343" s="431">
        <f t="shared" si="553"/>
        <v>0</v>
      </c>
      <c r="K343" s="431">
        <f t="shared" si="563"/>
        <v>0</v>
      </c>
      <c r="L343" s="431">
        <f t="shared" si="554"/>
        <v>0</v>
      </c>
      <c r="M343" s="432"/>
      <c r="N343" s="433">
        <f t="shared" si="565"/>
        <v>0</v>
      </c>
      <c r="O343" s="434">
        <f t="shared" si="555"/>
        <v>0</v>
      </c>
      <c r="P343" s="434">
        <f t="shared" si="556"/>
        <v>0</v>
      </c>
      <c r="Q343" s="434">
        <f t="shared" si="557"/>
        <v>0</v>
      </c>
      <c r="R343" s="435"/>
      <c r="S343" s="436">
        <f t="shared" si="566"/>
        <v>0</v>
      </c>
      <c r="T343" s="437">
        <f t="shared" si="558"/>
        <v>0</v>
      </c>
      <c r="U343" s="437">
        <f t="shared" si="559"/>
        <v>0</v>
      </c>
      <c r="V343" s="437">
        <f t="shared" si="560"/>
        <v>0</v>
      </c>
      <c r="W343" s="300"/>
      <c r="X343" s="131"/>
      <c r="Z343" s="423"/>
      <c r="AA343" s="423"/>
      <c r="AB343" s="423"/>
      <c r="AC343" s="423"/>
      <c r="AD343" s="423"/>
      <c r="AE343" s="163"/>
      <c r="AF343" s="423"/>
      <c r="AG343" s="423"/>
      <c r="AH343" s="423"/>
      <c r="AI343" s="423"/>
      <c r="AJ343" s="423"/>
      <c r="AK343" s="423"/>
      <c r="AL343" s="423"/>
      <c r="AM343" s="423"/>
      <c r="AN343" s="424"/>
      <c r="AO343" s="424"/>
      <c r="AP343" s="166"/>
      <c r="AQ343" s="425"/>
      <c r="AR343" s="425"/>
      <c r="AS343" s="425"/>
      <c r="AT343" s="425"/>
      <c r="AU343" s="425"/>
    </row>
    <row r="344" spans="1:47" ht="14.25">
      <c r="A344" s="471"/>
      <c r="B344" s="498" t="s">
        <v>118</v>
      </c>
      <c r="C344" s="438">
        <f>SUM(C334:C343)</f>
        <v>0</v>
      </c>
      <c r="D344" s="439">
        <f t="shared" si="532"/>
        <v>0</v>
      </c>
      <c r="E344" s="438">
        <f>SUM(E334:E343)</f>
        <v>0</v>
      </c>
      <c r="F344" s="463">
        <f>SUM(F334:F343)</f>
        <v>0</v>
      </c>
      <c r="G344" s="463">
        <f>SUM(G334:G343)</f>
        <v>0</v>
      </c>
      <c r="H344" s="440">
        <f>SUM(H334:H343)</f>
        <v>0</v>
      </c>
      <c r="I344" s="441">
        <f t="shared" si="513"/>
        <v>0</v>
      </c>
      <c r="J344" s="440">
        <f>SUM(J334:J343)</f>
        <v>0</v>
      </c>
      <c r="K344" s="466">
        <f>SUM(K334:K343)</f>
        <v>0</v>
      </c>
      <c r="L344" s="466">
        <f>SUM(L334:L343)</f>
        <v>0</v>
      </c>
      <c r="M344" s="442">
        <f t="shared" ref="M344" si="567">SUM(M334:M343)</f>
        <v>0</v>
      </c>
      <c r="N344" s="443">
        <f t="shared" si="565"/>
        <v>0</v>
      </c>
      <c r="O344" s="442">
        <f t="shared" ref="O344:R344" si="568">SUM(O334:O343)</f>
        <v>0</v>
      </c>
      <c r="P344" s="468">
        <f t="shared" si="568"/>
        <v>0</v>
      </c>
      <c r="Q344" s="468">
        <f t="shared" si="568"/>
        <v>0</v>
      </c>
      <c r="R344" s="444">
        <f t="shared" si="568"/>
        <v>0</v>
      </c>
      <c r="S344" s="445">
        <f t="shared" si="566"/>
        <v>0</v>
      </c>
      <c r="T344" s="444">
        <f t="shared" ref="T344:V344" si="569">SUM(T334:T343)</f>
        <v>0</v>
      </c>
      <c r="U344" s="470">
        <f t="shared" si="569"/>
        <v>0</v>
      </c>
      <c r="V344" s="470">
        <f t="shared" si="569"/>
        <v>0</v>
      </c>
      <c r="W344" s="300"/>
      <c r="X344" s="131"/>
      <c r="Z344" s="423"/>
      <c r="AA344" s="423"/>
      <c r="AB344" s="423"/>
      <c r="AC344" s="423"/>
      <c r="AD344" s="423"/>
      <c r="AE344" s="163"/>
      <c r="AF344" s="423"/>
      <c r="AG344" s="423"/>
      <c r="AH344" s="423"/>
      <c r="AI344" s="423"/>
      <c r="AJ344" s="423"/>
      <c r="AK344" s="423"/>
      <c r="AL344" s="423"/>
      <c r="AM344" s="423"/>
      <c r="AN344" s="424"/>
      <c r="AO344" s="424"/>
      <c r="AP344" s="166"/>
      <c r="AQ344" s="425"/>
      <c r="AR344" s="425"/>
      <c r="AS344" s="425"/>
      <c r="AT344" s="425"/>
      <c r="AU344" s="425"/>
    </row>
    <row r="345" spans="1:47" ht="15">
      <c r="A345" s="446"/>
      <c r="B345" s="499"/>
      <c r="C345" s="447"/>
      <c r="D345" s="447"/>
      <c r="E345" s="447"/>
      <c r="F345" s="447"/>
      <c r="G345" s="447"/>
      <c r="H345" s="448"/>
      <c r="I345" s="448"/>
      <c r="J345" s="448"/>
      <c r="K345" s="448"/>
      <c r="L345" s="448"/>
      <c r="M345" s="449"/>
      <c r="N345" s="449"/>
      <c r="O345" s="449"/>
      <c r="P345" s="449"/>
      <c r="Q345" s="449"/>
      <c r="R345" s="450"/>
      <c r="S345" s="450"/>
      <c r="T345" s="450"/>
      <c r="U345" s="450"/>
      <c r="V345" s="450"/>
      <c r="Z345" s="167">
        <f>AVERAGE(Z4:Z334)</f>
        <v>0.26574488571265698</v>
      </c>
      <c r="AA345" s="167">
        <f>AVERAGE(AA4:AA334)</f>
        <v>0.45854104736131496</v>
      </c>
      <c r="AB345" s="167">
        <f>AVERAGE(AB4:AB334)</f>
        <v>0.47348510752761708</v>
      </c>
      <c r="AC345" s="167" t="e">
        <f>AVERAGE(AC4:AC334)</f>
        <v>#DIV/0!</v>
      </c>
      <c r="AD345" s="167" t="e">
        <f>AVERAGE(AD4:AD334)</f>
        <v>#DIV/0!</v>
      </c>
      <c r="AE345" s="163"/>
      <c r="AF345" s="167">
        <f>AVERAGE(AF4:AF334)</f>
        <v>1500</v>
      </c>
      <c r="AG345" s="167" t="e">
        <f t="shared" ref="AG345:AO345" si="570">AVERAGE(AG4:AG334)</f>
        <v>#DIV/0!</v>
      </c>
      <c r="AH345" s="167">
        <f t="shared" si="570"/>
        <v>1500</v>
      </c>
      <c r="AI345" s="167" t="e">
        <f t="shared" si="570"/>
        <v>#DIV/0!</v>
      </c>
      <c r="AJ345" s="167">
        <f t="shared" si="570"/>
        <v>1500</v>
      </c>
      <c r="AK345" s="167" t="e">
        <f t="shared" si="570"/>
        <v>#DIV/0!</v>
      </c>
      <c r="AL345" s="167" t="e">
        <f t="shared" si="570"/>
        <v>#DIV/0!</v>
      </c>
      <c r="AM345" s="167" t="e">
        <f t="shared" si="570"/>
        <v>#DIV/0!</v>
      </c>
      <c r="AN345" s="167" t="e">
        <f t="shared" si="570"/>
        <v>#DIV/0!</v>
      </c>
      <c r="AO345" s="167" t="e">
        <f t="shared" si="570"/>
        <v>#DIV/0!</v>
      </c>
      <c r="AP345" s="165"/>
      <c r="AQ345" s="357">
        <f>+'REKAPAN OKEY AYAM'!AD36</f>
        <v>0.86889560145698186</v>
      </c>
      <c r="AR345" s="357">
        <f>+'REKAPAN CHAMP AYAM'!AD36</f>
        <v>0.97132336917902318</v>
      </c>
      <c r="AS345" s="357">
        <f>+'REKAPAN CHAMP SAPI'!AD36</f>
        <v>0.95663698658241347</v>
      </c>
      <c r="AT345" s="357" t="e">
        <f>+'REKAPAN CHAMP OTAK-OTAK'!AD36</f>
        <v>#DIV/0!</v>
      </c>
      <c r="AU345" s="357">
        <f>AVERAGE(AU4:AU334)</f>
        <v>0</v>
      </c>
    </row>
    <row r="346" spans="1:47" ht="14.25">
      <c r="A346" s="446"/>
      <c r="B346" s="499"/>
      <c r="C346" s="451">
        <f>+C14+C25+C36+C47+C58+C69+C80+C91+C102+C113+C124+C135+C146+C157+C168+C179+C190+C201+C212+C223+C234+C245+C256+C267+C278+C289+C300+C311+C322+C333+C344</f>
        <v>38908</v>
      </c>
      <c r="D346" s="439">
        <f>+C346*3.875</f>
        <v>150768.5</v>
      </c>
      <c r="E346" s="452"/>
      <c r="F346" s="451">
        <f>+F14+F25+F36+F47+F58+F69+F80+F91+F102+F113+F124+F135+F146+F157+F168+F179+F190+F201+F212+F223+F234+F245+F256+F267+F278+F289+F300+F311+F322+F333+F344</f>
        <v>1005.1233333333334</v>
      </c>
      <c r="G346" s="452"/>
      <c r="H346" s="453">
        <f>+H14+H25+H36+H47+H58+H69+H80+H91+H102+H113+H124+H135+H146+H157+H168+H179+H190+H201+H212+H223+H234+H245+H256+H267+H278+H289+H300+H311+H322+H333+H344</f>
        <v>20468</v>
      </c>
      <c r="I346" s="454">
        <f>+H346*3.276</f>
        <v>67053.167999999991</v>
      </c>
      <c r="J346" s="441"/>
      <c r="K346" s="453">
        <f>+K14+K25+K36+K47+K58+K69+K80+K91+K102+K113+K124+K135+K146+K157+K168+K179+K190+K201+K212+K223+K234+K245+K256+K267+K278+K289+K300+K311+K322+K333+K344</f>
        <v>447.02112</v>
      </c>
      <c r="L346" s="441"/>
      <c r="M346" s="455">
        <f t="shared" ref="M346" si="571">+M14+M25+M36+M47+M58+M69+M80+M91+M102+M113+M124+M135+M146+M157+M168+M179+M190+M201+M212+M223+M234+M245+M256+M267+M278+M289+M300+M311+M322+M333+M344</f>
        <v>5397</v>
      </c>
      <c r="N346" s="456">
        <f>+M346*3.276</f>
        <v>17680.572</v>
      </c>
      <c r="O346" s="443"/>
      <c r="P346" s="455">
        <f t="shared" ref="P346" si="572">+P14+P25+P36+P47+P58+P69+P80+P91+P102+P113+P124+P135+P146+P157+P168+P179+P190+P201+P212+P223+P234+P245+P256+P267+P278+P289+P300+P311+P322+P333+P344</f>
        <v>117.87047999999999</v>
      </c>
      <c r="Q346" s="443"/>
      <c r="R346" s="457">
        <f t="shared" ref="R346" si="573">+R14+R25+R36+R47+R58+R69+R80+R91+R102+R113+R124+R135+R146+R157+R168+R179+R190+R201+R212+R223+R234+R245+R256+R267+R278+R289+R300+R311+R322+R333+R344</f>
        <v>0</v>
      </c>
      <c r="S346" s="458">
        <f>+R346*3.276</f>
        <v>0</v>
      </c>
      <c r="T346" s="445"/>
      <c r="U346" s="457">
        <f t="shared" ref="U346" si="574">+U14+U25+U36+U47+U58+U69+U80+U91+U102+U113+U124+U135+U146+U157+U168+U179+U190+U201+U212+U223+U234+U245+U256+U267+U278+U289+U300+U311+U322+U333+U344</f>
        <v>0</v>
      </c>
      <c r="V346" s="445"/>
      <c r="W346" s="133"/>
      <c r="X346" s="132">
        <f>SUM(X4:X345)</f>
        <v>0</v>
      </c>
      <c r="Y346" s="133"/>
      <c r="Z346" s="134"/>
    </row>
    <row r="347" spans="1:47">
      <c r="H347" s="596"/>
    </row>
    <row r="348" spans="1:47" ht="14.25">
      <c r="A348" s="190">
        <f>+D346+I346+N346+S346+X346</f>
        <v>235502.24</v>
      </c>
      <c r="B348" s="422"/>
    </row>
    <row r="349" spans="1:47">
      <c r="I349" s="131"/>
    </row>
    <row r="350" spans="1:47">
      <c r="C350" s="130"/>
    </row>
  </sheetData>
  <mergeCells count="23">
    <mergeCell ref="Z1:AD1"/>
    <mergeCell ref="AQ1:AU1"/>
    <mergeCell ref="W1:X1"/>
    <mergeCell ref="AF1:AN1"/>
    <mergeCell ref="C1:G1"/>
    <mergeCell ref="H1:L1"/>
    <mergeCell ref="M1:Q1"/>
    <mergeCell ref="R1:V1"/>
    <mergeCell ref="AF2:AG2"/>
    <mergeCell ref="AH2:AI2"/>
    <mergeCell ref="AJ2:AK2"/>
    <mergeCell ref="AL2:AM2"/>
    <mergeCell ref="AN2:AO2"/>
    <mergeCell ref="W2:X2"/>
    <mergeCell ref="T2:U2"/>
    <mergeCell ref="O2:P2"/>
    <mergeCell ref="E2:F2"/>
    <mergeCell ref="J2:K2"/>
    <mergeCell ref="B2:B3"/>
    <mergeCell ref="M2:N2"/>
    <mergeCell ref="C2:D2"/>
    <mergeCell ref="H2:I2"/>
    <mergeCell ref="R2:S2"/>
  </mergeCells>
  <pageMargins left="0.7" right="0.7" top="0.75" bottom="0.75" header="0.3" footer="0.3"/>
  <pageSetup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6"/>
  <dimension ref="A1:AK57"/>
  <sheetViews>
    <sheetView zoomScale="80" zoomScaleNormal="80" workbookViewId="0">
      <pane xSplit="1" ySplit="5" topLeftCell="B18" activePane="bottomRight" state="frozen"/>
      <selection activeCell="EE10" sqref="EE10"/>
      <selection pane="topRight" activeCell="EE10" sqref="EE10"/>
      <selection pane="bottomLeft" activeCell="EE10" sqref="EE10"/>
      <selection pane="bottomRight" activeCell="C31" sqref="C31"/>
    </sheetView>
  </sheetViews>
  <sheetFormatPr defaultRowHeight="16.5"/>
  <cols>
    <col min="1" max="1" width="28.140625" style="137" customWidth="1"/>
    <col min="2" max="2" width="14.42578125" style="137" customWidth="1"/>
    <col min="3" max="3" width="11.7109375" style="137" customWidth="1"/>
    <col min="4" max="4" width="14.42578125" style="137" customWidth="1"/>
    <col min="5" max="5" width="9.140625" style="137" customWidth="1"/>
    <col min="6" max="6" width="14.42578125" style="137" customWidth="1"/>
    <col min="7" max="7" width="10.42578125" style="137" customWidth="1"/>
    <col min="8" max="8" width="14.42578125" style="137" customWidth="1"/>
    <col min="9" max="9" width="9.140625" style="137"/>
    <col min="10" max="10" width="14.42578125" style="137" customWidth="1"/>
    <col min="11" max="11" width="9.140625" style="137"/>
    <col min="12" max="12" width="14.42578125" style="137" customWidth="1"/>
    <col min="13" max="13" width="9.140625" style="137"/>
    <col min="14" max="14" width="14.42578125" style="137" customWidth="1"/>
    <col min="15" max="15" width="9.140625" style="137"/>
    <col min="16" max="16" width="14.42578125" style="137" customWidth="1"/>
    <col min="17" max="17" width="9.140625" style="137"/>
    <col min="18" max="18" width="14.42578125" style="137" customWidth="1"/>
    <col min="19" max="19" width="9.140625" style="137"/>
    <col min="20" max="20" width="14.42578125" style="137" customWidth="1"/>
    <col min="21" max="21" width="9.140625" style="137"/>
    <col min="22" max="22" width="14.42578125" style="137" customWidth="1"/>
    <col min="23" max="23" width="9.140625" style="137"/>
    <col min="24" max="24" width="14.42578125" style="137" customWidth="1"/>
    <col min="25" max="25" width="9.140625" style="137"/>
    <col min="26" max="26" width="14.42578125" style="137" customWidth="1"/>
    <col min="27" max="27" width="9.140625" style="137"/>
    <col min="28" max="28" width="14.42578125" style="137" customWidth="1"/>
    <col min="29" max="29" width="9.140625" style="137"/>
    <col min="30" max="30" width="14.42578125" style="137" customWidth="1"/>
    <col min="31" max="31" width="9.140625" style="137"/>
    <col min="32" max="33" width="10.42578125" style="137" customWidth="1"/>
    <col min="34" max="35" width="9.140625" style="137"/>
    <col min="36" max="36" width="6.140625" style="137" customWidth="1"/>
    <col min="37" max="16384" width="9.140625" style="137"/>
  </cols>
  <sheetData>
    <row r="1" spans="1:34">
      <c r="J1" s="168"/>
    </row>
    <row r="2" spans="1:34">
      <c r="A2" s="138" t="s">
        <v>102</v>
      </c>
      <c r="D2" s="168"/>
      <c r="H2" s="168"/>
      <c r="J2" s="168"/>
    </row>
    <row r="3" spans="1:34" ht="16.5" customHeight="1">
      <c r="A3" s="640" t="s">
        <v>124</v>
      </c>
      <c r="B3" s="641" t="s">
        <v>102</v>
      </c>
      <c r="C3" s="642"/>
      <c r="D3" s="642"/>
      <c r="E3" s="642"/>
      <c r="F3" s="642"/>
      <c r="G3" s="643"/>
      <c r="H3" s="653" t="s">
        <v>120</v>
      </c>
      <c r="I3" s="654"/>
      <c r="J3" s="654"/>
      <c r="K3" s="654"/>
      <c r="L3" s="654"/>
      <c r="M3" s="655"/>
      <c r="N3" s="644" t="s">
        <v>121</v>
      </c>
      <c r="O3" s="645"/>
      <c r="P3" s="645"/>
      <c r="Q3" s="645"/>
      <c r="R3" s="645"/>
      <c r="S3" s="646"/>
      <c r="T3" s="631" t="s">
        <v>122</v>
      </c>
      <c r="U3" s="632"/>
      <c r="V3" s="632"/>
      <c r="W3" s="632"/>
      <c r="X3" s="632"/>
      <c r="Y3" s="633"/>
      <c r="Z3" s="626" t="s">
        <v>123</v>
      </c>
      <c r="AA3" s="627"/>
      <c r="AB3" s="627"/>
      <c r="AC3" s="627"/>
      <c r="AD3" s="627"/>
      <c r="AE3" s="628"/>
      <c r="AF3" s="623" t="s">
        <v>116</v>
      </c>
      <c r="AG3" s="623"/>
      <c r="AH3" s="622" t="s">
        <v>159</v>
      </c>
    </row>
    <row r="4" spans="1:34">
      <c r="A4" s="640"/>
      <c r="B4" s="643" t="s">
        <v>112</v>
      </c>
      <c r="C4" s="648"/>
      <c r="D4" s="648" t="s">
        <v>117</v>
      </c>
      <c r="E4" s="648"/>
      <c r="F4" s="649" t="s">
        <v>115</v>
      </c>
      <c r="G4" s="649"/>
      <c r="H4" s="655" t="s">
        <v>112</v>
      </c>
      <c r="I4" s="651"/>
      <c r="J4" s="651" t="s">
        <v>117</v>
      </c>
      <c r="K4" s="651"/>
      <c r="L4" s="650" t="s">
        <v>115</v>
      </c>
      <c r="M4" s="650"/>
      <c r="N4" s="646" t="s">
        <v>112</v>
      </c>
      <c r="O4" s="647"/>
      <c r="P4" s="647" t="s">
        <v>117</v>
      </c>
      <c r="Q4" s="647"/>
      <c r="R4" s="652" t="s">
        <v>115</v>
      </c>
      <c r="S4" s="652"/>
      <c r="T4" s="633" t="s">
        <v>112</v>
      </c>
      <c r="U4" s="634"/>
      <c r="V4" s="634" t="s">
        <v>117</v>
      </c>
      <c r="W4" s="634"/>
      <c r="X4" s="635" t="s">
        <v>115</v>
      </c>
      <c r="Y4" s="635"/>
      <c r="Z4" s="628" t="s">
        <v>112</v>
      </c>
      <c r="AA4" s="629"/>
      <c r="AB4" s="629" t="s">
        <v>117</v>
      </c>
      <c r="AC4" s="629"/>
      <c r="AD4" s="630" t="s">
        <v>115</v>
      </c>
      <c r="AE4" s="630"/>
      <c r="AF4" s="623"/>
      <c r="AG4" s="623"/>
      <c r="AH4" s="622"/>
    </row>
    <row r="5" spans="1:34">
      <c r="A5" s="640"/>
      <c r="B5" s="188" t="s">
        <v>4</v>
      </c>
      <c r="C5" s="169" t="s">
        <v>116</v>
      </c>
      <c r="D5" s="169" t="s">
        <v>4</v>
      </c>
      <c r="E5" s="169" t="s">
        <v>116</v>
      </c>
      <c r="F5" s="170" t="s">
        <v>4</v>
      </c>
      <c r="G5" s="170" t="s">
        <v>116</v>
      </c>
      <c r="H5" s="191" t="s">
        <v>4</v>
      </c>
      <c r="I5" s="192" t="s">
        <v>116</v>
      </c>
      <c r="J5" s="192" t="s">
        <v>4</v>
      </c>
      <c r="K5" s="192" t="s">
        <v>116</v>
      </c>
      <c r="L5" s="193" t="s">
        <v>4</v>
      </c>
      <c r="M5" s="193" t="s">
        <v>116</v>
      </c>
      <c r="N5" s="215" t="s">
        <v>4</v>
      </c>
      <c r="O5" s="216" t="s">
        <v>116</v>
      </c>
      <c r="P5" s="216" t="s">
        <v>4</v>
      </c>
      <c r="Q5" s="216" t="s">
        <v>116</v>
      </c>
      <c r="R5" s="217" t="s">
        <v>4</v>
      </c>
      <c r="S5" s="217" t="s">
        <v>116</v>
      </c>
      <c r="T5" s="227" t="s">
        <v>4</v>
      </c>
      <c r="U5" s="228" t="s">
        <v>116</v>
      </c>
      <c r="V5" s="228" t="s">
        <v>4</v>
      </c>
      <c r="W5" s="228" t="s">
        <v>116</v>
      </c>
      <c r="X5" s="229" t="s">
        <v>4</v>
      </c>
      <c r="Y5" s="229" t="s">
        <v>116</v>
      </c>
      <c r="Z5" s="202" t="s">
        <v>4</v>
      </c>
      <c r="AA5" s="203" t="s">
        <v>116</v>
      </c>
      <c r="AB5" s="203" t="s">
        <v>4</v>
      </c>
      <c r="AC5" s="203" t="s">
        <v>116</v>
      </c>
      <c r="AD5" s="204" t="s">
        <v>4</v>
      </c>
      <c r="AE5" s="204" t="s">
        <v>116</v>
      </c>
      <c r="AF5" s="334" t="s">
        <v>49</v>
      </c>
      <c r="AG5" s="334" t="s">
        <v>158</v>
      </c>
      <c r="AH5" s="622"/>
    </row>
    <row r="6" spans="1:34">
      <c r="A6" s="189">
        <f>+'HASIL PROD'!A4</f>
        <v>46204</v>
      </c>
      <c r="B6" s="171">
        <f>SUMIF('HASIL PROD'!$A$4:$A$343,A6,'HASIL PROD'!$D$4:$D$343)</f>
        <v>10210.625</v>
      </c>
      <c r="C6" s="289">
        <v>6.5</v>
      </c>
      <c r="D6" s="171">
        <v>14000.375</v>
      </c>
      <c r="E6" s="289">
        <v>8.5</v>
      </c>
      <c r="F6" s="173">
        <f t="shared" ref="F6:F36" si="0">+B6-D6</f>
        <v>-3789.75</v>
      </c>
      <c r="G6" s="179">
        <f t="shared" ref="G6:G36" si="1">+C6-E6</f>
        <v>-2</v>
      </c>
      <c r="H6" s="194">
        <f>SUMIF('HASIL PROD'!$A$4:$A$343,A6,'HASIL PROD'!$I$4:$I$343)</f>
        <v>1516.788</v>
      </c>
      <c r="I6" s="195">
        <v>1</v>
      </c>
      <c r="J6" s="194"/>
      <c r="K6" s="195"/>
      <c r="L6" s="196">
        <f>+H6-J6</f>
        <v>1516.788</v>
      </c>
      <c r="M6" s="197">
        <f>+I6-K6</f>
        <v>1</v>
      </c>
      <c r="N6" s="218">
        <f>SUMIF('HASIL PROD'!$A$4:$A$343,A6,'HASIL PROD'!$N$4:$N$343)</f>
        <v>0</v>
      </c>
      <c r="O6" s="219"/>
      <c r="P6" s="218"/>
      <c r="Q6" s="219"/>
      <c r="R6" s="220">
        <f>+N6-P6</f>
        <v>0</v>
      </c>
      <c r="S6" s="221">
        <f>+O6-Q6</f>
        <v>0</v>
      </c>
      <c r="T6" s="230">
        <f>SUMIF('HASIL PROD'!$A$4:$A$343,A6,'HASIL PROD'!$S$4:$S$344)</f>
        <v>0</v>
      </c>
      <c r="U6" s="231"/>
      <c r="V6" s="230"/>
      <c r="W6" s="231"/>
      <c r="X6" s="232">
        <f>+T6-V6</f>
        <v>0</v>
      </c>
      <c r="Y6" s="233">
        <f>+U6-W6</f>
        <v>0</v>
      </c>
      <c r="Z6" s="205">
        <f>+'HASIL PROD'!X4</f>
        <v>0</v>
      </c>
      <c r="AA6" s="206"/>
      <c r="AB6" s="205"/>
      <c r="AC6" s="206"/>
      <c r="AD6" s="207">
        <f>+Z6-AB6</f>
        <v>0</v>
      </c>
      <c r="AE6" s="208">
        <f>+AA6-AC6</f>
        <v>0</v>
      </c>
      <c r="AF6" s="306">
        <f>+C6</f>
        <v>6.5</v>
      </c>
      <c r="AG6" s="306">
        <f>+I6+O6+U6</f>
        <v>1</v>
      </c>
      <c r="AH6" s="141"/>
    </row>
    <row r="7" spans="1:34">
      <c r="A7" s="189">
        <f>+'HASIL PROD'!A15</f>
        <v>46205</v>
      </c>
      <c r="B7" s="171">
        <f>SUMIF('HASIL PROD'!$A$4:$A$343,A7,'HASIL PROD'!$D$4:$D$343)</f>
        <v>0</v>
      </c>
      <c r="C7" s="176"/>
      <c r="D7" s="171"/>
      <c r="E7" s="289"/>
      <c r="F7" s="173">
        <f t="shared" si="0"/>
        <v>0</v>
      </c>
      <c r="G7" s="179">
        <f t="shared" si="1"/>
        <v>0</v>
      </c>
      <c r="H7" s="194">
        <f>SUMIF('HASIL PROD'!$A$4:$A$343,A7,'HASIL PROD'!$I$4:$I$343)</f>
        <v>14447.16</v>
      </c>
      <c r="I7" s="195">
        <v>9</v>
      </c>
      <c r="J7" s="194">
        <v>16802.603999999999</v>
      </c>
      <c r="K7" s="195">
        <v>10</v>
      </c>
      <c r="L7" s="196">
        <f t="shared" ref="L7:L36" si="2">+H7-J7</f>
        <v>-2355.4439999999995</v>
      </c>
      <c r="M7" s="197">
        <f t="shared" ref="M7:M36" si="3">+I7-K7</f>
        <v>-1</v>
      </c>
      <c r="N7" s="218">
        <f>SUMIF('HASIL PROD'!$A$4:$A$343,A7,'HASIL PROD'!$N$4:$N$343)</f>
        <v>0</v>
      </c>
      <c r="O7" s="219"/>
      <c r="P7" s="218"/>
      <c r="Q7" s="219"/>
      <c r="R7" s="220">
        <f t="shared" ref="R7:R36" si="4">+N7-P7</f>
        <v>0</v>
      </c>
      <c r="S7" s="221">
        <f t="shared" ref="S7:S36" si="5">+O7-Q7</f>
        <v>0</v>
      </c>
      <c r="T7" s="230">
        <f>SUMIF('HASIL PROD'!$A$4:$A$343,A7,'HASIL PROD'!$S$4:$S$344)</f>
        <v>0</v>
      </c>
      <c r="U7" s="231"/>
      <c r="V7" s="230"/>
      <c r="W7" s="231"/>
      <c r="X7" s="232">
        <f t="shared" ref="X7:X36" si="6">+T7-V7</f>
        <v>0</v>
      </c>
      <c r="Y7" s="233">
        <f t="shared" ref="Y7:Y36" si="7">+U7-W7</f>
        <v>0</v>
      </c>
      <c r="Z7" s="205">
        <f>+'HASIL PROD'!X15</f>
        <v>0</v>
      </c>
      <c r="AA7" s="206"/>
      <c r="AB7" s="205"/>
      <c r="AC7" s="206"/>
      <c r="AD7" s="207">
        <f t="shared" ref="AD7:AD36" si="8">+Z7-AB7</f>
        <v>0</v>
      </c>
      <c r="AE7" s="208">
        <f t="shared" ref="AE7:AE36" si="9">+AA7-AC7</f>
        <v>0</v>
      </c>
      <c r="AF7" s="306">
        <f t="shared" ref="AF7:AF36" si="10">+C7</f>
        <v>0</v>
      </c>
      <c r="AG7" s="306">
        <f t="shared" ref="AG7:AG36" si="11">+I7+O7+U7</f>
        <v>9</v>
      </c>
      <c r="AH7" s="141"/>
    </row>
    <row r="8" spans="1:34">
      <c r="A8" s="189">
        <f>+'HASIL PROD'!A26</f>
        <v>46206</v>
      </c>
      <c r="B8" s="171">
        <f>SUMIF('HASIL PROD'!$A$4:$A$343,A8,'HASIL PROD'!$D$4:$D$343)</f>
        <v>0</v>
      </c>
      <c r="C8" s="176"/>
      <c r="D8" s="171"/>
      <c r="E8" s="289"/>
      <c r="F8" s="173">
        <f t="shared" si="0"/>
        <v>0</v>
      </c>
      <c r="G8" s="179">
        <f t="shared" si="1"/>
        <v>0</v>
      </c>
      <c r="H8" s="194">
        <f>SUMIF('HASIL PROD'!$A$4:$A$343,A8,'HASIL PROD'!$I$4:$I$343)</f>
        <v>14155.596</v>
      </c>
      <c r="I8" s="195">
        <v>8</v>
      </c>
      <c r="J8" s="194">
        <v>16805.879999999997</v>
      </c>
      <c r="K8" s="195">
        <v>10</v>
      </c>
      <c r="L8" s="196">
        <f t="shared" si="2"/>
        <v>-2650.2839999999978</v>
      </c>
      <c r="M8" s="197">
        <f t="shared" si="3"/>
        <v>-2</v>
      </c>
      <c r="N8" s="218">
        <f>SUMIF('HASIL PROD'!$A$4:$A$343,A8,'HASIL PROD'!$N$4:$N$343)</f>
        <v>0</v>
      </c>
      <c r="O8" s="219"/>
      <c r="P8" s="218"/>
      <c r="Q8" s="219"/>
      <c r="R8" s="220">
        <f t="shared" si="4"/>
        <v>0</v>
      </c>
      <c r="S8" s="221">
        <f t="shared" si="5"/>
        <v>0</v>
      </c>
      <c r="T8" s="230">
        <f>SUMIF('HASIL PROD'!$A$4:$A$343,A8,'HASIL PROD'!$S$4:$S$344)</f>
        <v>0</v>
      </c>
      <c r="U8" s="231"/>
      <c r="V8" s="230"/>
      <c r="W8" s="231"/>
      <c r="X8" s="232">
        <f t="shared" si="6"/>
        <v>0</v>
      </c>
      <c r="Y8" s="233">
        <f t="shared" si="7"/>
        <v>0</v>
      </c>
      <c r="Z8" s="205">
        <f>+'HASIL PROD'!X26</f>
        <v>0</v>
      </c>
      <c r="AA8" s="206"/>
      <c r="AB8" s="205"/>
      <c r="AC8" s="206"/>
      <c r="AD8" s="207">
        <f t="shared" si="8"/>
        <v>0</v>
      </c>
      <c r="AE8" s="208">
        <f t="shared" si="9"/>
        <v>0</v>
      </c>
      <c r="AF8" s="306">
        <f t="shared" si="10"/>
        <v>0</v>
      </c>
      <c r="AG8" s="306">
        <f t="shared" si="11"/>
        <v>8</v>
      </c>
      <c r="AH8" s="141"/>
    </row>
    <row r="9" spans="1:34">
      <c r="A9" s="189">
        <f>+'HASIL PROD'!A37</f>
        <v>46207</v>
      </c>
      <c r="B9" s="171">
        <f>SUMIF('HASIL PROD'!$A$4:$A$343,A9,'HASIL PROD'!$D$4:$D$343)</f>
        <v>0</v>
      </c>
      <c r="C9" s="176"/>
      <c r="D9" s="171"/>
      <c r="E9" s="289"/>
      <c r="F9" s="173">
        <f t="shared" si="0"/>
        <v>0</v>
      </c>
      <c r="G9" s="179">
        <f t="shared" si="1"/>
        <v>0</v>
      </c>
      <c r="H9" s="194">
        <f>SUMIF('HASIL PROD'!$A$4:$A$343,A9,'HASIL PROD'!$I$4:$I$343)</f>
        <v>0</v>
      </c>
      <c r="I9" s="293"/>
      <c r="J9" s="194"/>
      <c r="K9" s="195"/>
      <c r="L9" s="196">
        <f t="shared" si="2"/>
        <v>0</v>
      </c>
      <c r="M9" s="311">
        <f t="shared" si="3"/>
        <v>0</v>
      </c>
      <c r="N9" s="218">
        <f>SUMIF('HASIL PROD'!$A$4:$A$343,A9,'HASIL PROD'!$N$4:$N$343)</f>
        <v>0</v>
      </c>
      <c r="O9" s="295"/>
      <c r="P9" s="218"/>
      <c r="Q9" s="219"/>
      <c r="R9" s="220">
        <f t="shared" si="4"/>
        <v>0</v>
      </c>
      <c r="S9" s="355">
        <f t="shared" si="5"/>
        <v>0</v>
      </c>
      <c r="T9" s="230">
        <f>SUMIF('HASIL PROD'!$A$4:$A$343,A9,'HASIL PROD'!$S$4:$S$344)</f>
        <v>0</v>
      </c>
      <c r="U9" s="231"/>
      <c r="V9" s="230"/>
      <c r="W9" s="231"/>
      <c r="X9" s="232">
        <f t="shared" si="6"/>
        <v>0</v>
      </c>
      <c r="Y9" s="233">
        <f t="shared" si="7"/>
        <v>0</v>
      </c>
      <c r="Z9" s="205">
        <f>+'HASIL PROD'!X37</f>
        <v>0</v>
      </c>
      <c r="AA9" s="206"/>
      <c r="AB9" s="205"/>
      <c r="AC9" s="206"/>
      <c r="AD9" s="207">
        <f t="shared" si="8"/>
        <v>0</v>
      </c>
      <c r="AE9" s="208">
        <f t="shared" si="9"/>
        <v>0</v>
      </c>
      <c r="AF9" s="306">
        <f t="shared" si="10"/>
        <v>0</v>
      </c>
      <c r="AG9" s="306">
        <f t="shared" si="11"/>
        <v>0</v>
      </c>
      <c r="AH9" s="141"/>
    </row>
    <row r="10" spans="1:34">
      <c r="A10" s="189">
        <f>+'HASIL PROD'!A48</f>
        <v>46208</v>
      </c>
      <c r="B10" s="171">
        <f>SUMIF('HASIL PROD'!$A$4:$A$343,A10,'HASIL PROD'!$D$4:$D$343)</f>
        <v>0</v>
      </c>
      <c r="C10" s="176"/>
      <c r="D10" s="171"/>
      <c r="E10" s="289"/>
      <c r="F10" s="173">
        <f t="shared" si="0"/>
        <v>0</v>
      </c>
      <c r="G10" s="179">
        <f t="shared" si="1"/>
        <v>0</v>
      </c>
      <c r="H10" s="194">
        <f>SUMIF('HASIL PROD'!$A$4:$A$343,A10,'HASIL PROD'!$I$4:$I$343)</f>
        <v>0</v>
      </c>
      <c r="I10" s="336"/>
      <c r="J10" s="194"/>
      <c r="K10" s="293"/>
      <c r="L10" s="196">
        <f t="shared" si="2"/>
        <v>0</v>
      </c>
      <c r="M10" s="311">
        <f t="shared" si="3"/>
        <v>0</v>
      </c>
      <c r="N10" s="218">
        <f>SUMIF('HASIL PROD'!$A$4:$A$343,A10,'HASIL PROD'!$N$4:$N$343)</f>
        <v>0</v>
      </c>
      <c r="O10" s="295"/>
      <c r="P10" s="218"/>
      <c r="Q10" s="219"/>
      <c r="R10" s="220">
        <f t="shared" si="4"/>
        <v>0</v>
      </c>
      <c r="S10" s="221">
        <f t="shared" si="5"/>
        <v>0</v>
      </c>
      <c r="T10" s="230">
        <f>SUMIF('HASIL PROD'!$A$4:$A$343,A10,'HASIL PROD'!$S$4:$S$344)</f>
        <v>0</v>
      </c>
      <c r="U10" s="312"/>
      <c r="V10" s="230"/>
      <c r="W10" s="231"/>
      <c r="X10" s="232">
        <f t="shared" si="6"/>
        <v>0</v>
      </c>
      <c r="Y10" s="314">
        <f t="shared" si="7"/>
        <v>0</v>
      </c>
      <c r="Z10" s="205">
        <f>+'HASIL PROD'!X48</f>
        <v>0</v>
      </c>
      <c r="AA10" s="206"/>
      <c r="AB10" s="205"/>
      <c r="AC10" s="206"/>
      <c r="AD10" s="207">
        <f t="shared" si="8"/>
        <v>0</v>
      </c>
      <c r="AE10" s="208">
        <f t="shared" si="9"/>
        <v>0</v>
      </c>
      <c r="AF10" s="306">
        <f t="shared" si="10"/>
        <v>0</v>
      </c>
      <c r="AG10" s="306">
        <f t="shared" si="11"/>
        <v>0</v>
      </c>
      <c r="AH10" s="141"/>
    </row>
    <row r="11" spans="1:34">
      <c r="A11" s="189">
        <f>+'HASIL PROD'!A59</f>
        <v>46209</v>
      </c>
      <c r="B11" s="171">
        <f>SUMIF('HASIL PROD'!$A$4:$A$343,A11,'HASIL PROD'!$D$4:$D$343)</f>
        <v>1495.75</v>
      </c>
      <c r="C11" s="176">
        <v>1</v>
      </c>
      <c r="D11" s="171"/>
      <c r="E11" s="289"/>
      <c r="F11" s="173">
        <f t="shared" si="0"/>
        <v>1495.75</v>
      </c>
      <c r="G11" s="179">
        <f t="shared" si="1"/>
        <v>1</v>
      </c>
      <c r="H11" s="194">
        <f>SUMIF('HASIL PROD'!$A$4:$A$343,A11,'HASIL PROD'!$I$4:$I$343)</f>
        <v>0</v>
      </c>
      <c r="I11" s="195"/>
      <c r="J11" s="194"/>
      <c r="K11" s="195"/>
      <c r="L11" s="196">
        <f t="shared" si="2"/>
        <v>0</v>
      </c>
      <c r="M11" s="197">
        <f t="shared" si="3"/>
        <v>0</v>
      </c>
      <c r="N11" s="218">
        <f>SUMIF('HASIL PROD'!$A$4:$A$343,A11,'HASIL PROD'!$N$4:$N$343)</f>
        <v>0</v>
      </c>
      <c r="O11" s="295"/>
      <c r="P11" s="218"/>
      <c r="Q11" s="219"/>
      <c r="R11" s="220">
        <f t="shared" si="4"/>
        <v>0</v>
      </c>
      <c r="S11" s="221">
        <f t="shared" si="5"/>
        <v>0</v>
      </c>
      <c r="T11" s="230">
        <f>SUMIF('HASIL PROD'!$A$4:$A$343,A11,'HASIL PROD'!$S$4:$S$344)</f>
        <v>0</v>
      </c>
      <c r="U11" s="313"/>
      <c r="V11" s="230"/>
      <c r="W11" s="313"/>
      <c r="X11" s="232">
        <f t="shared" si="6"/>
        <v>0</v>
      </c>
      <c r="Y11" s="233">
        <f t="shared" si="7"/>
        <v>0</v>
      </c>
      <c r="Z11" s="205">
        <f>+'HASIL PROD'!X59</f>
        <v>0</v>
      </c>
      <c r="AA11" s="206"/>
      <c r="AB11" s="205"/>
      <c r="AC11" s="206"/>
      <c r="AD11" s="207">
        <f t="shared" si="8"/>
        <v>0</v>
      </c>
      <c r="AE11" s="208">
        <f t="shared" si="9"/>
        <v>0</v>
      </c>
      <c r="AF11" s="306">
        <f t="shared" si="10"/>
        <v>1</v>
      </c>
      <c r="AG11" s="306">
        <f t="shared" si="11"/>
        <v>0</v>
      </c>
      <c r="AH11" s="141"/>
    </row>
    <row r="12" spans="1:34">
      <c r="A12" s="189">
        <f>+'HASIL PROD'!A70</f>
        <v>46210</v>
      </c>
      <c r="B12" s="171">
        <f>SUMIF('HASIL PROD'!$A$4:$A$343,A12,'HASIL PROD'!$D$4:$D$343)</f>
        <v>12775.875</v>
      </c>
      <c r="C12" s="289">
        <v>8</v>
      </c>
      <c r="D12" s="171">
        <v>14004.25</v>
      </c>
      <c r="E12" s="289">
        <v>8.5</v>
      </c>
      <c r="F12" s="173">
        <f t="shared" si="0"/>
        <v>-1228.375</v>
      </c>
      <c r="G12" s="353">
        <f t="shared" si="1"/>
        <v>-0.5</v>
      </c>
      <c r="H12" s="194">
        <f>SUMIF('HASIL PROD'!$A$4:$A$343,A12,'HASIL PROD'!$I$4:$I$343)</f>
        <v>0</v>
      </c>
      <c r="I12" s="293"/>
      <c r="J12" s="194"/>
      <c r="K12" s="195"/>
      <c r="L12" s="196">
        <f t="shared" si="2"/>
        <v>0</v>
      </c>
      <c r="M12" s="197">
        <f t="shared" si="3"/>
        <v>0</v>
      </c>
      <c r="N12" s="218">
        <f>SUMIF('HASIL PROD'!$A$4:$A$343,A12,'HASIL PROD'!$N$4:$N$343)</f>
        <v>0</v>
      </c>
      <c r="O12" s="219"/>
      <c r="P12" s="218"/>
      <c r="Q12" s="219"/>
      <c r="R12" s="220">
        <f t="shared" si="4"/>
        <v>0</v>
      </c>
      <c r="S12" s="221">
        <f t="shared" si="5"/>
        <v>0</v>
      </c>
      <c r="T12" s="230">
        <f>SUMIF('HASIL PROD'!$A$4:$A$343,A12,'HASIL PROD'!$S$4:$S$344)</f>
        <v>0</v>
      </c>
      <c r="U12" s="231"/>
      <c r="V12" s="230"/>
      <c r="W12" s="231"/>
      <c r="X12" s="232">
        <f t="shared" si="6"/>
        <v>0</v>
      </c>
      <c r="Y12" s="233">
        <f t="shared" si="7"/>
        <v>0</v>
      </c>
      <c r="Z12" s="205">
        <f>+'HASIL PROD'!X70</f>
        <v>0</v>
      </c>
      <c r="AA12" s="206"/>
      <c r="AB12" s="205"/>
      <c r="AC12" s="206"/>
      <c r="AD12" s="207">
        <f t="shared" si="8"/>
        <v>0</v>
      </c>
      <c r="AE12" s="208">
        <f t="shared" si="9"/>
        <v>0</v>
      </c>
      <c r="AF12" s="306">
        <f t="shared" si="10"/>
        <v>8</v>
      </c>
      <c r="AG12" s="306">
        <f t="shared" si="11"/>
        <v>0</v>
      </c>
      <c r="AH12" s="141"/>
    </row>
    <row r="13" spans="1:34">
      <c r="A13" s="189">
        <f>+'HASIL PROD'!A81</f>
        <v>46211</v>
      </c>
      <c r="B13" s="171">
        <f>SUMIF('HASIL PROD'!$A$4:$A$343,A13,'HASIL PROD'!$D$4:$D$343)</f>
        <v>14426.625</v>
      </c>
      <c r="C13" s="176">
        <v>9</v>
      </c>
      <c r="D13" s="171">
        <v>14008.125</v>
      </c>
      <c r="E13" s="289">
        <v>8.5</v>
      </c>
      <c r="F13" s="173">
        <f t="shared" si="0"/>
        <v>418.5</v>
      </c>
      <c r="G13" s="179">
        <f t="shared" si="1"/>
        <v>0.5</v>
      </c>
      <c r="H13" s="194">
        <f>SUMIF('HASIL PROD'!$A$4:$A$343,A13,'HASIL PROD'!$I$4:$I$343)</f>
        <v>0</v>
      </c>
      <c r="I13" s="293"/>
      <c r="J13" s="194"/>
      <c r="K13" s="195"/>
      <c r="L13" s="196">
        <f t="shared" si="2"/>
        <v>0</v>
      </c>
      <c r="M13" s="197">
        <f t="shared" si="3"/>
        <v>0</v>
      </c>
      <c r="N13" s="218">
        <f>SUMIF('HASIL PROD'!$A$4:$A$343,A13,'HASIL PROD'!$N$4:$N$343)</f>
        <v>0</v>
      </c>
      <c r="O13" s="219"/>
      <c r="P13" s="218"/>
      <c r="Q13" s="219"/>
      <c r="R13" s="220">
        <f t="shared" si="4"/>
        <v>0</v>
      </c>
      <c r="S13" s="221">
        <f t="shared" si="5"/>
        <v>0</v>
      </c>
      <c r="T13" s="230">
        <f>SUMIF('HASIL PROD'!$A$4:$A$343,A13,'HASIL PROD'!$S$4:$S$344)</f>
        <v>0</v>
      </c>
      <c r="U13" s="313"/>
      <c r="V13" s="230"/>
      <c r="W13" s="231"/>
      <c r="X13" s="232">
        <f t="shared" si="6"/>
        <v>0</v>
      </c>
      <c r="Y13" s="318">
        <f t="shared" si="7"/>
        <v>0</v>
      </c>
      <c r="Z13" s="205">
        <f>+'HASIL PROD'!X81</f>
        <v>0</v>
      </c>
      <c r="AA13" s="206"/>
      <c r="AB13" s="205"/>
      <c r="AC13" s="206"/>
      <c r="AD13" s="207">
        <f t="shared" si="8"/>
        <v>0</v>
      </c>
      <c r="AE13" s="208">
        <f t="shared" si="9"/>
        <v>0</v>
      </c>
      <c r="AF13" s="306">
        <f t="shared" si="10"/>
        <v>9</v>
      </c>
      <c r="AG13" s="306">
        <f t="shared" si="11"/>
        <v>0</v>
      </c>
      <c r="AH13" s="141"/>
    </row>
    <row r="14" spans="1:34">
      <c r="A14" s="189">
        <f>+'HASIL PROD'!A92</f>
        <v>46212</v>
      </c>
      <c r="B14" s="171">
        <f>SUMIF('HASIL PROD'!$A$4:$A$343,A14,'HASIL PROD'!$D$4:$D$343)</f>
        <v>15209.375</v>
      </c>
      <c r="C14" s="289">
        <v>9</v>
      </c>
      <c r="D14" s="171">
        <v>14012</v>
      </c>
      <c r="E14" s="289">
        <v>8.5</v>
      </c>
      <c r="F14" s="173">
        <f t="shared" si="0"/>
        <v>1197.375</v>
      </c>
      <c r="G14" s="353">
        <f t="shared" si="1"/>
        <v>0.5</v>
      </c>
      <c r="H14" s="194">
        <f>SUMIF('HASIL PROD'!$A$4:$A$343,A14,'HASIL PROD'!$I$4:$I$343)</f>
        <v>0</v>
      </c>
      <c r="I14" s="195"/>
      <c r="J14" s="194"/>
      <c r="K14" s="195"/>
      <c r="L14" s="196">
        <f t="shared" si="2"/>
        <v>0</v>
      </c>
      <c r="M14" s="197">
        <f t="shared" si="3"/>
        <v>0</v>
      </c>
      <c r="N14" s="218">
        <f>SUMIF('HASIL PROD'!$A$4:$A$343,A14,'HASIL PROD'!$N$4:$N$343)</f>
        <v>0</v>
      </c>
      <c r="O14" s="219"/>
      <c r="P14" s="218"/>
      <c r="Q14" s="219"/>
      <c r="R14" s="220">
        <f t="shared" si="4"/>
        <v>0</v>
      </c>
      <c r="S14" s="221">
        <f t="shared" si="5"/>
        <v>0</v>
      </c>
      <c r="T14" s="230">
        <f>SUMIF('HASIL PROD'!$A$4:$A$343,A14,'HASIL PROD'!$S$4:$S$344)</f>
        <v>0</v>
      </c>
      <c r="U14" s="313"/>
      <c r="V14" s="230"/>
      <c r="W14" s="313"/>
      <c r="X14" s="232">
        <f t="shared" si="6"/>
        <v>0</v>
      </c>
      <c r="Y14" s="318">
        <f t="shared" si="7"/>
        <v>0</v>
      </c>
      <c r="Z14" s="205">
        <f>+'HASIL PROD'!X92</f>
        <v>0</v>
      </c>
      <c r="AA14" s="206"/>
      <c r="AB14" s="205"/>
      <c r="AC14" s="206"/>
      <c r="AD14" s="207">
        <f t="shared" si="8"/>
        <v>0</v>
      </c>
      <c r="AE14" s="208">
        <f t="shared" si="9"/>
        <v>0</v>
      </c>
      <c r="AF14" s="306">
        <f t="shared" si="10"/>
        <v>9</v>
      </c>
      <c r="AG14" s="306">
        <f t="shared" si="11"/>
        <v>0</v>
      </c>
      <c r="AH14" s="141"/>
    </row>
    <row r="15" spans="1:34">
      <c r="A15" s="189">
        <f>+'HASIL PROD'!A103</f>
        <v>46213</v>
      </c>
      <c r="B15" s="171">
        <f>SUMIF('HASIL PROD'!$A$4:$A$343,A15,'HASIL PROD'!$D$4:$D$343)</f>
        <v>14418.875</v>
      </c>
      <c r="C15" s="176">
        <v>9</v>
      </c>
      <c r="D15" s="171">
        <v>14015.875</v>
      </c>
      <c r="E15" s="289">
        <v>8.5</v>
      </c>
      <c r="F15" s="173">
        <f t="shared" si="0"/>
        <v>403</v>
      </c>
      <c r="G15" s="179">
        <f t="shared" si="1"/>
        <v>0.5</v>
      </c>
      <c r="H15" s="194">
        <f>SUMIF('HASIL PROD'!$A$4:$A$343,A15,'HASIL PROD'!$I$4:$I$343)</f>
        <v>0</v>
      </c>
      <c r="I15" s="293"/>
      <c r="J15" s="194"/>
      <c r="K15" s="195"/>
      <c r="L15" s="196">
        <f t="shared" si="2"/>
        <v>0</v>
      </c>
      <c r="M15" s="311">
        <f t="shared" si="3"/>
        <v>0</v>
      </c>
      <c r="N15" s="218">
        <f>SUMIF('HASIL PROD'!$A$4:$A$343,A15,'HASIL PROD'!$N$4:$N$343)</f>
        <v>0</v>
      </c>
      <c r="O15" s="295"/>
      <c r="P15" s="218"/>
      <c r="Q15" s="219"/>
      <c r="R15" s="220">
        <f t="shared" si="4"/>
        <v>0</v>
      </c>
      <c r="S15" s="355">
        <f t="shared" si="5"/>
        <v>0</v>
      </c>
      <c r="T15" s="230">
        <f>SUMIF('HASIL PROD'!$A$4:$A$343,A15,'HASIL PROD'!$S$4:$S$344)</f>
        <v>0</v>
      </c>
      <c r="U15" s="231"/>
      <c r="V15" s="230"/>
      <c r="W15" s="313"/>
      <c r="X15" s="232">
        <f t="shared" si="6"/>
        <v>0</v>
      </c>
      <c r="Y15" s="318">
        <f t="shared" si="7"/>
        <v>0</v>
      </c>
      <c r="Z15" s="205">
        <f>+'HASIL PROD'!X103</f>
        <v>0</v>
      </c>
      <c r="AA15" s="206"/>
      <c r="AB15" s="205"/>
      <c r="AC15" s="206"/>
      <c r="AD15" s="207">
        <f t="shared" si="8"/>
        <v>0</v>
      </c>
      <c r="AE15" s="208">
        <f t="shared" si="9"/>
        <v>0</v>
      </c>
      <c r="AF15" s="306">
        <f t="shared" si="10"/>
        <v>9</v>
      </c>
      <c r="AG15" s="306">
        <f t="shared" si="11"/>
        <v>0</v>
      </c>
      <c r="AH15" s="141"/>
    </row>
    <row r="16" spans="1:34">
      <c r="A16" s="189">
        <f>+'HASIL PROD'!A114</f>
        <v>46214</v>
      </c>
      <c r="B16" s="171">
        <f>SUMIF('HASIL PROD'!$A$4:$A$343,A16,'HASIL PROD'!$D$4:$D$343)</f>
        <v>0</v>
      </c>
      <c r="C16" s="176"/>
      <c r="D16" s="171"/>
      <c r="E16" s="289"/>
      <c r="F16" s="173">
        <f t="shared" si="0"/>
        <v>0</v>
      </c>
      <c r="G16" s="179">
        <f t="shared" si="1"/>
        <v>0</v>
      </c>
      <c r="H16" s="194">
        <f>SUMIF('HASIL PROD'!$A$4:$A$343,A16,'HASIL PROD'!$I$4:$I$343)</f>
        <v>0</v>
      </c>
      <c r="I16" s="293"/>
      <c r="J16" s="194"/>
      <c r="K16" s="195"/>
      <c r="L16" s="196">
        <f t="shared" si="2"/>
        <v>0</v>
      </c>
      <c r="M16" s="197">
        <f t="shared" si="3"/>
        <v>0</v>
      </c>
      <c r="N16" s="218">
        <f>SUMIF('HASIL PROD'!$A$4:$A$343,A16,'HASIL PROD'!$N$4:$N$343)</f>
        <v>0</v>
      </c>
      <c r="O16" s="295"/>
      <c r="P16" s="218"/>
      <c r="Q16" s="295"/>
      <c r="R16" s="220">
        <f t="shared" si="4"/>
        <v>0</v>
      </c>
      <c r="S16" s="355">
        <f t="shared" si="5"/>
        <v>0</v>
      </c>
      <c r="T16" s="230">
        <f>SUMIF('HASIL PROD'!$A$4:$A$343,A16,'HASIL PROD'!$S$4:$S$344)</f>
        <v>0</v>
      </c>
      <c r="U16" s="231"/>
      <c r="V16" s="230"/>
      <c r="W16" s="231"/>
      <c r="X16" s="232">
        <f t="shared" si="6"/>
        <v>0</v>
      </c>
      <c r="Y16" s="318">
        <f t="shared" si="7"/>
        <v>0</v>
      </c>
      <c r="Z16" s="205">
        <f>+'HASIL PROD'!X114</f>
        <v>0</v>
      </c>
      <c r="AA16" s="206"/>
      <c r="AB16" s="205"/>
      <c r="AC16" s="206"/>
      <c r="AD16" s="207">
        <f t="shared" si="8"/>
        <v>0</v>
      </c>
      <c r="AE16" s="208">
        <f t="shared" si="9"/>
        <v>0</v>
      </c>
      <c r="AF16" s="306">
        <f t="shared" si="10"/>
        <v>0</v>
      </c>
      <c r="AG16" s="306">
        <f t="shared" si="11"/>
        <v>0</v>
      </c>
      <c r="AH16" s="141"/>
    </row>
    <row r="17" spans="1:34">
      <c r="A17" s="189">
        <f>+'HASIL PROD'!A125</f>
        <v>46215</v>
      </c>
      <c r="B17" s="171">
        <f>SUMIF('HASIL PROD'!$A$4:$A$343,A17,'HASIL PROD'!$D$4:$D$343)</f>
        <v>0</v>
      </c>
      <c r="C17" s="289"/>
      <c r="D17" s="171"/>
      <c r="E17" s="289"/>
      <c r="F17" s="173">
        <f t="shared" si="0"/>
        <v>0</v>
      </c>
      <c r="G17" s="353">
        <f t="shared" si="1"/>
        <v>0</v>
      </c>
      <c r="H17" s="194">
        <f>SUMIF('HASIL PROD'!$A$4:$A$343,A17,'HASIL PROD'!$I$4:$I$343)</f>
        <v>0</v>
      </c>
      <c r="I17" s="293"/>
      <c r="J17" s="194"/>
      <c r="K17" s="336"/>
      <c r="L17" s="196">
        <f t="shared" si="2"/>
        <v>0</v>
      </c>
      <c r="M17" s="311">
        <f t="shared" si="3"/>
        <v>0</v>
      </c>
      <c r="N17" s="218">
        <f>SUMIF('HASIL PROD'!$A$4:$A$343,A17,'HASIL PROD'!$N$4:$N$343)</f>
        <v>0</v>
      </c>
      <c r="O17" s="219"/>
      <c r="P17" s="218"/>
      <c r="Q17" s="219"/>
      <c r="R17" s="220">
        <f t="shared" si="4"/>
        <v>0</v>
      </c>
      <c r="S17" s="221">
        <f t="shared" si="5"/>
        <v>0</v>
      </c>
      <c r="T17" s="230">
        <f>SUMIF('HASIL PROD'!$A$4:$A$343,A17,'HASIL PROD'!$S$4:$S$344)</f>
        <v>0</v>
      </c>
      <c r="U17" s="231"/>
      <c r="V17" s="230"/>
      <c r="W17" s="361"/>
      <c r="X17" s="232">
        <f t="shared" si="6"/>
        <v>0</v>
      </c>
      <c r="Y17" s="318">
        <f t="shared" si="7"/>
        <v>0</v>
      </c>
      <c r="Z17" s="205">
        <f>+'HASIL PROD'!X125</f>
        <v>0</v>
      </c>
      <c r="AA17" s="206"/>
      <c r="AB17" s="205"/>
      <c r="AC17" s="206"/>
      <c r="AD17" s="207">
        <f t="shared" si="8"/>
        <v>0</v>
      </c>
      <c r="AE17" s="208">
        <f t="shared" si="9"/>
        <v>0</v>
      </c>
      <c r="AF17" s="306">
        <f t="shared" si="10"/>
        <v>0</v>
      </c>
      <c r="AG17" s="306">
        <f t="shared" si="11"/>
        <v>0</v>
      </c>
      <c r="AH17" s="141"/>
    </row>
    <row r="18" spans="1:34">
      <c r="A18" s="189">
        <f>+'HASIL PROD'!A136</f>
        <v>46216</v>
      </c>
      <c r="B18" s="171">
        <f>SUMIF('HASIL PROD'!$A$4:$A$343,A18,'HASIL PROD'!$D$4:$D$343)</f>
        <v>0</v>
      </c>
      <c r="C18" s="176"/>
      <c r="D18" s="171"/>
      <c r="E18" s="289"/>
      <c r="F18" s="173">
        <f t="shared" si="0"/>
        <v>0</v>
      </c>
      <c r="G18" s="179">
        <f t="shared" si="1"/>
        <v>0</v>
      </c>
      <c r="H18" s="194">
        <f>SUMIF('HASIL PROD'!$A$4:$A$343,A18,'HASIL PROD'!$I$4:$I$343)</f>
        <v>1434.8879999999999</v>
      </c>
      <c r="I18" s="293">
        <v>1</v>
      </c>
      <c r="J18" s="194"/>
      <c r="K18" s="195"/>
      <c r="L18" s="196">
        <f t="shared" si="2"/>
        <v>1434.8879999999999</v>
      </c>
      <c r="M18" s="311">
        <f t="shared" si="3"/>
        <v>1</v>
      </c>
      <c r="N18" s="218">
        <f>SUMIF('HASIL PROD'!$A$4:$A$343,A18,'HASIL PROD'!$N$4:$N$343)</f>
        <v>0</v>
      </c>
      <c r="O18" s="219"/>
      <c r="P18" s="218"/>
      <c r="Q18" s="219"/>
      <c r="R18" s="220">
        <f t="shared" si="4"/>
        <v>0</v>
      </c>
      <c r="S18" s="221">
        <f t="shared" si="5"/>
        <v>0</v>
      </c>
      <c r="T18" s="230">
        <f>SUMIF('HASIL PROD'!$A$4:$A$343,A18,'HASIL PROD'!$S$4:$S$344)</f>
        <v>0</v>
      </c>
      <c r="U18" s="231"/>
      <c r="V18" s="230"/>
      <c r="W18" s="361"/>
      <c r="X18" s="232">
        <f t="shared" si="6"/>
        <v>0</v>
      </c>
      <c r="Y18" s="318">
        <f t="shared" si="7"/>
        <v>0</v>
      </c>
      <c r="Z18" s="205">
        <f>+'HASIL PROD'!X136</f>
        <v>0</v>
      </c>
      <c r="AA18" s="206"/>
      <c r="AB18" s="205"/>
      <c r="AC18" s="206"/>
      <c r="AD18" s="207">
        <f t="shared" si="8"/>
        <v>0</v>
      </c>
      <c r="AE18" s="208">
        <f t="shared" si="9"/>
        <v>0</v>
      </c>
      <c r="AF18" s="306">
        <f t="shared" si="10"/>
        <v>0</v>
      </c>
      <c r="AG18" s="306">
        <f t="shared" si="11"/>
        <v>1</v>
      </c>
      <c r="AH18" s="141"/>
    </row>
    <row r="19" spans="1:34">
      <c r="A19" s="189">
        <f>+'HASIL PROD'!A147</f>
        <v>46217</v>
      </c>
      <c r="B19" s="171">
        <f>SUMIF('HASIL PROD'!$A$4:$A$343,A19,'HASIL PROD'!$D$4:$D$343)</f>
        <v>0</v>
      </c>
      <c r="C19" s="176"/>
      <c r="D19" s="171"/>
      <c r="E19" s="176"/>
      <c r="F19" s="173">
        <f t="shared" si="0"/>
        <v>0</v>
      </c>
      <c r="G19" s="179">
        <f t="shared" si="1"/>
        <v>0</v>
      </c>
      <c r="H19" s="194">
        <f>SUMIF('HASIL PROD'!$A$4:$A$343,A19,'HASIL PROD'!$I$4:$I$343)</f>
        <v>15452.891999999998</v>
      </c>
      <c r="I19" s="293">
        <v>9</v>
      </c>
      <c r="J19" s="194">
        <v>16802.603999999999</v>
      </c>
      <c r="K19" s="293">
        <v>10</v>
      </c>
      <c r="L19" s="196">
        <f t="shared" si="2"/>
        <v>-1349.7120000000014</v>
      </c>
      <c r="M19" s="311">
        <f t="shared" si="3"/>
        <v>-1</v>
      </c>
      <c r="N19" s="218">
        <f>SUMIF('HASIL PROD'!$A$4:$A$343,A19,'HASIL PROD'!$N$4:$N$343)</f>
        <v>0</v>
      </c>
      <c r="O19" s="295"/>
      <c r="P19" s="218"/>
      <c r="Q19" s="219"/>
      <c r="R19" s="220">
        <f t="shared" si="4"/>
        <v>0</v>
      </c>
      <c r="S19" s="355">
        <f t="shared" si="5"/>
        <v>0</v>
      </c>
      <c r="T19" s="230">
        <f>SUMIF('HASIL PROD'!$A$4:$A$343,A19,'HASIL PROD'!$S$4:$S$344)</f>
        <v>0</v>
      </c>
      <c r="U19" s="313"/>
      <c r="V19" s="230"/>
      <c r="W19" s="231"/>
      <c r="X19" s="232">
        <f t="shared" si="6"/>
        <v>0</v>
      </c>
      <c r="Y19" s="318">
        <f t="shared" si="7"/>
        <v>0</v>
      </c>
      <c r="Z19" s="205">
        <f>+'HASIL PROD'!X147</f>
        <v>0</v>
      </c>
      <c r="AA19" s="206"/>
      <c r="AB19" s="205"/>
      <c r="AC19" s="206"/>
      <c r="AD19" s="207">
        <f t="shared" si="8"/>
        <v>0</v>
      </c>
      <c r="AE19" s="208">
        <f t="shared" si="9"/>
        <v>0</v>
      </c>
      <c r="AF19" s="306">
        <f t="shared" si="10"/>
        <v>0</v>
      </c>
      <c r="AG19" s="306">
        <f t="shared" si="11"/>
        <v>9</v>
      </c>
      <c r="AH19" s="141"/>
    </row>
    <row r="20" spans="1:34">
      <c r="A20" s="189">
        <f>+'HASIL PROD'!A158</f>
        <v>46218</v>
      </c>
      <c r="B20" s="171">
        <f>SUMIF('HASIL PROD'!$A$4:$A$343,A20,'HASIL PROD'!$D$4:$D$343)</f>
        <v>0</v>
      </c>
      <c r="C20" s="289"/>
      <c r="D20" s="171"/>
      <c r="E20" s="289"/>
      <c r="F20" s="173">
        <f t="shared" si="0"/>
        <v>0</v>
      </c>
      <c r="G20" s="179">
        <f t="shared" si="1"/>
        <v>0</v>
      </c>
      <c r="H20" s="194">
        <f>SUMIF('HASIL PROD'!$A$4:$A$343,A20,'HASIL PROD'!$I$4:$I$343)</f>
        <v>15135.12</v>
      </c>
      <c r="I20" s="293">
        <v>9</v>
      </c>
      <c r="J20" s="194">
        <v>16805.879999999997</v>
      </c>
      <c r="K20" s="195">
        <v>10</v>
      </c>
      <c r="L20" s="196">
        <f t="shared" si="2"/>
        <v>-1670.7599999999966</v>
      </c>
      <c r="M20" s="311">
        <f t="shared" si="3"/>
        <v>-1</v>
      </c>
      <c r="N20" s="218">
        <f>SUMIF('HASIL PROD'!$A$4:$A$343,A20,'HASIL PROD'!$N$4:$N$343)</f>
        <v>1470.924</v>
      </c>
      <c r="O20" s="295">
        <v>1</v>
      </c>
      <c r="P20" s="218"/>
      <c r="Q20" s="219"/>
      <c r="R20" s="220">
        <f t="shared" si="4"/>
        <v>1470.924</v>
      </c>
      <c r="S20" s="356">
        <f t="shared" si="5"/>
        <v>1</v>
      </c>
      <c r="T20" s="230">
        <f>SUMIF('HASIL PROD'!$A$4:$A$343,A20,'HASIL PROD'!$S$4:$S$344)</f>
        <v>0</v>
      </c>
      <c r="U20" s="313"/>
      <c r="V20" s="230"/>
      <c r="W20" s="231"/>
      <c r="X20" s="232">
        <f t="shared" si="6"/>
        <v>0</v>
      </c>
      <c r="Y20" s="318">
        <f t="shared" si="7"/>
        <v>0</v>
      </c>
      <c r="Z20" s="205">
        <f>+'HASIL PROD'!X158</f>
        <v>0</v>
      </c>
      <c r="AA20" s="206"/>
      <c r="AB20" s="205"/>
      <c r="AC20" s="206"/>
      <c r="AD20" s="207">
        <f t="shared" si="8"/>
        <v>0</v>
      </c>
      <c r="AE20" s="208">
        <f t="shared" si="9"/>
        <v>0</v>
      </c>
      <c r="AF20" s="306">
        <f t="shared" si="10"/>
        <v>0</v>
      </c>
      <c r="AG20" s="306">
        <f t="shared" si="11"/>
        <v>10</v>
      </c>
      <c r="AH20" s="141"/>
    </row>
    <row r="21" spans="1:34">
      <c r="A21" s="189">
        <f>+'HASIL PROD'!A169</f>
        <v>46219</v>
      </c>
      <c r="B21" s="171">
        <f>SUMIF('HASIL PROD'!$A$4:$A$343,A21,'HASIL PROD'!$D$4:$D$343)</f>
        <v>0</v>
      </c>
      <c r="C21" s="289"/>
      <c r="D21" s="171"/>
      <c r="E21" s="315"/>
      <c r="F21" s="173">
        <f t="shared" si="0"/>
        <v>0</v>
      </c>
      <c r="G21" s="179">
        <f t="shared" si="1"/>
        <v>0</v>
      </c>
      <c r="H21" s="194">
        <f>SUMIF('HASIL PROD'!$A$4:$A$343,A21,'HASIL PROD'!$I$4:$I$343)</f>
        <v>1513.5119999999999</v>
      </c>
      <c r="I21" s="293">
        <v>1</v>
      </c>
      <c r="J21" s="194"/>
      <c r="K21" s="195"/>
      <c r="L21" s="196">
        <f t="shared" si="2"/>
        <v>1513.5119999999999</v>
      </c>
      <c r="M21" s="311">
        <f t="shared" si="3"/>
        <v>1</v>
      </c>
      <c r="N21" s="218">
        <f>SUMIF('HASIL PROD'!$A$4:$A$343,A21,'HASIL PROD'!$N$4:$N$343)</f>
        <v>16209.648000000001</v>
      </c>
      <c r="O21" s="219">
        <v>9</v>
      </c>
      <c r="P21" s="218">
        <v>16809.155999999999</v>
      </c>
      <c r="Q21" s="295">
        <v>9.5</v>
      </c>
      <c r="R21" s="220">
        <f t="shared" si="4"/>
        <v>-599.50799999999799</v>
      </c>
      <c r="S21" s="221">
        <f t="shared" si="5"/>
        <v>-0.5</v>
      </c>
      <c r="T21" s="230">
        <f>SUMIF('HASIL PROD'!$A$4:$A$343,A21,'HASIL PROD'!$S$4:$S$344)</f>
        <v>0</v>
      </c>
      <c r="U21" s="231"/>
      <c r="V21" s="230"/>
      <c r="W21" s="231"/>
      <c r="X21" s="232">
        <f t="shared" si="6"/>
        <v>0</v>
      </c>
      <c r="Y21" s="318">
        <f t="shared" si="7"/>
        <v>0</v>
      </c>
      <c r="Z21" s="205">
        <f>+'HASIL PROD'!X169</f>
        <v>0</v>
      </c>
      <c r="AA21" s="206"/>
      <c r="AB21" s="205"/>
      <c r="AC21" s="206"/>
      <c r="AD21" s="207">
        <f t="shared" si="8"/>
        <v>0</v>
      </c>
      <c r="AE21" s="208">
        <f t="shared" si="9"/>
        <v>0</v>
      </c>
      <c r="AF21" s="306">
        <f t="shared" si="10"/>
        <v>0</v>
      </c>
      <c r="AG21" s="306">
        <f t="shared" si="11"/>
        <v>10</v>
      </c>
      <c r="AH21" s="141"/>
    </row>
    <row r="22" spans="1:34">
      <c r="A22" s="189">
        <f>+'HASIL PROD'!A180</f>
        <v>46220</v>
      </c>
      <c r="B22" s="171">
        <f>SUMIF('HASIL PROD'!$A$4:$A$343,A22,'HASIL PROD'!$D$4:$D$343)</f>
        <v>8610.25</v>
      </c>
      <c r="C22" s="289">
        <v>5</v>
      </c>
      <c r="D22" s="171">
        <v>14004.25</v>
      </c>
      <c r="E22" s="315">
        <v>8.5</v>
      </c>
      <c r="F22" s="173">
        <f t="shared" si="0"/>
        <v>-5394</v>
      </c>
      <c r="G22" s="353">
        <f t="shared" si="1"/>
        <v>-3.5</v>
      </c>
      <c r="H22" s="194">
        <f>SUMIF('HASIL PROD'!$A$4:$A$343,A22,'HASIL PROD'!$I$4:$I$343)</f>
        <v>3397.2119999999995</v>
      </c>
      <c r="I22" s="293">
        <v>2</v>
      </c>
      <c r="J22" s="194"/>
      <c r="K22" s="195"/>
      <c r="L22" s="196">
        <f t="shared" si="2"/>
        <v>3397.2119999999995</v>
      </c>
      <c r="M22" s="311">
        <f t="shared" si="3"/>
        <v>2</v>
      </c>
      <c r="N22" s="218">
        <f>SUMIF('HASIL PROD'!$A$4:$A$343,A22,'HASIL PROD'!$N$4:$N$343)</f>
        <v>0</v>
      </c>
      <c r="O22" s="219"/>
      <c r="P22" s="218"/>
      <c r="Q22" s="219"/>
      <c r="R22" s="220">
        <f t="shared" si="4"/>
        <v>0</v>
      </c>
      <c r="S22" s="221">
        <f t="shared" si="5"/>
        <v>0</v>
      </c>
      <c r="T22" s="230">
        <f>SUMIF('HASIL PROD'!$A$4:$A$343,A22,'HASIL PROD'!$S$4:$S$344)</f>
        <v>0</v>
      </c>
      <c r="U22" s="231"/>
      <c r="V22" s="230"/>
      <c r="W22" s="313"/>
      <c r="X22" s="232">
        <f t="shared" si="6"/>
        <v>0</v>
      </c>
      <c r="Y22" s="318">
        <f t="shared" si="7"/>
        <v>0</v>
      </c>
      <c r="Z22" s="205">
        <f>+'HASIL PROD'!X180</f>
        <v>0</v>
      </c>
      <c r="AA22" s="206"/>
      <c r="AB22" s="205"/>
      <c r="AC22" s="206"/>
      <c r="AD22" s="207">
        <f t="shared" si="8"/>
        <v>0</v>
      </c>
      <c r="AE22" s="208">
        <f t="shared" si="9"/>
        <v>0</v>
      </c>
      <c r="AF22" s="306">
        <f t="shared" si="10"/>
        <v>5</v>
      </c>
      <c r="AG22" s="306">
        <f t="shared" si="11"/>
        <v>2</v>
      </c>
      <c r="AH22" s="141"/>
    </row>
    <row r="23" spans="1:34">
      <c r="A23" s="189">
        <f>+'HASIL PROD'!A191</f>
        <v>46221</v>
      </c>
      <c r="B23" s="171">
        <f>SUMIF('HASIL PROD'!$A$4:$A$343,A23,'HASIL PROD'!$D$4:$D$343)</f>
        <v>0</v>
      </c>
      <c r="C23" s="289"/>
      <c r="D23" s="171"/>
      <c r="E23" s="315"/>
      <c r="F23" s="173">
        <f t="shared" si="0"/>
        <v>0</v>
      </c>
      <c r="G23" s="179">
        <f t="shared" si="1"/>
        <v>0</v>
      </c>
      <c r="H23" s="194">
        <f>SUMIF('HASIL PROD'!$A$4:$A$343,A23,'HASIL PROD'!$I$4:$I$343)</f>
        <v>0</v>
      </c>
      <c r="I23" s="195"/>
      <c r="J23" s="194"/>
      <c r="K23" s="293"/>
      <c r="L23" s="196">
        <f t="shared" si="2"/>
        <v>0</v>
      </c>
      <c r="M23" s="197">
        <f t="shared" si="3"/>
        <v>0</v>
      </c>
      <c r="N23" s="218">
        <f>SUMIF('HASIL PROD'!$A$4:$A$343,A23,'HASIL PROD'!$N$4:$N$343)</f>
        <v>0</v>
      </c>
      <c r="O23" s="219"/>
      <c r="P23" s="218"/>
      <c r="Q23" s="219"/>
      <c r="R23" s="220">
        <f t="shared" si="4"/>
        <v>0</v>
      </c>
      <c r="S23" s="221">
        <f t="shared" si="5"/>
        <v>0</v>
      </c>
      <c r="T23" s="230">
        <f>SUMIF('HASIL PROD'!$A$4:$A$343,A23,'HASIL PROD'!$S$4:$S$344)</f>
        <v>0</v>
      </c>
      <c r="U23" s="312"/>
      <c r="V23" s="230"/>
      <c r="W23" s="231"/>
      <c r="X23" s="232">
        <f t="shared" si="6"/>
        <v>0</v>
      </c>
      <c r="Y23" s="233">
        <f t="shared" si="7"/>
        <v>0</v>
      </c>
      <c r="Z23" s="205">
        <f>+'HASIL PROD'!X191</f>
        <v>0</v>
      </c>
      <c r="AA23" s="206"/>
      <c r="AB23" s="205"/>
      <c r="AC23" s="206"/>
      <c r="AD23" s="207">
        <f t="shared" si="8"/>
        <v>0</v>
      </c>
      <c r="AE23" s="208">
        <f t="shared" si="9"/>
        <v>0</v>
      </c>
      <c r="AF23" s="306">
        <f t="shared" si="10"/>
        <v>0</v>
      </c>
      <c r="AG23" s="306">
        <f t="shared" si="11"/>
        <v>0</v>
      </c>
      <c r="AH23" s="141"/>
    </row>
    <row r="24" spans="1:34">
      <c r="A24" s="189">
        <f>+'HASIL PROD'!A202</f>
        <v>46222</v>
      </c>
      <c r="B24" s="171">
        <f>SUMIF('HASIL PROD'!$A$4:$A$343,A24,'HASIL PROD'!$D$4:$D$343)</f>
        <v>0</v>
      </c>
      <c r="C24" s="289"/>
      <c r="D24" s="171"/>
      <c r="E24" s="289"/>
      <c r="F24" s="173">
        <f t="shared" si="0"/>
        <v>0</v>
      </c>
      <c r="G24" s="179">
        <f t="shared" si="1"/>
        <v>0</v>
      </c>
      <c r="H24" s="194">
        <f>SUMIF('HASIL PROD'!$A$4:$A$343,A24,'HASIL PROD'!$I$4:$I$343)</f>
        <v>0</v>
      </c>
      <c r="I24" s="195"/>
      <c r="J24" s="194"/>
      <c r="K24" s="195"/>
      <c r="L24" s="196">
        <f t="shared" si="2"/>
        <v>0</v>
      </c>
      <c r="M24" s="197">
        <f t="shared" si="3"/>
        <v>0</v>
      </c>
      <c r="N24" s="218">
        <f>SUMIF('HASIL PROD'!$A$4:$A$343,A24,'HASIL PROD'!$N$4:$N$343)</f>
        <v>0</v>
      </c>
      <c r="O24" s="295"/>
      <c r="P24" s="218"/>
      <c r="Q24" s="219"/>
      <c r="R24" s="220">
        <f t="shared" si="4"/>
        <v>0</v>
      </c>
      <c r="S24" s="221">
        <f t="shared" si="5"/>
        <v>0</v>
      </c>
      <c r="T24" s="230">
        <f>SUMIF('HASIL PROD'!$A$4:$A$343,A24,'HASIL PROD'!$S$4:$S$344)</f>
        <v>0</v>
      </c>
      <c r="U24" s="313"/>
      <c r="V24" s="230"/>
      <c r="W24" s="231"/>
      <c r="X24" s="232">
        <f t="shared" si="6"/>
        <v>0</v>
      </c>
      <c r="Y24" s="233">
        <f t="shared" si="7"/>
        <v>0</v>
      </c>
      <c r="Z24" s="205">
        <f>+'HASIL PROD'!X202</f>
        <v>0</v>
      </c>
      <c r="AA24" s="206"/>
      <c r="AB24" s="205"/>
      <c r="AC24" s="206"/>
      <c r="AD24" s="207">
        <f t="shared" si="8"/>
        <v>0</v>
      </c>
      <c r="AE24" s="208">
        <f t="shared" si="9"/>
        <v>0</v>
      </c>
      <c r="AF24" s="306">
        <f t="shared" si="10"/>
        <v>0</v>
      </c>
      <c r="AG24" s="306">
        <f t="shared" si="11"/>
        <v>0</v>
      </c>
      <c r="AH24" s="141"/>
    </row>
    <row r="25" spans="1:34">
      <c r="A25" s="189">
        <f>+'HASIL PROD'!A213</f>
        <v>46223</v>
      </c>
      <c r="B25" s="171">
        <f>SUMIF('HASIL PROD'!$A$4:$A$343,A25,'HASIL PROD'!$D$4:$D$343)</f>
        <v>1553.875</v>
      </c>
      <c r="C25" s="176">
        <v>1</v>
      </c>
      <c r="D25" s="171"/>
      <c r="E25" s="289"/>
      <c r="F25" s="173">
        <f t="shared" si="0"/>
        <v>1553.875</v>
      </c>
      <c r="G25" s="179">
        <f t="shared" si="1"/>
        <v>1</v>
      </c>
      <c r="H25" s="194">
        <f>SUMIF('HASIL PROD'!$A$4:$A$343,A25,'HASIL PROD'!$I$4:$I$343)</f>
        <v>0</v>
      </c>
      <c r="I25" s="293"/>
      <c r="J25" s="194"/>
      <c r="K25" s="195"/>
      <c r="L25" s="196">
        <f t="shared" si="2"/>
        <v>0</v>
      </c>
      <c r="M25" s="197">
        <f t="shared" si="3"/>
        <v>0</v>
      </c>
      <c r="N25" s="218">
        <f>SUMIF('HASIL PROD'!$A$4:$A$343,A25,'HASIL PROD'!$N$4:$N$343)</f>
        <v>0</v>
      </c>
      <c r="O25" s="219"/>
      <c r="P25" s="218"/>
      <c r="Q25" s="219"/>
      <c r="R25" s="220">
        <f t="shared" si="4"/>
        <v>0</v>
      </c>
      <c r="S25" s="221">
        <f t="shared" si="5"/>
        <v>0</v>
      </c>
      <c r="T25" s="230">
        <f>SUMIF('HASIL PROD'!$A$4:$A$343,A25,'HASIL PROD'!$S$4:$S$344)</f>
        <v>0</v>
      </c>
      <c r="U25" s="312"/>
      <c r="V25" s="230"/>
      <c r="W25" s="313"/>
      <c r="X25" s="232">
        <f t="shared" si="6"/>
        <v>0</v>
      </c>
      <c r="Y25" s="318">
        <f t="shared" si="7"/>
        <v>0</v>
      </c>
      <c r="Z25" s="205">
        <f>+'HASIL PROD'!X213</f>
        <v>0</v>
      </c>
      <c r="AA25" s="206"/>
      <c r="AB25" s="205"/>
      <c r="AC25" s="206"/>
      <c r="AD25" s="207">
        <f t="shared" si="8"/>
        <v>0</v>
      </c>
      <c r="AE25" s="208">
        <f t="shared" si="9"/>
        <v>0</v>
      </c>
      <c r="AF25" s="306">
        <f t="shared" si="10"/>
        <v>1</v>
      </c>
      <c r="AG25" s="306">
        <f t="shared" si="11"/>
        <v>0</v>
      </c>
      <c r="AH25" s="141"/>
    </row>
    <row r="26" spans="1:34" ht="16.5" customHeight="1">
      <c r="A26" s="189">
        <f>+'HASIL PROD'!A224</f>
        <v>46224</v>
      </c>
      <c r="B26" s="171">
        <f>SUMIF('HASIL PROD'!$A$4:$A$343,A26,'HASIL PROD'!$D$4:$D$343)</f>
        <v>14666.875</v>
      </c>
      <c r="C26" s="176">
        <v>9</v>
      </c>
      <c r="D26" s="171">
        <v>14008.125</v>
      </c>
      <c r="E26" s="289">
        <v>8.5</v>
      </c>
      <c r="F26" s="173">
        <f t="shared" si="0"/>
        <v>658.75</v>
      </c>
      <c r="G26" s="179">
        <f t="shared" si="1"/>
        <v>0.5</v>
      </c>
      <c r="H26" s="194">
        <f>SUMIF('HASIL PROD'!$A$4:$A$343,A26,'HASIL PROD'!$I$4:$I$343)</f>
        <v>0</v>
      </c>
      <c r="I26" s="293"/>
      <c r="J26" s="194"/>
      <c r="K26" s="195"/>
      <c r="L26" s="196">
        <f t="shared" si="2"/>
        <v>0</v>
      </c>
      <c r="M26" s="197">
        <f t="shared" si="3"/>
        <v>0</v>
      </c>
      <c r="N26" s="218">
        <f>SUMIF('HASIL PROD'!$A$4:$A$343,A26,'HASIL PROD'!$N$4:$N$343)</f>
        <v>0</v>
      </c>
      <c r="O26" s="219"/>
      <c r="P26" s="218"/>
      <c r="Q26" s="295"/>
      <c r="R26" s="220">
        <f t="shared" si="4"/>
        <v>0</v>
      </c>
      <c r="S26" s="221">
        <f t="shared" si="5"/>
        <v>0</v>
      </c>
      <c r="T26" s="230">
        <f>SUMIF('HASIL PROD'!$A$4:$A$343,A26,'HASIL PROD'!$S$4:$S$344)</f>
        <v>0</v>
      </c>
      <c r="U26" s="231"/>
      <c r="V26" s="230"/>
      <c r="W26" s="231"/>
      <c r="X26" s="232">
        <f t="shared" si="6"/>
        <v>0</v>
      </c>
      <c r="Y26" s="233">
        <f t="shared" si="7"/>
        <v>0</v>
      </c>
      <c r="Z26" s="205">
        <f>+'HASIL PROD'!X224</f>
        <v>0</v>
      </c>
      <c r="AA26" s="206"/>
      <c r="AB26" s="205"/>
      <c r="AC26" s="206"/>
      <c r="AD26" s="207">
        <f t="shared" si="8"/>
        <v>0</v>
      </c>
      <c r="AE26" s="208">
        <f t="shared" si="9"/>
        <v>0</v>
      </c>
      <c r="AF26" s="306">
        <f t="shared" si="10"/>
        <v>9</v>
      </c>
      <c r="AG26" s="306">
        <f t="shared" si="11"/>
        <v>0</v>
      </c>
      <c r="AH26" s="141"/>
    </row>
    <row r="27" spans="1:34" ht="16.5" customHeight="1">
      <c r="A27" s="189">
        <f>+'HASIL PROD'!A235</f>
        <v>46225</v>
      </c>
      <c r="B27" s="171">
        <f>SUMIF('HASIL PROD'!$A$4:$A$343,A27,'HASIL PROD'!$D$4:$D$343)</f>
        <v>13674.875</v>
      </c>
      <c r="C27" s="289">
        <v>8</v>
      </c>
      <c r="D27" s="171">
        <v>14012</v>
      </c>
      <c r="E27" s="289">
        <v>8.5</v>
      </c>
      <c r="F27" s="173">
        <f t="shared" si="0"/>
        <v>-337.125</v>
      </c>
      <c r="G27" s="179">
        <f t="shared" si="1"/>
        <v>-0.5</v>
      </c>
      <c r="H27" s="194">
        <f>SUMIF('HASIL PROD'!$A$4:$A$343,A27,'HASIL PROD'!$I$4:$I$343)</f>
        <v>0</v>
      </c>
      <c r="I27" s="293"/>
      <c r="J27" s="194"/>
      <c r="K27" s="195"/>
      <c r="L27" s="196">
        <f t="shared" si="2"/>
        <v>0</v>
      </c>
      <c r="M27" s="197">
        <f t="shared" si="3"/>
        <v>0</v>
      </c>
      <c r="N27" s="218">
        <f>SUMIF('HASIL PROD'!$A$4:$A$343,A27,'HASIL PROD'!$N$4:$N$343)</f>
        <v>0</v>
      </c>
      <c r="O27" s="219"/>
      <c r="P27" s="218"/>
      <c r="Q27" s="219"/>
      <c r="R27" s="220">
        <f t="shared" si="4"/>
        <v>0</v>
      </c>
      <c r="S27" s="221">
        <f t="shared" si="5"/>
        <v>0</v>
      </c>
      <c r="T27" s="230">
        <f>SUMIF('HASIL PROD'!$A$4:$A$343,A27,'HASIL PROD'!$S$4:$S$344)</f>
        <v>0</v>
      </c>
      <c r="U27" s="231"/>
      <c r="V27" s="230"/>
      <c r="W27" s="231"/>
      <c r="X27" s="232">
        <f t="shared" si="6"/>
        <v>0</v>
      </c>
      <c r="Y27" s="233">
        <f t="shared" si="7"/>
        <v>0</v>
      </c>
      <c r="Z27" s="205">
        <f>+'HASIL PROD'!X235</f>
        <v>0</v>
      </c>
      <c r="AA27" s="206"/>
      <c r="AB27" s="205"/>
      <c r="AC27" s="206"/>
      <c r="AD27" s="207">
        <f t="shared" si="8"/>
        <v>0</v>
      </c>
      <c r="AE27" s="208">
        <f t="shared" si="9"/>
        <v>0</v>
      </c>
      <c r="AF27" s="306">
        <f t="shared" si="10"/>
        <v>8</v>
      </c>
      <c r="AG27" s="306">
        <f t="shared" si="11"/>
        <v>0</v>
      </c>
      <c r="AH27" s="141"/>
    </row>
    <row r="28" spans="1:34" ht="16.5" customHeight="1">
      <c r="A28" s="189">
        <f>+'HASIL PROD'!A246</f>
        <v>46226</v>
      </c>
      <c r="B28" s="171">
        <f>SUMIF('HASIL PROD'!$A$4:$A$343,A28,'HASIL PROD'!$D$4:$D$343)</f>
        <v>16278.875</v>
      </c>
      <c r="C28" s="289">
        <v>10</v>
      </c>
      <c r="D28" s="171">
        <v>14015.875</v>
      </c>
      <c r="E28" s="289">
        <v>8.5</v>
      </c>
      <c r="F28" s="173">
        <f t="shared" si="0"/>
        <v>2263</v>
      </c>
      <c r="G28" s="179">
        <f t="shared" si="1"/>
        <v>1.5</v>
      </c>
      <c r="H28" s="194">
        <f>SUMIF('HASIL PROD'!$A$4:$A$343,A28,'HASIL PROD'!$I$4:$I$343)</f>
        <v>0</v>
      </c>
      <c r="I28" s="195"/>
      <c r="J28" s="194"/>
      <c r="K28" s="293"/>
      <c r="L28" s="196">
        <f t="shared" si="2"/>
        <v>0</v>
      </c>
      <c r="M28" s="197">
        <f t="shared" si="3"/>
        <v>0</v>
      </c>
      <c r="N28" s="218">
        <f>SUMIF('HASIL PROD'!$A$4:$A$343,A28,'HASIL PROD'!$N$4:$N$343)</f>
        <v>0</v>
      </c>
      <c r="O28" s="295"/>
      <c r="P28" s="218"/>
      <c r="Q28" s="295"/>
      <c r="R28" s="220">
        <f t="shared" si="4"/>
        <v>0</v>
      </c>
      <c r="S28" s="221">
        <f t="shared" si="5"/>
        <v>0</v>
      </c>
      <c r="T28" s="230">
        <f>SUMIF('HASIL PROD'!$A$4:$A$343,A28,'HASIL PROD'!$S$4:$S$344)</f>
        <v>0</v>
      </c>
      <c r="U28" s="313"/>
      <c r="V28" s="230"/>
      <c r="W28" s="313"/>
      <c r="X28" s="232">
        <f t="shared" si="6"/>
        <v>0</v>
      </c>
      <c r="Y28" s="233">
        <f t="shared" si="7"/>
        <v>0</v>
      </c>
      <c r="Z28" s="205">
        <f>+'HASIL PROD'!X246</f>
        <v>0</v>
      </c>
      <c r="AA28" s="206"/>
      <c r="AB28" s="205"/>
      <c r="AC28" s="206"/>
      <c r="AD28" s="207">
        <f t="shared" si="8"/>
        <v>0</v>
      </c>
      <c r="AE28" s="208">
        <f t="shared" si="9"/>
        <v>0</v>
      </c>
      <c r="AF28" s="306">
        <f t="shared" si="10"/>
        <v>10</v>
      </c>
      <c r="AG28" s="306">
        <f t="shared" si="11"/>
        <v>0</v>
      </c>
      <c r="AH28" s="141"/>
    </row>
    <row r="29" spans="1:34" ht="16.5" customHeight="1">
      <c r="A29" s="189">
        <f>+'HASIL PROD'!A257</f>
        <v>46227</v>
      </c>
      <c r="B29" s="171">
        <f>SUMIF('HASIL PROD'!$A$4:$A$343,A29,'HASIL PROD'!$D$4:$D$343)</f>
        <v>14705.625</v>
      </c>
      <c r="C29" s="176">
        <v>9</v>
      </c>
      <c r="D29" s="171">
        <f>+D22</f>
        <v>14004.25</v>
      </c>
      <c r="E29" s="289">
        <v>8.5</v>
      </c>
      <c r="F29" s="173">
        <f t="shared" si="0"/>
        <v>701.375</v>
      </c>
      <c r="G29" s="353">
        <f t="shared" si="1"/>
        <v>0.5</v>
      </c>
      <c r="H29" s="194">
        <f>SUMIF('HASIL PROD'!$A$4:$A$343,A29,'HASIL PROD'!$I$4:$I$343)</f>
        <v>0</v>
      </c>
      <c r="I29" s="195"/>
      <c r="J29" s="194"/>
      <c r="K29" s="195"/>
      <c r="L29" s="196">
        <f t="shared" si="2"/>
        <v>0</v>
      </c>
      <c r="M29" s="197">
        <f t="shared" si="3"/>
        <v>0</v>
      </c>
      <c r="N29" s="218">
        <f>SUMIF('HASIL PROD'!$A$4:$A$343,A29,'HASIL PROD'!$N$4:$N$343)</f>
        <v>0</v>
      </c>
      <c r="O29" s="219"/>
      <c r="P29" s="218"/>
      <c r="Q29" s="219"/>
      <c r="R29" s="220">
        <f t="shared" si="4"/>
        <v>0</v>
      </c>
      <c r="S29" s="221">
        <f t="shared" si="5"/>
        <v>0</v>
      </c>
      <c r="T29" s="230">
        <f>SUMIF('HASIL PROD'!$A$4:$A$343,A29,'HASIL PROD'!$S$4:$S$344)</f>
        <v>0</v>
      </c>
      <c r="U29" s="231"/>
      <c r="V29" s="230"/>
      <c r="W29" s="231"/>
      <c r="X29" s="232">
        <f t="shared" si="6"/>
        <v>0</v>
      </c>
      <c r="Y29" s="233">
        <f t="shared" si="7"/>
        <v>0</v>
      </c>
      <c r="Z29" s="205">
        <f>+'HASIL PROD'!X257</f>
        <v>0</v>
      </c>
      <c r="AA29" s="206"/>
      <c r="AB29" s="205"/>
      <c r="AC29" s="206"/>
      <c r="AD29" s="207">
        <f t="shared" si="8"/>
        <v>0</v>
      </c>
      <c r="AE29" s="208">
        <f t="shared" si="9"/>
        <v>0</v>
      </c>
      <c r="AF29" s="306">
        <f t="shared" si="10"/>
        <v>9</v>
      </c>
      <c r="AG29" s="306">
        <f t="shared" si="11"/>
        <v>0</v>
      </c>
      <c r="AH29" s="141"/>
    </row>
    <row r="30" spans="1:34" ht="16.5" customHeight="1">
      <c r="A30" s="189">
        <f>+'HASIL PROD'!A268</f>
        <v>46228</v>
      </c>
      <c r="B30" s="171">
        <f>SUMIF('HASIL PROD'!$A$4:$A$343,A30,'HASIL PROD'!$D$4:$D$343)</f>
        <v>12741</v>
      </c>
      <c r="C30" s="176">
        <v>8</v>
      </c>
      <c r="D30" s="171">
        <f>+D29-3.875</f>
        <v>14000.375</v>
      </c>
      <c r="E30" s="289">
        <v>8.5</v>
      </c>
      <c r="F30" s="173">
        <f t="shared" si="0"/>
        <v>-1259.375</v>
      </c>
      <c r="G30" s="353">
        <f t="shared" si="1"/>
        <v>-0.5</v>
      </c>
      <c r="H30" s="194">
        <f>SUMIF('HASIL PROD'!$A$4:$A$343,A30,'HASIL PROD'!$I$4:$I$343)</f>
        <v>0</v>
      </c>
      <c r="I30" s="195"/>
      <c r="J30" s="194"/>
      <c r="K30" s="195"/>
      <c r="L30" s="196">
        <f t="shared" si="2"/>
        <v>0</v>
      </c>
      <c r="M30" s="197">
        <f t="shared" si="3"/>
        <v>0</v>
      </c>
      <c r="N30" s="218">
        <f>SUMIF('HASIL PROD'!$A$4:$A$343,A30,'HASIL PROD'!$N$4:$N$343)</f>
        <v>0</v>
      </c>
      <c r="O30" s="219"/>
      <c r="P30" s="218"/>
      <c r="Q30" s="219"/>
      <c r="R30" s="220">
        <f t="shared" si="4"/>
        <v>0</v>
      </c>
      <c r="S30" s="221">
        <f t="shared" si="5"/>
        <v>0</v>
      </c>
      <c r="T30" s="230">
        <f>SUMIF('HASIL PROD'!$A$4:$A$343,A30,'HASIL PROD'!$S$4:$S$344)</f>
        <v>0</v>
      </c>
      <c r="U30" s="231"/>
      <c r="V30" s="230"/>
      <c r="W30" s="313"/>
      <c r="X30" s="232">
        <f t="shared" si="6"/>
        <v>0</v>
      </c>
      <c r="Y30" s="233">
        <f t="shared" si="7"/>
        <v>0</v>
      </c>
      <c r="Z30" s="205">
        <f>+'HASIL PROD'!X268</f>
        <v>0</v>
      </c>
      <c r="AA30" s="206"/>
      <c r="AB30" s="205"/>
      <c r="AC30" s="206"/>
      <c r="AD30" s="207">
        <f t="shared" si="8"/>
        <v>0</v>
      </c>
      <c r="AE30" s="208">
        <f t="shared" si="9"/>
        <v>0</v>
      </c>
      <c r="AF30" s="306">
        <f t="shared" si="10"/>
        <v>8</v>
      </c>
      <c r="AG30" s="306">
        <f t="shared" si="11"/>
        <v>0</v>
      </c>
      <c r="AH30" s="141"/>
    </row>
    <row r="31" spans="1:34" ht="16.5" customHeight="1">
      <c r="A31" s="189">
        <f>+'HASIL PROD'!A279</f>
        <v>46229</v>
      </c>
      <c r="B31" s="171">
        <f>SUMIF('HASIL PROD'!$A$4:$A$343,A31,'HASIL PROD'!$D$4:$D$343)</f>
        <v>0</v>
      </c>
      <c r="C31" s="289"/>
      <c r="D31" s="171"/>
      <c r="E31" s="289"/>
      <c r="F31" s="173">
        <f t="shared" si="0"/>
        <v>0</v>
      </c>
      <c r="G31" s="179">
        <f t="shared" si="1"/>
        <v>0</v>
      </c>
      <c r="H31" s="194">
        <f>SUMIF('HASIL PROD'!$A$4:$A$343,A31,'HASIL PROD'!$I$4:$I$343)</f>
        <v>0</v>
      </c>
      <c r="I31" s="293"/>
      <c r="J31" s="194"/>
      <c r="K31" s="195"/>
      <c r="L31" s="196">
        <f t="shared" si="2"/>
        <v>0</v>
      </c>
      <c r="M31" s="197">
        <f t="shared" si="3"/>
        <v>0</v>
      </c>
      <c r="N31" s="218">
        <f>SUMIF('HASIL PROD'!$A$4:$A$343,A31,'HASIL PROD'!$N$4:$N$343)</f>
        <v>0</v>
      </c>
      <c r="O31" s="219"/>
      <c r="P31" s="218"/>
      <c r="Q31" s="219"/>
      <c r="R31" s="220">
        <f t="shared" si="4"/>
        <v>0</v>
      </c>
      <c r="S31" s="221">
        <f t="shared" si="5"/>
        <v>0</v>
      </c>
      <c r="T31" s="230">
        <f>SUMIF('HASIL PROD'!$A$4:$A$343,A31,'HASIL PROD'!$S$4:$S$344)</f>
        <v>0</v>
      </c>
      <c r="U31" s="231"/>
      <c r="V31" s="230"/>
      <c r="W31" s="313"/>
      <c r="X31" s="232">
        <f t="shared" si="6"/>
        <v>0</v>
      </c>
      <c r="Y31" s="233">
        <f t="shared" si="7"/>
        <v>0</v>
      </c>
      <c r="Z31" s="205">
        <f>+'HASIL PROD'!X279</f>
        <v>0</v>
      </c>
      <c r="AA31" s="206"/>
      <c r="AB31" s="205"/>
      <c r="AC31" s="206"/>
      <c r="AD31" s="207">
        <f t="shared" si="8"/>
        <v>0</v>
      </c>
      <c r="AE31" s="208">
        <f t="shared" si="9"/>
        <v>0</v>
      </c>
      <c r="AF31" s="306">
        <f t="shared" si="10"/>
        <v>0</v>
      </c>
      <c r="AG31" s="306">
        <f t="shared" si="11"/>
        <v>0</v>
      </c>
      <c r="AH31" s="141"/>
    </row>
    <row r="32" spans="1:34" ht="16.5" customHeight="1">
      <c r="A32" s="189">
        <f>+'HASIL PROD'!A290</f>
        <v>46230</v>
      </c>
      <c r="B32" s="171">
        <f>SUMIF('HASIL PROD'!$A$4:$A$343,A32,'HASIL PROD'!$D$4:$D$343)</f>
        <v>0</v>
      </c>
      <c r="C32" s="289"/>
      <c r="D32" s="171"/>
      <c r="E32" s="289"/>
      <c r="F32" s="173">
        <f t="shared" si="0"/>
        <v>0</v>
      </c>
      <c r="G32" s="179">
        <f t="shared" si="1"/>
        <v>0</v>
      </c>
      <c r="H32" s="194">
        <f>SUMIF('HASIL PROD'!$A$4:$A$343,A32,'HASIL PROD'!$I$4:$I$343)</f>
        <v>0</v>
      </c>
      <c r="I32" s="195"/>
      <c r="J32" s="194"/>
      <c r="K32" s="195"/>
      <c r="L32" s="196">
        <f t="shared" si="2"/>
        <v>0</v>
      </c>
      <c r="M32" s="197">
        <f t="shared" si="3"/>
        <v>0</v>
      </c>
      <c r="N32" s="218">
        <f>SUMIF('HASIL PROD'!$A$4:$A$343,A32,'HASIL PROD'!$N$4:$N$343)</f>
        <v>0</v>
      </c>
      <c r="O32" s="219"/>
      <c r="P32" s="218"/>
      <c r="Q32" s="219"/>
      <c r="R32" s="220">
        <f t="shared" si="4"/>
        <v>0</v>
      </c>
      <c r="S32" s="221">
        <f t="shared" si="5"/>
        <v>0</v>
      </c>
      <c r="T32" s="230">
        <f>SUMIF('HASIL PROD'!$A$4:$A$343,A32,'HASIL PROD'!$S$4:$S$344)</f>
        <v>0</v>
      </c>
      <c r="U32" s="231"/>
      <c r="V32" s="230"/>
      <c r="W32" s="231"/>
      <c r="X32" s="232">
        <f t="shared" si="6"/>
        <v>0</v>
      </c>
      <c r="Y32" s="233">
        <f t="shared" si="7"/>
        <v>0</v>
      </c>
      <c r="Z32" s="205">
        <f>+'HASIL PROD'!X290</f>
        <v>0</v>
      </c>
      <c r="AA32" s="206"/>
      <c r="AB32" s="205"/>
      <c r="AC32" s="206"/>
      <c r="AD32" s="207">
        <f t="shared" si="8"/>
        <v>0</v>
      </c>
      <c r="AE32" s="208">
        <f t="shared" si="9"/>
        <v>0</v>
      </c>
      <c r="AF32" s="306">
        <f t="shared" si="10"/>
        <v>0</v>
      </c>
      <c r="AG32" s="306">
        <f t="shared" si="11"/>
        <v>0</v>
      </c>
      <c r="AH32" s="141"/>
    </row>
    <row r="33" spans="1:37" ht="16.5" customHeight="1">
      <c r="A33" s="189">
        <f>+'HASIL PROD'!A301</f>
        <v>46231</v>
      </c>
      <c r="B33" s="171">
        <f>SUMIF('HASIL PROD'!$A$4:$A$343,A33,'HASIL PROD'!$D$4:$D$343)</f>
        <v>0</v>
      </c>
      <c r="C33" s="289"/>
      <c r="D33" s="171"/>
      <c r="E33" s="289"/>
      <c r="F33" s="173">
        <f t="shared" si="0"/>
        <v>0</v>
      </c>
      <c r="G33" s="179">
        <f t="shared" si="1"/>
        <v>0</v>
      </c>
      <c r="H33" s="194">
        <f>SUMIF('HASIL PROD'!$A$4:$A$343,A33,'HASIL PROD'!$I$4:$I$343)</f>
        <v>0</v>
      </c>
      <c r="I33" s="195"/>
      <c r="J33" s="194"/>
      <c r="K33" s="195"/>
      <c r="L33" s="196">
        <f t="shared" si="2"/>
        <v>0</v>
      </c>
      <c r="M33" s="197">
        <f t="shared" si="3"/>
        <v>0</v>
      </c>
      <c r="N33" s="218">
        <f>SUMIF('HASIL PROD'!$A$4:$A$343,A33,'HASIL PROD'!$N$4:$N$343)</f>
        <v>0</v>
      </c>
      <c r="O33" s="219"/>
      <c r="P33" s="218"/>
      <c r="Q33" s="219"/>
      <c r="R33" s="220">
        <f t="shared" si="4"/>
        <v>0</v>
      </c>
      <c r="S33" s="221">
        <f t="shared" si="5"/>
        <v>0</v>
      </c>
      <c r="T33" s="230">
        <f>SUMIF('HASIL PROD'!$A$4:$A$343,A33,'HASIL PROD'!$S$4:$S$344)</f>
        <v>0</v>
      </c>
      <c r="U33" s="231"/>
      <c r="V33" s="230"/>
      <c r="W33" s="231"/>
      <c r="X33" s="232">
        <f t="shared" si="6"/>
        <v>0</v>
      </c>
      <c r="Y33" s="233">
        <f t="shared" si="7"/>
        <v>0</v>
      </c>
      <c r="Z33" s="205">
        <f>+'HASIL PROD'!X301</f>
        <v>0</v>
      </c>
      <c r="AA33" s="206"/>
      <c r="AB33" s="205"/>
      <c r="AC33" s="206"/>
      <c r="AD33" s="207">
        <f t="shared" si="8"/>
        <v>0</v>
      </c>
      <c r="AE33" s="208">
        <f t="shared" si="9"/>
        <v>0</v>
      </c>
      <c r="AF33" s="306">
        <f t="shared" si="10"/>
        <v>0</v>
      </c>
      <c r="AG33" s="306">
        <f t="shared" si="11"/>
        <v>0</v>
      </c>
      <c r="AH33" s="141"/>
    </row>
    <row r="34" spans="1:37" ht="16.5" customHeight="1">
      <c r="A34" s="189">
        <f>+'HASIL PROD'!A312</f>
        <v>46232</v>
      </c>
      <c r="B34" s="171">
        <f>SUMIF('HASIL PROD'!$A$4:$A$343,A34,'HASIL PROD'!$D$4:$D$343)</f>
        <v>0</v>
      </c>
      <c r="C34" s="289"/>
      <c r="D34" s="171"/>
      <c r="E34" s="289"/>
      <c r="F34" s="173">
        <f t="shared" si="0"/>
        <v>0</v>
      </c>
      <c r="G34" s="179">
        <f t="shared" si="1"/>
        <v>0</v>
      </c>
      <c r="H34" s="194">
        <f>SUMIF('HASIL PROD'!$A$4:$A$343,A34,'HASIL PROD'!$I$4:$I$343)</f>
        <v>0</v>
      </c>
      <c r="I34" s="195"/>
      <c r="J34" s="194"/>
      <c r="K34" s="195"/>
      <c r="L34" s="196">
        <f t="shared" si="2"/>
        <v>0</v>
      </c>
      <c r="M34" s="197">
        <f t="shared" si="3"/>
        <v>0</v>
      </c>
      <c r="N34" s="218">
        <f>SUMIF('HASIL PROD'!$A$4:$A$343,A34,'HASIL PROD'!$N$4:$N$343)</f>
        <v>0</v>
      </c>
      <c r="O34" s="219"/>
      <c r="P34" s="218"/>
      <c r="Q34" s="219"/>
      <c r="R34" s="220">
        <f t="shared" si="4"/>
        <v>0</v>
      </c>
      <c r="S34" s="221">
        <f t="shared" si="5"/>
        <v>0</v>
      </c>
      <c r="T34" s="230">
        <f>SUMIF('HASIL PROD'!$A$4:$A$343,A34,'HASIL PROD'!$S$4:$S$344)</f>
        <v>0</v>
      </c>
      <c r="U34" s="231"/>
      <c r="V34" s="230"/>
      <c r="W34" s="231"/>
      <c r="X34" s="232">
        <f t="shared" si="6"/>
        <v>0</v>
      </c>
      <c r="Y34" s="233">
        <f t="shared" si="7"/>
        <v>0</v>
      </c>
      <c r="Z34" s="205">
        <f>+'HASIL PROD'!X312</f>
        <v>0</v>
      </c>
      <c r="AA34" s="206"/>
      <c r="AB34" s="205"/>
      <c r="AC34" s="206"/>
      <c r="AD34" s="207">
        <f t="shared" si="8"/>
        <v>0</v>
      </c>
      <c r="AE34" s="208">
        <f t="shared" si="9"/>
        <v>0</v>
      </c>
      <c r="AF34" s="306">
        <f t="shared" si="10"/>
        <v>0</v>
      </c>
      <c r="AG34" s="306">
        <f t="shared" si="11"/>
        <v>0</v>
      </c>
      <c r="AH34" s="141"/>
    </row>
    <row r="35" spans="1:37" ht="16.5" customHeight="1">
      <c r="A35" s="189">
        <f>+'HASIL PROD'!A323</f>
        <v>46233</v>
      </c>
      <c r="B35" s="171">
        <f>SUMIF('HASIL PROD'!$A$4:$A$343,A35,'HASIL PROD'!$D$4:$D$343)</f>
        <v>0</v>
      </c>
      <c r="C35" s="362"/>
      <c r="D35" s="171"/>
      <c r="E35" s="289"/>
      <c r="F35" s="173">
        <f t="shared" si="0"/>
        <v>0</v>
      </c>
      <c r="G35" s="353">
        <f t="shared" si="1"/>
        <v>0</v>
      </c>
      <c r="H35" s="194">
        <f>SUMIF('HASIL PROD'!$A$4:$A$343,A35,'HASIL PROD'!$I$4:$I$343)</f>
        <v>0</v>
      </c>
      <c r="I35" s="195"/>
      <c r="J35" s="194"/>
      <c r="K35" s="195"/>
      <c r="L35" s="196">
        <f t="shared" si="2"/>
        <v>0</v>
      </c>
      <c r="M35" s="197">
        <f t="shared" si="3"/>
        <v>0</v>
      </c>
      <c r="N35" s="218">
        <f>SUMIF('HASIL PROD'!$A$4:$A$343,A35,'HASIL PROD'!$N$4:$N$343)</f>
        <v>0</v>
      </c>
      <c r="O35" s="310"/>
      <c r="P35" s="218"/>
      <c r="Q35" s="219"/>
      <c r="R35" s="220">
        <f t="shared" si="4"/>
        <v>0</v>
      </c>
      <c r="S35" s="221">
        <f t="shared" si="5"/>
        <v>0</v>
      </c>
      <c r="T35" s="230">
        <f>SUMIF('HASIL PROD'!$A$4:$A$343,A35,'HASIL PROD'!$S$4:$S$344)</f>
        <v>0</v>
      </c>
      <c r="U35" s="313"/>
      <c r="V35" s="359"/>
      <c r="W35" s="313"/>
      <c r="X35" s="232">
        <f t="shared" si="6"/>
        <v>0</v>
      </c>
      <c r="Y35" s="233">
        <f t="shared" si="7"/>
        <v>0</v>
      </c>
      <c r="Z35" s="205">
        <f>+'HASIL PROD'!X323</f>
        <v>0</v>
      </c>
      <c r="AA35" s="206"/>
      <c r="AB35" s="205"/>
      <c r="AC35" s="206"/>
      <c r="AD35" s="207">
        <f t="shared" si="8"/>
        <v>0</v>
      </c>
      <c r="AE35" s="208">
        <f t="shared" si="9"/>
        <v>0</v>
      </c>
      <c r="AF35" s="306">
        <f t="shared" si="10"/>
        <v>0</v>
      </c>
      <c r="AG35" s="306">
        <f t="shared" si="11"/>
        <v>0</v>
      </c>
      <c r="AH35" s="141"/>
    </row>
    <row r="36" spans="1:37" ht="16.5" customHeight="1">
      <c r="A36" s="189">
        <f>+'HASIL PROD'!A334</f>
        <v>46234</v>
      </c>
      <c r="B36" s="171">
        <f>SUMIF('HASIL PROD'!$A$4:$A$343,A36,'HASIL PROD'!$D$4:$D$343)</f>
        <v>0</v>
      </c>
      <c r="C36" s="176"/>
      <c r="D36" s="171"/>
      <c r="E36" s="176"/>
      <c r="F36" s="173">
        <f t="shared" si="0"/>
        <v>0</v>
      </c>
      <c r="G36" s="179">
        <f t="shared" si="1"/>
        <v>0</v>
      </c>
      <c r="H36" s="194">
        <f>SUMIF('HASIL PROD'!$A$4:$A$343,A36,'HASIL PROD'!$I$4:$I$343)</f>
        <v>0</v>
      </c>
      <c r="I36" s="195"/>
      <c r="J36" s="194"/>
      <c r="K36" s="195"/>
      <c r="L36" s="196">
        <f t="shared" si="2"/>
        <v>0</v>
      </c>
      <c r="M36" s="197">
        <f t="shared" si="3"/>
        <v>0</v>
      </c>
      <c r="N36" s="218">
        <f>SUMIF('HASIL PROD'!$A$4:$A$343,A36,'HASIL PROD'!$N$4:$N$343)</f>
        <v>0</v>
      </c>
      <c r="O36" s="219"/>
      <c r="P36" s="218"/>
      <c r="Q36" s="219"/>
      <c r="R36" s="220">
        <f t="shared" si="4"/>
        <v>0</v>
      </c>
      <c r="S36" s="221">
        <f t="shared" si="5"/>
        <v>0</v>
      </c>
      <c r="T36" s="230">
        <f>SUMIF('HASIL PROD'!$A$4:$A$343,A36,'HASIL PROD'!$S$4:$S$344)</f>
        <v>0</v>
      </c>
      <c r="U36" s="231"/>
      <c r="V36" s="230"/>
      <c r="W36" s="231"/>
      <c r="X36" s="232">
        <f t="shared" si="6"/>
        <v>0</v>
      </c>
      <c r="Y36" s="233">
        <f t="shared" si="7"/>
        <v>0</v>
      </c>
      <c r="Z36" s="205">
        <f>+'HASIL PROD'!X334</f>
        <v>0</v>
      </c>
      <c r="AA36" s="206"/>
      <c r="AB36" s="205"/>
      <c r="AC36" s="206"/>
      <c r="AD36" s="207">
        <f t="shared" si="8"/>
        <v>0</v>
      </c>
      <c r="AE36" s="208">
        <f t="shared" si="9"/>
        <v>0</v>
      </c>
      <c r="AF36" s="306">
        <f t="shared" si="10"/>
        <v>0</v>
      </c>
      <c r="AG36" s="306">
        <f t="shared" si="11"/>
        <v>0</v>
      </c>
      <c r="AH36" s="141"/>
    </row>
    <row r="37" spans="1:37">
      <c r="A37" s="189"/>
      <c r="B37" s="172"/>
      <c r="C37" s="176"/>
      <c r="D37" s="172"/>
      <c r="E37" s="176"/>
      <c r="F37" s="174"/>
      <c r="G37" s="179"/>
      <c r="H37" s="198"/>
      <c r="I37" s="195"/>
      <c r="J37" s="198"/>
      <c r="K37" s="195"/>
      <c r="L37" s="199"/>
      <c r="M37" s="197"/>
      <c r="N37" s="222"/>
      <c r="O37" s="219"/>
      <c r="P37" s="222"/>
      <c r="Q37" s="219"/>
      <c r="R37" s="223"/>
      <c r="S37" s="221"/>
      <c r="T37" s="234"/>
      <c r="U37" s="231"/>
      <c r="V37" s="234"/>
      <c r="W37" s="231"/>
      <c r="X37" s="235"/>
      <c r="Y37" s="233"/>
      <c r="Z37" s="209"/>
      <c r="AA37" s="206"/>
      <c r="AB37" s="209"/>
      <c r="AC37" s="206"/>
      <c r="AD37" s="210"/>
      <c r="AE37" s="208"/>
      <c r="AF37" s="140"/>
      <c r="AG37" s="140"/>
      <c r="AH37" s="140"/>
    </row>
    <row r="38" spans="1:37">
      <c r="A38" s="175" t="s">
        <v>118</v>
      </c>
      <c r="B38" s="177">
        <f>SUM(B6:B36)</f>
        <v>150768.5</v>
      </c>
      <c r="C38" s="308">
        <f>SUM(C6:C37)</f>
        <v>92.5</v>
      </c>
      <c r="D38" s="177">
        <f>SUM(D6:D36)</f>
        <v>154085.5</v>
      </c>
      <c r="E38" s="308">
        <f>SUM(E6:E37)</f>
        <v>93.5</v>
      </c>
      <c r="F38" s="178">
        <f>SUM(F6:F36)</f>
        <v>-3317</v>
      </c>
      <c r="G38" s="309">
        <f>SUM(G6:G37)</f>
        <v>-1</v>
      </c>
      <c r="H38" s="200">
        <f>SUM(H6:H36)</f>
        <v>67053.168000000005</v>
      </c>
      <c r="I38" s="294">
        <f>SUM(I6:I37)</f>
        <v>40</v>
      </c>
      <c r="J38" s="200">
        <f>SUM(J6:J36)</f>
        <v>67216.967999999993</v>
      </c>
      <c r="K38" s="294">
        <f>SUM(K6:K37)</f>
        <v>40</v>
      </c>
      <c r="L38" s="201">
        <f>SUM(L6:L36)</f>
        <v>-163.79999999999654</v>
      </c>
      <c r="M38" s="330">
        <f>SUM(M6:M37)</f>
        <v>0</v>
      </c>
      <c r="N38" s="224">
        <f>SUM(N6:N36)</f>
        <v>17680.572</v>
      </c>
      <c r="O38" s="363">
        <f>SUM(O6:O37)</f>
        <v>10</v>
      </c>
      <c r="P38" s="224">
        <f>SUM(P6:P36)</f>
        <v>16809.155999999999</v>
      </c>
      <c r="Q38" s="225">
        <f>SUM(Q6:Q37)</f>
        <v>9.5</v>
      </c>
      <c r="R38" s="226">
        <f>SUM(R6:R36)</f>
        <v>871.41600000000199</v>
      </c>
      <c r="S38" s="364">
        <f>SUM(S6:S37)</f>
        <v>0.5</v>
      </c>
      <c r="T38" s="236">
        <f>SUM(T6:T36)</f>
        <v>0</v>
      </c>
      <c r="U38" s="316">
        <f>SUM(U6:U37)</f>
        <v>0</v>
      </c>
      <c r="V38" s="236">
        <f>SUM(V6:V36)</f>
        <v>0</v>
      </c>
      <c r="W38" s="360">
        <f>SUM(W6:W37)</f>
        <v>0</v>
      </c>
      <c r="X38" s="237">
        <f>SUM(X6:X36)</f>
        <v>0</v>
      </c>
      <c r="Y38" s="358">
        <f>SUM(Y6:Y37)</f>
        <v>0</v>
      </c>
      <c r="Z38" s="211">
        <f>SUM(Z6:Z36)</f>
        <v>0</v>
      </c>
      <c r="AA38" s="212">
        <f>SUM(AA6:AA37)</f>
        <v>0</v>
      </c>
      <c r="AB38" s="211">
        <f>SUM(AB6:AB36)</f>
        <v>0</v>
      </c>
      <c r="AC38" s="212">
        <f>SUM(AC6:AC37)</f>
        <v>0</v>
      </c>
      <c r="AD38" s="213">
        <f>SUM(AD6:AD36)</f>
        <v>0</v>
      </c>
      <c r="AE38" s="214">
        <f>SUM(AE6:AE37)</f>
        <v>0</v>
      </c>
      <c r="AF38" s="307">
        <f>SUM(AF6:AF37)</f>
        <v>92.5</v>
      </c>
      <c r="AG38" s="307">
        <f t="shared" ref="AG38:AH38" si="12">SUM(AG6:AG37)</f>
        <v>50</v>
      </c>
      <c r="AH38" s="307">
        <f t="shared" si="12"/>
        <v>0</v>
      </c>
      <c r="AI38" s="335">
        <f>+AH38/3</f>
        <v>0</v>
      </c>
      <c r="AJ38" s="137" t="s">
        <v>160</v>
      </c>
      <c r="AK38" s="137" t="s">
        <v>161</v>
      </c>
    </row>
    <row r="39" spans="1:37">
      <c r="B39" s="301">
        <f>+B38-'[1]Juli''26'!$C$35</f>
        <v>-1460.875</v>
      </c>
      <c r="C39" s="156"/>
      <c r="D39" s="168">
        <f>+D38-[2]SEPTEMBER!$AN$30</f>
        <v>75364.625</v>
      </c>
      <c r="E39" s="332"/>
      <c r="G39" s="332">
        <f>-C41</f>
        <v>0</v>
      </c>
      <c r="J39" s="168"/>
      <c r="K39" s="332"/>
      <c r="P39" s="168">
        <f>+P38-[2]SEPTEMBER!$AN$24</f>
        <v>-8399.6640000000007</v>
      </c>
      <c r="V39" s="168">
        <f>+V38-[2]SEPTEMBER!$AN$25</f>
        <v>-1729.7279999999998</v>
      </c>
      <c r="AI39" s="137">
        <f>9*3</f>
        <v>27</v>
      </c>
    </row>
    <row r="40" spans="1:37">
      <c r="A40" s="182" t="s">
        <v>228</v>
      </c>
      <c r="B40" s="180">
        <v>154000</v>
      </c>
      <c r="C40" s="183">
        <f>+B40/1578.68</f>
        <v>97.549851774900546</v>
      </c>
      <c r="D40" s="168"/>
      <c r="F40" s="324"/>
      <c r="G40" s="156">
        <f>SUM(G38:G39)</f>
        <v>-1</v>
      </c>
      <c r="H40" s="180">
        <v>67200</v>
      </c>
      <c r="I40" s="183">
        <f>+H40/1688.22</f>
        <v>39.805238653729965</v>
      </c>
      <c r="J40" s="168">
        <f>+I40-I38</f>
        <v>-0.19476134627003461</v>
      </c>
      <c r="N40" s="183">
        <v>16800</v>
      </c>
      <c r="O40" s="183">
        <f>+N40/1754.712</f>
        <v>9.574220726820128</v>
      </c>
      <c r="T40" s="180">
        <v>1720</v>
      </c>
      <c r="U40" s="183">
        <f>+T40/1721.98</f>
        <v>0.99885016086133405</v>
      </c>
      <c r="Z40" s="180"/>
      <c r="AA40" s="183">
        <f>+Z40/1678.06</f>
        <v>0</v>
      </c>
    </row>
    <row r="41" spans="1:37">
      <c r="A41" s="182" t="s">
        <v>229</v>
      </c>
      <c r="B41" s="180"/>
      <c r="C41" s="183">
        <f t="shared" ref="C41:C42" si="13">+B41/1578.68</f>
        <v>0</v>
      </c>
      <c r="F41" s="324"/>
      <c r="G41" s="156"/>
      <c r="H41" s="180"/>
      <c r="I41" s="183">
        <f>+H41/1688.22</f>
        <v>0</v>
      </c>
      <c r="N41" s="180"/>
      <c r="O41" s="183">
        <f>+N41/1754.712</f>
        <v>0</v>
      </c>
      <c r="T41" s="180"/>
      <c r="U41" s="183">
        <f t="shared" ref="U41:U42" si="14">+T41/1721.98</f>
        <v>0</v>
      </c>
      <c r="Z41" s="180"/>
      <c r="AA41" s="183"/>
    </row>
    <row r="42" spans="1:37">
      <c r="A42" s="182" t="s">
        <v>230</v>
      </c>
      <c r="B42" s="180"/>
      <c r="C42" s="183">
        <f t="shared" si="13"/>
        <v>0</v>
      </c>
      <c r="F42" s="324"/>
      <c r="G42" s="156"/>
      <c r="H42" s="180"/>
      <c r="I42" s="183">
        <f>+H42/1688.22</f>
        <v>0</v>
      </c>
      <c r="N42" s="180"/>
      <c r="O42" s="183">
        <f>+N42/1752.06</f>
        <v>0</v>
      </c>
      <c r="T42" s="180"/>
      <c r="U42" s="183">
        <f t="shared" si="14"/>
        <v>0</v>
      </c>
      <c r="Z42" s="180"/>
      <c r="AA42" s="183"/>
    </row>
    <row r="43" spans="1:37">
      <c r="A43" s="181" t="s">
        <v>119</v>
      </c>
      <c r="B43" s="187">
        <f>+B38-B40-B41+B42</f>
        <v>-3231.5</v>
      </c>
      <c r="C43" s="305">
        <f>+B43/1578.68</f>
        <v>-2.0469632857830593</v>
      </c>
      <c r="D43" s="304"/>
      <c r="F43" s="324"/>
      <c r="G43" s="156"/>
      <c r="H43" s="187">
        <f>+H38-H40-H41+H42</f>
        <v>-146.83199999999488</v>
      </c>
      <c r="I43" s="305">
        <f>+H43/1666.18</f>
        <v>-8.8124932480281165E-2</v>
      </c>
      <c r="K43" s="328"/>
      <c r="N43" s="187">
        <f>+N38-N40-N41+N42</f>
        <v>880.57200000000012</v>
      </c>
      <c r="O43" s="331">
        <f>+N43/1752.06</f>
        <v>0.50259237697339143</v>
      </c>
      <c r="Q43" s="137">
        <f>14-10.5</f>
        <v>3.5</v>
      </c>
      <c r="T43" s="187">
        <f>+T38-T40-T41+T42</f>
        <v>-1720</v>
      </c>
      <c r="U43" s="187">
        <f>+SUM(U40:U41)-U38-U42</f>
        <v>0.99885016086133405</v>
      </c>
      <c r="Z43" s="187">
        <f>+Z38-Z40-Z41+Z42</f>
        <v>0</v>
      </c>
      <c r="AA43" s="187">
        <f>+SUM(AA40:AA41)-AA38-AA42</f>
        <v>0</v>
      </c>
    </row>
    <row r="44" spans="1:37">
      <c r="A44" s="184"/>
      <c r="B44" s="185"/>
      <c r="C44" s="186"/>
      <c r="F44" s="324"/>
      <c r="G44" s="156"/>
      <c r="H44" s="185"/>
      <c r="I44" s="186"/>
      <c r="N44" s="185"/>
      <c r="O44" s="186"/>
      <c r="T44" s="185"/>
      <c r="U44" s="186"/>
      <c r="Z44" s="185"/>
      <c r="AA44" s="186"/>
    </row>
    <row r="45" spans="1:37" ht="16.5" customHeight="1">
      <c r="A45" s="638" t="s">
        <v>231</v>
      </c>
      <c r="B45" s="624">
        <f>+B38+B42-B41-D38</f>
        <v>-3317</v>
      </c>
      <c r="C45" s="625">
        <f>+B45/1578.68</f>
        <v>-2.1011224567360074</v>
      </c>
      <c r="D45" s="156"/>
      <c r="G45" s="325"/>
      <c r="H45" s="624">
        <f>+H38+H42-H41-J38</f>
        <v>-163.79999999998836</v>
      </c>
      <c r="I45" s="636">
        <f>+H45/1666.18</f>
        <v>-9.8308706142186536E-2</v>
      </c>
      <c r="N45" s="624">
        <f>+N38+N42-N41-P38</f>
        <v>871.41600000000108</v>
      </c>
      <c r="O45" s="625">
        <f>+N45/1752.06</f>
        <v>0.49736652854354368</v>
      </c>
      <c r="T45" s="624">
        <f>+T38+T42-T41-V38</f>
        <v>0</v>
      </c>
      <c r="U45" s="625">
        <f>+T45/1721.98</f>
        <v>0</v>
      </c>
      <c r="Z45" s="624">
        <f>+Z38+Z42-Z41-AB38</f>
        <v>0</v>
      </c>
      <c r="AA45" s="625">
        <f>+Z45/1673</f>
        <v>0</v>
      </c>
    </row>
    <row r="46" spans="1:37">
      <c r="A46" s="639"/>
      <c r="B46" s="624"/>
      <c r="C46" s="625"/>
      <c r="D46" s="156"/>
      <c r="G46" s="325"/>
      <c r="H46" s="624"/>
      <c r="I46" s="636"/>
      <c r="N46" s="624"/>
      <c r="O46" s="625"/>
      <c r="T46" s="624"/>
      <c r="U46" s="625"/>
      <c r="Z46" s="624"/>
      <c r="AA46" s="625"/>
    </row>
    <row r="47" spans="1:37">
      <c r="B47" s="168"/>
      <c r="G47" s="325"/>
      <c r="L47" s="168"/>
    </row>
    <row r="48" spans="1:37">
      <c r="A48" s="637">
        <f>+B38+H38+N38+T38+Z38</f>
        <v>235502.24</v>
      </c>
      <c r="B48" s="137">
        <f>2194*3.875</f>
        <v>8501.75</v>
      </c>
      <c r="G48" s="325"/>
    </row>
    <row r="49" spans="1:10">
      <c r="A49" s="637"/>
      <c r="B49" s="168"/>
      <c r="C49" s="327"/>
      <c r="D49" s="327"/>
      <c r="F49" s="168"/>
      <c r="G49" s="325"/>
      <c r="H49" s="168"/>
    </row>
    <row r="50" spans="1:10">
      <c r="A50" s="168">
        <f>+B40+H40+N40+T40+Z40</f>
        <v>239720</v>
      </c>
      <c r="B50" s="302"/>
      <c r="C50" s="320"/>
      <c r="D50" s="168"/>
      <c r="F50" s="168"/>
    </row>
    <row r="51" spans="1:10">
      <c r="C51" s="320"/>
      <c r="D51" s="168"/>
      <c r="F51" s="168"/>
      <c r="G51" s="326"/>
    </row>
    <row r="52" spans="1:10">
      <c r="C52" s="320"/>
      <c r="D52" s="168"/>
      <c r="F52" s="168"/>
    </row>
    <row r="53" spans="1:10">
      <c r="B53" s="168"/>
      <c r="C53" s="320"/>
      <c r="D53" s="168"/>
      <c r="F53" s="168"/>
      <c r="H53" s="319"/>
      <c r="J53" s="303"/>
    </row>
    <row r="54" spans="1:10">
      <c r="B54" s="477"/>
      <c r="C54" s="478"/>
      <c r="D54" s="479"/>
      <c r="E54" s="479"/>
      <c r="F54" s="479"/>
      <c r="G54" s="479"/>
      <c r="H54" s="479"/>
      <c r="J54" s="168"/>
    </row>
    <row r="55" spans="1:10">
      <c r="C55" s="320"/>
      <c r="D55" s="168"/>
      <c r="F55" s="168"/>
    </row>
    <row r="56" spans="1:10">
      <c r="C56" s="320"/>
      <c r="D56" s="168"/>
      <c r="F56" s="168"/>
    </row>
    <row r="57" spans="1:10">
      <c r="D57" s="168"/>
      <c r="F57" s="168"/>
      <c r="H57" s="302"/>
    </row>
  </sheetData>
  <mergeCells count="35">
    <mergeCell ref="A3:A5"/>
    <mergeCell ref="B3:G3"/>
    <mergeCell ref="N3:S3"/>
    <mergeCell ref="N4:O4"/>
    <mergeCell ref="P4:Q4"/>
    <mergeCell ref="B4:C4"/>
    <mergeCell ref="D4:E4"/>
    <mergeCell ref="F4:G4"/>
    <mergeCell ref="L4:M4"/>
    <mergeCell ref="J4:K4"/>
    <mergeCell ref="R4:S4"/>
    <mergeCell ref="H3:M3"/>
    <mergeCell ref="H4:I4"/>
    <mergeCell ref="H45:H46"/>
    <mergeCell ref="I45:I46"/>
    <mergeCell ref="N45:N46"/>
    <mergeCell ref="O45:O46"/>
    <mergeCell ref="A48:A49"/>
    <mergeCell ref="A45:A46"/>
    <mergeCell ref="B45:B46"/>
    <mergeCell ref="C45:C46"/>
    <mergeCell ref="AH3:AH5"/>
    <mergeCell ref="AF3:AG4"/>
    <mergeCell ref="T45:T46"/>
    <mergeCell ref="Z45:Z46"/>
    <mergeCell ref="AA45:AA46"/>
    <mergeCell ref="Z3:AE3"/>
    <mergeCell ref="Z4:AA4"/>
    <mergeCell ref="AB4:AC4"/>
    <mergeCell ref="AD4:AE4"/>
    <mergeCell ref="U45:U46"/>
    <mergeCell ref="T3:Y3"/>
    <mergeCell ref="T4:U4"/>
    <mergeCell ref="V4:W4"/>
    <mergeCell ref="X4:Y4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8"/>
  <dimension ref="A1:EL46"/>
  <sheetViews>
    <sheetView zoomScale="90" zoomScaleNormal="90" workbookViewId="0">
      <pane xSplit="1" ySplit="6" topLeftCell="B16" activePane="bottomRight" state="frozen"/>
      <selection pane="topRight" activeCell="B1" sqref="B1"/>
      <selection pane="bottomLeft" activeCell="A7" sqref="A7"/>
      <selection pane="bottomRight" activeCell="D35" sqref="D35"/>
    </sheetView>
  </sheetViews>
  <sheetFormatPr defaultRowHeight="12.75"/>
  <cols>
    <col min="1" max="1" width="11" style="239" customWidth="1"/>
    <col min="2" max="15" width="6.42578125" style="239" customWidth="1"/>
    <col min="16" max="16" width="10.5703125" style="239" customWidth="1"/>
    <col min="17" max="17" width="9.140625" style="239" customWidth="1"/>
    <col min="18" max="19" width="9.140625" style="239"/>
    <col min="20" max="20" width="11.42578125" style="239" customWidth="1"/>
    <col min="21" max="21" width="12.28515625" style="239" customWidth="1"/>
    <col min="22" max="23" width="10.85546875" style="239" customWidth="1"/>
    <col min="24" max="24" width="2.5703125" style="239" customWidth="1"/>
    <col min="25" max="25" width="11" style="239" customWidth="1"/>
    <col min="26" max="26" width="6.28515625" style="239" customWidth="1"/>
    <col min="27" max="27" width="5.7109375" style="239" customWidth="1"/>
    <col min="28" max="31" width="6.28515625" style="239" customWidth="1"/>
    <col min="32" max="32" width="6.7109375" style="239" customWidth="1"/>
    <col min="33" max="33" width="5.7109375" style="239" customWidth="1"/>
    <col min="34" max="34" width="6.5703125" style="239" customWidth="1"/>
    <col min="35" max="35" width="7.5703125" style="239" customWidth="1"/>
    <col min="36" max="36" width="6.28515625" style="239" customWidth="1"/>
    <col min="37" max="37" width="6.5703125" style="239" customWidth="1"/>
    <col min="38" max="38" width="6.7109375" style="239" customWidth="1"/>
    <col min="39" max="39" width="6.5703125" style="239" customWidth="1"/>
    <col min="40" max="43" width="9.140625" style="239"/>
    <col min="44" max="44" width="10" style="239" customWidth="1"/>
    <col min="45" max="45" width="10.85546875" style="239" customWidth="1"/>
    <col min="46" max="47" width="10.42578125" style="239" customWidth="1"/>
    <col min="48" max="48" width="2.7109375" style="239" customWidth="1"/>
    <col min="49" max="49" width="10.85546875" style="239" customWidth="1"/>
    <col min="50" max="63" width="6.42578125" style="239" customWidth="1"/>
    <col min="64" max="67" width="9.140625" style="239"/>
    <col min="68" max="68" width="10" style="239" customWidth="1"/>
    <col min="69" max="70" width="10.85546875" style="239" customWidth="1"/>
    <col min="71" max="71" width="11.28515625" style="239" customWidth="1"/>
    <col min="72" max="72" width="3.42578125" style="239" customWidth="1"/>
    <col min="73" max="73" width="10.85546875" style="239" customWidth="1"/>
    <col min="74" max="87" width="5.7109375" style="239" customWidth="1"/>
    <col min="88" max="92" width="9.140625" style="239"/>
    <col min="93" max="93" width="9.7109375" style="239" customWidth="1"/>
    <col min="94" max="95" width="10.28515625" style="239" customWidth="1"/>
    <col min="96" max="96" width="3.28515625" style="239" customWidth="1"/>
    <col min="97" max="97" width="10.7109375" style="239" customWidth="1"/>
    <col min="98" max="111" width="5.7109375" style="239" customWidth="1"/>
    <col min="112" max="117" width="9.140625" style="239"/>
    <col min="118" max="119" width="11" style="239" customWidth="1"/>
    <col min="120" max="120" width="3.5703125" style="239" customWidth="1"/>
    <col min="121" max="138" width="9.140625" style="239"/>
    <col min="139" max="139" width="11.42578125" style="239" customWidth="1"/>
    <col min="140" max="140" width="11.5703125" style="281" customWidth="1"/>
    <col min="141" max="142" width="10.28515625" style="239" customWidth="1"/>
    <col min="143" max="16384" width="9.140625" style="239"/>
  </cols>
  <sheetData>
    <row r="1" spans="1:142">
      <c r="A1" s="656" t="s">
        <v>147</v>
      </c>
      <c r="B1" s="656"/>
      <c r="C1" s="656"/>
      <c r="D1" s="656"/>
      <c r="E1" s="656"/>
      <c r="F1" s="656"/>
      <c r="G1" s="656"/>
      <c r="H1" s="656"/>
      <c r="I1" s="656"/>
      <c r="J1" s="656"/>
      <c r="K1" s="656"/>
      <c r="L1" s="656"/>
      <c r="M1" s="656"/>
      <c r="N1" s="656"/>
      <c r="O1" s="656"/>
      <c r="P1" s="656"/>
      <c r="Q1" s="656"/>
      <c r="R1" s="656"/>
      <c r="S1" s="656"/>
      <c r="T1" s="656"/>
      <c r="U1" s="656"/>
      <c r="V1" s="656"/>
      <c r="W1" s="238"/>
      <c r="Y1" s="656" t="s">
        <v>125</v>
      </c>
      <c r="Z1" s="656"/>
      <c r="AA1" s="656"/>
      <c r="AB1" s="656"/>
      <c r="AC1" s="656"/>
      <c r="AD1" s="656"/>
      <c r="AE1" s="656"/>
      <c r="AF1" s="656"/>
      <c r="AG1" s="656"/>
      <c r="AH1" s="656"/>
      <c r="AI1" s="656"/>
      <c r="AJ1" s="656"/>
      <c r="AK1" s="656"/>
      <c r="AL1" s="656"/>
      <c r="AM1" s="656"/>
      <c r="AN1" s="656"/>
      <c r="AO1" s="656"/>
      <c r="AP1" s="656"/>
      <c r="AQ1" s="656"/>
      <c r="AR1" s="656"/>
      <c r="AS1" s="656"/>
      <c r="AT1" s="656"/>
      <c r="AU1" s="266"/>
      <c r="AW1" s="656" t="s">
        <v>148</v>
      </c>
      <c r="AX1" s="656"/>
      <c r="AY1" s="656"/>
      <c r="AZ1" s="656"/>
      <c r="BA1" s="656"/>
      <c r="BB1" s="656"/>
      <c r="BC1" s="656"/>
      <c r="BD1" s="656"/>
      <c r="BE1" s="656"/>
      <c r="BF1" s="656"/>
      <c r="BG1" s="656"/>
      <c r="BH1" s="656"/>
      <c r="BI1" s="656"/>
      <c r="BJ1" s="656"/>
      <c r="BK1" s="656"/>
      <c r="BL1" s="656"/>
      <c r="BM1" s="656"/>
      <c r="BN1" s="656"/>
      <c r="BO1" s="656"/>
      <c r="BP1" s="656"/>
      <c r="BQ1" s="656"/>
      <c r="BR1" s="656"/>
      <c r="BS1" s="266"/>
      <c r="BU1" s="656" t="s">
        <v>149</v>
      </c>
      <c r="BV1" s="656"/>
      <c r="BW1" s="656"/>
      <c r="BX1" s="656"/>
      <c r="BY1" s="656"/>
      <c r="BZ1" s="656"/>
      <c r="CA1" s="656"/>
      <c r="CB1" s="656"/>
      <c r="CC1" s="656"/>
      <c r="CD1" s="656"/>
      <c r="CE1" s="656"/>
      <c r="CF1" s="656"/>
      <c r="CG1" s="656"/>
      <c r="CH1" s="656"/>
      <c r="CI1" s="656"/>
      <c r="CJ1" s="656"/>
      <c r="CK1" s="656"/>
      <c r="CL1" s="656"/>
      <c r="CM1" s="656"/>
      <c r="CN1" s="656"/>
      <c r="CO1" s="656"/>
      <c r="CP1" s="656"/>
      <c r="CQ1" s="266"/>
      <c r="CS1" s="656" t="s">
        <v>150</v>
      </c>
      <c r="CT1" s="656"/>
      <c r="CU1" s="656"/>
      <c r="CV1" s="656"/>
      <c r="CW1" s="656"/>
      <c r="CX1" s="656"/>
      <c r="CY1" s="656"/>
      <c r="CZ1" s="656"/>
      <c r="DA1" s="656"/>
      <c r="DB1" s="656"/>
      <c r="DC1" s="656"/>
      <c r="DD1" s="656"/>
      <c r="DE1" s="656"/>
      <c r="DF1" s="656"/>
      <c r="DG1" s="656"/>
      <c r="DH1" s="656"/>
      <c r="DI1" s="656"/>
      <c r="DJ1" s="656"/>
      <c r="DK1" s="656"/>
      <c r="DL1" s="656"/>
      <c r="DM1" s="656"/>
      <c r="DN1" s="656"/>
      <c r="DO1" s="266"/>
      <c r="DQ1" s="656" t="s">
        <v>153</v>
      </c>
      <c r="DR1" s="656"/>
      <c r="DS1" s="656"/>
      <c r="DT1" s="656"/>
      <c r="DU1" s="656"/>
      <c r="DV1" s="656"/>
      <c r="DW1" s="656"/>
      <c r="DX1" s="656"/>
      <c r="DY1" s="656"/>
      <c r="DZ1" s="656"/>
      <c r="EA1" s="656"/>
      <c r="EB1" s="656"/>
      <c r="EC1" s="656"/>
      <c r="ED1" s="656"/>
      <c r="EE1" s="656"/>
      <c r="EF1" s="656"/>
      <c r="EG1" s="656"/>
      <c r="EH1" s="656"/>
      <c r="EI1" s="656"/>
      <c r="EJ1" s="656"/>
      <c r="EK1" s="656"/>
      <c r="EL1" s="656"/>
    </row>
    <row r="2" spans="1:142">
      <c r="A2" s="657">
        <v>46204</v>
      </c>
      <c r="B2" s="657"/>
      <c r="C2" s="657"/>
      <c r="D2" s="657"/>
      <c r="E2" s="657"/>
      <c r="F2" s="657"/>
      <c r="G2" s="657"/>
      <c r="H2" s="657"/>
      <c r="I2" s="657"/>
      <c r="J2" s="657"/>
      <c r="K2" s="657"/>
      <c r="L2" s="657"/>
      <c r="M2" s="657"/>
      <c r="N2" s="657"/>
      <c r="O2" s="657"/>
      <c r="P2" s="657"/>
      <c r="Q2" s="657"/>
      <c r="R2" s="657"/>
      <c r="S2" s="657"/>
      <c r="T2" s="657"/>
      <c r="U2" s="657"/>
      <c r="V2" s="657"/>
      <c r="W2" s="240"/>
      <c r="Y2" s="657">
        <f>+A2</f>
        <v>46204</v>
      </c>
      <c r="Z2" s="657"/>
      <c r="AA2" s="657"/>
      <c r="AB2" s="657"/>
      <c r="AC2" s="657"/>
      <c r="AD2" s="657"/>
      <c r="AE2" s="657"/>
      <c r="AF2" s="657"/>
      <c r="AG2" s="657"/>
      <c r="AH2" s="657"/>
      <c r="AI2" s="657"/>
      <c r="AJ2" s="657"/>
      <c r="AK2" s="657"/>
      <c r="AL2" s="657"/>
      <c r="AM2" s="657"/>
      <c r="AN2" s="657"/>
      <c r="AO2" s="657"/>
      <c r="AP2" s="657"/>
      <c r="AQ2" s="657"/>
      <c r="AR2" s="657"/>
      <c r="AS2" s="657"/>
      <c r="AT2" s="657"/>
      <c r="AU2" s="267"/>
      <c r="AW2" s="657">
        <f>+A2</f>
        <v>46204</v>
      </c>
      <c r="AX2" s="657"/>
      <c r="AY2" s="657"/>
      <c r="AZ2" s="657"/>
      <c r="BA2" s="657"/>
      <c r="BB2" s="657"/>
      <c r="BC2" s="657"/>
      <c r="BD2" s="657"/>
      <c r="BE2" s="657"/>
      <c r="BF2" s="657"/>
      <c r="BG2" s="657"/>
      <c r="BH2" s="657"/>
      <c r="BI2" s="657"/>
      <c r="BJ2" s="657"/>
      <c r="BK2" s="657"/>
      <c r="BL2" s="657"/>
      <c r="BM2" s="657"/>
      <c r="BN2" s="657"/>
      <c r="BO2" s="657"/>
      <c r="BP2" s="657"/>
      <c r="BQ2" s="657"/>
      <c r="BR2" s="657"/>
      <c r="BS2" s="267"/>
      <c r="BU2" s="657">
        <f>+A2</f>
        <v>46204</v>
      </c>
      <c r="BV2" s="657"/>
      <c r="BW2" s="657"/>
      <c r="BX2" s="657"/>
      <c r="BY2" s="657"/>
      <c r="BZ2" s="657"/>
      <c r="CA2" s="657"/>
      <c r="CB2" s="657"/>
      <c r="CC2" s="657"/>
      <c r="CD2" s="657"/>
      <c r="CE2" s="657"/>
      <c r="CF2" s="657"/>
      <c r="CG2" s="657"/>
      <c r="CH2" s="657"/>
      <c r="CI2" s="657"/>
      <c r="CJ2" s="657"/>
      <c r="CK2" s="657"/>
      <c r="CL2" s="657"/>
      <c r="CM2" s="657"/>
      <c r="CN2" s="657"/>
      <c r="CO2" s="657"/>
      <c r="CP2" s="657"/>
      <c r="CQ2" s="267"/>
      <c r="CS2" s="657">
        <f>+A2</f>
        <v>46204</v>
      </c>
      <c r="CT2" s="657"/>
      <c r="CU2" s="657"/>
      <c r="CV2" s="657"/>
      <c r="CW2" s="657"/>
      <c r="CX2" s="657"/>
      <c r="CY2" s="657"/>
      <c r="CZ2" s="657"/>
      <c r="DA2" s="657"/>
      <c r="DB2" s="657"/>
      <c r="DC2" s="657"/>
      <c r="DD2" s="657"/>
      <c r="DE2" s="657"/>
      <c r="DF2" s="657"/>
      <c r="DG2" s="657"/>
      <c r="DH2" s="657"/>
      <c r="DI2" s="657"/>
      <c r="DJ2" s="657"/>
      <c r="DK2" s="657"/>
      <c r="DL2" s="657"/>
      <c r="DM2" s="657"/>
      <c r="DN2" s="657"/>
      <c r="DO2" s="267"/>
      <c r="DQ2" s="657">
        <f>+A2</f>
        <v>46204</v>
      </c>
      <c r="DR2" s="657"/>
      <c r="DS2" s="657"/>
      <c r="DT2" s="657"/>
      <c r="DU2" s="657"/>
      <c r="DV2" s="657"/>
      <c r="DW2" s="657"/>
      <c r="DX2" s="657"/>
      <c r="DY2" s="657"/>
      <c r="DZ2" s="657"/>
      <c r="EA2" s="657"/>
      <c r="EB2" s="657"/>
      <c r="EC2" s="657"/>
      <c r="ED2" s="657"/>
      <c r="EE2" s="657"/>
      <c r="EF2" s="657"/>
      <c r="EG2" s="657"/>
      <c r="EH2" s="657"/>
      <c r="EI2" s="657"/>
      <c r="EJ2" s="657"/>
      <c r="EK2" s="657"/>
      <c r="EL2" s="657"/>
    </row>
    <row r="3" spans="1:142">
      <c r="A3" s="241"/>
      <c r="B3" s="241"/>
      <c r="C3" s="242"/>
      <c r="D3" s="242"/>
      <c r="E3" s="242"/>
      <c r="F3" s="242"/>
      <c r="G3" s="242"/>
      <c r="H3" s="242"/>
      <c r="I3" s="242"/>
      <c r="J3" s="242"/>
      <c r="K3" s="242"/>
      <c r="L3" s="242"/>
      <c r="M3" s="242"/>
      <c r="N3" s="242"/>
      <c r="O3" s="242"/>
      <c r="P3" s="242"/>
      <c r="Q3" s="242"/>
      <c r="R3" s="242"/>
      <c r="S3" s="242"/>
      <c r="T3" s="243"/>
      <c r="U3" s="242"/>
      <c r="V3" s="242"/>
      <c r="W3" s="244">
        <f>+(V41+[3]Keju!S41+[3]Sapi!S41+[3]Rendang!T41)/4</f>
        <v>5.9453516236245528E-3</v>
      </c>
      <c r="Y3" s="241"/>
      <c r="Z3" s="241"/>
      <c r="AA3" s="242"/>
      <c r="AB3" s="242"/>
      <c r="AC3" s="242"/>
      <c r="AD3" s="242"/>
      <c r="AE3" s="242"/>
      <c r="AF3" s="242"/>
      <c r="AG3" s="242"/>
      <c r="AH3" s="242"/>
      <c r="AI3" s="242"/>
      <c r="AJ3" s="242"/>
      <c r="AK3" s="242"/>
      <c r="AL3" s="242"/>
      <c r="AM3" s="242"/>
      <c r="AN3" s="242"/>
      <c r="AO3" s="242"/>
      <c r="AP3" s="242"/>
      <c r="AQ3" s="242"/>
      <c r="AR3" s="243"/>
      <c r="AS3" s="242"/>
      <c r="AT3" s="242"/>
      <c r="AU3" s="244" t="e">
        <f>+(AT41+[3]Keju!AO41+[3]Sapi!AO41+[3]Rendang!AP41)/4</f>
        <v>#REF!</v>
      </c>
      <c r="AW3" s="241"/>
      <c r="AX3" s="241"/>
      <c r="AY3" s="242"/>
      <c r="AZ3" s="242"/>
      <c r="BA3" s="242"/>
      <c r="BB3" s="242"/>
      <c r="BC3" s="242"/>
      <c r="BD3" s="242"/>
      <c r="BE3" s="242"/>
      <c r="BF3" s="242"/>
      <c r="BG3" s="242"/>
      <c r="BH3" s="242"/>
      <c r="BI3" s="242"/>
      <c r="BJ3" s="242"/>
      <c r="BK3" s="242"/>
      <c r="BL3" s="242"/>
      <c r="BM3" s="242"/>
      <c r="BN3" s="242"/>
      <c r="BO3" s="242"/>
      <c r="BP3" s="243"/>
      <c r="BQ3" s="242"/>
      <c r="BR3" s="242"/>
      <c r="BS3" s="244"/>
      <c r="BU3" s="241"/>
      <c r="BV3" s="241"/>
      <c r="BW3" s="242"/>
      <c r="BX3" s="242"/>
      <c r="BY3" s="242"/>
      <c r="BZ3" s="242"/>
      <c r="CA3" s="242"/>
      <c r="CB3" s="242"/>
      <c r="CC3" s="242"/>
      <c r="CD3" s="242"/>
      <c r="CE3" s="242"/>
      <c r="CF3" s="242"/>
      <c r="CG3" s="242"/>
      <c r="CH3" s="242"/>
      <c r="CI3" s="242"/>
      <c r="CJ3" s="242"/>
      <c r="CK3" s="242"/>
      <c r="CL3" s="242"/>
      <c r="CM3" s="242"/>
      <c r="CN3" s="243"/>
      <c r="CO3" s="242"/>
      <c r="CP3" s="242"/>
      <c r="CQ3" s="244" t="e">
        <f>+(CP41+[3]Keju!CG41+[3]Sapi!CG41+[3]Rendang!CH41)/4</f>
        <v>#DIV/0!</v>
      </c>
      <c r="CS3" s="241"/>
      <c r="CT3" s="241"/>
      <c r="CU3" s="242"/>
      <c r="CV3" s="242"/>
      <c r="CW3" s="242"/>
      <c r="CX3" s="242"/>
      <c r="CY3" s="242"/>
      <c r="CZ3" s="242"/>
      <c r="DA3" s="242"/>
      <c r="DB3" s="242"/>
      <c r="DC3" s="242"/>
      <c r="DD3" s="242"/>
      <c r="DE3" s="242"/>
      <c r="DF3" s="242"/>
      <c r="DG3" s="242"/>
      <c r="DH3" s="242"/>
      <c r="DI3" s="242"/>
      <c r="DJ3" s="242"/>
      <c r="DK3" s="242"/>
      <c r="DL3" s="243"/>
      <c r="DM3" s="242"/>
      <c r="DN3" s="242"/>
      <c r="DO3" s="244" t="e">
        <f>+(DN41+[3]Keju!DC41+[3]Sapi!DC41+[3]Rendang!DD41)/4</f>
        <v>#DIV/0!</v>
      </c>
    </row>
    <row r="4" spans="1:142" ht="15.75" customHeight="1">
      <c r="A4" s="658" t="s">
        <v>126</v>
      </c>
      <c r="B4" s="661" t="s">
        <v>127</v>
      </c>
      <c r="C4" s="662"/>
      <c r="D4" s="662"/>
      <c r="E4" s="662"/>
      <c r="F4" s="662"/>
      <c r="G4" s="662"/>
      <c r="H4" s="662"/>
      <c r="I4" s="662"/>
      <c r="J4" s="662"/>
      <c r="K4" s="662"/>
      <c r="L4" s="662"/>
      <c r="M4" s="662"/>
      <c r="N4" s="662"/>
      <c r="O4" s="662"/>
      <c r="P4" s="662"/>
      <c r="Q4" s="662"/>
      <c r="R4" s="245"/>
      <c r="S4" s="245"/>
      <c r="T4" s="658" t="s">
        <v>128</v>
      </c>
      <c r="U4" s="658" t="s">
        <v>68</v>
      </c>
      <c r="V4" s="663" t="s">
        <v>146</v>
      </c>
      <c r="W4" s="669" t="s">
        <v>145</v>
      </c>
      <c r="Y4" s="658" t="s">
        <v>126</v>
      </c>
      <c r="Z4" s="661" t="s">
        <v>127</v>
      </c>
      <c r="AA4" s="662"/>
      <c r="AB4" s="662"/>
      <c r="AC4" s="662"/>
      <c r="AD4" s="662"/>
      <c r="AE4" s="662"/>
      <c r="AF4" s="662"/>
      <c r="AG4" s="662"/>
      <c r="AH4" s="662"/>
      <c r="AI4" s="662"/>
      <c r="AJ4" s="662"/>
      <c r="AK4" s="662"/>
      <c r="AL4" s="662"/>
      <c r="AM4" s="662"/>
      <c r="AN4" s="662"/>
      <c r="AO4" s="662"/>
      <c r="AP4" s="245"/>
      <c r="AQ4" s="245"/>
      <c r="AR4" s="658" t="s">
        <v>128</v>
      </c>
      <c r="AS4" s="658" t="s">
        <v>68</v>
      </c>
      <c r="AT4" s="663" t="s">
        <v>146</v>
      </c>
      <c r="AU4" s="669" t="s">
        <v>145</v>
      </c>
      <c r="AW4" s="658" t="s">
        <v>126</v>
      </c>
      <c r="AX4" s="661" t="s">
        <v>127</v>
      </c>
      <c r="AY4" s="662"/>
      <c r="AZ4" s="662"/>
      <c r="BA4" s="662"/>
      <c r="BB4" s="662"/>
      <c r="BC4" s="662"/>
      <c r="BD4" s="662"/>
      <c r="BE4" s="662"/>
      <c r="BF4" s="662"/>
      <c r="BG4" s="662"/>
      <c r="BH4" s="662"/>
      <c r="BI4" s="662"/>
      <c r="BJ4" s="662"/>
      <c r="BK4" s="662"/>
      <c r="BL4" s="662"/>
      <c r="BM4" s="662"/>
      <c r="BN4" s="245"/>
      <c r="BO4" s="245"/>
      <c r="BP4" s="658" t="s">
        <v>128</v>
      </c>
      <c r="BQ4" s="658" t="s">
        <v>68</v>
      </c>
      <c r="BR4" s="663" t="s">
        <v>146</v>
      </c>
      <c r="BS4" s="669" t="s">
        <v>145</v>
      </c>
      <c r="BU4" s="658" t="s">
        <v>126</v>
      </c>
      <c r="BV4" s="661" t="s">
        <v>127</v>
      </c>
      <c r="BW4" s="662"/>
      <c r="BX4" s="662"/>
      <c r="BY4" s="662"/>
      <c r="BZ4" s="662"/>
      <c r="CA4" s="662"/>
      <c r="CB4" s="662"/>
      <c r="CC4" s="662"/>
      <c r="CD4" s="662"/>
      <c r="CE4" s="662"/>
      <c r="CF4" s="662"/>
      <c r="CG4" s="662"/>
      <c r="CH4" s="662"/>
      <c r="CI4" s="662"/>
      <c r="CJ4" s="662"/>
      <c r="CK4" s="662"/>
      <c r="CL4" s="245"/>
      <c r="CM4" s="245"/>
      <c r="CN4" s="658" t="s">
        <v>128</v>
      </c>
      <c r="CO4" s="658" t="s">
        <v>68</v>
      </c>
      <c r="CP4" s="663" t="s">
        <v>146</v>
      </c>
      <c r="CQ4" s="669" t="s">
        <v>145</v>
      </c>
      <c r="CS4" s="658" t="s">
        <v>126</v>
      </c>
      <c r="CT4" s="661" t="s">
        <v>127</v>
      </c>
      <c r="CU4" s="662"/>
      <c r="CV4" s="662"/>
      <c r="CW4" s="662"/>
      <c r="CX4" s="662"/>
      <c r="CY4" s="662"/>
      <c r="CZ4" s="662"/>
      <c r="DA4" s="662"/>
      <c r="DB4" s="662"/>
      <c r="DC4" s="662"/>
      <c r="DD4" s="662"/>
      <c r="DE4" s="662"/>
      <c r="DF4" s="662"/>
      <c r="DG4" s="662"/>
      <c r="DH4" s="662"/>
      <c r="DI4" s="662"/>
      <c r="DJ4" s="245"/>
      <c r="DK4" s="245"/>
      <c r="DL4" s="658" t="s">
        <v>128</v>
      </c>
      <c r="DM4" s="658" t="s">
        <v>68</v>
      </c>
      <c r="DN4" s="663" t="s">
        <v>146</v>
      </c>
      <c r="DO4" s="669" t="s">
        <v>145</v>
      </c>
      <c r="DQ4" s="661" t="s">
        <v>127</v>
      </c>
      <c r="DR4" s="662"/>
      <c r="DS4" s="662"/>
      <c r="DT4" s="662"/>
      <c r="DU4" s="662"/>
      <c r="DV4" s="662"/>
      <c r="DW4" s="662"/>
      <c r="DX4" s="662"/>
      <c r="DY4" s="662"/>
      <c r="DZ4" s="662"/>
      <c r="EA4" s="662"/>
      <c r="EB4" s="662"/>
      <c r="EC4" s="662"/>
      <c r="ED4" s="662"/>
      <c r="EE4" s="662"/>
      <c r="EF4" s="662"/>
      <c r="EG4" s="245"/>
      <c r="EH4" s="245"/>
      <c r="EI4" s="658" t="s">
        <v>128</v>
      </c>
      <c r="EJ4" s="672" t="s">
        <v>68</v>
      </c>
      <c r="EK4" s="663" t="s">
        <v>146</v>
      </c>
      <c r="EL4" s="669" t="s">
        <v>145</v>
      </c>
    </row>
    <row r="5" spans="1:142">
      <c r="A5" s="659"/>
      <c r="B5" s="661" t="s">
        <v>129</v>
      </c>
      <c r="C5" s="662"/>
      <c r="D5" s="662"/>
      <c r="E5" s="662"/>
      <c r="F5" s="662"/>
      <c r="G5" s="662"/>
      <c r="H5" s="662"/>
      <c r="I5" s="662"/>
      <c r="J5" s="662"/>
      <c r="K5" s="662"/>
      <c r="L5" s="662"/>
      <c r="M5" s="662"/>
      <c r="N5" s="662"/>
      <c r="O5" s="666"/>
      <c r="P5" s="667" t="s">
        <v>130</v>
      </c>
      <c r="Q5" s="667" t="s">
        <v>144</v>
      </c>
      <c r="R5" s="667" t="s">
        <v>131</v>
      </c>
      <c r="S5" s="667" t="s">
        <v>17</v>
      </c>
      <c r="T5" s="659"/>
      <c r="U5" s="659"/>
      <c r="V5" s="664"/>
      <c r="W5" s="670"/>
      <c r="Y5" s="659"/>
      <c r="Z5" s="661" t="s">
        <v>129</v>
      </c>
      <c r="AA5" s="662"/>
      <c r="AB5" s="662"/>
      <c r="AC5" s="662"/>
      <c r="AD5" s="662"/>
      <c r="AE5" s="662"/>
      <c r="AF5" s="662"/>
      <c r="AG5" s="662"/>
      <c r="AH5" s="662"/>
      <c r="AI5" s="662"/>
      <c r="AJ5" s="662"/>
      <c r="AK5" s="662"/>
      <c r="AL5" s="662"/>
      <c r="AM5" s="666"/>
      <c r="AN5" s="667" t="s">
        <v>130</v>
      </c>
      <c r="AO5" s="667" t="s">
        <v>144</v>
      </c>
      <c r="AP5" s="667" t="s">
        <v>131</v>
      </c>
      <c r="AQ5" s="667" t="s">
        <v>17</v>
      </c>
      <c r="AR5" s="659"/>
      <c r="AS5" s="659"/>
      <c r="AT5" s="664"/>
      <c r="AU5" s="670"/>
      <c r="AW5" s="659"/>
      <c r="AX5" s="661" t="s">
        <v>129</v>
      </c>
      <c r="AY5" s="662"/>
      <c r="AZ5" s="662"/>
      <c r="BA5" s="662"/>
      <c r="BB5" s="662"/>
      <c r="BC5" s="662"/>
      <c r="BD5" s="662"/>
      <c r="BE5" s="662"/>
      <c r="BF5" s="662"/>
      <c r="BG5" s="662"/>
      <c r="BH5" s="662"/>
      <c r="BI5" s="662"/>
      <c r="BJ5" s="662"/>
      <c r="BK5" s="666"/>
      <c r="BL5" s="667" t="s">
        <v>130</v>
      </c>
      <c r="BM5" s="667" t="s">
        <v>144</v>
      </c>
      <c r="BN5" s="667" t="s">
        <v>131</v>
      </c>
      <c r="BO5" s="667" t="s">
        <v>17</v>
      </c>
      <c r="BP5" s="659"/>
      <c r="BQ5" s="659"/>
      <c r="BR5" s="664"/>
      <c r="BS5" s="670"/>
      <c r="BU5" s="659"/>
      <c r="BV5" s="661" t="s">
        <v>129</v>
      </c>
      <c r="BW5" s="662"/>
      <c r="BX5" s="662"/>
      <c r="BY5" s="662"/>
      <c r="BZ5" s="662"/>
      <c r="CA5" s="662"/>
      <c r="CB5" s="662"/>
      <c r="CC5" s="662"/>
      <c r="CD5" s="662"/>
      <c r="CE5" s="662"/>
      <c r="CF5" s="662"/>
      <c r="CG5" s="662"/>
      <c r="CH5" s="662"/>
      <c r="CI5" s="666"/>
      <c r="CJ5" s="667" t="s">
        <v>130</v>
      </c>
      <c r="CK5" s="667" t="s">
        <v>144</v>
      </c>
      <c r="CL5" s="667" t="s">
        <v>131</v>
      </c>
      <c r="CM5" s="667" t="s">
        <v>17</v>
      </c>
      <c r="CN5" s="659"/>
      <c r="CO5" s="659"/>
      <c r="CP5" s="664"/>
      <c r="CQ5" s="670"/>
      <c r="CS5" s="659"/>
      <c r="CT5" s="661" t="s">
        <v>129</v>
      </c>
      <c r="CU5" s="662"/>
      <c r="CV5" s="662"/>
      <c r="CW5" s="662"/>
      <c r="CX5" s="662"/>
      <c r="CY5" s="662"/>
      <c r="CZ5" s="662"/>
      <c r="DA5" s="662"/>
      <c r="DB5" s="662"/>
      <c r="DC5" s="662"/>
      <c r="DD5" s="662"/>
      <c r="DE5" s="662"/>
      <c r="DF5" s="662"/>
      <c r="DG5" s="666"/>
      <c r="DH5" s="667" t="s">
        <v>130</v>
      </c>
      <c r="DI5" s="667" t="s">
        <v>144</v>
      </c>
      <c r="DJ5" s="667" t="s">
        <v>131</v>
      </c>
      <c r="DK5" s="667" t="s">
        <v>17</v>
      </c>
      <c r="DL5" s="659"/>
      <c r="DM5" s="659"/>
      <c r="DN5" s="664"/>
      <c r="DO5" s="670"/>
      <c r="DQ5" s="661" t="s">
        <v>129</v>
      </c>
      <c r="DR5" s="662"/>
      <c r="DS5" s="662"/>
      <c r="DT5" s="662"/>
      <c r="DU5" s="662"/>
      <c r="DV5" s="662"/>
      <c r="DW5" s="662"/>
      <c r="DX5" s="662"/>
      <c r="DY5" s="662"/>
      <c r="DZ5" s="662"/>
      <c r="EA5" s="662"/>
      <c r="EB5" s="662"/>
      <c r="EC5" s="662"/>
      <c r="ED5" s="666"/>
      <c r="EE5" s="667" t="s">
        <v>130</v>
      </c>
      <c r="EF5" s="667" t="s">
        <v>144</v>
      </c>
      <c r="EG5" s="667" t="s">
        <v>131</v>
      </c>
      <c r="EH5" s="667" t="s">
        <v>17</v>
      </c>
      <c r="EI5" s="659"/>
      <c r="EJ5" s="673"/>
      <c r="EK5" s="664"/>
      <c r="EL5" s="670"/>
    </row>
    <row r="6" spans="1:142">
      <c r="A6" s="660"/>
      <c r="B6" s="246" t="s">
        <v>132</v>
      </c>
      <c r="C6" s="246" t="s">
        <v>133</v>
      </c>
      <c r="D6" s="246" t="s">
        <v>134</v>
      </c>
      <c r="E6" s="246" t="s">
        <v>135</v>
      </c>
      <c r="F6" s="246" t="s">
        <v>136</v>
      </c>
      <c r="G6" s="246" t="s">
        <v>151</v>
      </c>
      <c r="H6" s="246" t="s">
        <v>152</v>
      </c>
      <c r="I6" s="246" t="s">
        <v>137</v>
      </c>
      <c r="J6" s="246" t="s">
        <v>138</v>
      </c>
      <c r="K6" s="246" t="s">
        <v>139</v>
      </c>
      <c r="L6" s="246" t="s">
        <v>140</v>
      </c>
      <c r="M6" s="246" t="s">
        <v>141</v>
      </c>
      <c r="N6" s="246" t="s">
        <v>142</v>
      </c>
      <c r="O6" s="246" t="s">
        <v>143</v>
      </c>
      <c r="P6" s="668"/>
      <c r="Q6" s="668"/>
      <c r="R6" s="668"/>
      <c r="S6" s="668"/>
      <c r="T6" s="660"/>
      <c r="U6" s="660"/>
      <c r="V6" s="665"/>
      <c r="W6" s="671"/>
      <c r="Y6" s="660"/>
      <c r="Z6" s="246" t="s">
        <v>132</v>
      </c>
      <c r="AA6" s="246" t="s">
        <v>133</v>
      </c>
      <c r="AB6" s="246" t="s">
        <v>134</v>
      </c>
      <c r="AC6" s="246" t="s">
        <v>135</v>
      </c>
      <c r="AD6" s="246" t="s">
        <v>136</v>
      </c>
      <c r="AE6" s="246" t="s">
        <v>151</v>
      </c>
      <c r="AF6" s="246" t="s">
        <v>152</v>
      </c>
      <c r="AG6" s="246" t="s">
        <v>137</v>
      </c>
      <c r="AH6" s="246" t="s">
        <v>138</v>
      </c>
      <c r="AI6" s="246" t="s">
        <v>139</v>
      </c>
      <c r="AJ6" s="246" t="s">
        <v>140</v>
      </c>
      <c r="AK6" s="246" t="s">
        <v>141</v>
      </c>
      <c r="AL6" s="246" t="s">
        <v>142</v>
      </c>
      <c r="AM6" s="246" t="s">
        <v>143</v>
      </c>
      <c r="AN6" s="668"/>
      <c r="AO6" s="668"/>
      <c r="AP6" s="668"/>
      <c r="AQ6" s="668"/>
      <c r="AR6" s="660"/>
      <c r="AS6" s="660"/>
      <c r="AT6" s="665"/>
      <c r="AU6" s="671"/>
      <c r="AW6" s="660"/>
      <c r="AX6" s="246" t="s">
        <v>132</v>
      </c>
      <c r="AY6" s="246" t="s">
        <v>133</v>
      </c>
      <c r="AZ6" s="246" t="s">
        <v>134</v>
      </c>
      <c r="BA6" s="246" t="s">
        <v>135</v>
      </c>
      <c r="BB6" s="246" t="s">
        <v>136</v>
      </c>
      <c r="BC6" s="246" t="s">
        <v>151</v>
      </c>
      <c r="BD6" s="246" t="s">
        <v>152</v>
      </c>
      <c r="BE6" s="246" t="s">
        <v>137</v>
      </c>
      <c r="BF6" s="246" t="s">
        <v>138</v>
      </c>
      <c r="BG6" s="246" t="s">
        <v>139</v>
      </c>
      <c r="BH6" s="246" t="s">
        <v>140</v>
      </c>
      <c r="BI6" s="246" t="s">
        <v>141</v>
      </c>
      <c r="BJ6" s="246" t="s">
        <v>142</v>
      </c>
      <c r="BK6" s="246" t="s">
        <v>143</v>
      </c>
      <c r="BL6" s="668"/>
      <c r="BM6" s="668"/>
      <c r="BN6" s="668"/>
      <c r="BO6" s="668"/>
      <c r="BP6" s="660"/>
      <c r="BQ6" s="660"/>
      <c r="BR6" s="665"/>
      <c r="BS6" s="671"/>
      <c r="BU6" s="660"/>
      <c r="BV6" s="246" t="s">
        <v>132</v>
      </c>
      <c r="BW6" s="246" t="s">
        <v>133</v>
      </c>
      <c r="BX6" s="246" t="s">
        <v>134</v>
      </c>
      <c r="BY6" s="246" t="s">
        <v>135</v>
      </c>
      <c r="BZ6" s="246" t="s">
        <v>136</v>
      </c>
      <c r="CA6" s="246" t="s">
        <v>151</v>
      </c>
      <c r="CB6" s="246" t="s">
        <v>152</v>
      </c>
      <c r="CC6" s="246" t="s">
        <v>137</v>
      </c>
      <c r="CD6" s="246" t="s">
        <v>138</v>
      </c>
      <c r="CE6" s="246" t="s">
        <v>139</v>
      </c>
      <c r="CF6" s="246" t="s">
        <v>140</v>
      </c>
      <c r="CG6" s="246" t="s">
        <v>141</v>
      </c>
      <c r="CH6" s="246" t="s">
        <v>142</v>
      </c>
      <c r="CI6" s="246" t="s">
        <v>143</v>
      </c>
      <c r="CJ6" s="668"/>
      <c r="CK6" s="668"/>
      <c r="CL6" s="668"/>
      <c r="CM6" s="668"/>
      <c r="CN6" s="660"/>
      <c r="CO6" s="660"/>
      <c r="CP6" s="665"/>
      <c r="CQ6" s="671"/>
      <c r="CS6" s="660"/>
      <c r="CT6" s="246" t="s">
        <v>132</v>
      </c>
      <c r="CU6" s="246" t="s">
        <v>133</v>
      </c>
      <c r="CV6" s="246" t="s">
        <v>134</v>
      </c>
      <c r="CW6" s="246" t="s">
        <v>135</v>
      </c>
      <c r="CX6" s="246" t="s">
        <v>136</v>
      </c>
      <c r="CY6" s="246" t="s">
        <v>151</v>
      </c>
      <c r="CZ6" s="246" t="s">
        <v>152</v>
      </c>
      <c r="DA6" s="246" t="s">
        <v>137</v>
      </c>
      <c r="DB6" s="246" t="s">
        <v>138</v>
      </c>
      <c r="DC6" s="246" t="s">
        <v>139</v>
      </c>
      <c r="DD6" s="246" t="s">
        <v>140</v>
      </c>
      <c r="DE6" s="246" t="s">
        <v>141</v>
      </c>
      <c r="DF6" s="246" t="s">
        <v>142</v>
      </c>
      <c r="DG6" s="246" t="s">
        <v>143</v>
      </c>
      <c r="DH6" s="668"/>
      <c r="DI6" s="668"/>
      <c r="DJ6" s="668"/>
      <c r="DK6" s="668"/>
      <c r="DL6" s="660"/>
      <c r="DM6" s="660"/>
      <c r="DN6" s="665"/>
      <c r="DO6" s="671"/>
      <c r="DQ6" s="246" t="s">
        <v>132</v>
      </c>
      <c r="DR6" s="246" t="s">
        <v>133</v>
      </c>
      <c r="DS6" s="246" t="s">
        <v>134</v>
      </c>
      <c r="DT6" s="246" t="s">
        <v>135</v>
      </c>
      <c r="DU6" s="246" t="s">
        <v>136</v>
      </c>
      <c r="DV6" s="246" t="s">
        <v>151</v>
      </c>
      <c r="DW6" s="246" t="s">
        <v>152</v>
      </c>
      <c r="DX6" s="246" t="s">
        <v>137</v>
      </c>
      <c r="DY6" s="246" t="s">
        <v>138</v>
      </c>
      <c r="DZ6" s="246" t="s">
        <v>139</v>
      </c>
      <c r="EA6" s="246" t="s">
        <v>140</v>
      </c>
      <c r="EB6" s="246" t="s">
        <v>141</v>
      </c>
      <c r="EC6" s="246" t="s">
        <v>142</v>
      </c>
      <c r="ED6" s="246" t="s">
        <v>143</v>
      </c>
      <c r="EE6" s="668"/>
      <c r="EF6" s="668"/>
      <c r="EG6" s="668"/>
      <c r="EH6" s="668"/>
      <c r="EI6" s="660"/>
      <c r="EJ6" s="674"/>
      <c r="EK6" s="665"/>
      <c r="EL6" s="671"/>
    </row>
    <row r="7" spans="1:142">
      <c r="A7" s="247">
        <f>+'ALL SORTASI'!A6</f>
        <v>46204</v>
      </c>
      <c r="B7" s="273">
        <f>4+2+1+0.4</f>
        <v>7.4</v>
      </c>
      <c r="C7" s="273"/>
      <c r="D7" s="273">
        <f>1+1+1</f>
        <v>3</v>
      </c>
      <c r="E7" s="273"/>
      <c r="F7" s="273">
        <v>1</v>
      </c>
      <c r="G7" s="273">
        <f>2+2+2+4+2+1+0.3</f>
        <v>13.3</v>
      </c>
      <c r="H7" s="273">
        <f>2+2+2+1+1+0.3</f>
        <v>8.3000000000000007</v>
      </c>
      <c r="I7" s="273"/>
      <c r="J7" s="273">
        <f>1+1+2+1+0.3</f>
        <v>5.3</v>
      </c>
      <c r="K7" s="273">
        <f>1+0.3</f>
        <v>1.3</v>
      </c>
      <c r="L7" s="273">
        <v>0.4</v>
      </c>
      <c r="M7" s="273">
        <f>1+1</f>
        <v>2</v>
      </c>
      <c r="N7" s="273">
        <f>1+2+1</f>
        <v>4</v>
      </c>
      <c r="O7" s="273">
        <f>1+1+1+1.5+1</f>
        <v>5.5</v>
      </c>
      <c r="P7" s="274">
        <f>SUM(B7:O7)</f>
        <v>51.499999999999993</v>
      </c>
      <c r="Q7" s="275">
        <f>4+3.5+5+8+10+6+2</f>
        <v>38.5</v>
      </c>
      <c r="R7" s="275"/>
      <c r="S7" s="275"/>
      <c r="T7" s="274">
        <f>SUM(P7:S7)</f>
        <v>90</v>
      </c>
      <c r="U7" s="248">
        <f>+'REKAPAN OKEY AYAM'!AC4</f>
        <v>10261.42</v>
      </c>
      <c r="V7" s="268">
        <f t="shared" ref="V7:V38" si="0">+P7/U7</f>
        <v>5.0187985678395381E-3</v>
      </c>
      <c r="W7" s="252">
        <f>+Q7/U7</f>
        <v>3.7519173759577133E-3</v>
      </c>
      <c r="X7" s="253"/>
      <c r="Y7" s="247">
        <f>+A7</f>
        <v>46204</v>
      </c>
      <c r="Z7" s="278"/>
      <c r="AA7" s="278"/>
      <c r="AB7" s="278">
        <v>1</v>
      </c>
      <c r="AC7" s="278">
        <v>1</v>
      </c>
      <c r="AD7" s="278">
        <v>1</v>
      </c>
      <c r="AE7" s="278">
        <v>1</v>
      </c>
      <c r="AF7" s="278"/>
      <c r="AG7" s="278"/>
      <c r="AH7" s="278">
        <v>1</v>
      </c>
      <c r="AI7" s="278">
        <v>1</v>
      </c>
      <c r="AJ7" s="278"/>
      <c r="AK7" s="278"/>
      <c r="AL7" s="278">
        <v>1</v>
      </c>
      <c r="AM7" s="278"/>
      <c r="AN7" s="249">
        <f>SUM(Z7:AM7)</f>
        <v>7</v>
      </c>
      <c r="AO7" s="250">
        <v>4</v>
      </c>
      <c r="AP7" s="250"/>
      <c r="AQ7" s="250"/>
      <c r="AR7" s="251">
        <f>SUM(AN7:AQ7)</f>
        <v>11</v>
      </c>
      <c r="AS7" s="248">
        <f>+'REKAPAN CHAMP AYAM'!AC4</f>
        <v>1688.72</v>
      </c>
      <c r="AT7" s="268">
        <f>+AN7/AS7</f>
        <v>4.1451513572409874E-3</v>
      </c>
      <c r="AU7" s="252">
        <f>+AO7/AS7</f>
        <v>2.3686579184234212E-3</v>
      </c>
      <c r="AW7" s="247">
        <f>+A7</f>
        <v>46204</v>
      </c>
      <c r="AX7" s="273"/>
      <c r="AY7" s="273"/>
      <c r="AZ7" s="273"/>
      <c r="BA7" s="273"/>
      <c r="BB7" s="273"/>
      <c r="BC7" s="273"/>
      <c r="BD7" s="273"/>
      <c r="BE7" s="273"/>
      <c r="BF7" s="273"/>
      <c r="BG7" s="273"/>
      <c r="BH7" s="273"/>
      <c r="BI7" s="273"/>
      <c r="BJ7" s="273"/>
      <c r="BK7" s="273"/>
      <c r="BL7" s="274">
        <f t="shared" ref="BL7:BL8" si="1">SUM(AX7:BK7)</f>
        <v>0</v>
      </c>
      <c r="BM7" s="275"/>
      <c r="BN7" s="275"/>
      <c r="BO7" s="275"/>
      <c r="BP7" s="274">
        <f>SUM(BL7:BO7)</f>
        <v>0</v>
      </c>
      <c r="BQ7" s="248">
        <f>+'REKAPAN CHAMP SAPI'!AC4</f>
        <v>0</v>
      </c>
      <c r="BR7" s="268" t="e">
        <f>+BL7/BQ7</f>
        <v>#DIV/0!</v>
      </c>
      <c r="BS7" s="252" t="e">
        <f>+BM7/BQ7</f>
        <v>#DIV/0!</v>
      </c>
      <c r="BU7" s="247">
        <f>+A7</f>
        <v>46204</v>
      </c>
      <c r="BV7" s="248"/>
      <c r="BW7" s="248"/>
      <c r="BX7" s="248"/>
      <c r="BY7" s="248"/>
      <c r="BZ7" s="248"/>
      <c r="CA7" s="248"/>
      <c r="CB7" s="248"/>
      <c r="CC7" s="248"/>
      <c r="CD7" s="248"/>
      <c r="CE7" s="248"/>
      <c r="CF7" s="248"/>
      <c r="CG7" s="248"/>
      <c r="CH7" s="248"/>
      <c r="CI7" s="248"/>
      <c r="CJ7" s="249">
        <f>SUM(BV7:CI7)</f>
        <v>0</v>
      </c>
      <c r="CK7" s="250"/>
      <c r="CL7" s="250"/>
      <c r="CM7" s="250"/>
      <c r="CN7" s="251">
        <f>SUM(CJ7:CM7)</f>
        <v>0</v>
      </c>
      <c r="CO7" s="248">
        <f>+'REKAPAN CHAMP OTAK-OTAK'!AC4</f>
        <v>0</v>
      </c>
      <c r="CP7" s="268" t="e">
        <f>+CJ7/CO7</f>
        <v>#DIV/0!</v>
      </c>
      <c r="CQ7" s="252" t="e">
        <f>+CK7/CO7</f>
        <v>#DIV/0!</v>
      </c>
      <c r="CS7" s="247">
        <f>+A7</f>
        <v>46204</v>
      </c>
      <c r="CT7" s="248"/>
      <c r="CU7" s="248"/>
      <c r="CV7" s="248"/>
      <c r="CW7" s="248"/>
      <c r="CX7" s="248"/>
      <c r="CY7" s="248"/>
      <c r="CZ7" s="248"/>
      <c r="DA7" s="248"/>
      <c r="DB7" s="248"/>
      <c r="DC7" s="248"/>
      <c r="DD7" s="248"/>
      <c r="DE7" s="248"/>
      <c r="DF7" s="248"/>
      <c r="DG7" s="248"/>
      <c r="DH7" s="249">
        <f>SUM(CT7:DG7)</f>
        <v>0</v>
      </c>
      <c r="DI7" s="250"/>
      <c r="DJ7" s="250"/>
      <c r="DK7" s="250"/>
      <c r="DL7" s="251">
        <f>SUM(DH7:DK7)</f>
        <v>0</v>
      </c>
      <c r="DM7" s="248">
        <f>+'REKAPAN CHAMP OTAK-OTAK'!AY4</f>
        <v>0</v>
      </c>
      <c r="DN7" s="268" t="e">
        <f>+DH7/DM7</f>
        <v>#DIV/0!</v>
      </c>
      <c r="DO7" s="252" t="e">
        <f>+DI7/DM7</f>
        <v>#DIV/0!</v>
      </c>
      <c r="DQ7" s="248">
        <f>+B7+Z7+AX7+BV7+CT7</f>
        <v>7.4</v>
      </c>
      <c r="DR7" s="248">
        <f t="shared" ref="DR7:ED7" si="2">+C7+AA7+AY7+BW7+CU7</f>
        <v>0</v>
      </c>
      <c r="DS7" s="248">
        <f t="shared" si="2"/>
        <v>4</v>
      </c>
      <c r="DT7" s="248">
        <f t="shared" si="2"/>
        <v>1</v>
      </c>
      <c r="DU7" s="248">
        <f t="shared" si="2"/>
        <v>2</v>
      </c>
      <c r="DV7" s="248">
        <f t="shared" si="2"/>
        <v>14.3</v>
      </c>
      <c r="DW7" s="248">
        <f t="shared" si="2"/>
        <v>8.3000000000000007</v>
      </c>
      <c r="DX7" s="248">
        <f t="shared" si="2"/>
        <v>0</v>
      </c>
      <c r="DY7" s="248">
        <f t="shared" si="2"/>
        <v>6.3</v>
      </c>
      <c r="DZ7" s="248">
        <f t="shared" si="2"/>
        <v>2.2999999999999998</v>
      </c>
      <c r="EA7" s="248">
        <f t="shared" si="2"/>
        <v>0.4</v>
      </c>
      <c r="EB7" s="248">
        <f t="shared" si="2"/>
        <v>2</v>
      </c>
      <c r="EC7" s="248">
        <f t="shared" si="2"/>
        <v>5</v>
      </c>
      <c r="ED7" s="248">
        <f t="shared" si="2"/>
        <v>5.5</v>
      </c>
      <c r="EE7" s="249">
        <f>SUM(DQ7:ED7)</f>
        <v>58.499999999999993</v>
      </c>
      <c r="EF7" s="248">
        <f>+Q7+AO7+BM7+CK7+DI7</f>
        <v>42.5</v>
      </c>
      <c r="EG7" s="248">
        <f>+R7+AP7+BN7+CL7+DJ7</f>
        <v>0</v>
      </c>
      <c r="EH7" s="248">
        <f>+S7+AQ7+BO7+CM7+DK7</f>
        <v>0</v>
      </c>
      <c r="EI7" s="251">
        <f>SUM(EE7:EH7)</f>
        <v>101</v>
      </c>
      <c r="EJ7" s="282">
        <f>+U7+AS7+BQ7+CO7+DM7</f>
        <v>11950.14</v>
      </c>
      <c r="EK7" s="291">
        <f>+EE7/EJ7</f>
        <v>4.8953401382745305E-3</v>
      </c>
      <c r="EL7" s="291">
        <f>+EF7/EJ7</f>
        <v>3.5564436901994456E-3</v>
      </c>
    </row>
    <row r="8" spans="1:142">
      <c r="A8" s="247">
        <f>+A7+1</f>
        <v>46205</v>
      </c>
      <c r="B8" s="273"/>
      <c r="C8" s="273"/>
      <c r="D8" s="273"/>
      <c r="E8" s="273"/>
      <c r="F8" s="273"/>
      <c r="G8" s="273"/>
      <c r="H8" s="273"/>
      <c r="I8" s="273"/>
      <c r="J8" s="273"/>
      <c r="K8" s="273"/>
      <c r="L8" s="273"/>
      <c r="M8" s="273"/>
      <c r="N8" s="273"/>
      <c r="O8" s="273"/>
      <c r="P8" s="274">
        <f>SUM(B8:O8)</f>
        <v>0</v>
      </c>
      <c r="Q8" s="275"/>
      <c r="R8" s="275"/>
      <c r="S8" s="275"/>
      <c r="T8" s="274">
        <f t="shared" ref="T8:T39" si="3">SUM(P8:S8)</f>
        <v>0</v>
      </c>
      <c r="U8" s="248">
        <f>+'REKAPAN OKEY AYAM'!AC5</f>
        <v>0</v>
      </c>
      <c r="V8" s="268" t="e">
        <f>+P8/U8</f>
        <v>#DIV/0!</v>
      </c>
      <c r="W8" s="252" t="e">
        <f>+Q8/U8</f>
        <v>#DIV/0!</v>
      </c>
      <c r="Y8" s="247">
        <f>+Y7+1</f>
        <v>46205</v>
      </c>
      <c r="Z8" s="278"/>
      <c r="AA8" s="278"/>
      <c r="AB8" s="278">
        <f>1+1+0.5+1.5+1+1</f>
        <v>6</v>
      </c>
      <c r="AC8" s="278">
        <f>1+0.5+1.5+1+1</f>
        <v>5</v>
      </c>
      <c r="AD8" s="278">
        <v>0.5</v>
      </c>
      <c r="AE8" s="278">
        <f>2+2+1+0.5</f>
        <v>5.5</v>
      </c>
      <c r="AF8" s="278">
        <f>2+1+1+0.5+0.5+2+1.5+1</f>
        <v>9.5</v>
      </c>
      <c r="AG8" s="278"/>
      <c r="AH8" s="278">
        <f>1+1+0.5+1.5+1+1</f>
        <v>6</v>
      </c>
      <c r="AI8" s="278">
        <v>1</v>
      </c>
      <c r="AJ8" s="278">
        <f>1+0.5+0.5+1.5+2</f>
        <v>5.5</v>
      </c>
      <c r="AK8" s="278">
        <f>1.5+1.5+1</f>
        <v>4</v>
      </c>
      <c r="AL8" s="278">
        <f>2+1+0.5+0.5+1.5+1.5+1</f>
        <v>8</v>
      </c>
      <c r="AM8" s="278">
        <v>1.5</v>
      </c>
      <c r="AN8" s="249">
        <f t="shared" ref="AN8:AN37" si="4">SUM(Z8:AM8)</f>
        <v>52.5</v>
      </c>
      <c r="AO8" s="250">
        <f>4+5+2.5+3+3+8+7+3</f>
        <v>35.5</v>
      </c>
      <c r="AP8" s="250"/>
      <c r="AQ8" s="250"/>
      <c r="AR8" s="251">
        <f t="shared" ref="AR8:AR39" si="5">SUM(AN8:AQ8)</f>
        <v>88</v>
      </c>
      <c r="AS8" s="248">
        <f>+'REKAPAN CHAMP AYAM'!AC5</f>
        <v>15198.48</v>
      </c>
      <c r="AT8" s="268">
        <f>+AN8/AS8</f>
        <v>3.4542927977008228E-3</v>
      </c>
      <c r="AU8" s="252">
        <f>+AO8/AS8</f>
        <v>2.3357598917786515E-3</v>
      </c>
      <c r="AW8" s="247">
        <f>+AW7+1</f>
        <v>46205</v>
      </c>
      <c r="AX8" s="273"/>
      <c r="AY8" s="273"/>
      <c r="AZ8" s="273"/>
      <c r="BA8" s="273"/>
      <c r="BB8" s="273"/>
      <c r="BC8" s="273"/>
      <c r="BD8" s="273"/>
      <c r="BE8" s="273"/>
      <c r="BF8" s="273"/>
      <c r="BG8" s="273"/>
      <c r="BH8" s="273"/>
      <c r="BI8" s="273"/>
      <c r="BJ8" s="273"/>
      <c r="BK8" s="273"/>
      <c r="BL8" s="274">
        <f t="shared" si="1"/>
        <v>0</v>
      </c>
      <c r="BM8" s="275"/>
      <c r="BN8" s="275"/>
      <c r="BO8" s="275"/>
      <c r="BP8" s="274">
        <f t="shared" ref="BP8:BP39" si="6">SUM(BL8:BO8)</f>
        <v>0</v>
      </c>
      <c r="BQ8" s="248">
        <f>+'REKAPAN CHAMP SAPI'!AC5</f>
        <v>0</v>
      </c>
      <c r="BR8" s="268" t="e">
        <f>+BL8/BQ8</f>
        <v>#DIV/0!</v>
      </c>
      <c r="BS8" s="252" t="e">
        <f>+BM8/BQ8</f>
        <v>#DIV/0!</v>
      </c>
      <c r="BU8" s="247">
        <f>+BU7+1</f>
        <v>46205</v>
      </c>
      <c r="BV8" s="248"/>
      <c r="BW8" s="248"/>
      <c r="BX8" s="248"/>
      <c r="BY8" s="248"/>
      <c r="BZ8" s="248"/>
      <c r="CA8" s="248"/>
      <c r="CB8" s="248"/>
      <c r="CC8" s="248"/>
      <c r="CD8" s="248"/>
      <c r="CE8" s="248"/>
      <c r="CF8" s="248"/>
      <c r="CG8" s="248"/>
      <c r="CH8" s="248"/>
      <c r="CI8" s="248"/>
      <c r="CJ8" s="249">
        <f t="shared" ref="CJ8:CJ37" si="7">SUM(BV8:CI8)</f>
        <v>0</v>
      </c>
      <c r="CK8" s="250"/>
      <c r="CL8" s="250"/>
      <c r="CM8" s="250"/>
      <c r="CN8" s="251">
        <f t="shared" ref="CN8:CN39" si="8">SUM(CJ8:CM8)</f>
        <v>0</v>
      </c>
      <c r="CO8" s="248">
        <f>+'REKAPAN CHAMP OTAK-OTAK'!AC5</f>
        <v>0</v>
      </c>
      <c r="CP8" s="268" t="e">
        <f>+CJ8/CO8</f>
        <v>#DIV/0!</v>
      </c>
      <c r="CQ8" s="252" t="e">
        <f>+CK8/CO8</f>
        <v>#DIV/0!</v>
      </c>
      <c r="CS8" s="247">
        <f>+CS7+1</f>
        <v>46205</v>
      </c>
      <c r="CT8" s="248"/>
      <c r="CU8" s="248"/>
      <c r="CV8" s="248"/>
      <c r="CW8" s="248"/>
      <c r="CX8" s="248"/>
      <c r="CY8" s="248"/>
      <c r="CZ8" s="248"/>
      <c r="DA8" s="248"/>
      <c r="DB8" s="248"/>
      <c r="DC8" s="248"/>
      <c r="DD8" s="248"/>
      <c r="DE8" s="248"/>
      <c r="DF8" s="248"/>
      <c r="DG8" s="248"/>
      <c r="DH8" s="249">
        <f t="shared" ref="DH8:DH37" si="9">SUM(CT8:DG8)</f>
        <v>0</v>
      </c>
      <c r="DI8" s="250"/>
      <c r="DJ8" s="250"/>
      <c r="DK8" s="250"/>
      <c r="DL8" s="251">
        <f t="shared" ref="DL8:DL39" si="10">SUM(DH8:DK8)</f>
        <v>0</v>
      </c>
      <c r="DM8" s="248">
        <f>+'REKAPAN CHAMP OTAK-OTAK'!AY5</f>
        <v>0</v>
      </c>
      <c r="DN8" s="268" t="e">
        <f>+DH8/DM8</f>
        <v>#DIV/0!</v>
      </c>
      <c r="DO8" s="252" t="e">
        <f>+DI8/DM8</f>
        <v>#DIV/0!</v>
      </c>
      <c r="DQ8" s="248">
        <f t="shared" ref="DQ8:DQ37" si="11">+B8+Z8+AX8+BV8+CT8</f>
        <v>0</v>
      </c>
      <c r="DR8" s="248">
        <f t="shared" ref="DR8:DR37" si="12">+C8+AA8+AY8+BW8+CU8</f>
        <v>0</v>
      </c>
      <c r="DS8" s="248">
        <f t="shared" ref="DS8:DS37" si="13">+D8+AB8+AZ8+BX8+CV8</f>
        <v>6</v>
      </c>
      <c r="DT8" s="248">
        <f t="shared" ref="DT8:DT37" si="14">+E8+AC8+BA8+BY8+CW8</f>
        <v>5</v>
      </c>
      <c r="DU8" s="248">
        <f t="shared" ref="DU8:DU37" si="15">+F8+AD8+BB8+BZ8+CX8</f>
        <v>0.5</v>
      </c>
      <c r="DV8" s="248">
        <f t="shared" ref="DV8:DV37" si="16">+G8+AE8+BC8+CA8+CY8</f>
        <v>5.5</v>
      </c>
      <c r="DW8" s="248">
        <f t="shared" ref="DW8:DW37" si="17">+H8+AF8+BD8+CB8+CZ8</f>
        <v>9.5</v>
      </c>
      <c r="DX8" s="248">
        <f t="shared" ref="DX8:DX37" si="18">+I8+AG8+BE8+CC8+DA8</f>
        <v>0</v>
      </c>
      <c r="DY8" s="248">
        <f t="shared" ref="DY8:DY37" si="19">+J8+AH8+BF8+CD8+DB8</f>
        <v>6</v>
      </c>
      <c r="DZ8" s="248">
        <f t="shared" ref="DZ8:DZ37" si="20">+K8+AI8+BG8+CE8+DC8</f>
        <v>1</v>
      </c>
      <c r="EA8" s="248">
        <f t="shared" ref="EA8:EA37" si="21">+L8+AJ8+BH8+CF8+DD8</f>
        <v>5.5</v>
      </c>
      <c r="EB8" s="248">
        <f t="shared" ref="EB8:EB37" si="22">+M8+AK8+BI8+CG8+DE8</f>
        <v>4</v>
      </c>
      <c r="EC8" s="248">
        <f t="shared" ref="EC8:EC37" si="23">+N8+AL8+BJ8+CH8+DF8</f>
        <v>8</v>
      </c>
      <c r="ED8" s="248">
        <f t="shared" ref="ED8:ED37" si="24">+O8+AM8+BK8+CI8+DG8</f>
        <v>1.5</v>
      </c>
      <c r="EE8" s="249">
        <f t="shared" ref="EE8:EE37" si="25">SUM(DQ8:ED8)</f>
        <v>52.5</v>
      </c>
      <c r="EF8" s="248">
        <f t="shared" ref="EF8:EF37" si="26">+Q8+AO8+BM8+CK8+DI8</f>
        <v>35.5</v>
      </c>
      <c r="EG8" s="248">
        <f t="shared" ref="EG8:EG37" si="27">+R8+AP8+BN8+CL8+DJ8</f>
        <v>0</v>
      </c>
      <c r="EH8" s="248">
        <f t="shared" ref="EH8:EH37" si="28">+S8+AQ8+BO8+CM8+DK8</f>
        <v>0</v>
      </c>
      <c r="EI8" s="251">
        <f t="shared" ref="EI8:EI37" si="29">SUM(EE8:EH8)</f>
        <v>88</v>
      </c>
      <c r="EJ8" s="282">
        <f t="shared" ref="EJ8:EJ37" si="30">+U8+AS8+BQ8+CO8+DM8</f>
        <v>15198.48</v>
      </c>
      <c r="EK8" s="291">
        <f>+EE8/EJ8</f>
        <v>3.4542927977008228E-3</v>
      </c>
      <c r="EL8" s="291">
        <f>+EF8/EJ8</f>
        <v>2.3357598917786515E-3</v>
      </c>
    </row>
    <row r="9" spans="1:142">
      <c r="A9" s="247">
        <f t="shared" ref="A9:A37" si="31">+A8+1</f>
        <v>46206</v>
      </c>
      <c r="B9" s="273"/>
      <c r="C9" s="273"/>
      <c r="D9" s="273"/>
      <c r="E9" s="273"/>
      <c r="F9" s="273"/>
      <c r="G9" s="273"/>
      <c r="H9" s="273"/>
      <c r="I9" s="273"/>
      <c r="J9" s="273"/>
      <c r="K9" s="273"/>
      <c r="L9" s="273"/>
      <c r="M9" s="273"/>
      <c r="N9" s="273"/>
      <c r="O9" s="273"/>
      <c r="P9" s="274">
        <f t="shared" ref="P9:P36" si="32">SUM(B9:O9)</f>
        <v>0</v>
      </c>
      <c r="Q9" s="275"/>
      <c r="R9" s="275"/>
      <c r="S9" s="275"/>
      <c r="T9" s="274">
        <f t="shared" si="3"/>
        <v>0</v>
      </c>
      <c r="U9" s="248">
        <f>+'REKAPAN OKEY AYAM'!AC6</f>
        <v>0</v>
      </c>
      <c r="V9" s="268" t="e">
        <f t="shared" si="0"/>
        <v>#DIV/0!</v>
      </c>
      <c r="W9" s="252" t="e">
        <f t="shared" ref="W9:W38" si="33">+Q9/U9</f>
        <v>#DIV/0!</v>
      </c>
      <c r="Y9" s="247">
        <f t="shared" ref="Y9:Y37" si="34">+Y8+1</f>
        <v>46206</v>
      </c>
      <c r="Z9" s="278">
        <f>1+1</f>
        <v>2</v>
      </c>
      <c r="AA9" s="278"/>
      <c r="AB9" s="278">
        <f>1+1+1+1+1+1+1</f>
        <v>7</v>
      </c>
      <c r="AC9" s="278">
        <f>1+1+1.5+1</f>
        <v>4.5</v>
      </c>
      <c r="AD9" s="278">
        <v>1</v>
      </c>
      <c r="AE9" s="278">
        <f>1+1+1+1+1+1</f>
        <v>6</v>
      </c>
      <c r="AF9" s="278">
        <v>2</v>
      </c>
      <c r="AG9" s="278"/>
      <c r="AH9" s="278">
        <f>1+1+1.5+1.5+1.5+1</f>
        <v>7.5</v>
      </c>
      <c r="AI9" s="278"/>
      <c r="AJ9" s="278">
        <f>1+1+1.5+1</f>
        <v>4.5</v>
      </c>
      <c r="AK9" s="278">
        <f>2+2+1</f>
        <v>5</v>
      </c>
      <c r="AL9" s="278">
        <f>1+1+1+1.5+1.5+1.5</f>
        <v>7.5</v>
      </c>
      <c r="AM9" s="278">
        <v>1</v>
      </c>
      <c r="AN9" s="249">
        <f t="shared" ref="AN9:AN35" si="35">SUM(Z9:AM9)</f>
        <v>48</v>
      </c>
      <c r="AO9" s="250">
        <f>4+4+4+5+6+5+6+8</f>
        <v>42</v>
      </c>
      <c r="AP9" s="250"/>
      <c r="AQ9" s="250"/>
      <c r="AR9" s="251">
        <f t="shared" si="5"/>
        <v>90</v>
      </c>
      <c r="AS9" s="248">
        <f>+'REKAPAN CHAMP AYAM'!AC6</f>
        <v>13509.76</v>
      </c>
      <c r="AT9" s="268">
        <f t="shared" ref="AT9:AT21" si="36">+AN9/AS9</f>
        <v>3.5529868776351318E-3</v>
      </c>
      <c r="AU9" s="252">
        <f t="shared" ref="AU9:AU38" si="37">+AO9/AS9</f>
        <v>3.1088635179307403E-3</v>
      </c>
      <c r="AW9" s="247">
        <f t="shared" ref="AW9:AW37" si="38">+AW8+1</f>
        <v>46206</v>
      </c>
      <c r="AX9" s="273"/>
      <c r="AY9" s="273"/>
      <c r="AZ9" s="273"/>
      <c r="BA9" s="273"/>
      <c r="BB9" s="273"/>
      <c r="BC9" s="273"/>
      <c r="BD9" s="273"/>
      <c r="BE9" s="273"/>
      <c r="BF9" s="273"/>
      <c r="BG9" s="273"/>
      <c r="BH9" s="273"/>
      <c r="BI9" s="273"/>
      <c r="BJ9" s="273"/>
      <c r="BK9" s="273"/>
      <c r="BL9" s="274">
        <f t="shared" ref="BL9:BL32" si="39">SUM(AX9:BK9)</f>
        <v>0</v>
      </c>
      <c r="BM9" s="275"/>
      <c r="BN9" s="275"/>
      <c r="BO9" s="275"/>
      <c r="BP9" s="274">
        <f t="shared" si="6"/>
        <v>0</v>
      </c>
      <c r="BQ9" s="248">
        <f>+'REKAPAN CHAMP SAPI'!AC6</f>
        <v>0</v>
      </c>
      <c r="BR9" s="268" t="e">
        <f t="shared" ref="BR9:BR21" si="40">+BL9/BQ9</f>
        <v>#DIV/0!</v>
      </c>
      <c r="BS9" s="252" t="e">
        <f t="shared" ref="BS9:BS38" si="41">+BM9/BQ9</f>
        <v>#DIV/0!</v>
      </c>
      <c r="BU9" s="247">
        <f t="shared" ref="BU9:BU37" si="42">+BU8+1</f>
        <v>46206</v>
      </c>
      <c r="BV9" s="248"/>
      <c r="BW9" s="248"/>
      <c r="BX9" s="248"/>
      <c r="BY9" s="248"/>
      <c r="BZ9" s="248"/>
      <c r="CA9" s="248"/>
      <c r="CB9" s="248"/>
      <c r="CC9" s="248"/>
      <c r="CD9" s="248"/>
      <c r="CE9" s="248"/>
      <c r="CF9" s="248"/>
      <c r="CG9" s="248"/>
      <c r="CH9" s="248"/>
      <c r="CI9" s="248"/>
      <c r="CJ9" s="249">
        <f t="shared" si="7"/>
        <v>0</v>
      </c>
      <c r="CK9" s="250"/>
      <c r="CL9" s="250"/>
      <c r="CM9" s="250"/>
      <c r="CN9" s="251">
        <f t="shared" si="8"/>
        <v>0</v>
      </c>
      <c r="CO9" s="248">
        <f>+'REKAPAN CHAMP OTAK-OTAK'!AC6</f>
        <v>0</v>
      </c>
      <c r="CP9" s="268" t="e">
        <f t="shared" ref="CP9:CP21" si="43">+CJ9/CO9</f>
        <v>#DIV/0!</v>
      </c>
      <c r="CQ9" s="252" t="e">
        <f t="shared" ref="CQ9:CQ38" si="44">+CK9/CO9</f>
        <v>#DIV/0!</v>
      </c>
      <c r="CS9" s="247">
        <f t="shared" ref="CS9:CS37" si="45">+CS8+1</f>
        <v>46206</v>
      </c>
      <c r="CT9" s="248"/>
      <c r="CU9" s="248"/>
      <c r="CV9" s="248"/>
      <c r="CW9" s="248"/>
      <c r="CX9" s="248"/>
      <c r="CY9" s="248"/>
      <c r="CZ9" s="248"/>
      <c r="DA9" s="248"/>
      <c r="DB9" s="248"/>
      <c r="DC9" s="248"/>
      <c r="DD9" s="248"/>
      <c r="DE9" s="248"/>
      <c r="DF9" s="248"/>
      <c r="DG9" s="248"/>
      <c r="DH9" s="249">
        <f t="shared" si="9"/>
        <v>0</v>
      </c>
      <c r="DI9" s="250"/>
      <c r="DJ9" s="250"/>
      <c r="DK9" s="250"/>
      <c r="DL9" s="251">
        <f t="shared" si="10"/>
        <v>0</v>
      </c>
      <c r="DM9" s="248">
        <f>+'REKAPAN CHAMP OTAK-OTAK'!AY6</f>
        <v>0</v>
      </c>
      <c r="DN9" s="268" t="e">
        <f t="shared" ref="DN9:DN21" si="46">+DH9/DM9</f>
        <v>#DIV/0!</v>
      </c>
      <c r="DO9" s="252" t="e">
        <f t="shared" ref="DO9:DO38" si="47">+DI9/DM9</f>
        <v>#DIV/0!</v>
      </c>
      <c r="DQ9" s="248">
        <f t="shared" si="11"/>
        <v>2</v>
      </c>
      <c r="DR9" s="248">
        <f t="shared" si="12"/>
        <v>0</v>
      </c>
      <c r="DS9" s="248">
        <f t="shared" si="13"/>
        <v>7</v>
      </c>
      <c r="DT9" s="248">
        <f t="shared" si="14"/>
        <v>4.5</v>
      </c>
      <c r="DU9" s="248">
        <f t="shared" si="15"/>
        <v>1</v>
      </c>
      <c r="DV9" s="248">
        <f t="shared" si="16"/>
        <v>6</v>
      </c>
      <c r="DW9" s="248">
        <f t="shared" si="17"/>
        <v>2</v>
      </c>
      <c r="DX9" s="248">
        <f t="shared" si="18"/>
        <v>0</v>
      </c>
      <c r="DY9" s="248">
        <f t="shared" si="19"/>
        <v>7.5</v>
      </c>
      <c r="DZ9" s="248">
        <f t="shared" si="20"/>
        <v>0</v>
      </c>
      <c r="EA9" s="248">
        <f t="shared" si="21"/>
        <v>4.5</v>
      </c>
      <c r="EB9" s="248">
        <f t="shared" si="22"/>
        <v>5</v>
      </c>
      <c r="EC9" s="248">
        <f t="shared" si="23"/>
        <v>7.5</v>
      </c>
      <c r="ED9" s="248">
        <f t="shared" si="24"/>
        <v>1</v>
      </c>
      <c r="EE9" s="249">
        <f t="shared" si="25"/>
        <v>48</v>
      </c>
      <c r="EF9" s="248">
        <f t="shared" si="26"/>
        <v>42</v>
      </c>
      <c r="EG9" s="248">
        <f t="shared" si="27"/>
        <v>0</v>
      </c>
      <c r="EH9" s="248">
        <f t="shared" si="28"/>
        <v>0</v>
      </c>
      <c r="EI9" s="251">
        <f t="shared" si="29"/>
        <v>90</v>
      </c>
      <c r="EJ9" s="282">
        <f t="shared" si="30"/>
        <v>13509.76</v>
      </c>
      <c r="EK9" s="291">
        <f t="shared" ref="EK9:EK21" si="48">+EE9/EJ9</f>
        <v>3.5529868776351318E-3</v>
      </c>
      <c r="EL9" s="291">
        <f t="shared" ref="EL9:EL38" si="49">+EF9/EJ9</f>
        <v>3.1088635179307403E-3</v>
      </c>
    </row>
    <row r="10" spans="1:142">
      <c r="A10" s="247">
        <f t="shared" si="31"/>
        <v>46207</v>
      </c>
      <c r="B10" s="273"/>
      <c r="C10" s="273"/>
      <c r="D10" s="273"/>
      <c r="E10" s="273"/>
      <c r="F10" s="273"/>
      <c r="G10" s="273"/>
      <c r="H10" s="273"/>
      <c r="I10" s="273"/>
      <c r="J10" s="273"/>
      <c r="K10" s="273"/>
      <c r="L10" s="273"/>
      <c r="M10" s="273"/>
      <c r="N10" s="273"/>
      <c r="O10" s="273"/>
      <c r="P10" s="274">
        <f t="shared" si="32"/>
        <v>0</v>
      </c>
      <c r="Q10" s="275"/>
      <c r="R10" s="275"/>
      <c r="S10" s="275"/>
      <c r="T10" s="274">
        <f t="shared" si="3"/>
        <v>0</v>
      </c>
      <c r="U10" s="248">
        <f>+'REKAPAN OKEY AYAM'!AC7</f>
        <v>0</v>
      </c>
      <c r="V10" s="268" t="e">
        <f t="shared" si="0"/>
        <v>#DIV/0!</v>
      </c>
      <c r="W10" s="252" t="e">
        <f t="shared" si="33"/>
        <v>#DIV/0!</v>
      </c>
      <c r="Y10" s="247">
        <f t="shared" si="34"/>
        <v>46207</v>
      </c>
      <c r="Z10" s="278"/>
      <c r="AA10" s="278"/>
      <c r="AB10" s="278"/>
      <c r="AC10" s="278"/>
      <c r="AD10" s="278"/>
      <c r="AE10" s="278"/>
      <c r="AF10" s="278"/>
      <c r="AG10" s="278"/>
      <c r="AH10" s="278"/>
      <c r="AI10" s="278"/>
      <c r="AJ10" s="278"/>
      <c r="AK10" s="278"/>
      <c r="AL10" s="278"/>
      <c r="AM10" s="278"/>
      <c r="AN10" s="249">
        <f t="shared" si="35"/>
        <v>0</v>
      </c>
      <c r="AO10" s="250"/>
      <c r="AP10" s="250"/>
      <c r="AQ10" s="250"/>
      <c r="AR10" s="251">
        <f t="shared" si="5"/>
        <v>0</v>
      </c>
      <c r="AS10" s="248">
        <f>+'REKAPAN CHAMP AYAM'!AC7</f>
        <v>0</v>
      </c>
      <c r="AT10" s="268" t="e">
        <f t="shared" si="36"/>
        <v>#DIV/0!</v>
      </c>
      <c r="AU10" s="252" t="e">
        <f t="shared" si="37"/>
        <v>#DIV/0!</v>
      </c>
      <c r="AW10" s="247">
        <f t="shared" si="38"/>
        <v>46207</v>
      </c>
      <c r="AX10" s="273"/>
      <c r="AY10" s="273"/>
      <c r="AZ10" s="273"/>
      <c r="BA10" s="273"/>
      <c r="BB10" s="273"/>
      <c r="BC10" s="273"/>
      <c r="BD10" s="273"/>
      <c r="BE10" s="273"/>
      <c r="BF10" s="273"/>
      <c r="BG10" s="273"/>
      <c r="BH10" s="273"/>
      <c r="BI10" s="273"/>
      <c r="BJ10" s="273"/>
      <c r="BK10" s="273"/>
      <c r="BL10" s="274">
        <f t="shared" si="39"/>
        <v>0</v>
      </c>
      <c r="BM10" s="275"/>
      <c r="BN10" s="275"/>
      <c r="BO10" s="275"/>
      <c r="BP10" s="274">
        <f t="shared" si="6"/>
        <v>0</v>
      </c>
      <c r="BQ10" s="248">
        <f>+'REKAPAN CHAMP SAPI'!AC7</f>
        <v>0</v>
      </c>
      <c r="BR10" s="268" t="e">
        <f t="shared" si="40"/>
        <v>#DIV/0!</v>
      </c>
      <c r="BS10" s="252" t="e">
        <f t="shared" si="41"/>
        <v>#DIV/0!</v>
      </c>
      <c r="BU10" s="247">
        <f t="shared" si="42"/>
        <v>46207</v>
      </c>
      <c r="BV10" s="248"/>
      <c r="BW10" s="248"/>
      <c r="BX10" s="248"/>
      <c r="BY10" s="248"/>
      <c r="BZ10" s="248"/>
      <c r="CA10" s="248"/>
      <c r="CB10" s="248"/>
      <c r="CC10" s="248"/>
      <c r="CD10" s="248"/>
      <c r="CE10" s="248"/>
      <c r="CF10" s="248"/>
      <c r="CG10" s="248"/>
      <c r="CH10" s="273"/>
      <c r="CI10" s="273"/>
      <c r="CJ10" s="249">
        <f t="shared" si="7"/>
        <v>0</v>
      </c>
      <c r="CK10" s="250"/>
      <c r="CL10" s="250"/>
      <c r="CM10" s="250"/>
      <c r="CN10" s="251">
        <f t="shared" si="8"/>
        <v>0</v>
      </c>
      <c r="CO10" s="248">
        <f>+'REKAPAN CHAMP OTAK-OTAK'!AC7</f>
        <v>0</v>
      </c>
      <c r="CP10" s="268" t="e">
        <f t="shared" si="43"/>
        <v>#DIV/0!</v>
      </c>
      <c r="CQ10" s="252" t="e">
        <f t="shared" si="44"/>
        <v>#DIV/0!</v>
      </c>
      <c r="CS10" s="247">
        <f t="shared" si="45"/>
        <v>46207</v>
      </c>
      <c r="CT10" s="248"/>
      <c r="CU10" s="248"/>
      <c r="CV10" s="248"/>
      <c r="CW10" s="248"/>
      <c r="CX10" s="248"/>
      <c r="CY10" s="248"/>
      <c r="CZ10" s="248"/>
      <c r="DA10" s="248"/>
      <c r="DB10" s="248"/>
      <c r="DC10" s="248"/>
      <c r="DD10" s="248"/>
      <c r="DE10" s="248"/>
      <c r="DF10" s="248"/>
      <c r="DG10" s="248"/>
      <c r="DH10" s="249">
        <f t="shared" si="9"/>
        <v>0</v>
      </c>
      <c r="DI10" s="250"/>
      <c r="DJ10" s="250"/>
      <c r="DK10" s="250"/>
      <c r="DL10" s="251">
        <f t="shared" si="10"/>
        <v>0</v>
      </c>
      <c r="DM10" s="248">
        <f>+'REKAPAN CHAMP OTAK-OTAK'!AY7</f>
        <v>0</v>
      </c>
      <c r="DN10" s="268" t="e">
        <f t="shared" si="46"/>
        <v>#DIV/0!</v>
      </c>
      <c r="DO10" s="252" t="e">
        <f t="shared" si="47"/>
        <v>#DIV/0!</v>
      </c>
      <c r="DQ10" s="248">
        <f t="shared" si="11"/>
        <v>0</v>
      </c>
      <c r="DR10" s="248">
        <f t="shared" si="12"/>
        <v>0</v>
      </c>
      <c r="DS10" s="248">
        <f t="shared" si="13"/>
        <v>0</v>
      </c>
      <c r="DT10" s="248">
        <f t="shared" si="14"/>
        <v>0</v>
      </c>
      <c r="DU10" s="248">
        <f t="shared" si="15"/>
        <v>0</v>
      </c>
      <c r="DV10" s="248">
        <f t="shared" si="16"/>
        <v>0</v>
      </c>
      <c r="DW10" s="248">
        <f t="shared" si="17"/>
        <v>0</v>
      </c>
      <c r="DX10" s="248">
        <f t="shared" si="18"/>
        <v>0</v>
      </c>
      <c r="DY10" s="248">
        <f t="shared" si="19"/>
        <v>0</v>
      </c>
      <c r="DZ10" s="248">
        <f t="shared" si="20"/>
        <v>0</v>
      </c>
      <c r="EA10" s="248">
        <f t="shared" si="21"/>
        <v>0</v>
      </c>
      <c r="EB10" s="248">
        <f t="shared" si="22"/>
        <v>0</v>
      </c>
      <c r="EC10" s="248">
        <f t="shared" si="23"/>
        <v>0</v>
      </c>
      <c r="ED10" s="248">
        <f t="shared" si="24"/>
        <v>0</v>
      </c>
      <c r="EE10" s="249">
        <f t="shared" si="25"/>
        <v>0</v>
      </c>
      <c r="EF10" s="248">
        <f t="shared" si="26"/>
        <v>0</v>
      </c>
      <c r="EG10" s="248">
        <f t="shared" si="27"/>
        <v>0</v>
      </c>
      <c r="EH10" s="248">
        <f t="shared" si="28"/>
        <v>0</v>
      </c>
      <c r="EI10" s="251">
        <f t="shared" si="29"/>
        <v>0</v>
      </c>
      <c r="EJ10" s="282">
        <f t="shared" si="30"/>
        <v>0</v>
      </c>
      <c r="EK10" s="291" t="e">
        <f t="shared" si="48"/>
        <v>#DIV/0!</v>
      </c>
      <c r="EL10" s="291" t="e">
        <f t="shared" si="49"/>
        <v>#DIV/0!</v>
      </c>
    </row>
    <row r="11" spans="1:142">
      <c r="A11" s="247">
        <f t="shared" si="31"/>
        <v>46208</v>
      </c>
      <c r="B11" s="273"/>
      <c r="C11" s="273"/>
      <c r="D11" s="273"/>
      <c r="E11" s="273"/>
      <c r="F11" s="273"/>
      <c r="G11" s="273"/>
      <c r="H11" s="273"/>
      <c r="I11" s="273"/>
      <c r="J11" s="273"/>
      <c r="K11" s="273"/>
      <c r="L11" s="273"/>
      <c r="M11" s="273"/>
      <c r="N11" s="273"/>
      <c r="O11" s="273"/>
      <c r="P11" s="274">
        <f t="shared" si="32"/>
        <v>0</v>
      </c>
      <c r="Q11" s="275"/>
      <c r="R11" s="275"/>
      <c r="S11" s="275"/>
      <c r="T11" s="274">
        <f t="shared" si="3"/>
        <v>0</v>
      </c>
      <c r="U11" s="248">
        <f>+'REKAPAN OKEY AYAM'!AC8</f>
        <v>0</v>
      </c>
      <c r="V11" s="268" t="e">
        <f t="shared" si="0"/>
        <v>#DIV/0!</v>
      </c>
      <c r="W11" s="252" t="e">
        <f t="shared" si="33"/>
        <v>#DIV/0!</v>
      </c>
      <c r="Y11" s="247">
        <f t="shared" si="34"/>
        <v>46208</v>
      </c>
      <c r="Z11" s="278"/>
      <c r="AA11" s="278"/>
      <c r="AB11" s="278"/>
      <c r="AC11" s="278"/>
      <c r="AD11" s="278"/>
      <c r="AE11" s="278"/>
      <c r="AF11" s="278"/>
      <c r="AG11" s="278"/>
      <c r="AH11" s="278"/>
      <c r="AI11" s="278"/>
      <c r="AJ11" s="278"/>
      <c r="AK11" s="278"/>
      <c r="AL11" s="278"/>
      <c r="AM11" s="278"/>
      <c r="AN11" s="249">
        <f t="shared" si="35"/>
        <v>0</v>
      </c>
      <c r="AO11" s="250"/>
      <c r="AP11" s="250"/>
      <c r="AQ11" s="250"/>
      <c r="AR11" s="251">
        <f t="shared" si="5"/>
        <v>0</v>
      </c>
      <c r="AS11" s="248">
        <f>+'REKAPAN CHAMP AYAM'!AC8</f>
        <v>0</v>
      </c>
      <c r="AT11" s="268" t="e">
        <f t="shared" si="36"/>
        <v>#DIV/0!</v>
      </c>
      <c r="AU11" s="252" t="e">
        <f t="shared" si="37"/>
        <v>#DIV/0!</v>
      </c>
      <c r="AW11" s="247">
        <f t="shared" si="38"/>
        <v>46208</v>
      </c>
      <c r="AX11" s="273"/>
      <c r="AY11" s="273"/>
      <c r="AZ11" s="273"/>
      <c r="BA11" s="273"/>
      <c r="BB11" s="273"/>
      <c r="BC11" s="273"/>
      <c r="BD11" s="273"/>
      <c r="BE11" s="273"/>
      <c r="BF11" s="273"/>
      <c r="BG11" s="273"/>
      <c r="BH11" s="273"/>
      <c r="BI11" s="273"/>
      <c r="BJ11" s="273"/>
      <c r="BK11" s="273"/>
      <c r="BL11" s="274">
        <f t="shared" si="39"/>
        <v>0</v>
      </c>
      <c r="BM11" s="275"/>
      <c r="BN11" s="275"/>
      <c r="BO11" s="275"/>
      <c r="BP11" s="274">
        <f t="shared" si="6"/>
        <v>0</v>
      </c>
      <c r="BQ11" s="248">
        <f>+'REKAPAN CHAMP SAPI'!AC8</f>
        <v>0</v>
      </c>
      <c r="BR11" s="268" t="e">
        <f t="shared" si="40"/>
        <v>#DIV/0!</v>
      </c>
      <c r="BS11" s="252" t="e">
        <f t="shared" si="41"/>
        <v>#DIV/0!</v>
      </c>
      <c r="BU11" s="247">
        <f t="shared" si="42"/>
        <v>46208</v>
      </c>
      <c r="BV11" s="248"/>
      <c r="BW11" s="248"/>
      <c r="BX11" s="248"/>
      <c r="BY11" s="248"/>
      <c r="BZ11" s="248"/>
      <c r="CA11" s="248"/>
      <c r="CB11" s="248"/>
      <c r="CC11" s="248"/>
      <c r="CD11" s="248"/>
      <c r="CE11" s="248"/>
      <c r="CF11" s="248"/>
      <c r="CG11" s="248"/>
      <c r="CH11" s="273"/>
      <c r="CI11" s="273"/>
      <c r="CJ11" s="249">
        <f t="shared" si="7"/>
        <v>0</v>
      </c>
      <c r="CK11" s="250"/>
      <c r="CL11" s="250"/>
      <c r="CM11" s="250"/>
      <c r="CN11" s="251">
        <f t="shared" si="8"/>
        <v>0</v>
      </c>
      <c r="CO11" s="248">
        <f>+'REKAPAN CHAMP OTAK-OTAK'!AC8</f>
        <v>0</v>
      </c>
      <c r="CP11" s="268" t="e">
        <f t="shared" si="43"/>
        <v>#DIV/0!</v>
      </c>
      <c r="CQ11" s="252" t="e">
        <f t="shared" si="44"/>
        <v>#DIV/0!</v>
      </c>
      <c r="CS11" s="247">
        <f t="shared" si="45"/>
        <v>46208</v>
      </c>
      <c r="CT11" s="248"/>
      <c r="CU11" s="248"/>
      <c r="CV11" s="248"/>
      <c r="CW11" s="248"/>
      <c r="CX11" s="248"/>
      <c r="CY11" s="248"/>
      <c r="CZ11" s="248"/>
      <c r="DA11" s="248"/>
      <c r="DB11" s="248"/>
      <c r="DC11" s="248"/>
      <c r="DD11" s="248"/>
      <c r="DE11" s="248"/>
      <c r="DF11" s="248"/>
      <c r="DG11" s="248"/>
      <c r="DH11" s="249">
        <f t="shared" si="9"/>
        <v>0</v>
      </c>
      <c r="DI11" s="250"/>
      <c r="DJ11" s="250"/>
      <c r="DK11" s="250"/>
      <c r="DL11" s="251">
        <f t="shared" si="10"/>
        <v>0</v>
      </c>
      <c r="DM11" s="248">
        <f>+'REKAPAN CHAMP OTAK-OTAK'!AY8</f>
        <v>0</v>
      </c>
      <c r="DN11" s="268" t="e">
        <f t="shared" si="46"/>
        <v>#DIV/0!</v>
      </c>
      <c r="DO11" s="252" t="e">
        <f t="shared" si="47"/>
        <v>#DIV/0!</v>
      </c>
      <c r="DQ11" s="248">
        <f t="shared" si="11"/>
        <v>0</v>
      </c>
      <c r="DR11" s="248">
        <f t="shared" si="12"/>
        <v>0</v>
      </c>
      <c r="DS11" s="248">
        <f t="shared" si="13"/>
        <v>0</v>
      </c>
      <c r="DT11" s="248">
        <f t="shared" si="14"/>
        <v>0</v>
      </c>
      <c r="DU11" s="248">
        <f t="shared" si="15"/>
        <v>0</v>
      </c>
      <c r="DV11" s="248">
        <f t="shared" si="16"/>
        <v>0</v>
      </c>
      <c r="DW11" s="248">
        <f t="shared" si="17"/>
        <v>0</v>
      </c>
      <c r="DX11" s="248">
        <f t="shared" si="18"/>
        <v>0</v>
      </c>
      <c r="DY11" s="248">
        <f t="shared" si="19"/>
        <v>0</v>
      </c>
      <c r="DZ11" s="248">
        <f t="shared" si="20"/>
        <v>0</v>
      </c>
      <c r="EA11" s="248">
        <f t="shared" si="21"/>
        <v>0</v>
      </c>
      <c r="EB11" s="248">
        <f t="shared" si="22"/>
        <v>0</v>
      </c>
      <c r="EC11" s="248">
        <f t="shared" si="23"/>
        <v>0</v>
      </c>
      <c r="ED11" s="248">
        <f t="shared" si="24"/>
        <v>0</v>
      </c>
      <c r="EE11" s="249">
        <f t="shared" si="25"/>
        <v>0</v>
      </c>
      <c r="EF11" s="248">
        <f t="shared" si="26"/>
        <v>0</v>
      </c>
      <c r="EG11" s="248">
        <f t="shared" si="27"/>
        <v>0</v>
      </c>
      <c r="EH11" s="248">
        <f t="shared" si="28"/>
        <v>0</v>
      </c>
      <c r="EI11" s="251">
        <f t="shared" si="29"/>
        <v>0</v>
      </c>
      <c r="EJ11" s="282">
        <f t="shared" si="30"/>
        <v>0</v>
      </c>
      <c r="EK11" s="291" t="e">
        <f t="shared" si="48"/>
        <v>#DIV/0!</v>
      </c>
      <c r="EL11" s="291" t="e">
        <f t="shared" si="49"/>
        <v>#DIV/0!</v>
      </c>
    </row>
    <row r="12" spans="1:142">
      <c r="A12" s="247">
        <f t="shared" si="31"/>
        <v>46209</v>
      </c>
      <c r="B12" s="273"/>
      <c r="C12" s="273"/>
      <c r="D12" s="273">
        <v>5</v>
      </c>
      <c r="E12" s="273"/>
      <c r="F12" s="273"/>
      <c r="G12" s="273">
        <v>5</v>
      </c>
      <c r="H12" s="273">
        <v>5</v>
      </c>
      <c r="I12" s="273"/>
      <c r="J12" s="273">
        <v>5</v>
      </c>
      <c r="K12" s="273"/>
      <c r="L12" s="273"/>
      <c r="M12" s="273"/>
      <c r="N12" s="273"/>
      <c r="O12" s="273"/>
      <c r="P12" s="274">
        <f t="shared" si="32"/>
        <v>20</v>
      </c>
      <c r="Q12" s="275">
        <v>2</v>
      </c>
      <c r="R12" s="275"/>
      <c r="S12" s="275"/>
      <c r="T12" s="274">
        <f t="shared" si="3"/>
        <v>22</v>
      </c>
      <c r="U12" s="248">
        <f>+'REKAPAN OKEY AYAM'!AC9</f>
        <v>1578.68</v>
      </c>
      <c r="V12" s="268">
        <f t="shared" si="0"/>
        <v>1.2668811918818253E-2</v>
      </c>
      <c r="W12" s="252">
        <f t="shared" si="33"/>
        <v>1.2668811918818252E-3</v>
      </c>
      <c r="Y12" s="247">
        <f t="shared" si="34"/>
        <v>46209</v>
      </c>
      <c r="Z12" s="278"/>
      <c r="AA12" s="278"/>
      <c r="AB12" s="278"/>
      <c r="AC12" s="278"/>
      <c r="AD12" s="278"/>
      <c r="AE12" s="278"/>
      <c r="AF12" s="278"/>
      <c r="AG12" s="278"/>
      <c r="AH12" s="278"/>
      <c r="AI12" s="278"/>
      <c r="AJ12" s="278"/>
      <c r="AK12" s="278"/>
      <c r="AL12" s="278"/>
      <c r="AM12" s="278"/>
      <c r="AN12" s="249">
        <f t="shared" si="35"/>
        <v>0</v>
      </c>
      <c r="AO12" s="250"/>
      <c r="AP12" s="250"/>
      <c r="AQ12" s="250"/>
      <c r="AR12" s="251">
        <f t="shared" si="5"/>
        <v>0</v>
      </c>
      <c r="AS12" s="248">
        <f>+'REKAPAN CHAMP AYAM'!AC9</f>
        <v>0</v>
      </c>
      <c r="AT12" s="268" t="e">
        <f t="shared" si="36"/>
        <v>#DIV/0!</v>
      </c>
      <c r="AU12" s="252" t="e">
        <f t="shared" si="37"/>
        <v>#DIV/0!</v>
      </c>
      <c r="AW12" s="247">
        <f t="shared" si="38"/>
        <v>46209</v>
      </c>
      <c r="AX12" s="273"/>
      <c r="AY12" s="273"/>
      <c r="AZ12" s="273"/>
      <c r="BA12" s="273"/>
      <c r="BB12" s="273"/>
      <c r="BC12" s="273"/>
      <c r="BD12" s="273"/>
      <c r="BE12" s="273"/>
      <c r="BF12" s="273"/>
      <c r="BG12" s="273"/>
      <c r="BH12" s="273"/>
      <c r="BI12" s="273"/>
      <c r="BJ12" s="273"/>
      <c r="BK12" s="273"/>
      <c r="BL12" s="274">
        <f t="shared" si="39"/>
        <v>0</v>
      </c>
      <c r="BM12" s="275"/>
      <c r="BN12" s="275"/>
      <c r="BO12" s="275"/>
      <c r="BP12" s="274">
        <f t="shared" si="6"/>
        <v>0</v>
      </c>
      <c r="BQ12" s="248">
        <f>+'REKAPAN CHAMP SAPI'!AC9</f>
        <v>0</v>
      </c>
      <c r="BR12" s="268" t="e">
        <f t="shared" si="40"/>
        <v>#DIV/0!</v>
      </c>
      <c r="BS12" s="252" t="e">
        <f t="shared" si="41"/>
        <v>#DIV/0!</v>
      </c>
      <c r="BU12" s="247">
        <f t="shared" si="42"/>
        <v>46209</v>
      </c>
      <c r="BV12" s="248"/>
      <c r="BW12" s="248"/>
      <c r="BX12" s="248"/>
      <c r="BY12" s="248"/>
      <c r="BZ12" s="248"/>
      <c r="CA12" s="248"/>
      <c r="CB12" s="248"/>
      <c r="CC12" s="248"/>
      <c r="CD12" s="248"/>
      <c r="CE12" s="248"/>
      <c r="CF12" s="248"/>
      <c r="CG12" s="248"/>
      <c r="CH12" s="248"/>
      <c r="CI12" s="248"/>
      <c r="CJ12" s="249">
        <f t="shared" si="7"/>
        <v>0</v>
      </c>
      <c r="CK12" s="250"/>
      <c r="CL12" s="250"/>
      <c r="CM12" s="250"/>
      <c r="CN12" s="251">
        <f t="shared" si="8"/>
        <v>0</v>
      </c>
      <c r="CO12" s="248">
        <f>+'REKAPAN CHAMP OTAK-OTAK'!AC9</f>
        <v>0</v>
      </c>
      <c r="CP12" s="268" t="e">
        <f t="shared" si="43"/>
        <v>#DIV/0!</v>
      </c>
      <c r="CQ12" s="252" t="e">
        <f t="shared" si="44"/>
        <v>#DIV/0!</v>
      </c>
      <c r="CS12" s="247">
        <f t="shared" si="45"/>
        <v>46209</v>
      </c>
      <c r="CT12" s="248"/>
      <c r="CU12" s="248"/>
      <c r="CV12" s="248"/>
      <c r="CW12" s="248"/>
      <c r="CX12" s="248"/>
      <c r="CY12" s="248"/>
      <c r="CZ12" s="248"/>
      <c r="DA12" s="248"/>
      <c r="DB12" s="248"/>
      <c r="DC12" s="248"/>
      <c r="DD12" s="248"/>
      <c r="DE12" s="248"/>
      <c r="DF12" s="248"/>
      <c r="DG12" s="248"/>
      <c r="DH12" s="249">
        <f t="shared" si="9"/>
        <v>0</v>
      </c>
      <c r="DI12" s="250"/>
      <c r="DJ12" s="250"/>
      <c r="DK12" s="250"/>
      <c r="DL12" s="251">
        <f t="shared" si="10"/>
        <v>0</v>
      </c>
      <c r="DM12" s="248">
        <f>+'REKAPAN CHAMP OTAK-OTAK'!AY9</f>
        <v>0</v>
      </c>
      <c r="DN12" s="268" t="e">
        <f t="shared" si="46"/>
        <v>#DIV/0!</v>
      </c>
      <c r="DO12" s="252" t="e">
        <f t="shared" si="47"/>
        <v>#DIV/0!</v>
      </c>
      <c r="DQ12" s="248">
        <f t="shared" si="11"/>
        <v>0</v>
      </c>
      <c r="DR12" s="248">
        <f t="shared" si="12"/>
        <v>0</v>
      </c>
      <c r="DS12" s="248">
        <f t="shared" si="13"/>
        <v>5</v>
      </c>
      <c r="DT12" s="248">
        <f t="shared" si="14"/>
        <v>0</v>
      </c>
      <c r="DU12" s="248">
        <f t="shared" si="15"/>
        <v>0</v>
      </c>
      <c r="DV12" s="248">
        <f t="shared" si="16"/>
        <v>5</v>
      </c>
      <c r="DW12" s="248">
        <f t="shared" si="17"/>
        <v>5</v>
      </c>
      <c r="DX12" s="248">
        <f t="shared" si="18"/>
        <v>0</v>
      </c>
      <c r="DY12" s="248">
        <f t="shared" si="19"/>
        <v>5</v>
      </c>
      <c r="DZ12" s="248">
        <f t="shared" si="20"/>
        <v>0</v>
      </c>
      <c r="EA12" s="248">
        <f t="shared" si="21"/>
        <v>0</v>
      </c>
      <c r="EB12" s="248">
        <f t="shared" si="22"/>
        <v>0</v>
      </c>
      <c r="EC12" s="248">
        <f t="shared" si="23"/>
        <v>0</v>
      </c>
      <c r="ED12" s="248">
        <f t="shared" si="24"/>
        <v>0</v>
      </c>
      <c r="EE12" s="249">
        <f t="shared" si="25"/>
        <v>20</v>
      </c>
      <c r="EF12" s="248">
        <f t="shared" si="26"/>
        <v>2</v>
      </c>
      <c r="EG12" s="248">
        <f t="shared" si="27"/>
        <v>0</v>
      </c>
      <c r="EH12" s="248">
        <f t="shared" si="28"/>
        <v>0</v>
      </c>
      <c r="EI12" s="251">
        <f t="shared" si="29"/>
        <v>22</v>
      </c>
      <c r="EJ12" s="282">
        <f t="shared" si="30"/>
        <v>1578.68</v>
      </c>
      <c r="EK12" s="291">
        <f t="shared" si="48"/>
        <v>1.2668811918818253E-2</v>
      </c>
      <c r="EL12" s="291">
        <f t="shared" si="49"/>
        <v>1.2668811918818252E-3</v>
      </c>
    </row>
    <row r="13" spans="1:142">
      <c r="A13" s="247">
        <f t="shared" si="31"/>
        <v>46210</v>
      </c>
      <c r="B13" s="273">
        <f>5+2.5+2+2+2+2+1</f>
        <v>16.5</v>
      </c>
      <c r="C13" s="273"/>
      <c r="D13" s="273">
        <f>5+2.5+2+1+0.5+0.5+1+1.5</f>
        <v>14</v>
      </c>
      <c r="E13" s="273">
        <f>1+0.5+1</f>
        <v>2.5</v>
      </c>
      <c r="F13" s="273">
        <v>1</v>
      </c>
      <c r="G13" s="273">
        <f>5+2.5+2+2+0.5+2+1.5</f>
        <v>15.5</v>
      </c>
      <c r="H13" s="273">
        <f>2+0.5+1.5</f>
        <v>4</v>
      </c>
      <c r="I13" s="273"/>
      <c r="J13" s="273">
        <f>5+2.5+2+2+2+2+1+1.5</f>
        <v>18</v>
      </c>
      <c r="K13" s="273"/>
      <c r="L13" s="273">
        <f>1+1</f>
        <v>2</v>
      </c>
      <c r="M13" s="273">
        <f>1+0.5</f>
        <v>1.5</v>
      </c>
      <c r="N13" s="273">
        <f>1+0.5+1</f>
        <v>2.5</v>
      </c>
      <c r="O13" s="273">
        <f>0.5+0.5+1</f>
        <v>2</v>
      </c>
      <c r="P13" s="274">
        <f t="shared" si="32"/>
        <v>79.5</v>
      </c>
      <c r="Q13" s="275">
        <f>2+5+8+3+4+2.5+1.3+6</f>
        <v>31.8</v>
      </c>
      <c r="R13" s="275"/>
      <c r="S13" s="275"/>
      <c r="T13" s="274">
        <f t="shared" si="3"/>
        <v>111.3</v>
      </c>
      <c r="U13" s="248">
        <f>+'REKAPAN OKEY AYAM'!AC10</f>
        <v>12629.44</v>
      </c>
      <c r="V13" s="268">
        <f t="shared" si="0"/>
        <v>6.2948159221628197E-3</v>
      </c>
      <c r="W13" s="252">
        <f t="shared" si="33"/>
        <v>2.5179263688651279E-3</v>
      </c>
      <c r="X13" s="254"/>
      <c r="Y13" s="247">
        <f t="shared" si="34"/>
        <v>46210</v>
      </c>
      <c r="Z13" s="278"/>
      <c r="AA13" s="278"/>
      <c r="AB13" s="278"/>
      <c r="AC13" s="278"/>
      <c r="AD13" s="278"/>
      <c r="AE13" s="278"/>
      <c r="AF13" s="278"/>
      <c r="AG13" s="278"/>
      <c r="AH13" s="278"/>
      <c r="AI13" s="278"/>
      <c r="AJ13" s="278"/>
      <c r="AK13" s="278"/>
      <c r="AL13" s="278"/>
      <c r="AM13" s="278"/>
      <c r="AN13" s="249">
        <f t="shared" si="35"/>
        <v>0</v>
      </c>
      <c r="AO13" s="250"/>
      <c r="AP13" s="250"/>
      <c r="AQ13" s="250"/>
      <c r="AR13" s="251">
        <f t="shared" si="5"/>
        <v>0</v>
      </c>
      <c r="AS13" s="248">
        <f>+'REKAPAN CHAMP AYAM'!AC10</f>
        <v>0</v>
      </c>
      <c r="AT13" s="268" t="e">
        <f t="shared" si="36"/>
        <v>#DIV/0!</v>
      </c>
      <c r="AU13" s="252" t="e">
        <f t="shared" si="37"/>
        <v>#DIV/0!</v>
      </c>
      <c r="AW13" s="247">
        <f t="shared" si="38"/>
        <v>46210</v>
      </c>
      <c r="AX13" s="273"/>
      <c r="AY13" s="273"/>
      <c r="AZ13" s="273"/>
      <c r="BA13" s="273"/>
      <c r="BB13" s="273"/>
      <c r="BC13" s="273"/>
      <c r="BD13" s="273"/>
      <c r="BE13" s="273"/>
      <c r="BF13" s="273"/>
      <c r="BG13" s="273"/>
      <c r="BH13" s="273"/>
      <c r="BI13" s="273"/>
      <c r="BJ13" s="273"/>
      <c r="BK13" s="273"/>
      <c r="BL13" s="274">
        <f t="shared" si="39"/>
        <v>0</v>
      </c>
      <c r="BM13" s="275"/>
      <c r="BN13" s="275"/>
      <c r="BO13" s="275"/>
      <c r="BP13" s="274">
        <f t="shared" si="6"/>
        <v>0</v>
      </c>
      <c r="BQ13" s="248">
        <f>+'REKAPAN CHAMP SAPI'!AC10</f>
        <v>0</v>
      </c>
      <c r="BR13" s="268" t="e">
        <f t="shared" si="40"/>
        <v>#DIV/0!</v>
      </c>
      <c r="BS13" s="252" t="e">
        <f t="shared" si="41"/>
        <v>#DIV/0!</v>
      </c>
      <c r="BU13" s="247">
        <f t="shared" si="42"/>
        <v>46210</v>
      </c>
      <c r="BV13" s="248"/>
      <c r="BW13" s="248"/>
      <c r="BX13" s="248"/>
      <c r="BY13" s="248"/>
      <c r="BZ13" s="248"/>
      <c r="CA13" s="248"/>
      <c r="CB13" s="248"/>
      <c r="CC13" s="248"/>
      <c r="CD13" s="248"/>
      <c r="CE13" s="248"/>
      <c r="CF13" s="248"/>
      <c r="CG13" s="248"/>
      <c r="CH13" s="248"/>
      <c r="CI13" s="248"/>
      <c r="CJ13" s="249">
        <f t="shared" si="7"/>
        <v>0</v>
      </c>
      <c r="CK13" s="250"/>
      <c r="CL13" s="250"/>
      <c r="CM13" s="250"/>
      <c r="CN13" s="251">
        <f t="shared" si="8"/>
        <v>0</v>
      </c>
      <c r="CO13" s="248">
        <f>+'REKAPAN CHAMP OTAK-OTAK'!AC10</f>
        <v>0</v>
      </c>
      <c r="CP13" s="268" t="e">
        <f t="shared" si="43"/>
        <v>#DIV/0!</v>
      </c>
      <c r="CQ13" s="252" t="e">
        <f t="shared" si="44"/>
        <v>#DIV/0!</v>
      </c>
      <c r="CS13" s="247">
        <f t="shared" si="45"/>
        <v>46210</v>
      </c>
      <c r="CT13" s="248"/>
      <c r="CU13" s="248"/>
      <c r="CV13" s="248"/>
      <c r="CW13" s="248"/>
      <c r="CX13" s="248"/>
      <c r="CY13" s="248"/>
      <c r="CZ13" s="248"/>
      <c r="DA13" s="248"/>
      <c r="DB13" s="248"/>
      <c r="DC13" s="248"/>
      <c r="DD13" s="248"/>
      <c r="DE13" s="248"/>
      <c r="DF13" s="248"/>
      <c r="DG13" s="248"/>
      <c r="DH13" s="249">
        <f t="shared" si="9"/>
        <v>0</v>
      </c>
      <c r="DI13" s="250"/>
      <c r="DJ13" s="250"/>
      <c r="DK13" s="250"/>
      <c r="DL13" s="251">
        <f t="shared" si="10"/>
        <v>0</v>
      </c>
      <c r="DM13" s="248">
        <f>+'REKAPAN CHAMP OTAK-OTAK'!AY10</f>
        <v>0</v>
      </c>
      <c r="DN13" s="268" t="e">
        <f t="shared" si="46"/>
        <v>#DIV/0!</v>
      </c>
      <c r="DO13" s="252" t="e">
        <f t="shared" si="47"/>
        <v>#DIV/0!</v>
      </c>
      <c r="DQ13" s="248">
        <f t="shared" si="11"/>
        <v>16.5</v>
      </c>
      <c r="DR13" s="248">
        <f t="shared" si="12"/>
        <v>0</v>
      </c>
      <c r="DS13" s="248">
        <f t="shared" si="13"/>
        <v>14</v>
      </c>
      <c r="DT13" s="248">
        <f t="shared" si="14"/>
        <v>2.5</v>
      </c>
      <c r="DU13" s="248">
        <f t="shared" si="15"/>
        <v>1</v>
      </c>
      <c r="DV13" s="248">
        <f t="shared" si="16"/>
        <v>15.5</v>
      </c>
      <c r="DW13" s="248">
        <f t="shared" si="17"/>
        <v>4</v>
      </c>
      <c r="DX13" s="248">
        <f t="shared" si="18"/>
        <v>0</v>
      </c>
      <c r="DY13" s="248">
        <f t="shared" si="19"/>
        <v>18</v>
      </c>
      <c r="DZ13" s="248">
        <f t="shared" si="20"/>
        <v>0</v>
      </c>
      <c r="EA13" s="248">
        <f t="shared" si="21"/>
        <v>2</v>
      </c>
      <c r="EB13" s="248">
        <f t="shared" si="22"/>
        <v>1.5</v>
      </c>
      <c r="EC13" s="248">
        <f t="shared" si="23"/>
        <v>2.5</v>
      </c>
      <c r="ED13" s="248">
        <f t="shared" si="24"/>
        <v>2</v>
      </c>
      <c r="EE13" s="249">
        <f t="shared" si="25"/>
        <v>79.5</v>
      </c>
      <c r="EF13" s="248">
        <f t="shared" si="26"/>
        <v>31.8</v>
      </c>
      <c r="EG13" s="248">
        <f t="shared" si="27"/>
        <v>0</v>
      </c>
      <c r="EH13" s="248">
        <f t="shared" si="28"/>
        <v>0</v>
      </c>
      <c r="EI13" s="251">
        <f t="shared" si="29"/>
        <v>111.3</v>
      </c>
      <c r="EJ13" s="282">
        <f t="shared" si="30"/>
        <v>12629.44</v>
      </c>
      <c r="EK13" s="291">
        <f t="shared" si="48"/>
        <v>6.2948159221628197E-3</v>
      </c>
      <c r="EL13" s="291">
        <f t="shared" si="49"/>
        <v>2.5179263688651279E-3</v>
      </c>
    </row>
    <row r="14" spans="1:142">
      <c r="A14" s="247">
        <f t="shared" si="31"/>
        <v>46211</v>
      </c>
      <c r="B14" s="273">
        <f>1+0.5+0.5+1+2+2.5+1</f>
        <v>8.5</v>
      </c>
      <c r="C14" s="273"/>
      <c r="D14" s="273">
        <f>1+0.5+0.5+0.5+0.5+0.5+0.5+2</f>
        <v>6</v>
      </c>
      <c r="E14" s="273">
        <f>0.5+0.5+0.5+0.5+0.5+0.5+2</f>
        <v>5</v>
      </c>
      <c r="F14" s="273">
        <f>0.5+0.5+0.5+0.5+0.5</f>
        <v>2.5</v>
      </c>
      <c r="G14" s="273">
        <f>2+2+0.5+0.5+0.5+0.5+2</f>
        <v>8</v>
      </c>
      <c r="H14" s="273">
        <v>5</v>
      </c>
      <c r="I14" s="273"/>
      <c r="J14" s="273">
        <f>1.5+1+1+0.5+0.5+0.5+0.5+0.5+2</f>
        <v>8</v>
      </c>
      <c r="K14" s="273">
        <f>0.5+0.5+0.5+1</f>
        <v>2.5</v>
      </c>
      <c r="L14" s="273">
        <f>0.5+0.5+0.5+1</f>
        <v>2.5</v>
      </c>
      <c r="M14" s="273">
        <f>1+0.5+0.5</f>
        <v>2</v>
      </c>
      <c r="N14" s="273">
        <f>0.5+0.5+0.5+0.5+0.5</f>
        <v>2.5</v>
      </c>
      <c r="O14" s="273">
        <v>0.5</v>
      </c>
      <c r="P14" s="274">
        <f t="shared" si="32"/>
        <v>53</v>
      </c>
      <c r="Q14" s="275">
        <f>1+2+3+3.5+2.5+2+2.5+4+2</f>
        <v>22.5</v>
      </c>
      <c r="R14" s="275"/>
      <c r="S14" s="275"/>
      <c r="T14" s="274">
        <f t="shared" si="3"/>
        <v>75.5</v>
      </c>
      <c r="U14" s="248">
        <f>+'REKAPAN OKEY AYAM'!AC11</f>
        <v>14208.12</v>
      </c>
      <c r="V14" s="268">
        <f t="shared" si="0"/>
        <v>3.7302612872075966E-3</v>
      </c>
      <c r="W14" s="252">
        <f t="shared" si="33"/>
        <v>1.5836014898522816E-3</v>
      </c>
      <c r="X14" s="254"/>
      <c r="Y14" s="247">
        <f t="shared" si="34"/>
        <v>46211</v>
      </c>
      <c r="Z14" s="278"/>
      <c r="AA14" s="278"/>
      <c r="AB14" s="278"/>
      <c r="AC14" s="278"/>
      <c r="AD14" s="278"/>
      <c r="AE14" s="278"/>
      <c r="AF14" s="278"/>
      <c r="AG14" s="278"/>
      <c r="AH14" s="278"/>
      <c r="AI14" s="278"/>
      <c r="AJ14" s="278"/>
      <c r="AK14" s="278"/>
      <c r="AL14" s="278"/>
      <c r="AM14" s="278"/>
      <c r="AN14" s="249">
        <f t="shared" si="35"/>
        <v>0</v>
      </c>
      <c r="AO14" s="250"/>
      <c r="AP14" s="250"/>
      <c r="AQ14" s="250"/>
      <c r="AR14" s="251">
        <f t="shared" si="5"/>
        <v>0</v>
      </c>
      <c r="AS14" s="248">
        <f>+'REKAPAN CHAMP AYAM'!AC11</f>
        <v>0</v>
      </c>
      <c r="AT14" s="268" t="e">
        <f t="shared" si="36"/>
        <v>#DIV/0!</v>
      </c>
      <c r="AU14" s="252" t="e">
        <f t="shared" si="37"/>
        <v>#DIV/0!</v>
      </c>
      <c r="AW14" s="247">
        <f t="shared" si="38"/>
        <v>46211</v>
      </c>
      <c r="AX14" s="273"/>
      <c r="AY14" s="273"/>
      <c r="AZ14" s="273"/>
      <c r="BA14" s="273"/>
      <c r="BB14" s="273"/>
      <c r="BC14" s="273"/>
      <c r="BD14" s="273"/>
      <c r="BE14" s="273"/>
      <c r="BF14" s="273"/>
      <c r="BG14" s="273"/>
      <c r="BH14" s="273"/>
      <c r="BI14" s="273"/>
      <c r="BJ14" s="273"/>
      <c r="BK14" s="273"/>
      <c r="BL14" s="274">
        <f t="shared" si="39"/>
        <v>0</v>
      </c>
      <c r="BM14" s="275"/>
      <c r="BN14" s="275"/>
      <c r="BO14" s="275"/>
      <c r="BP14" s="274">
        <f t="shared" si="6"/>
        <v>0</v>
      </c>
      <c r="BQ14" s="248">
        <f>+'REKAPAN CHAMP SAPI'!AC11</f>
        <v>0</v>
      </c>
      <c r="BR14" s="268" t="e">
        <f t="shared" si="40"/>
        <v>#DIV/0!</v>
      </c>
      <c r="BS14" s="252" t="e">
        <f t="shared" si="41"/>
        <v>#DIV/0!</v>
      </c>
      <c r="BU14" s="247">
        <f t="shared" si="42"/>
        <v>46211</v>
      </c>
      <c r="BV14" s="248"/>
      <c r="BW14" s="248"/>
      <c r="BX14" s="248"/>
      <c r="BY14" s="248"/>
      <c r="BZ14" s="248"/>
      <c r="CA14" s="248"/>
      <c r="CB14" s="248"/>
      <c r="CC14" s="248"/>
      <c r="CD14" s="248"/>
      <c r="CE14" s="248"/>
      <c r="CF14" s="248"/>
      <c r="CG14" s="248"/>
      <c r="CH14" s="248"/>
      <c r="CI14" s="248"/>
      <c r="CJ14" s="249">
        <f t="shared" si="7"/>
        <v>0</v>
      </c>
      <c r="CK14" s="250"/>
      <c r="CL14" s="250"/>
      <c r="CM14" s="250"/>
      <c r="CN14" s="251">
        <f t="shared" si="8"/>
        <v>0</v>
      </c>
      <c r="CO14" s="248">
        <f>+'REKAPAN CHAMP OTAK-OTAK'!AC11</f>
        <v>0</v>
      </c>
      <c r="CP14" s="268" t="e">
        <f t="shared" si="43"/>
        <v>#DIV/0!</v>
      </c>
      <c r="CQ14" s="252" t="e">
        <f t="shared" si="44"/>
        <v>#DIV/0!</v>
      </c>
      <c r="CS14" s="247">
        <f t="shared" si="45"/>
        <v>46211</v>
      </c>
      <c r="CT14" s="248"/>
      <c r="CU14" s="248"/>
      <c r="CV14" s="248"/>
      <c r="CW14" s="248"/>
      <c r="CX14" s="248"/>
      <c r="CY14" s="248"/>
      <c r="CZ14" s="248"/>
      <c r="DA14" s="248"/>
      <c r="DB14" s="248"/>
      <c r="DC14" s="248"/>
      <c r="DD14" s="248"/>
      <c r="DE14" s="248"/>
      <c r="DF14" s="248"/>
      <c r="DG14" s="248"/>
      <c r="DH14" s="249">
        <f t="shared" si="9"/>
        <v>0</v>
      </c>
      <c r="DI14" s="250"/>
      <c r="DJ14" s="250"/>
      <c r="DK14" s="250"/>
      <c r="DL14" s="251">
        <f t="shared" si="10"/>
        <v>0</v>
      </c>
      <c r="DM14" s="248">
        <f>+'REKAPAN CHAMP OTAK-OTAK'!AY11</f>
        <v>0</v>
      </c>
      <c r="DN14" s="268" t="e">
        <f t="shared" si="46"/>
        <v>#DIV/0!</v>
      </c>
      <c r="DO14" s="252" t="e">
        <f t="shared" si="47"/>
        <v>#DIV/0!</v>
      </c>
      <c r="DQ14" s="248">
        <f t="shared" si="11"/>
        <v>8.5</v>
      </c>
      <c r="DR14" s="248">
        <f t="shared" si="12"/>
        <v>0</v>
      </c>
      <c r="DS14" s="248">
        <f t="shared" si="13"/>
        <v>6</v>
      </c>
      <c r="DT14" s="248">
        <f t="shared" si="14"/>
        <v>5</v>
      </c>
      <c r="DU14" s="248">
        <f t="shared" si="15"/>
        <v>2.5</v>
      </c>
      <c r="DV14" s="248">
        <f t="shared" si="16"/>
        <v>8</v>
      </c>
      <c r="DW14" s="248">
        <f t="shared" si="17"/>
        <v>5</v>
      </c>
      <c r="DX14" s="248">
        <f t="shared" si="18"/>
        <v>0</v>
      </c>
      <c r="DY14" s="248">
        <f t="shared" si="19"/>
        <v>8</v>
      </c>
      <c r="DZ14" s="248">
        <f t="shared" si="20"/>
        <v>2.5</v>
      </c>
      <c r="EA14" s="248">
        <f t="shared" si="21"/>
        <v>2.5</v>
      </c>
      <c r="EB14" s="248">
        <f t="shared" si="22"/>
        <v>2</v>
      </c>
      <c r="EC14" s="248">
        <f t="shared" si="23"/>
        <v>2.5</v>
      </c>
      <c r="ED14" s="248">
        <f t="shared" si="24"/>
        <v>0.5</v>
      </c>
      <c r="EE14" s="249">
        <f t="shared" si="25"/>
        <v>53</v>
      </c>
      <c r="EF14" s="248">
        <f t="shared" si="26"/>
        <v>22.5</v>
      </c>
      <c r="EG14" s="248">
        <f t="shared" si="27"/>
        <v>0</v>
      </c>
      <c r="EH14" s="248">
        <f t="shared" si="28"/>
        <v>0</v>
      </c>
      <c r="EI14" s="251">
        <f t="shared" si="29"/>
        <v>75.5</v>
      </c>
      <c r="EJ14" s="282">
        <f t="shared" si="30"/>
        <v>14208.12</v>
      </c>
      <c r="EK14" s="291">
        <f t="shared" si="48"/>
        <v>3.7302612872075966E-3</v>
      </c>
      <c r="EL14" s="291">
        <f t="shared" si="49"/>
        <v>1.5836014898522816E-3</v>
      </c>
    </row>
    <row r="15" spans="1:142">
      <c r="A15" s="247">
        <f t="shared" si="31"/>
        <v>46212</v>
      </c>
      <c r="B15" s="273">
        <f>1+1+1.5+2+2+0.5</f>
        <v>8</v>
      </c>
      <c r="C15" s="273"/>
      <c r="D15" s="273">
        <f>1.5+1+1.5+0.5+0.5+0.5+2.5</f>
        <v>8</v>
      </c>
      <c r="E15" s="273">
        <f>1.5+1+1+0.5+1+0.5+1+1+0.5</f>
        <v>8</v>
      </c>
      <c r="F15" s="273">
        <f>1.5+0.5+1+0.5</f>
        <v>3.5</v>
      </c>
      <c r="G15" s="273">
        <f>1.5+1+1+0.5+1+0.5+0.5+0.5</f>
        <v>6.5</v>
      </c>
      <c r="H15" s="273">
        <f>1+0.5+2+0.5+0.5</f>
        <v>4.5</v>
      </c>
      <c r="I15" s="273"/>
      <c r="J15" s="273">
        <f>1.5+1+1+0.5+1+0.5+0.5</f>
        <v>6</v>
      </c>
      <c r="K15" s="273">
        <f>1+0.5</f>
        <v>1.5</v>
      </c>
      <c r="L15" s="273">
        <f>1+0.5+0.5</f>
        <v>2</v>
      </c>
      <c r="M15" s="273">
        <f>1.5+0.5+0.5</f>
        <v>2.5</v>
      </c>
      <c r="N15" s="273">
        <f>1+0.5+0.5</f>
        <v>2</v>
      </c>
      <c r="O15" s="273">
        <f>0.5+0.5+0.5</f>
        <v>1.5</v>
      </c>
      <c r="P15" s="274">
        <f t="shared" si="32"/>
        <v>54</v>
      </c>
      <c r="Q15" s="275">
        <f>5+4+3+4+2.5+2.5+2+3+2+2</f>
        <v>30</v>
      </c>
      <c r="R15" s="275"/>
      <c r="S15" s="275"/>
      <c r="T15" s="274">
        <f t="shared" si="3"/>
        <v>84</v>
      </c>
      <c r="U15" s="248">
        <f>+'REKAPAN OKEY AYAM'!AC12</f>
        <v>14208.12</v>
      </c>
      <c r="V15" s="268">
        <f t="shared" si="0"/>
        <v>3.8006435756454755E-3</v>
      </c>
      <c r="W15" s="252">
        <f t="shared" si="33"/>
        <v>2.1114686531363753E-3</v>
      </c>
      <c r="X15" s="254"/>
      <c r="Y15" s="247">
        <f t="shared" si="34"/>
        <v>46212</v>
      </c>
      <c r="Z15" s="278"/>
      <c r="AA15" s="278"/>
      <c r="AB15" s="278"/>
      <c r="AC15" s="278"/>
      <c r="AD15" s="278"/>
      <c r="AE15" s="278"/>
      <c r="AF15" s="278"/>
      <c r="AG15" s="278"/>
      <c r="AH15" s="278"/>
      <c r="AI15" s="278"/>
      <c r="AJ15" s="278"/>
      <c r="AK15" s="278"/>
      <c r="AL15" s="278"/>
      <c r="AM15" s="278"/>
      <c r="AN15" s="249">
        <f t="shared" si="35"/>
        <v>0</v>
      </c>
      <c r="AO15" s="250"/>
      <c r="AP15" s="250"/>
      <c r="AQ15" s="250"/>
      <c r="AR15" s="251">
        <f t="shared" si="5"/>
        <v>0</v>
      </c>
      <c r="AS15" s="248">
        <f>+'REKAPAN CHAMP AYAM'!AC12</f>
        <v>0</v>
      </c>
      <c r="AT15" s="268" t="e">
        <f t="shared" si="36"/>
        <v>#DIV/0!</v>
      </c>
      <c r="AU15" s="252" t="e">
        <f t="shared" si="37"/>
        <v>#DIV/0!</v>
      </c>
      <c r="AW15" s="247">
        <f t="shared" si="38"/>
        <v>46212</v>
      </c>
      <c r="AX15" s="273"/>
      <c r="AY15" s="273"/>
      <c r="AZ15" s="273"/>
      <c r="BA15" s="273"/>
      <c r="BB15" s="273"/>
      <c r="BC15" s="273"/>
      <c r="BD15" s="273"/>
      <c r="BE15" s="273"/>
      <c r="BF15" s="273"/>
      <c r="BG15" s="273"/>
      <c r="BH15" s="273"/>
      <c r="BI15" s="273"/>
      <c r="BJ15" s="273"/>
      <c r="BK15" s="273"/>
      <c r="BL15" s="274">
        <f t="shared" si="39"/>
        <v>0</v>
      </c>
      <c r="BM15" s="275"/>
      <c r="BN15" s="275"/>
      <c r="BO15" s="275"/>
      <c r="BP15" s="274">
        <f t="shared" si="6"/>
        <v>0</v>
      </c>
      <c r="BQ15" s="248">
        <f>+'REKAPAN CHAMP SAPI'!AC12</f>
        <v>0</v>
      </c>
      <c r="BR15" s="268" t="e">
        <f t="shared" si="40"/>
        <v>#DIV/0!</v>
      </c>
      <c r="BS15" s="252" t="e">
        <f t="shared" si="41"/>
        <v>#DIV/0!</v>
      </c>
      <c r="BU15" s="247">
        <f t="shared" si="42"/>
        <v>46212</v>
      </c>
      <c r="BV15" s="248"/>
      <c r="BW15" s="248"/>
      <c r="BX15" s="248"/>
      <c r="BY15" s="273"/>
      <c r="BZ15" s="273"/>
      <c r="CA15" s="273"/>
      <c r="CB15" s="273"/>
      <c r="CC15" s="273"/>
      <c r="CD15" s="248"/>
      <c r="CE15" s="248"/>
      <c r="CF15" s="248"/>
      <c r="CG15" s="248"/>
      <c r="CH15" s="248"/>
      <c r="CI15" s="248"/>
      <c r="CJ15" s="249">
        <f t="shared" si="7"/>
        <v>0</v>
      </c>
      <c r="CK15" s="250"/>
      <c r="CL15" s="250"/>
      <c r="CM15" s="250"/>
      <c r="CN15" s="251">
        <f t="shared" si="8"/>
        <v>0</v>
      </c>
      <c r="CO15" s="248">
        <f>+'REKAPAN CHAMP OTAK-OTAK'!AC12</f>
        <v>0</v>
      </c>
      <c r="CP15" s="268" t="e">
        <f t="shared" si="43"/>
        <v>#DIV/0!</v>
      </c>
      <c r="CQ15" s="252" t="e">
        <f t="shared" si="44"/>
        <v>#DIV/0!</v>
      </c>
      <c r="CS15" s="247">
        <f t="shared" si="45"/>
        <v>46212</v>
      </c>
      <c r="CT15" s="248"/>
      <c r="CU15" s="248"/>
      <c r="CV15" s="248"/>
      <c r="CW15" s="248"/>
      <c r="CX15" s="248"/>
      <c r="CY15" s="248"/>
      <c r="CZ15" s="248"/>
      <c r="DA15" s="248"/>
      <c r="DB15" s="248"/>
      <c r="DC15" s="248"/>
      <c r="DD15" s="248"/>
      <c r="DE15" s="248"/>
      <c r="DF15" s="248"/>
      <c r="DG15" s="248"/>
      <c r="DH15" s="249">
        <f t="shared" si="9"/>
        <v>0</v>
      </c>
      <c r="DI15" s="250"/>
      <c r="DJ15" s="250"/>
      <c r="DK15" s="250"/>
      <c r="DL15" s="251">
        <f t="shared" si="10"/>
        <v>0</v>
      </c>
      <c r="DM15" s="248">
        <f>+'REKAPAN CHAMP OTAK-OTAK'!AY12</f>
        <v>0</v>
      </c>
      <c r="DN15" s="268" t="e">
        <f t="shared" si="46"/>
        <v>#DIV/0!</v>
      </c>
      <c r="DO15" s="252" t="e">
        <f t="shared" si="47"/>
        <v>#DIV/0!</v>
      </c>
      <c r="DQ15" s="248">
        <f t="shared" si="11"/>
        <v>8</v>
      </c>
      <c r="DR15" s="248">
        <f t="shared" si="12"/>
        <v>0</v>
      </c>
      <c r="DS15" s="248">
        <f t="shared" si="13"/>
        <v>8</v>
      </c>
      <c r="DT15" s="248">
        <f t="shared" si="14"/>
        <v>8</v>
      </c>
      <c r="DU15" s="248">
        <f t="shared" si="15"/>
        <v>3.5</v>
      </c>
      <c r="DV15" s="248">
        <f t="shared" si="16"/>
        <v>6.5</v>
      </c>
      <c r="DW15" s="248">
        <f t="shared" si="17"/>
        <v>4.5</v>
      </c>
      <c r="DX15" s="248">
        <f t="shared" si="18"/>
        <v>0</v>
      </c>
      <c r="DY15" s="248">
        <f t="shared" si="19"/>
        <v>6</v>
      </c>
      <c r="DZ15" s="248">
        <f>+K15+AI15+BG15+CE15+DC15</f>
        <v>1.5</v>
      </c>
      <c r="EA15" s="248">
        <f>+L15+AJ15+BH15+CF15+DD15</f>
        <v>2</v>
      </c>
      <c r="EB15" s="248">
        <f t="shared" si="22"/>
        <v>2.5</v>
      </c>
      <c r="EC15" s="248">
        <f t="shared" si="23"/>
        <v>2</v>
      </c>
      <c r="ED15" s="248">
        <f t="shared" si="24"/>
        <v>1.5</v>
      </c>
      <c r="EE15" s="249">
        <f t="shared" si="25"/>
        <v>54</v>
      </c>
      <c r="EF15" s="248">
        <f t="shared" si="26"/>
        <v>30</v>
      </c>
      <c r="EG15" s="248">
        <f t="shared" si="27"/>
        <v>0</v>
      </c>
      <c r="EH15" s="248">
        <f t="shared" si="28"/>
        <v>0</v>
      </c>
      <c r="EI15" s="251">
        <f t="shared" si="29"/>
        <v>84</v>
      </c>
      <c r="EJ15" s="282">
        <f t="shared" si="30"/>
        <v>14208.12</v>
      </c>
      <c r="EK15" s="291">
        <f t="shared" si="48"/>
        <v>3.8006435756454755E-3</v>
      </c>
      <c r="EL15" s="291">
        <f t="shared" si="49"/>
        <v>2.1114686531363753E-3</v>
      </c>
    </row>
    <row r="16" spans="1:142">
      <c r="A16" s="247">
        <f t="shared" si="31"/>
        <v>46213</v>
      </c>
      <c r="B16" s="273">
        <f>1+2.5+1+1+1+0.5+0.5</f>
        <v>7.5</v>
      </c>
      <c r="C16" s="273"/>
      <c r="D16" s="273">
        <f>1+3+2.5+1+0.5+0.5+0.5</f>
        <v>9</v>
      </c>
      <c r="E16" s="273">
        <f>1+0.5+0.5+0.5+0.5</f>
        <v>3</v>
      </c>
      <c r="F16" s="273">
        <f>1+0.5</f>
        <v>1.5</v>
      </c>
      <c r="G16" s="273">
        <f>1+1.5+0.5+0.5+0.5+0.5+0.5</f>
        <v>5</v>
      </c>
      <c r="H16" s="273">
        <f>1+0.5+0.5+0.5+0.5</f>
        <v>3</v>
      </c>
      <c r="I16" s="273"/>
      <c r="J16" s="273">
        <f>1+1.5+1+0.5+0.5+0.5+0.5</f>
        <v>5.5</v>
      </c>
      <c r="K16" s="273">
        <f>1+0.5</f>
        <v>1.5</v>
      </c>
      <c r="L16" s="273">
        <v>0.5</v>
      </c>
      <c r="M16" s="273">
        <f>1+1+0.5</f>
        <v>2.5</v>
      </c>
      <c r="N16" s="273">
        <f>0.5+0.5</f>
        <v>1</v>
      </c>
      <c r="O16" s="273">
        <f>0.5+0.5+0.5+0.5</f>
        <v>2</v>
      </c>
      <c r="P16" s="274">
        <f t="shared" si="32"/>
        <v>42</v>
      </c>
      <c r="Q16" s="275">
        <f>5+5+5+4+3.5+2+2.5+2.5+2</f>
        <v>31.5</v>
      </c>
      <c r="R16" s="275"/>
      <c r="S16" s="275"/>
      <c r="T16" s="274">
        <f>SUM(P16:S16)</f>
        <v>73.5</v>
      </c>
      <c r="U16" s="248">
        <f>+'REKAPAN OKEY AYAM'!AC13</f>
        <v>14208.12</v>
      </c>
      <c r="V16" s="268">
        <f t="shared" si="0"/>
        <v>2.9560561143909254E-3</v>
      </c>
      <c r="W16" s="252">
        <f t="shared" si="33"/>
        <v>2.2170420857931944E-3</v>
      </c>
      <c r="X16" s="254"/>
      <c r="Y16" s="247">
        <f t="shared" si="34"/>
        <v>46213</v>
      </c>
      <c r="Z16" s="278"/>
      <c r="AA16" s="278"/>
      <c r="AB16" s="278"/>
      <c r="AC16" s="278"/>
      <c r="AD16" s="278"/>
      <c r="AE16" s="278"/>
      <c r="AF16" s="278"/>
      <c r="AG16" s="278"/>
      <c r="AH16" s="278"/>
      <c r="AI16" s="278"/>
      <c r="AJ16" s="278"/>
      <c r="AK16" s="278"/>
      <c r="AL16" s="278"/>
      <c r="AM16" s="278"/>
      <c r="AN16" s="249">
        <f t="shared" si="35"/>
        <v>0</v>
      </c>
      <c r="AO16" s="250"/>
      <c r="AP16" s="250"/>
      <c r="AQ16" s="250"/>
      <c r="AR16" s="251">
        <f t="shared" si="5"/>
        <v>0</v>
      </c>
      <c r="AS16" s="248">
        <f>+'REKAPAN CHAMP AYAM'!AC13</f>
        <v>0</v>
      </c>
      <c r="AT16" s="268" t="e">
        <f t="shared" si="36"/>
        <v>#DIV/0!</v>
      </c>
      <c r="AU16" s="252" t="e">
        <f t="shared" si="37"/>
        <v>#DIV/0!</v>
      </c>
      <c r="AW16" s="247">
        <f t="shared" si="38"/>
        <v>46213</v>
      </c>
      <c r="AX16" s="273"/>
      <c r="AY16" s="273"/>
      <c r="AZ16" s="273"/>
      <c r="BA16" s="273"/>
      <c r="BB16" s="273"/>
      <c r="BC16" s="273"/>
      <c r="BD16" s="273"/>
      <c r="BE16" s="273"/>
      <c r="BF16" s="273"/>
      <c r="BG16" s="273"/>
      <c r="BH16" s="273"/>
      <c r="BI16" s="273"/>
      <c r="BJ16" s="273"/>
      <c r="BK16" s="273"/>
      <c r="BL16" s="274">
        <f t="shared" si="39"/>
        <v>0</v>
      </c>
      <c r="BM16" s="275"/>
      <c r="BN16" s="275"/>
      <c r="BO16" s="275"/>
      <c r="BP16" s="274">
        <f t="shared" si="6"/>
        <v>0</v>
      </c>
      <c r="BQ16" s="248">
        <f>+'REKAPAN CHAMP SAPI'!AC13</f>
        <v>0</v>
      </c>
      <c r="BR16" s="268" t="e">
        <f t="shared" si="40"/>
        <v>#DIV/0!</v>
      </c>
      <c r="BS16" s="252" t="e">
        <f t="shared" si="41"/>
        <v>#DIV/0!</v>
      </c>
      <c r="BU16" s="247">
        <f t="shared" si="42"/>
        <v>46213</v>
      </c>
      <c r="BV16" s="248"/>
      <c r="BW16" s="248"/>
      <c r="BX16" s="248"/>
      <c r="BY16" s="248"/>
      <c r="BZ16" s="248"/>
      <c r="CA16" s="248"/>
      <c r="CB16" s="248"/>
      <c r="CC16" s="248"/>
      <c r="CD16" s="248"/>
      <c r="CE16" s="248"/>
      <c r="CF16" s="248"/>
      <c r="CG16" s="248"/>
      <c r="CH16" s="248"/>
      <c r="CI16" s="248"/>
      <c r="CJ16" s="249">
        <f t="shared" si="7"/>
        <v>0</v>
      </c>
      <c r="CK16" s="250"/>
      <c r="CL16" s="250"/>
      <c r="CM16" s="250"/>
      <c r="CN16" s="251">
        <f t="shared" si="8"/>
        <v>0</v>
      </c>
      <c r="CO16" s="248">
        <f>+'REKAPAN CHAMP OTAK-OTAK'!AC13</f>
        <v>0</v>
      </c>
      <c r="CP16" s="268" t="e">
        <f t="shared" si="43"/>
        <v>#DIV/0!</v>
      </c>
      <c r="CQ16" s="252" t="e">
        <f t="shared" si="44"/>
        <v>#DIV/0!</v>
      </c>
      <c r="CS16" s="247">
        <f t="shared" si="45"/>
        <v>46213</v>
      </c>
      <c r="CT16" s="248"/>
      <c r="CU16" s="248"/>
      <c r="CV16" s="248"/>
      <c r="CW16" s="248"/>
      <c r="CX16" s="248"/>
      <c r="CY16" s="248"/>
      <c r="CZ16" s="248"/>
      <c r="DA16" s="248"/>
      <c r="DB16" s="248"/>
      <c r="DC16" s="248"/>
      <c r="DD16" s="248"/>
      <c r="DE16" s="248"/>
      <c r="DF16" s="248"/>
      <c r="DG16" s="248"/>
      <c r="DH16" s="249">
        <f t="shared" si="9"/>
        <v>0</v>
      </c>
      <c r="DI16" s="250"/>
      <c r="DJ16" s="250"/>
      <c r="DK16" s="250"/>
      <c r="DL16" s="251">
        <f t="shared" si="10"/>
        <v>0</v>
      </c>
      <c r="DM16" s="248">
        <f>+'REKAPAN CHAMP OTAK-OTAK'!AY13</f>
        <v>0</v>
      </c>
      <c r="DN16" s="268" t="e">
        <f t="shared" si="46"/>
        <v>#DIV/0!</v>
      </c>
      <c r="DO16" s="252" t="e">
        <f t="shared" si="47"/>
        <v>#DIV/0!</v>
      </c>
      <c r="DQ16" s="248">
        <f t="shared" si="11"/>
        <v>7.5</v>
      </c>
      <c r="DR16" s="248">
        <f t="shared" si="12"/>
        <v>0</v>
      </c>
      <c r="DS16" s="248">
        <f t="shared" si="13"/>
        <v>9</v>
      </c>
      <c r="DT16" s="248">
        <f t="shared" si="14"/>
        <v>3</v>
      </c>
      <c r="DU16" s="248">
        <f t="shared" si="15"/>
        <v>1.5</v>
      </c>
      <c r="DV16" s="248">
        <f t="shared" si="16"/>
        <v>5</v>
      </c>
      <c r="DW16" s="248">
        <f t="shared" si="17"/>
        <v>3</v>
      </c>
      <c r="DX16" s="248">
        <f t="shared" si="18"/>
        <v>0</v>
      </c>
      <c r="DY16" s="248">
        <f t="shared" si="19"/>
        <v>5.5</v>
      </c>
      <c r="DZ16" s="248">
        <f t="shared" si="20"/>
        <v>1.5</v>
      </c>
      <c r="EA16" s="248">
        <f t="shared" si="21"/>
        <v>0.5</v>
      </c>
      <c r="EB16" s="248">
        <f t="shared" si="22"/>
        <v>2.5</v>
      </c>
      <c r="EC16" s="248">
        <f t="shared" si="23"/>
        <v>1</v>
      </c>
      <c r="ED16" s="248">
        <f t="shared" si="24"/>
        <v>2</v>
      </c>
      <c r="EE16" s="249">
        <f t="shared" si="25"/>
        <v>42</v>
      </c>
      <c r="EF16" s="248">
        <f t="shared" si="26"/>
        <v>31.5</v>
      </c>
      <c r="EG16" s="248">
        <f t="shared" si="27"/>
        <v>0</v>
      </c>
      <c r="EH16" s="248">
        <f t="shared" si="28"/>
        <v>0</v>
      </c>
      <c r="EI16" s="251">
        <f t="shared" si="29"/>
        <v>73.5</v>
      </c>
      <c r="EJ16" s="282">
        <f t="shared" si="30"/>
        <v>14208.12</v>
      </c>
      <c r="EK16" s="291">
        <f t="shared" si="48"/>
        <v>2.9560561143909254E-3</v>
      </c>
      <c r="EL16" s="291">
        <f t="shared" si="49"/>
        <v>2.2170420857931944E-3</v>
      </c>
    </row>
    <row r="17" spans="1:142">
      <c r="A17" s="247">
        <f t="shared" si="31"/>
        <v>46214</v>
      </c>
      <c r="B17" s="273"/>
      <c r="C17" s="273"/>
      <c r="D17" s="273"/>
      <c r="E17" s="273"/>
      <c r="F17" s="273"/>
      <c r="G17" s="273"/>
      <c r="H17" s="273"/>
      <c r="I17" s="273"/>
      <c r="J17" s="273"/>
      <c r="K17" s="273"/>
      <c r="L17" s="273"/>
      <c r="M17" s="273"/>
      <c r="N17" s="273"/>
      <c r="O17" s="273"/>
      <c r="P17" s="274">
        <f t="shared" si="32"/>
        <v>0</v>
      </c>
      <c r="Q17" s="275"/>
      <c r="R17" s="275"/>
      <c r="S17" s="275"/>
      <c r="T17" s="274">
        <f t="shared" si="3"/>
        <v>0</v>
      </c>
      <c r="U17" s="248">
        <f>+'REKAPAN OKEY AYAM'!AC14</f>
        <v>0</v>
      </c>
      <c r="V17" s="268" t="e">
        <f t="shared" si="0"/>
        <v>#DIV/0!</v>
      </c>
      <c r="W17" s="252" t="e">
        <f t="shared" si="33"/>
        <v>#DIV/0!</v>
      </c>
      <c r="X17" s="254"/>
      <c r="Y17" s="247">
        <f t="shared" si="34"/>
        <v>46214</v>
      </c>
      <c r="Z17" s="278"/>
      <c r="AA17" s="278"/>
      <c r="AB17" s="278"/>
      <c r="AC17" s="278"/>
      <c r="AD17" s="278"/>
      <c r="AE17" s="278"/>
      <c r="AF17" s="278"/>
      <c r="AG17" s="278"/>
      <c r="AH17" s="278"/>
      <c r="AI17" s="278"/>
      <c r="AJ17" s="278"/>
      <c r="AK17" s="278"/>
      <c r="AL17" s="278"/>
      <c r="AM17" s="278"/>
      <c r="AN17" s="249">
        <f t="shared" si="35"/>
        <v>0</v>
      </c>
      <c r="AO17" s="250"/>
      <c r="AP17" s="250"/>
      <c r="AQ17" s="250"/>
      <c r="AR17" s="251">
        <f t="shared" si="5"/>
        <v>0</v>
      </c>
      <c r="AS17" s="248">
        <f>+'REKAPAN CHAMP AYAM'!AC14</f>
        <v>0</v>
      </c>
      <c r="AT17" s="268" t="e">
        <f t="shared" si="36"/>
        <v>#DIV/0!</v>
      </c>
      <c r="AU17" s="252" t="e">
        <f t="shared" si="37"/>
        <v>#DIV/0!</v>
      </c>
      <c r="AW17" s="247">
        <f t="shared" si="38"/>
        <v>46214</v>
      </c>
      <c r="AX17" s="273"/>
      <c r="AY17" s="273"/>
      <c r="AZ17" s="273"/>
      <c r="BA17" s="273"/>
      <c r="BB17" s="273"/>
      <c r="BC17" s="273"/>
      <c r="BD17" s="273"/>
      <c r="BE17" s="273"/>
      <c r="BF17" s="273"/>
      <c r="BG17" s="273"/>
      <c r="BH17" s="273"/>
      <c r="BI17" s="273"/>
      <c r="BJ17" s="273"/>
      <c r="BK17" s="273"/>
      <c r="BL17" s="274">
        <f t="shared" si="39"/>
        <v>0</v>
      </c>
      <c r="BM17" s="275"/>
      <c r="BN17" s="275"/>
      <c r="BO17" s="275"/>
      <c r="BP17" s="274">
        <f t="shared" si="6"/>
        <v>0</v>
      </c>
      <c r="BQ17" s="248">
        <f>+'REKAPAN CHAMP SAPI'!AC14</f>
        <v>0</v>
      </c>
      <c r="BR17" s="268" t="e">
        <f t="shared" si="40"/>
        <v>#DIV/0!</v>
      </c>
      <c r="BS17" s="252" t="e">
        <f t="shared" si="41"/>
        <v>#DIV/0!</v>
      </c>
      <c r="BU17" s="247">
        <f t="shared" si="42"/>
        <v>46214</v>
      </c>
      <c r="BV17" s="248"/>
      <c r="BW17" s="248"/>
      <c r="BX17" s="248"/>
      <c r="BY17" s="248"/>
      <c r="BZ17" s="248"/>
      <c r="CA17" s="248"/>
      <c r="CB17" s="248"/>
      <c r="CC17" s="248"/>
      <c r="CD17" s="248"/>
      <c r="CE17" s="248"/>
      <c r="CF17" s="248"/>
      <c r="CG17" s="248"/>
      <c r="CH17" s="248"/>
      <c r="CI17" s="248"/>
      <c r="CJ17" s="249">
        <f t="shared" ref="CJ17:CJ33" si="50">SUM(BV17:CI17)</f>
        <v>0</v>
      </c>
      <c r="CK17" s="250"/>
      <c r="CL17" s="250"/>
      <c r="CM17" s="250"/>
      <c r="CN17" s="251">
        <f t="shared" si="8"/>
        <v>0</v>
      </c>
      <c r="CO17" s="248">
        <f>+'REKAPAN CHAMP OTAK-OTAK'!AC14</f>
        <v>0</v>
      </c>
      <c r="CP17" s="268" t="e">
        <f t="shared" si="43"/>
        <v>#DIV/0!</v>
      </c>
      <c r="CQ17" s="252" t="e">
        <f t="shared" si="44"/>
        <v>#DIV/0!</v>
      </c>
      <c r="CS17" s="247">
        <f t="shared" si="45"/>
        <v>46214</v>
      </c>
      <c r="CT17" s="248"/>
      <c r="CU17" s="248"/>
      <c r="CV17" s="248"/>
      <c r="CW17" s="248"/>
      <c r="CX17" s="248"/>
      <c r="CY17" s="248"/>
      <c r="CZ17" s="248"/>
      <c r="DA17" s="248"/>
      <c r="DB17" s="248"/>
      <c r="DC17" s="248"/>
      <c r="DD17" s="248"/>
      <c r="DE17" s="248"/>
      <c r="DF17" s="248"/>
      <c r="DG17" s="248"/>
      <c r="DH17" s="249">
        <f t="shared" si="9"/>
        <v>0</v>
      </c>
      <c r="DI17" s="250"/>
      <c r="DJ17" s="250"/>
      <c r="DK17" s="250"/>
      <c r="DL17" s="251">
        <f t="shared" si="10"/>
        <v>0</v>
      </c>
      <c r="DM17" s="248">
        <f>+'REKAPAN CHAMP OTAK-OTAK'!AY14</f>
        <v>0</v>
      </c>
      <c r="DN17" s="268" t="e">
        <f t="shared" si="46"/>
        <v>#DIV/0!</v>
      </c>
      <c r="DO17" s="252" t="e">
        <f t="shared" si="47"/>
        <v>#DIV/0!</v>
      </c>
      <c r="DQ17" s="248">
        <f t="shared" si="11"/>
        <v>0</v>
      </c>
      <c r="DR17" s="248">
        <f t="shared" si="12"/>
        <v>0</v>
      </c>
      <c r="DS17" s="248">
        <f t="shared" si="13"/>
        <v>0</v>
      </c>
      <c r="DT17" s="248">
        <f t="shared" si="14"/>
        <v>0</v>
      </c>
      <c r="DU17" s="248">
        <f t="shared" si="15"/>
        <v>0</v>
      </c>
      <c r="DV17" s="248">
        <f t="shared" si="16"/>
        <v>0</v>
      </c>
      <c r="DW17" s="248">
        <f t="shared" si="17"/>
        <v>0</v>
      </c>
      <c r="DX17" s="248">
        <f t="shared" si="18"/>
        <v>0</v>
      </c>
      <c r="DY17" s="248">
        <f t="shared" si="19"/>
        <v>0</v>
      </c>
      <c r="DZ17" s="248">
        <f t="shared" si="20"/>
        <v>0</v>
      </c>
      <c r="EA17" s="248">
        <f t="shared" si="21"/>
        <v>0</v>
      </c>
      <c r="EB17" s="248">
        <f>+M17+AK17+BI17+CG17+DE17</f>
        <v>0</v>
      </c>
      <c r="EC17" s="248">
        <f>+N17+AL17+BJ17+CH17+DF17</f>
        <v>0</v>
      </c>
      <c r="ED17" s="248">
        <f t="shared" si="24"/>
        <v>0</v>
      </c>
      <c r="EE17" s="249">
        <f t="shared" si="25"/>
        <v>0</v>
      </c>
      <c r="EF17" s="248">
        <f t="shared" si="26"/>
        <v>0</v>
      </c>
      <c r="EG17" s="248">
        <f t="shared" si="27"/>
        <v>0</v>
      </c>
      <c r="EH17" s="248">
        <f t="shared" si="28"/>
        <v>0</v>
      </c>
      <c r="EI17" s="251">
        <f t="shared" si="29"/>
        <v>0</v>
      </c>
      <c r="EJ17" s="282">
        <f t="shared" si="30"/>
        <v>0</v>
      </c>
      <c r="EK17" s="291" t="e">
        <f t="shared" si="48"/>
        <v>#DIV/0!</v>
      </c>
      <c r="EL17" s="291" t="e">
        <f t="shared" si="49"/>
        <v>#DIV/0!</v>
      </c>
    </row>
    <row r="18" spans="1:142">
      <c r="A18" s="247">
        <f t="shared" si="31"/>
        <v>46215</v>
      </c>
      <c r="B18" s="273"/>
      <c r="C18" s="273"/>
      <c r="D18" s="273"/>
      <c r="E18" s="273"/>
      <c r="F18" s="273"/>
      <c r="G18" s="273"/>
      <c r="H18" s="273"/>
      <c r="I18" s="273"/>
      <c r="J18" s="273"/>
      <c r="K18" s="273"/>
      <c r="L18" s="273"/>
      <c r="M18" s="273"/>
      <c r="N18" s="273"/>
      <c r="O18" s="273"/>
      <c r="P18" s="274">
        <f t="shared" si="32"/>
        <v>0</v>
      </c>
      <c r="Q18" s="275"/>
      <c r="R18" s="275"/>
      <c r="S18" s="275"/>
      <c r="T18" s="274">
        <f t="shared" si="3"/>
        <v>0</v>
      </c>
      <c r="U18" s="248">
        <f>+'REKAPAN OKEY AYAM'!AC15</f>
        <v>0</v>
      </c>
      <c r="V18" s="268" t="e">
        <f t="shared" si="0"/>
        <v>#DIV/0!</v>
      </c>
      <c r="W18" s="252" t="e">
        <f t="shared" si="33"/>
        <v>#DIV/0!</v>
      </c>
      <c r="X18" s="254"/>
      <c r="Y18" s="247">
        <f t="shared" si="34"/>
        <v>46215</v>
      </c>
      <c r="Z18" s="278"/>
      <c r="AA18" s="278"/>
      <c r="AB18" s="278"/>
      <c r="AC18" s="278"/>
      <c r="AD18" s="278"/>
      <c r="AE18" s="278"/>
      <c r="AF18" s="278"/>
      <c r="AG18" s="278"/>
      <c r="AH18" s="278"/>
      <c r="AI18" s="278"/>
      <c r="AJ18" s="278"/>
      <c r="AK18" s="278"/>
      <c r="AL18" s="278"/>
      <c r="AM18" s="278"/>
      <c r="AN18" s="249">
        <f t="shared" si="35"/>
        <v>0</v>
      </c>
      <c r="AO18" s="250"/>
      <c r="AP18" s="250"/>
      <c r="AQ18" s="250"/>
      <c r="AR18" s="251">
        <f t="shared" si="5"/>
        <v>0</v>
      </c>
      <c r="AS18" s="248">
        <f>+'REKAPAN CHAMP AYAM'!AC15</f>
        <v>0</v>
      </c>
      <c r="AT18" s="268" t="e">
        <f t="shared" si="36"/>
        <v>#DIV/0!</v>
      </c>
      <c r="AU18" s="252" t="e">
        <f t="shared" si="37"/>
        <v>#DIV/0!</v>
      </c>
      <c r="AW18" s="247">
        <f t="shared" si="38"/>
        <v>46215</v>
      </c>
      <c r="AX18" s="273"/>
      <c r="AY18" s="273"/>
      <c r="AZ18" s="273"/>
      <c r="BA18" s="273"/>
      <c r="BB18" s="273"/>
      <c r="BC18" s="273"/>
      <c r="BD18" s="273"/>
      <c r="BE18" s="273"/>
      <c r="BF18" s="273"/>
      <c r="BG18" s="273"/>
      <c r="BH18" s="273"/>
      <c r="BI18" s="273"/>
      <c r="BJ18" s="273"/>
      <c r="BK18" s="273"/>
      <c r="BL18" s="274">
        <f t="shared" si="39"/>
        <v>0</v>
      </c>
      <c r="BM18" s="275"/>
      <c r="BN18" s="275"/>
      <c r="BO18" s="275"/>
      <c r="BP18" s="274">
        <f t="shared" si="6"/>
        <v>0</v>
      </c>
      <c r="BQ18" s="248">
        <f>+'REKAPAN CHAMP SAPI'!AC15</f>
        <v>0</v>
      </c>
      <c r="BR18" s="268" t="e">
        <f t="shared" si="40"/>
        <v>#DIV/0!</v>
      </c>
      <c r="BS18" s="252" t="e">
        <f t="shared" si="41"/>
        <v>#DIV/0!</v>
      </c>
      <c r="BU18" s="247">
        <f t="shared" si="42"/>
        <v>46215</v>
      </c>
      <c r="BV18" s="248"/>
      <c r="BW18" s="248"/>
      <c r="BX18" s="248"/>
      <c r="BY18" s="248"/>
      <c r="BZ18" s="248"/>
      <c r="CA18" s="248"/>
      <c r="CB18" s="248"/>
      <c r="CC18" s="248"/>
      <c r="CD18" s="248"/>
      <c r="CE18" s="248"/>
      <c r="CF18" s="248"/>
      <c r="CG18" s="248"/>
      <c r="CH18" s="248"/>
      <c r="CI18" s="248"/>
      <c r="CJ18" s="249">
        <f t="shared" si="50"/>
        <v>0</v>
      </c>
      <c r="CK18" s="250"/>
      <c r="CL18" s="250"/>
      <c r="CM18" s="250"/>
      <c r="CN18" s="251">
        <f t="shared" si="8"/>
        <v>0</v>
      </c>
      <c r="CO18" s="248">
        <f>+'REKAPAN CHAMP OTAK-OTAK'!AC15</f>
        <v>0</v>
      </c>
      <c r="CP18" s="268" t="e">
        <f t="shared" si="43"/>
        <v>#DIV/0!</v>
      </c>
      <c r="CQ18" s="252" t="e">
        <f t="shared" si="44"/>
        <v>#DIV/0!</v>
      </c>
      <c r="CS18" s="247">
        <f t="shared" si="45"/>
        <v>46215</v>
      </c>
      <c r="CT18" s="248"/>
      <c r="CU18" s="248"/>
      <c r="CV18" s="248"/>
      <c r="CW18" s="248"/>
      <c r="CX18" s="248"/>
      <c r="CY18" s="248"/>
      <c r="CZ18" s="248"/>
      <c r="DA18" s="248"/>
      <c r="DB18" s="248"/>
      <c r="DC18" s="248"/>
      <c r="DD18" s="248"/>
      <c r="DE18" s="248"/>
      <c r="DF18" s="248"/>
      <c r="DG18" s="248"/>
      <c r="DH18" s="249">
        <f t="shared" si="9"/>
        <v>0</v>
      </c>
      <c r="DI18" s="250"/>
      <c r="DJ18" s="250"/>
      <c r="DK18" s="250"/>
      <c r="DL18" s="251">
        <f t="shared" si="10"/>
        <v>0</v>
      </c>
      <c r="DM18" s="248">
        <f>+'REKAPAN CHAMP OTAK-OTAK'!AY15</f>
        <v>0</v>
      </c>
      <c r="DN18" s="268" t="e">
        <f t="shared" si="46"/>
        <v>#DIV/0!</v>
      </c>
      <c r="DO18" s="252" t="e">
        <f t="shared" si="47"/>
        <v>#DIV/0!</v>
      </c>
      <c r="DQ18" s="248">
        <f t="shared" si="11"/>
        <v>0</v>
      </c>
      <c r="DR18" s="248">
        <f t="shared" si="12"/>
        <v>0</v>
      </c>
      <c r="DS18" s="248">
        <f t="shared" si="13"/>
        <v>0</v>
      </c>
      <c r="DT18" s="248">
        <f t="shared" si="14"/>
        <v>0</v>
      </c>
      <c r="DU18" s="248">
        <f t="shared" si="15"/>
        <v>0</v>
      </c>
      <c r="DV18" s="248">
        <f t="shared" si="16"/>
        <v>0</v>
      </c>
      <c r="DW18" s="248">
        <f t="shared" si="17"/>
        <v>0</v>
      </c>
      <c r="DX18" s="248">
        <f t="shared" si="18"/>
        <v>0</v>
      </c>
      <c r="DY18" s="248">
        <f t="shared" si="19"/>
        <v>0</v>
      </c>
      <c r="DZ18" s="248">
        <f t="shared" si="20"/>
        <v>0</v>
      </c>
      <c r="EA18" s="248">
        <f t="shared" si="21"/>
        <v>0</v>
      </c>
      <c r="EB18" s="248">
        <f t="shared" si="22"/>
        <v>0</v>
      </c>
      <c r="EC18" s="248">
        <f t="shared" si="23"/>
        <v>0</v>
      </c>
      <c r="ED18" s="248">
        <f t="shared" si="24"/>
        <v>0</v>
      </c>
      <c r="EE18" s="249">
        <f t="shared" si="25"/>
        <v>0</v>
      </c>
      <c r="EF18" s="248">
        <f t="shared" si="26"/>
        <v>0</v>
      </c>
      <c r="EG18" s="248">
        <f t="shared" si="27"/>
        <v>0</v>
      </c>
      <c r="EH18" s="248">
        <f t="shared" si="28"/>
        <v>0</v>
      </c>
      <c r="EI18" s="251">
        <f t="shared" si="29"/>
        <v>0</v>
      </c>
      <c r="EJ18" s="282">
        <f t="shared" si="30"/>
        <v>0</v>
      </c>
      <c r="EK18" s="291" t="e">
        <f t="shared" si="48"/>
        <v>#DIV/0!</v>
      </c>
      <c r="EL18" s="291" t="e">
        <f t="shared" si="49"/>
        <v>#DIV/0!</v>
      </c>
    </row>
    <row r="19" spans="1:142">
      <c r="A19" s="247">
        <f t="shared" si="31"/>
        <v>46216</v>
      </c>
      <c r="B19" s="273"/>
      <c r="C19" s="273"/>
      <c r="D19" s="273"/>
      <c r="E19" s="273"/>
      <c r="F19" s="273"/>
      <c r="G19" s="273"/>
      <c r="H19" s="273"/>
      <c r="I19" s="273"/>
      <c r="J19" s="273"/>
      <c r="K19" s="273"/>
      <c r="L19" s="273"/>
      <c r="M19" s="273"/>
      <c r="N19" s="273"/>
      <c r="O19" s="273"/>
      <c r="P19" s="274">
        <f t="shared" si="32"/>
        <v>0</v>
      </c>
      <c r="Q19" s="275"/>
      <c r="R19" s="275"/>
      <c r="S19" s="275"/>
      <c r="T19" s="274">
        <f t="shared" si="3"/>
        <v>0</v>
      </c>
      <c r="U19" s="248">
        <f>+'REKAPAN OKEY AYAM'!AC16</f>
        <v>0</v>
      </c>
      <c r="V19" s="268" t="e">
        <f t="shared" si="0"/>
        <v>#DIV/0!</v>
      </c>
      <c r="W19" s="252" t="e">
        <f t="shared" si="33"/>
        <v>#DIV/0!</v>
      </c>
      <c r="X19" s="254"/>
      <c r="Y19" s="247">
        <f t="shared" si="34"/>
        <v>46216</v>
      </c>
      <c r="Z19" s="278">
        <v>0.5</v>
      </c>
      <c r="AA19" s="278"/>
      <c r="AB19" s="278">
        <v>0.5</v>
      </c>
      <c r="AC19" s="278"/>
      <c r="AD19" s="278"/>
      <c r="AE19" s="278"/>
      <c r="AF19" s="278">
        <v>0.5</v>
      </c>
      <c r="AG19" s="278"/>
      <c r="AH19" s="278">
        <v>0.5</v>
      </c>
      <c r="AI19" s="278"/>
      <c r="AJ19" s="278">
        <v>0.5</v>
      </c>
      <c r="AK19" s="278"/>
      <c r="AL19" s="278"/>
      <c r="AM19" s="278"/>
      <c r="AN19" s="249">
        <f t="shared" si="35"/>
        <v>2.5</v>
      </c>
      <c r="AO19" s="250">
        <v>2.5</v>
      </c>
      <c r="AP19" s="250"/>
      <c r="AQ19" s="250"/>
      <c r="AR19" s="251">
        <f t="shared" si="5"/>
        <v>5</v>
      </c>
      <c r="AS19" s="248">
        <f>+'REKAPAN CHAMP AYAM'!AC16</f>
        <v>1688.72</v>
      </c>
      <c r="AT19" s="268">
        <f t="shared" si="36"/>
        <v>1.4804111990146384E-3</v>
      </c>
      <c r="AU19" s="252">
        <f t="shared" si="37"/>
        <v>1.4804111990146384E-3</v>
      </c>
      <c r="AW19" s="247">
        <f t="shared" si="38"/>
        <v>46216</v>
      </c>
      <c r="AX19" s="273"/>
      <c r="AY19" s="273"/>
      <c r="AZ19" s="273"/>
      <c r="BA19" s="273"/>
      <c r="BB19" s="273"/>
      <c r="BC19" s="273"/>
      <c r="BD19" s="273"/>
      <c r="BE19" s="273"/>
      <c r="BF19" s="273"/>
      <c r="BG19" s="273"/>
      <c r="BH19" s="273"/>
      <c r="BI19" s="273"/>
      <c r="BJ19" s="273"/>
      <c r="BK19" s="273"/>
      <c r="BL19" s="274">
        <f t="shared" si="39"/>
        <v>0</v>
      </c>
      <c r="BM19" s="275"/>
      <c r="BN19" s="275"/>
      <c r="BO19" s="275"/>
      <c r="BP19" s="274">
        <f t="shared" si="6"/>
        <v>0</v>
      </c>
      <c r="BQ19" s="248">
        <f>+'REKAPAN CHAMP SAPI'!AC16</f>
        <v>0</v>
      </c>
      <c r="BR19" s="268" t="e">
        <f t="shared" si="40"/>
        <v>#DIV/0!</v>
      </c>
      <c r="BS19" s="252" t="e">
        <f t="shared" si="41"/>
        <v>#DIV/0!</v>
      </c>
      <c r="BU19" s="247">
        <f t="shared" si="42"/>
        <v>46216</v>
      </c>
      <c r="BV19" s="248"/>
      <c r="BW19" s="248"/>
      <c r="BX19" s="248"/>
      <c r="BY19" s="248"/>
      <c r="BZ19" s="248"/>
      <c r="CA19" s="248"/>
      <c r="CB19" s="248"/>
      <c r="CC19" s="248"/>
      <c r="CD19" s="248"/>
      <c r="CE19" s="248"/>
      <c r="CF19" s="248"/>
      <c r="CG19" s="248"/>
      <c r="CH19" s="248"/>
      <c r="CI19" s="248"/>
      <c r="CJ19" s="249">
        <f t="shared" si="50"/>
        <v>0</v>
      </c>
      <c r="CK19" s="250"/>
      <c r="CL19" s="250"/>
      <c r="CM19" s="250"/>
      <c r="CN19" s="251">
        <f t="shared" si="8"/>
        <v>0</v>
      </c>
      <c r="CO19" s="248">
        <f>+'REKAPAN CHAMP OTAK-OTAK'!AC16</f>
        <v>0</v>
      </c>
      <c r="CP19" s="268" t="e">
        <f t="shared" si="43"/>
        <v>#DIV/0!</v>
      </c>
      <c r="CQ19" s="252" t="e">
        <f t="shared" si="44"/>
        <v>#DIV/0!</v>
      </c>
      <c r="CS19" s="247">
        <f t="shared" si="45"/>
        <v>46216</v>
      </c>
      <c r="CT19" s="248"/>
      <c r="CU19" s="248"/>
      <c r="CV19" s="248"/>
      <c r="CW19" s="248"/>
      <c r="CX19" s="248"/>
      <c r="CY19" s="248"/>
      <c r="CZ19" s="248"/>
      <c r="DA19" s="248"/>
      <c r="DB19" s="248"/>
      <c r="DC19" s="248"/>
      <c r="DD19" s="248"/>
      <c r="DE19" s="248"/>
      <c r="DF19" s="248"/>
      <c r="DG19" s="248"/>
      <c r="DH19" s="249">
        <f t="shared" si="9"/>
        <v>0</v>
      </c>
      <c r="DI19" s="250"/>
      <c r="DJ19" s="250"/>
      <c r="DK19" s="250"/>
      <c r="DL19" s="251">
        <f t="shared" si="10"/>
        <v>0</v>
      </c>
      <c r="DM19" s="248">
        <f>+'REKAPAN CHAMP OTAK-OTAK'!AY16</f>
        <v>0</v>
      </c>
      <c r="DN19" s="268" t="e">
        <f t="shared" si="46"/>
        <v>#DIV/0!</v>
      </c>
      <c r="DO19" s="252" t="e">
        <f t="shared" si="47"/>
        <v>#DIV/0!</v>
      </c>
      <c r="DQ19" s="248">
        <f t="shared" si="11"/>
        <v>0.5</v>
      </c>
      <c r="DR19" s="248">
        <f t="shared" si="12"/>
        <v>0</v>
      </c>
      <c r="DS19" s="248">
        <f t="shared" si="13"/>
        <v>0.5</v>
      </c>
      <c r="DT19" s="248">
        <f t="shared" si="14"/>
        <v>0</v>
      </c>
      <c r="DU19" s="248">
        <f t="shared" si="15"/>
        <v>0</v>
      </c>
      <c r="DV19" s="248">
        <f t="shared" si="16"/>
        <v>0</v>
      </c>
      <c r="DW19" s="248">
        <f t="shared" si="17"/>
        <v>0.5</v>
      </c>
      <c r="DX19" s="248">
        <f t="shared" si="18"/>
        <v>0</v>
      </c>
      <c r="DY19" s="248">
        <f t="shared" si="19"/>
        <v>0.5</v>
      </c>
      <c r="DZ19" s="248">
        <f t="shared" si="20"/>
        <v>0</v>
      </c>
      <c r="EA19" s="248">
        <f t="shared" si="21"/>
        <v>0.5</v>
      </c>
      <c r="EB19" s="248">
        <f t="shared" si="22"/>
        <v>0</v>
      </c>
      <c r="EC19" s="248">
        <f t="shared" si="23"/>
        <v>0</v>
      </c>
      <c r="ED19" s="248">
        <f t="shared" si="24"/>
        <v>0</v>
      </c>
      <c r="EE19" s="249">
        <f t="shared" si="25"/>
        <v>2.5</v>
      </c>
      <c r="EF19" s="248">
        <f t="shared" si="26"/>
        <v>2.5</v>
      </c>
      <c r="EG19" s="248">
        <f t="shared" si="27"/>
        <v>0</v>
      </c>
      <c r="EH19" s="248">
        <f t="shared" si="28"/>
        <v>0</v>
      </c>
      <c r="EI19" s="251">
        <f t="shared" si="29"/>
        <v>5</v>
      </c>
      <c r="EJ19" s="282">
        <f t="shared" si="30"/>
        <v>1688.72</v>
      </c>
      <c r="EK19" s="291">
        <f t="shared" si="48"/>
        <v>1.4804111990146384E-3</v>
      </c>
      <c r="EL19" s="291">
        <f t="shared" si="49"/>
        <v>1.4804111990146384E-3</v>
      </c>
    </row>
    <row r="20" spans="1:142">
      <c r="A20" s="247">
        <f t="shared" si="31"/>
        <v>46217</v>
      </c>
      <c r="B20" s="273"/>
      <c r="C20" s="273"/>
      <c r="D20" s="273"/>
      <c r="E20" s="273"/>
      <c r="F20" s="273"/>
      <c r="G20" s="273"/>
      <c r="H20" s="273"/>
      <c r="I20" s="273"/>
      <c r="J20" s="273"/>
      <c r="K20" s="273"/>
      <c r="L20" s="273"/>
      <c r="M20" s="273"/>
      <c r="N20" s="273"/>
      <c r="O20" s="273"/>
      <c r="P20" s="274">
        <f t="shared" si="32"/>
        <v>0</v>
      </c>
      <c r="Q20" s="275"/>
      <c r="R20" s="275"/>
      <c r="S20" s="275"/>
      <c r="T20" s="274">
        <f t="shared" si="3"/>
        <v>0</v>
      </c>
      <c r="U20" s="248">
        <f>+'REKAPAN OKEY AYAM'!AC17</f>
        <v>0</v>
      </c>
      <c r="V20" s="268" t="e">
        <f t="shared" si="0"/>
        <v>#DIV/0!</v>
      </c>
      <c r="W20" s="252" t="e">
        <f t="shared" si="33"/>
        <v>#DIV/0!</v>
      </c>
      <c r="X20" s="254"/>
      <c r="Y20" s="247">
        <f t="shared" si="34"/>
        <v>46217</v>
      </c>
      <c r="Z20" s="278">
        <f>2+2.5+5+5+1</f>
        <v>15.5</v>
      </c>
      <c r="AA20" s="278"/>
      <c r="AB20" s="278">
        <f>1+0.5+1+1+1.5+2.5+1+2</f>
        <v>10.5</v>
      </c>
      <c r="AC20" s="278">
        <v>1</v>
      </c>
      <c r="AD20" s="278">
        <f>0.5+1+1.5+1+1</f>
        <v>5</v>
      </c>
      <c r="AE20" s="278">
        <f>0.5+1+1+1</f>
        <v>3.5</v>
      </c>
      <c r="AF20" s="278">
        <f>1+0.5+1+1+1+1+1</f>
        <v>6.5</v>
      </c>
      <c r="AG20" s="278"/>
      <c r="AH20" s="278">
        <f>1+0.5+1+1.5+1</f>
        <v>5</v>
      </c>
      <c r="AI20" s="278">
        <f>1+2.5+1+1</f>
        <v>5.5</v>
      </c>
      <c r="AJ20" s="278">
        <f>1+0.5+1+1+1.5+1+1</f>
        <v>7</v>
      </c>
      <c r="AK20" s="278">
        <f>1+1+1+1</f>
        <v>4</v>
      </c>
      <c r="AL20" s="278">
        <f>0.5+1+1+1</f>
        <v>3.5</v>
      </c>
      <c r="AM20" s="278">
        <f>2.5+1+1</f>
        <v>4.5</v>
      </c>
      <c r="AN20" s="249">
        <f t="shared" si="35"/>
        <v>71.5</v>
      </c>
      <c r="AO20" s="250">
        <f>4+2.5+3+5+5+6+10+10+4.5</f>
        <v>50</v>
      </c>
      <c r="AP20" s="250"/>
      <c r="AQ20" s="250"/>
      <c r="AR20" s="251">
        <f t="shared" si="5"/>
        <v>121.5</v>
      </c>
      <c r="AS20" s="248">
        <f>+'REKAPAN CHAMP AYAM'!AC17</f>
        <v>15198.48</v>
      </c>
      <c r="AT20" s="268">
        <f t="shared" si="36"/>
        <v>4.7044178102020728E-3</v>
      </c>
      <c r="AU20" s="252">
        <f t="shared" si="37"/>
        <v>3.289802664476974E-3</v>
      </c>
      <c r="AW20" s="247">
        <f t="shared" si="38"/>
        <v>46217</v>
      </c>
      <c r="AX20" s="273"/>
      <c r="AY20" s="273"/>
      <c r="AZ20" s="273"/>
      <c r="BA20" s="273"/>
      <c r="BB20" s="273"/>
      <c r="BC20" s="273"/>
      <c r="BD20" s="273"/>
      <c r="BE20" s="273"/>
      <c r="BF20" s="273"/>
      <c r="BG20" s="273"/>
      <c r="BH20" s="273"/>
      <c r="BI20" s="273"/>
      <c r="BJ20" s="273"/>
      <c r="BK20" s="273"/>
      <c r="BL20" s="274">
        <f t="shared" si="39"/>
        <v>0</v>
      </c>
      <c r="BM20" s="275"/>
      <c r="BN20" s="275"/>
      <c r="BO20" s="275"/>
      <c r="BP20" s="274">
        <f t="shared" si="6"/>
        <v>0</v>
      </c>
      <c r="BQ20" s="248">
        <f>+'REKAPAN CHAMP SAPI'!AC17</f>
        <v>0</v>
      </c>
      <c r="BR20" s="268" t="e">
        <f t="shared" si="40"/>
        <v>#DIV/0!</v>
      </c>
      <c r="BS20" s="252" t="e">
        <f t="shared" si="41"/>
        <v>#DIV/0!</v>
      </c>
      <c r="BU20" s="247">
        <f t="shared" si="42"/>
        <v>46217</v>
      </c>
      <c r="BV20" s="248"/>
      <c r="BW20" s="248"/>
      <c r="BX20" s="248"/>
      <c r="BY20" s="248"/>
      <c r="BZ20" s="248"/>
      <c r="CA20" s="248"/>
      <c r="CB20" s="248"/>
      <c r="CC20" s="248"/>
      <c r="CD20" s="248"/>
      <c r="CE20" s="248"/>
      <c r="CF20" s="248"/>
      <c r="CG20" s="248"/>
      <c r="CH20" s="248"/>
      <c r="CI20" s="248"/>
      <c r="CJ20" s="249">
        <f t="shared" si="50"/>
        <v>0</v>
      </c>
      <c r="CK20" s="250"/>
      <c r="CL20" s="250"/>
      <c r="CM20" s="250"/>
      <c r="CN20" s="251">
        <f t="shared" si="8"/>
        <v>0</v>
      </c>
      <c r="CO20" s="248">
        <f>+'REKAPAN CHAMP OTAK-OTAK'!AC17</f>
        <v>0</v>
      </c>
      <c r="CP20" s="268" t="e">
        <f t="shared" si="43"/>
        <v>#DIV/0!</v>
      </c>
      <c r="CQ20" s="252" t="e">
        <f t="shared" si="44"/>
        <v>#DIV/0!</v>
      </c>
      <c r="CS20" s="247">
        <f t="shared" si="45"/>
        <v>46217</v>
      </c>
      <c r="CT20" s="248"/>
      <c r="CU20" s="248"/>
      <c r="CV20" s="248"/>
      <c r="CW20" s="248"/>
      <c r="CX20" s="248"/>
      <c r="CY20" s="248"/>
      <c r="CZ20" s="248"/>
      <c r="DA20" s="248"/>
      <c r="DB20" s="248"/>
      <c r="DC20" s="248"/>
      <c r="DD20" s="248"/>
      <c r="DE20" s="248"/>
      <c r="DF20" s="248"/>
      <c r="DG20" s="248"/>
      <c r="DH20" s="249">
        <f t="shared" si="9"/>
        <v>0</v>
      </c>
      <c r="DI20" s="250"/>
      <c r="DJ20" s="250"/>
      <c r="DK20" s="250"/>
      <c r="DL20" s="251">
        <f t="shared" si="10"/>
        <v>0</v>
      </c>
      <c r="DM20" s="248">
        <f>+'REKAPAN CHAMP OTAK-OTAK'!AY17</f>
        <v>0</v>
      </c>
      <c r="DN20" s="268" t="e">
        <f t="shared" si="46"/>
        <v>#DIV/0!</v>
      </c>
      <c r="DO20" s="252" t="e">
        <f t="shared" si="47"/>
        <v>#DIV/0!</v>
      </c>
      <c r="DQ20" s="248">
        <f t="shared" si="11"/>
        <v>15.5</v>
      </c>
      <c r="DR20" s="248">
        <f t="shared" si="12"/>
        <v>0</v>
      </c>
      <c r="DS20" s="248">
        <f t="shared" si="13"/>
        <v>10.5</v>
      </c>
      <c r="DT20" s="248">
        <f t="shared" si="14"/>
        <v>1</v>
      </c>
      <c r="DU20" s="248">
        <f t="shared" si="15"/>
        <v>5</v>
      </c>
      <c r="DV20" s="248">
        <f t="shared" si="16"/>
        <v>3.5</v>
      </c>
      <c r="DW20" s="248">
        <f t="shared" si="17"/>
        <v>6.5</v>
      </c>
      <c r="DX20" s="248">
        <f t="shared" si="18"/>
        <v>0</v>
      </c>
      <c r="DY20" s="248">
        <f t="shared" si="19"/>
        <v>5</v>
      </c>
      <c r="DZ20" s="248">
        <f t="shared" si="20"/>
        <v>5.5</v>
      </c>
      <c r="EA20" s="248">
        <f t="shared" si="21"/>
        <v>7</v>
      </c>
      <c r="EB20" s="248">
        <f t="shared" si="22"/>
        <v>4</v>
      </c>
      <c r="EC20" s="248">
        <f t="shared" si="23"/>
        <v>3.5</v>
      </c>
      <c r="ED20" s="248">
        <f t="shared" si="24"/>
        <v>4.5</v>
      </c>
      <c r="EE20" s="249">
        <f t="shared" si="25"/>
        <v>71.5</v>
      </c>
      <c r="EF20" s="248">
        <f t="shared" si="26"/>
        <v>50</v>
      </c>
      <c r="EG20" s="248">
        <f t="shared" si="27"/>
        <v>0</v>
      </c>
      <c r="EH20" s="248">
        <f t="shared" si="28"/>
        <v>0</v>
      </c>
      <c r="EI20" s="251">
        <f t="shared" si="29"/>
        <v>121.5</v>
      </c>
      <c r="EJ20" s="282">
        <f t="shared" si="30"/>
        <v>15198.48</v>
      </c>
      <c r="EK20" s="291">
        <f t="shared" si="48"/>
        <v>4.7044178102020728E-3</v>
      </c>
      <c r="EL20" s="291">
        <f t="shared" si="49"/>
        <v>3.289802664476974E-3</v>
      </c>
    </row>
    <row r="21" spans="1:142">
      <c r="A21" s="247">
        <f t="shared" si="31"/>
        <v>46218</v>
      </c>
      <c r="B21" s="273"/>
      <c r="C21" s="273"/>
      <c r="D21" s="273"/>
      <c r="E21" s="273"/>
      <c r="F21" s="273"/>
      <c r="G21" s="273"/>
      <c r="H21" s="273"/>
      <c r="I21" s="273"/>
      <c r="J21" s="273"/>
      <c r="K21" s="273"/>
      <c r="L21" s="273"/>
      <c r="M21" s="273"/>
      <c r="N21" s="273"/>
      <c r="O21" s="273"/>
      <c r="P21" s="274">
        <f t="shared" si="32"/>
        <v>0</v>
      </c>
      <c r="Q21" s="275"/>
      <c r="R21" s="275"/>
      <c r="S21" s="275"/>
      <c r="T21" s="274">
        <f t="shared" si="3"/>
        <v>0</v>
      </c>
      <c r="U21" s="248">
        <f>+'REKAPAN OKEY AYAM'!AC18</f>
        <v>0</v>
      </c>
      <c r="V21" s="268" t="e">
        <f t="shared" si="0"/>
        <v>#DIV/0!</v>
      </c>
      <c r="W21" s="252" t="e">
        <f t="shared" si="33"/>
        <v>#DIV/0!</v>
      </c>
      <c r="X21" s="254"/>
      <c r="Y21" s="247">
        <f t="shared" si="34"/>
        <v>46218</v>
      </c>
      <c r="Z21" s="278">
        <f>1+1.5+4+2</f>
        <v>8.5</v>
      </c>
      <c r="AA21" s="278"/>
      <c r="AB21" s="278">
        <f>1+2+2+3+1.5+1.5+4+2+2</f>
        <v>19</v>
      </c>
      <c r="AC21" s="278">
        <f>1+2+2</f>
        <v>5</v>
      </c>
      <c r="AD21" s="278">
        <f>1+1+1+1.5+1.5+1</f>
        <v>7</v>
      </c>
      <c r="AE21" s="278">
        <f>2+2+2+2</f>
        <v>8</v>
      </c>
      <c r="AF21" s="278">
        <f>2+2+2+2+1.5+1.5+2+2</f>
        <v>15</v>
      </c>
      <c r="AG21" s="278"/>
      <c r="AH21" s="278">
        <f>1+1.5+1.5</f>
        <v>4</v>
      </c>
      <c r="AI21" s="278">
        <f>1.5+2</f>
        <v>3.5</v>
      </c>
      <c r="AJ21" s="278">
        <f>1+1</f>
        <v>2</v>
      </c>
      <c r="AK21" s="278">
        <f>1+1+1+1.5+1.5</f>
        <v>6</v>
      </c>
      <c r="AL21" s="278">
        <f>1+1+2</f>
        <v>4</v>
      </c>
      <c r="AM21" s="278">
        <f>1+1</f>
        <v>2</v>
      </c>
      <c r="AN21" s="249">
        <f t="shared" si="35"/>
        <v>84</v>
      </c>
      <c r="AO21" s="250">
        <f>3+3+3+2.5+5+10+10+10+5</f>
        <v>51.5</v>
      </c>
      <c r="AP21" s="250"/>
      <c r="AQ21" s="250"/>
      <c r="AR21" s="251">
        <f t="shared" si="5"/>
        <v>135.5</v>
      </c>
      <c r="AS21" s="248">
        <f>+'REKAPAN CHAMP AYAM'!AC18</f>
        <v>15198.48</v>
      </c>
      <c r="AT21" s="268">
        <f t="shared" si="36"/>
        <v>5.5268684763213165E-3</v>
      </c>
      <c r="AU21" s="252">
        <f t="shared" si="37"/>
        <v>3.3884967444112834E-3</v>
      </c>
      <c r="AW21" s="247">
        <f t="shared" si="38"/>
        <v>46218</v>
      </c>
      <c r="AX21" s="273">
        <v>2</v>
      </c>
      <c r="AY21" s="273"/>
      <c r="AZ21" s="273">
        <v>3</v>
      </c>
      <c r="BA21" s="273"/>
      <c r="BB21" s="273"/>
      <c r="BC21" s="273">
        <v>3</v>
      </c>
      <c r="BD21" s="273">
        <v>2</v>
      </c>
      <c r="BE21" s="273"/>
      <c r="BF21" s="273"/>
      <c r="BG21" s="273"/>
      <c r="BH21" s="273"/>
      <c r="BI21" s="273">
        <v>1</v>
      </c>
      <c r="BJ21" s="273">
        <v>1</v>
      </c>
      <c r="BK21" s="273"/>
      <c r="BL21" s="274">
        <f t="shared" si="39"/>
        <v>12</v>
      </c>
      <c r="BM21" s="275">
        <v>4</v>
      </c>
      <c r="BN21" s="275"/>
      <c r="BO21" s="275"/>
      <c r="BP21" s="274">
        <f t="shared" si="6"/>
        <v>16</v>
      </c>
      <c r="BQ21" s="248">
        <f>+'REKAPAN CHAMP SAPI'!AC18</f>
        <v>1754.712</v>
      </c>
      <c r="BR21" s="268">
        <f t="shared" si="40"/>
        <v>6.8387290905858053E-3</v>
      </c>
      <c r="BS21" s="252">
        <f t="shared" si="41"/>
        <v>2.2795763635286019E-3</v>
      </c>
      <c r="BU21" s="247">
        <f t="shared" si="42"/>
        <v>46218</v>
      </c>
      <c r="BV21" s="248"/>
      <c r="BW21" s="248"/>
      <c r="BX21" s="248"/>
      <c r="BY21" s="248"/>
      <c r="BZ21" s="248"/>
      <c r="CA21" s="248"/>
      <c r="CB21" s="248"/>
      <c r="CC21" s="248"/>
      <c r="CD21" s="248"/>
      <c r="CE21" s="248"/>
      <c r="CF21" s="248"/>
      <c r="CG21" s="248"/>
      <c r="CH21" s="248"/>
      <c r="CI21" s="248"/>
      <c r="CJ21" s="249">
        <f t="shared" si="50"/>
        <v>0</v>
      </c>
      <c r="CK21" s="250"/>
      <c r="CL21" s="250"/>
      <c r="CM21" s="250"/>
      <c r="CN21" s="251">
        <f t="shared" si="8"/>
        <v>0</v>
      </c>
      <c r="CO21" s="248">
        <f>+'REKAPAN CHAMP OTAK-OTAK'!AC18</f>
        <v>0</v>
      </c>
      <c r="CP21" s="268" t="e">
        <f t="shared" si="43"/>
        <v>#DIV/0!</v>
      </c>
      <c r="CQ21" s="252" t="e">
        <f t="shared" si="44"/>
        <v>#DIV/0!</v>
      </c>
      <c r="CS21" s="247">
        <f t="shared" si="45"/>
        <v>46218</v>
      </c>
      <c r="CT21" s="248"/>
      <c r="CU21" s="248"/>
      <c r="CV21" s="248"/>
      <c r="CW21" s="248"/>
      <c r="CX21" s="248"/>
      <c r="CY21" s="248"/>
      <c r="CZ21" s="248"/>
      <c r="DA21" s="248"/>
      <c r="DB21" s="248"/>
      <c r="DC21" s="248"/>
      <c r="DD21" s="248"/>
      <c r="DE21" s="248"/>
      <c r="DF21" s="248"/>
      <c r="DG21" s="248"/>
      <c r="DH21" s="249">
        <f t="shared" si="9"/>
        <v>0</v>
      </c>
      <c r="DI21" s="250"/>
      <c r="DJ21" s="250"/>
      <c r="DK21" s="250"/>
      <c r="DL21" s="251">
        <f t="shared" si="10"/>
        <v>0</v>
      </c>
      <c r="DM21" s="248">
        <f>+'REKAPAN CHAMP OTAK-OTAK'!AY18</f>
        <v>0</v>
      </c>
      <c r="DN21" s="268" t="e">
        <f t="shared" si="46"/>
        <v>#DIV/0!</v>
      </c>
      <c r="DO21" s="252" t="e">
        <f t="shared" si="47"/>
        <v>#DIV/0!</v>
      </c>
      <c r="DQ21" s="248">
        <f t="shared" si="11"/>
        <v>10.5</v>
      </c>
      <c r="DR21" s="248">
        <f t="shared" si="12"/>
        <v>0</v>
      </c>
      <c r="DS21" s="248">
        <f t="shared" si="13"/>
        <v>22</v>
      </c>
      <c r="DT21" s="248">
        <f t="shared" si="14"/>
        <v>5</v>
      </c>
      <c r="DU21" s="248">
        <f t="shared" si="15"/>
        <v>7</v>
      </c>
      <c r="DV21" s="248">
        <f t="shared" si="16"/>
        <v>11</v>
      </c>
      <c r="DW21" s="248">
        <f t="shared" si="17"/>
        <v>17</v>
      </c>
      <c r="DX21" s="248">
        <f t="shared" si="18"/>
        <v>0</v>
      </c>
      <c r="DY21" s="248">
        <f t="shared" si="19"/>
        <v>4</v>
      </c>
      <c r="DZ21" s="248">
        <f t="shared" si="20"/>
        <v>3.5</v>
      </c>
      <c r="EA21" s="248">
        <f t="shared" si="21"/>
        <v>2</v>
      </c>
      <c r="EB21" s="248">
        <f t="shared" si="22"/>
        <v>7</v>
      </c>
      <c r="EC21" s="248">
        <f t="shared" si="23"/>
        <v>5</v>
      </c>
      <c r="ED21" s="248">
        <f t="shared" si="24"/>
        <v>2</v>
      </c>
      <c r="EE21" s="249">
        <f t="shared" si="25"/>
        <v>96</v>
      </c>
      <c r="EF21" s="248">
        <f t="shared" si="26"/>
        <v>55.5</v>
      </c>
      <c r="EG21" s="248">
        <f t="shared" si="27"/>
        <v>0</v>
      </c>
      <c r="EH21" s="248">
        <f t="shared" si="28"/>
        <v>0</v>
      </c>
      <c r="EI21" s="251">
        <f t="shared" si="29"/>
        <v>151.5</v>
      </c>
      <c r="EJ21" s="282">
        <f t="shared" si="30"/>
        <v>16953.191999999999</v>
      </c>
      <c r="EK21" s="291">
        <f t="shared" si="48"/>
        <v>5.6626504318478786E-3</v>
      </c>
      <c r="EL21" s="291">
        <f t="shared" si="49"/>
        <v>3.2737197809120551E-3</v>
      </c>
    </row>
    <row r="22" spans="1:142">
      <c r="A22" s="247">
        <f t="shared" si="31"/>
        <v>46219</v>
      </c>
      <c r="B22" s="273"/>
      <c r="C22" s="273"/>
      <c r="D22" s="273"/>
      <c r="E22" s="273"/>
      <c r="F22" s="273"/>
      <c r="G22" s="273"/>
      <c r="H22" s="273"/>
      <c r="I22" s="273"/>
      <c r="J22" s="273"/>
      <c r="K22" s="273"/>
      <c r="L22" s="273"/>
      <c r="M22" s="273"/>
      <c r="N22" s="273"/>
      <c r="O22" s="273"/>
      <c r="P22" s="274">
        <f t="shared" si="32"/>
        <v>0</v>
      </c>
      <c r="Q22" s="275"/>
      <c r="R22" s="275"/>
      <c r="S22" s="275"/>
      <c r="T22" s="274">
        <f t="shared" si="3"/>
        <v>0</v>
      </c>
      <c r="U22" s="248">
        <f>+'REKAPAN OKEY AYAM'!AC19</f>
        <v>0</v>
      </c>
      <c r="V22" s="268" t="e">
        <f>+P22/U22</f>
        <v>#DIV/0!</v>
      </c>
      <c r="W22" s="252" t="e">
        <f t="shared" si="33"/>
        <v>#DIV/0!</v>
      </c>
      <c r="X22" s="254"/>
      <c r="Y22" s="247">
        <f t="shared" si="34"/>
        <v>46219</v>
      </c>
      <c r="Z22" s="278">
        <v>1</v>
      </c>
      <c r="AA22" s="278"/>
      <c r="AB22" s="278">
        <v>2</v>
      </c>
      <c r="AC22" s="278">
        <v>2</v>
      </c>
      <c r="AD22" s="278">
        <v>1</v>
      </c>
      <c r="AE22" s="278">
        <v>2</v>
      </c>
      <c r="AF22" s="278">
        <v>1</v>
      </c>
      <c r="AG22" s="278"/>
      <c r="AH22" s="278">
        <v>1</v>
      </c>
      <c r="AI22" s="278"/>
      <c r="AJ22" s="278">
        <v>1</v>
      </c>
      <c r="AK22" s="278"/>
      <c r="AL22" s="278">
        <v>1</v>
      </c>
      <c r="AM22" s="278"/>
      <c r="AN22" s="249">
        <f t="shared" si="35"/>
        <v>12</v>
      </c>
      <c r="AO22" s="250">
        <v>5</v>
      </c>
      <c r="AP22" s="250"/>
      <c r="AQ22" s="250"/>
      <c r="AR22" s="251">
        <f t="shared" si="5"/>
        <v>17</v>
      </c>
      <c r="AS22" s="248">
        <f>+'REKAPAN CHAMP AYAM'!AC19</f>
        <v>1688.72</v>
      </c>
      <c r="AT22" s="268">
        <f>+AN22/AS22</f>
        <v>7.1059737552702637E-3</v>
      </c>
      <c r="AU22" s="252">
        <f t="shared" si="37"/>
        <v>2.9608223980292767E-3</v>
      </c>
      <c r="AW22" s="247">
        <f t="shared" si="38"/>
        <v>46219</v>
      </c>
      <c r="AX22" s="273">
        <f>1+1+1+1+1+1+1.5+1</f>
        <v>8.5</v>
      </c>
      <c r="AY22" s="273"/>
      <c r="AZ22" s="273">
        <f>2+2+3+3+4+1+1+1.5+1</f>
        <v>18.5</v>
      </c>
      <c r="BA22" s="273">
        <f>1+1</f>
        <v>2</v>
      </c>
      <c r="BB22" s="273">
        <f>1+1+1+1+1</f>
        <v>5</v>
      </c>
      <c r="BC22" s="273">
        <f>1+1+3+2+1+1+1</f>
        <v>10</v>
      </c>
      <c r="BD22" s="273">
        <f>1+3+2+1+1+1+1+1</f>
        <v>11</v>
      </c>
      <c r="BE22" s="273"/>
      <c r="BF22" s="273">
        <f>2+1</f>
        <v>3</v>
      </c>
      <c r="BG22" s="273">
        <v>1</v>
      </c>
      <c r="BH22" s="273"/>
      <c r="BI22" s="273">
        <f>1+1</f>
        <v>2</v>
      </c>
      <c r="BJ22" s="273">
        <f>1+1</f>
        <v>2</v>
      </c>
      <c r="BK22" s="273"/>
      <c r="BL22" s="274">
        <f t="shared" si="39"/>
        <v>63</v>
      </c>
      <c r="BM22" s="275">
        <f>4+2+6+4+10+10+8+5+10+5+10</f>
        <v>74</v>
      </c>
      <c r="BN22" s="275"/>
      <c r="BO22" s="275"/>
      <c r="BP22" s="274">
        <f t="shared" si="6"/>
        <v>137</v>
      </c>
      <c r="BQ22" s="248">
        <f>+'REKAPAN CHAMP SAPI'!AC19</f>
        <v>15792.407999999999</v>
      </c>
      <c r="BR22" s="268">
        <f>+BL22/BQ22</f>
        <v>3.9892586361750535E-3</v>
      </c>
      <c r="BS22" s="252">
        <f t="shared" si="41"/>
        <v>4.6857958583643488E-3</v>
      </c>
      <c r="BU22" s="247">
        <f t="shared" si="42"/>
        <v>46219</v>
      </c>
      <c r="BV22" s="248"/>
      <c r="BW22" s="248"/>
      <c r="BX22" s="248"/>
      <c r="BY22" s="248"/>
      <c r="BZ22" s="248"/>
      <c r="CA22" s="248"/>
      <c r="CB22" s="248"/>
      <c r="CC22" s="248"/>
      <c r="CD22" s="248"/>
      <c r="CE22" s="248"/>
      <c r="CF22" s="248"/>
      <c r="CG22" s="248"/>
      <c r="CH22" s="248"/>
      <c r="CI22" s="248"/>
      <c r="CJ22" s="249">
        <f t="shared" si="50"/>
        <v>0</v>
      </c>
      <c r="CK22" s="250"/>
      <c r="CL22" s="250"/>
      <c r="CM22" s="250"/>
      <c r="CN22" s="251">
        <f t="shared" si="8"/>
        <v>0</v>
      </c>
      <c r="CO22" s="248">
        <f>+'REKAPAN CHAMP OTAK-OTAK'!AC19</f>
        <v>0</v>
      </c>
      <c r="CP22" s="268" t="e">
        <f>+CJ22/CO22</f>
        <v>#DIV/0!</v>
      </c>
      <c r="CQ22" s="252" t="e">
        <f t="shared" si="44"/>
        <v>#DIV/0!</v>
      </c>
      <c r="CS22" s="247">
        <f t="shared" si="45"/>
        <v>46219</v>
      </c>
      <c r="CT22" s="248"/>
      <c r="CU22" s="248"/>
      <c r="CV22" s="248"/>
      <c r="CW22" s="248"/>
      <c r="CX22" s="248"/>
      <c r="CY22" s="273"/>
      <c r="CZ22" s="273"/>
      <c r="DA22" s="248"/>
      <c r="DB22" s="248"/>
      <c r="DC22" s="248"/>
      <c r="DD22" s="248"/>
      <c r="DE22" s="248"/>
      <c r="DF22" s="248"/>
      <c r="DG22" s="248"/>
      <c r="DH22" s="249">
        <f t="shared" si="9"/>
        <v>0</v>
      </c>
      <c r="DI22" s="250"/>
      <c r="DJ22" s="250"/>
      <c r="DK22" s="250"/>
      <c r="DL22" s="251">
        <f t="shared" si="10"/>
        <v>0</v>
      </c>
      <c r="DM22" s="248">
        <f>+'REKAPAN CHAMP OTAK-OTAK'!AY19</f>
        <v>0</v>
      </c>
      <c r="DN22" s="268" t="e">
        <f>+DH22/DM22</f>
        <v>#DIV/0!</v>
      </c>
      <c r="DO22" s="252" t="e">
        <f t="shared" si="47"/>
        <v>#DIV/0!</v>
      </c>
      <c r="DQ22" s="248">
        <f t="shared" si="11"/>
        <v>9.5</v>
      </c>
      <c r="DR22" s="248">
        <f t="shared" si="12"/>
        <v>0</v>
      </c>
      <c r="DS22" s="248">
        <f t="shared" si="13"/>
        <v>20.5</v>
      </c>
      <c r="DT22" s="248">
        <f t="shared" si="14"/>
        <v>4</v>
      </c>
      <c r="DU22" s="248">
        <f t="shared" si="15"/>
        <v>6</v>
      </c>
      <c r="DV22" s="248">
        <f t="shared" si="16"/>
        <v>12</v>
      </c>
      <c r="DW22" s="248">
        <f t="shared" si="17"/>
        <v>12</v>
      </c>
      <c r="DX22" s="248">
        <f t="shared" si="18"/>
        <v>0</v>
      </c>
      <c r="DY22" s="248">
        <f t="shared" si="19"/>
        <v>4</v>
      </c>
      <c r="DZ22" s="248">
        <f t="shared" si="20"/>
        <v>1</v>
      </c>
      <c r="EA22" s="248">
        <f t="shared" si="21"/>
        <v>1</v>
      </c>
      <c r="EB22" s="248">
        <f t="shared" si="22"/>
        <v>2</v>
      </c>
      <c r="EC22" s="248">
        <f t="shared" si="23"/>
        <v>3</v>
      </c>
      <c r="ED22" s="248">
        <f t="shared" si="24"/>
        <v>0</v>
      </c>
      <c r="EE22" s="249">
        <f t="shared" si="25"/>
        <v>75</v>
      </c>
      <c r="EF22" s="248">
        <f t="shared" si="26"/>
        <v>79</v>
      </c>
      <c r="EG22" s="248">
        <f t="shared" si="27"/>
        <v>0</v>
      </c>
      <c r="EH22" s="248">
        <f t="shared" si="28"/>
        <v>0</v>
      </c>
      <c r="EI22" s="251">
        <f t="shared" si="29"/>
        <v>154</v>
      </c>
      <c r="EJ22" s="282">
        <f t="shared" si="30"/>
        <v>17481.128000000001</v>
      </c>
      <c r="EK22" s="291">
        <f t="shared" ref="EK22:EK27" si="51">+EE22/EJ22</f>
        <v>4.2903409894372944E-3</v>
      </c>
      <c r="EL22" s="291">
        <f t="shared" si="49"/>
        <v>4.5191591755406168E-3</v>
      </c>
    </row>
    <row r="23" spans="1:142">
      <c r="A23" s="247">
        <f t="shared" si="31"/>
        <v>46220</v>
      </c>
      <c r="B23" s="273">
        <f>0.5+0.5+0.5</f>
        <v>1.5</v>
      </c>
      <c r="C23" s="273"/>
      <c r="D23" s="273">
        <f>0.5+0.5+0.5+1</f>
        <v>2.5</v>
      </c>
      <c r="E23" s="273">
        <f>0.5+0.5</f>
        <v>1</v>
      </c>
      <c r="F23" s="273">
        <f>0.5+0.5+0.5</f>
        <v>1.5</v>
      </c>
      <c r="G23" s="273">
        <v>0.5</v>
      </c>
      <c r="H23" s="273">
        <f>0.5+0.5+0.5</f>
        <v>1.5</v>
      </c>
      <c r="I23" s="273"/>
      <c r="J23" s="273">
        <f>0.5+0.5</f>
        <v>1</v>
      </c>
      <c r="K23" s="273">
        <f>0.5+0.5+0.5+0.5</f>
        <v>2</v>
      </c>
      <c r="L23" s="273">
        <f>0.5+0.5</f>
        <v>1</v>
      </c>
      <c r="M23" s="273">
        <f>0.5+0.5</f>
        <v>1</v>
      </c>
      <c r="N23" s="273">
        <v>0.5</v>
      </c>
      <c r="O23" s="273">
        <f>0.5+0.5+0.5+0.5</f>
        <v>2</v>
      </c>
      <c r="P23" s="274">
        <f t="shared" si="32"/>
        <v>16</v>
      </c>
      <c r="Q23" s="275">
        <f>2.5+2+1.5+3+2</f>
        <v>11</v>
      </c>
      <c r="R23" s="275"/>
      <c r="S23" s="275"/>
      <c r="T23" s="274">
        <f t="shared" si="3"/>
        <v>27</v>
      </c>
      <c r="U23" s="248">
        <f>+'REKAPAN OKEY AYAM'!AC20</f>
        <v>7893.4000000000005</v>
      </c>
      <c r="V23" s="268">
        <f t="shared" si="0"/>
        <v>2.0270099070109206E-3</v>
      </c>
      <c r="W23" s="252">
        <f t="shared" si="33"/>
        <v>1.3935693110700077E-3</v>
      </c>
      <c r="Y23" s="247">
        <f t="shared" si="34"/>
        <v>46220</v>
      </c>
      <c r="Z23" s="278"/>
      <c r="AA23" s="278"/>
      <c r="AB23" s="278">
        <f>2+2</f>
        <v>4</v>
      </c>
      <c r="AC23" s="278">
        <f>2+2</f>
        <v>4</v>
      </c>
      <c r="AD23" s="278">
        <v>1</v>
      </c>
      <c r="AE23" s="278">
        <f>1+1</f>
        <v>2</v>
      </c>
      <c r="AF23" s="278">
        <f>1+1</f>
        <v>2</v>
      </c>
      <c r="AG23" s="278"/>
      <c r="AH23" s="278">
        <f>1+1</f>
        <v>2</v>
      </c>
      <c r="AI23" s="278">
        <f>1+1</f>
        <v>2</v>
      </c>
      <c r="AJ23" s="278"/>
      <c r="AK23" s="278"/>
      <c r="AL23" s="278">
        <f>1+1</f>
        <v>2</v>
      </c>
      <c r="AM23" s="278"/>
      <c r="AN23" s="249">
        <f t="shared" si="35"/>
        <v>19</v>
      </c>
      <c r="AO23" s="250">
        <f>3+3</f>
        <v>6</v>
      </c>
      <c r="AP23" s="250"/>
      <c r="AQ23" s="250"/>
      <c r="AR23" s="251">
        <f t="shared" si="5"/>
        <v>25</v>
      </c>
      <c r="AS23" s="248">
        <f>+'REKAPAN CHAMP AYAM'!AC20</f>
        <v>3377.44</v>
      </c>
      <c r="AT23" s="268">
        <f>+AN23/AS23</f>
        <v>5.6255625562556255E-3</v>
      </c>
      <c r="AU23" s="252">
        <f t="shared" si="37"/>
        <v>1.7764934388175659E-3</v>
      </c>
      <c r="AW23" s="247">
        <f t="shared" si="38"/>
        <v>46220</v>
      </c>
      <c r="AX23" s="273"/>
      <c r="AY23" s="273"/>
      <c r="AZ23" s="273"/>
      <c r="BA23" s="273"/>
      <c r="BB23" s="273"/>
      <c r="BC23" s="273"/>
      <c r="BD23" s="273"/>
      <c r="BE23" s="273"/>
      <c r="BF23" s="273"/>
      <c r="BG23" s="273"/>
      <c r="BH23" s="273"/>
      <c r="BI23" s="273"/>
      <c r="BJ23" s="273"/>
      <c r="BK23" s="273"/>
      <c r="BL23" s="274">
        <f t="shared" si="39"/>
        <v>0</v>
      </c>
      <c r="BM23" s="275"/>
      <c r="BN23" s="275"/>
      <c r="BO23" s="275"/>
      <c r="BP23" s="274">
        <f t="shared" si="6"/>
        <v>0</v>
      </c>
      <c r="BQ23" s="248">
        <f>+'REKAPAN CHAMP SAPI'!AC20</f>
        <v>0</v>
      </c>
      <c r="BR23" s="268" t="e">
        <f>+BL23/BQ23</f>
        <v>#DIV/0!</v>
      </c>
      <c r="BS23" s="252" t="e">
        <f t="shared" si="41"/>
        <v>#DIV/0!</v>
      </c>
      <c r="BU23" s="247">
        <f t="shared" si="42"/>
        <v>46220</v>
      </c>
      <c r="BV23" s="248"/>
      <c r="BW23" s="248"/>
      <c r="BX23" s="248"/>
      <c r="BY23" s="248"/>
      <c r="BZ23" s="248"/>
      <c r="CA23" s="248"/>
      <c r="CB23" s="248"/>
      <c r="CC23" s="248"/>
      <c r="CD23" s="248"/>
      <c r="CE23" s="248"/>
      <c r="CF23" s="248"/>
      <c r="CG23" s="248"/>
      <c r="CH23" s="248"/>
      <c r="CI23" s="248"/>
      <c r="CJ23" s="249">
        <f t="shared" si="50"/>
        <v>0</v>
      </c>
      <c r="CK23" s="250"/>
      <c r="CL23" s="250"/>
      <c r="CM23" s="250"/>
      <c r="CN23" s="251">
        <f t="shared" si="8"/>
        <v>0</v>
      </c>
      <c r="CO23" s="248">
        <f>+'REKAPAN CHAMP OTAK-OTAK'!AC20</f>
        <v>0</v>
      </c>
      <c r="CP23" s="268" t="e">
        <f>+CJ23/CO23</f>
        <v>#DIV/0!</v>
      </c>
      <c r="CQ23" s="252" t="e">
        <f t="shared" si="44"/>
        <v>#DIV/0!</v>
      </c>
      <c r="CS23" s="247">
        <f t="shared" si="45"/>
        <v>46220</v>
      </c>
      <c r="CT23" s="248"/>
      <c r="CU23" s="248"/>
      <c r="CV23" s="248"/>
      <c r="CW23" s="248"/>
      <c r="CX23" s="248"/>
      <c r="CY23" s="248"/>
      <c r="CZ23" s="248"/>
      <c r="DA23" s="248"/>
      <c r="DB23" s="248"/>
      <c r="DC23" s="248"/>
      <c r="DD23" s="248"/>
      <c r="DE23" s="248"/>
      <c r="DF23" s="248"/>
      <c r="DG23" s="248"/>
      <c r="DH23" s="249">
        <f t="shared" si="9"/>
        <v>0</v>
      </c>
      <c r="DI23" s="250"/>
      <c r="DJ23" s="250"/>
      <c r="DK23" s="250"/>
      <c r="DL23" s="251">
        <f t="shared" si="10"/>
        <v>0</v>
      </c>
      <c r="DM23" s="248">
        <f>+'REKAPAN CHAMP OTAK-OTAK'!AY20</f>
        <v>0</v>
      </c>
      <c r="DN23" s="268" t="e">
        <f>+DH23/DM23</f>
        <v>#DIV/0!</v>
      </c>
      <c r="DO23" s="252" t="e">
        <f t="shared" si="47"/>
        <v>#DIV/0!</v>
      </c>
      <c r="DQ23" s="248">
        <f t="shared" si="11"/>
        <v>1.5</v>
      </c>
      <c r="DR23" s="248">
        <f t="shared" si="12"/>
        <v>0</v>
      </c>
      <c r="DS23" s="248">
        <f t="shared" si="13"/>
        <v>6.5</v>
      </c>
      <c r="DT23" s="248">
        <f t="shared" si="14"/>
        <v>5</v>
      </c>
      <c r="DU23" s="248">
        <f t="shared" si="15"/>
        <v>2.5</v>
      </c>
      <c r="DV23" s="248">
        <f t="shared" si="16"/>
        <v>2.5</v>
      </c>
      <c r="DW23" s="248">
        <f t="shared" si="17"/>
        <v>3.5</v>
      </c>
      <c r="DX23" s="248">
        <f t="shared" si="18"/>
        <v>0</v>
      </c>
      <c r="DY23" s="248">
        <f t="shared" si="19"/>
        <v>3</v>
      </c>
      <c r="DZ23" s="248">
        <f t="shared" si="20"/>
        <v>4</v>
      </c>
      <c r="EA23" s="248">
        <f t="shared" si="21"/>
        <v>1</v>
      </c>
      <c r="EB23" s="248">
        <f t="shared" si="22"/>
        <v>1</v>
      </c>
      <c r="EC23" s="248">
        <f t="shared" si="23"/>
        <v>2.5</v>
      </c>
      <c r="ED23" s="248">
        <f t="shared" si="24"/>
        <v>2</v>
      </c>
      <c r="EE23" s="249">
        <f t="shared" si="25"/>
        <v>35</v>
      </c>
      <c r="EF23" s="248">
        <f t="shared" si="26"/>
        <v>17</v>
      </c>
      <c r="EG23" s="248">
        <f t="shared" si="27"/>
        <v>0</v>
      </c>
      <c r="EH23" s="248">
        <f t="shared" si="28"/>
        <v>0</v>
      </c>
      <c r="EI23" s="251">
        <f t="shared" si="29"/>
        <v>52</v>
      </c>
      <c r="EJ23" s="282">
        <f t="shared" si="30"/>
        <v>11270.84</v>
      </c>
      <c r="EK23" s="291">
        <f t="shared" si="51"/>
        <v>3.1053586068119144E-3</v>
      </c>
      <c r="EL23" s="291">
        <f t="shared" si="49"/>
        <v>1.5083170375943585E-3</v>
      </c>
    </row>
    <row r="24" spans="1:142">
      <c r="A24" s="247">
        <f t="shared" si="31"/>
        <v>46221</v>
      </c>
      <c r="B24" s="273"/>
      <c r="C24" s="273"/>
      <c r="D24" s="273"/>
      <c r="E24" s="273"/>
      <c r="F24" s="273"/>
      <c r="G24" s="273"/>
      <c r="H24" s="273"/>
      <c r="I24" s="273"/>
      <c r="J24" s="273"/>
      <c r="K24" s="273"/>
      <c r="L24" s="273"/>
      <c r="M24" s="273"/>
      <c r="N24" s="273"/>
      <c r="O24" s="273"/>
      <c r="P24" s="274">
        <f t="shared" si="32"/>
        <v>0</v>
      </c>
      <c r="Q24" s="275"/>
      <c r="R24" s="275"/>
      <c r="S24" s="275"/>
      <c r="T24" s="274">
        <f t="shared" si="3"/>
        <v>0</v>
      </c>
      <c r="U24" s="248">
        <f>+'REKAPAN OKEY AYAM'!AC21</f>
        <v>0</v>
      </c>
      <c r="V24" s="268" t="e">
        <f>+P24/U24</f>
        <v>#DIV/0!</v>
      </c>
      <c r="W24" s="252" t="e">
        <f t="shared" si="33"/>
        <v>#DIV/0!</v>
      </c>
      <c r="Y24" s="247">
        <f t="shared" si="34"/>
        <v>46221</v>
      </c>
      <c r="Z24" s="278"/>
      <c r="AA24" s="278"/>
      <c r="AB24" s="278"/>
      <c r="AC24" s="278"/>
      <c r="AD24" s="278"/>
      <c r="AE24" s="278"/>
      <c r="AF24" s="278"/>
      <c r="AG24" s="278"/>
      <c r="AH24" s="278"/>
      <c r="AI24" s="278"/>
      <c r="AJ24" s="278"/>
      <c r="AK24" s="278"/>
      <c r="AL24" s="278"/>
      <c r="AM24" s="278"/>
      <c r="AN24" s="249">
        <f t="shared" si="35"/>
        <v>0</v>
      </c>
      <c r="AO24" s="250"/>
      <c r="AP24" s="250"/>
      <c r="AQ24" s="250"/>
      <c r="AR24" s="251">
        <f t="shared" si="5"/>
        <v>0</v>
      </c>
      <c r="AS24" s="248">
        <f>+'REKAPAN CHAMP AYAM'!AC21</f>
        <v>0</v>
      </c>
      <c r="AT24" s="268" t="e">
        <f>+AN24/AS24</f>
        <v>#DIV/0!</v>
      </c>
      <c r="AU24" s="252" t="e">
        <f t="shared" si="37"/>
        <v>#DIV/0!</v>
      </c>
      <c r="AW24" s="247">
        <f t="shared" si="38"/>
        <v>46221</v>
      </c>
      <c r="AX24" s="273"/>
      <c r="AY24" s="273"/>
      <c r="AZ24" s="273"/>
      <c r="BA24" s="273"/>
      <c r="BB24" s="273"/>
      <c r="BC24" s="273"/>
      <c r="BD24" s="273"/>
      <c r="BE24" s="273"/>
      <c r="BF24" s="273"/>
      <c r="BG24" s="273"/>
      <c r="BH24" s="273"/>
      <c r="BI24" s="273"/>
      <c r="BJ24" s="273"/>
      <c r="BK24" s="273"/>
      <c r="BL24" s="274">
        <f t="shared" si="39"/>
        <v>0</v>
      </c>
      <c r="BM24" s="275"/>
      <c r="BN24" s="275"/>
      <c r="BO24" s="275"/>
      <c r="BP24" s="274">
        <f t="shared" si="6"/>
        <v>0</v>
      </c>
      <c r="BQ24" s="248">
        <f>+'REKAPAN CHAMP SAPI'!AC21</f>
        <v>0</v>
      </c>
      <c r="BR24" s="268" t="e">
        <f>+BL24/BQ24</f>
        <v>#DIV/0!</v>
      </c>
      <c r="BS24" s="252" t="e">
        <f t="shared" si="41"/>
        <v>#DIV/0!</v>
      </c>
      <c r="BU24" s="247">
        <f t="shared" si="42"/>
        <v>46221</v>
      </c>
      <c r="BV24" s="248"/>
      <c r="BW24" s="248"/>
      <c r="BX24" s="248"/>
      <c r="BY24" s="248"/>
      <c r="BZ24" s="248"/>
      <c r="CA24" s="248"/>
      <c r="CB24" s="248"/>
      <c r="CC24" s="248"/>
      <c r="CD24" s="248"/>
      <c r="CE24" s="248"/>
      <c r="CF24" s="248"/>
      <c r="CG24" s="248"/>
      <c r="CH24" s="248"/>
      <c r="CI24" s="248"/>
      <c r="CJ24" s="249">
        <f t="shared" si="50"/>
        <v>0</v>
      </c>
      <c r="CK24" s="250"/>
      <c r="CL24" s="250"/>
      <c r="CM24" s="250"/>
      <c r="CN24" s="251">
        <f t="shared" si="8"/>
        <v>0</v>
      </c>
      <c r="CO24" s="248">
        <f>+'REKAPAN CHAMP OTAK-OTAK'!AC21</f>
        <v>0</v>
      </c>
      <c r="CP24" s="268" t="e">
        <f>+CJ24/CO24</f>
        <v>#DIV/0!</v>
      </c>
      <c r="CQ24" s="252" t="e">
        <f t="shared" si="44"/>
        <v>#DIV/0!</v>
      </c>
      <c r="CS24" s="247">
        <f t="shared" si="45"/>
        <v>46221</v>
      </c>
      <c r="CT24" s="248"/>
      <c r="CU24" s="248"/>
      <c r="CV24" s="248"/>
      <c r="CW24" s="248"/>
      <c r="CX24" s="248"/>
      <c r="CY24" s="248"/>
      <c r="CZ24" s="248"/>
      <c r="DA24" s="248"/>
      <c r="DB24" s="248"/>
      <c r="DC24" s="248"/>
      <c r="DD24" s="248"/>
      <c r="DE24" s="248"/>
      <c r="DF24" s="248"/>
      <c r="DG24" s="248"/>
      <c r="DH24" s="249">
        <f t="shared" si="9"/>
        <v>0</v>
      </c>
      <c r="DI24" s="250"/>
      <c r="DJ24" s="250"/>
      <c r="DK24" s="250"/>
      <c r="DL24" s="251">
        <f t="shared" si="10"/>
        <v>0</v>
      </c>
      <c r="DM24" s="248">
        <f>+'REKAPAN CHAMP OTAK-OTAK'!AY21</f>
        <v>0</v>
      </c>
      <c r="DN24" s="268" t="e">
        <f>+DH24/DM24</f>
        <v>#DIV/0!</v>
      </c>
      <c r="DO24" s="252" t="e">
        <f t="shared" si="47"/>
        <v>#DIV/0!</v>
      </c>
      <c r="DQ24" s="248">
        <f t="shared" si="11"/>
        <v>0</v>
      </c>
      <c r="DR24" s="248">
        <f t="shared" si="12"/>
        <v>0</v>
      </c>
      <c r="DS24" s="248">
        <f t="shared" si="13"/>
        <v>0</v>
      </c>
      <c r="DT24" s="248">
        <f t="shared" si="14"/>
        <v>0</v>
      </c>
      <c r="DU24" s="248">
        <f t="shared" si="15"/>
        <v>0</v>
      </c>
      <c r="DV24" s="248">
        <f t="shared" si="16"/>
        <v>0</v>
      </c>
      <c r="DW24" s="248">
        <f t="shared" si="17"/>
        <v>0</v>
      </c>
      <c r="DX24" s="248">
        <f t="shared" si="18"/>
        <v>0</v>
      </c>
      <c r="DY24" s="248">
        <f t="shared" si="19"/>
        <v>0</v>
      </c>
      <c r="DZ24" s="248">
        <f t="shared" si="20"/>
        <v>0</v>
      </c>
      <c r="EA24" s="248">
        <f t="shared" si="21"/>
        <v>0</v>
      </c>
      <c r="EB24" s="248">
        <f t="shared" si="22"/>
        <v>0</v>
      </c>
      <c r="EC24" s="248">
        <f t="shared" si="23"/>
        <v>0</v>
      </c>
      <c r="ED24" s="248">
        <f t="shared" si="24"/>
        <v>0</v>
      </c>
      <c r="EE24" s="249">
        <f t="shared" si="25"/>
        <v>0</v>
      </c>
      <c r="EF24" s="248">
        <f t="shared" si="26"/>
        <v>0</v>
      </c>
      <c r="EG24" s="248">
        <f t="shared" si="27"/>
        <v>0</v>
      </c>
      <c r="EH24" s="248">
        <f t="shared" si="28"/>
        <v>0</v>
      </c>
      <c r="EI24" s="251">
        <f t="shared" si="29"/>
        <v>0</v>
      </c>
      <c r="EJ24" s="282">
        <f t="shared" si="30"/>
        <v>0</v>
      </c>
      <c r="EK24" s="291" t="e">
        <f t="shared" si="51"/>
        <v>#DIV/0!</v>
      </c>
      <c r="EL24" s="291" t="e">
        <f t="shared" si="49"/>
        <v>#DIV/0!</v>
      </c>
    </row>
    <row r="25" spans="1:142">
      <c r="A25" s="247">
        <f t="shared" si="31"/>
        <v>46222</v>
      </c>
      <c r="B25" s="273"/>
      <c r="C25" s="273"/>
      <c r="D25" s="273"/>
      <c r="E25" s="273"/>
      <c r="F25" s="273"/>
      <c r="G25" s="273"/>
      <c r="H25" s="273"/>
      <c r="I25" s="273"/>
      <c r="J25" s="273"/>
      <c r="K25" s="273"/>
      <c r="L25" s="273"/>
      <c r="M25" s="273"/>
      <c r="N25" s="273"/>
      <c r="O25" s="273"/>
      <c r="P25" s="274">
        <f t="shared" si="32"/>
        <v>0</v>
      </c>
      <c r="Q25" s="275"/>
      <c r="R25" s="275"/>
      <c r="S25" s="275"/>
      <c r="T25" s="274">
        <f t="shared" si="3"/>
        <v>0</v>
      </c>
      <c r="U25" s="248">
        <f>+'REKAPAN OKEY AYAM'!AC22</f>
        <v>0</v>
      </c>
      <c r="V25" s="268" t="e">
        <f t="shared" si="0"/>
        <v>#DIV/0!</v>
      </c>
      <c r="W25" s="252" t="e">
        <f t="shared" si="33"/>
        <v>#DIV/0!</v>
      </c>
      <c r="Y25" s="247">
        <f t="shared" si="34"/>
        <v>46222</v>
      </c>
      <c r="Z25" s="278"/>
      <c r="AA25" s="278"/>
      <c r="AB25" s="278"/>
      <c r="AC25" s="278"/>
      <c r="AD25" s="278"/>
      <c r="AE25" s="278"/>
      <c r="AF25" s="278"/>
      <c r="AG25" s="278"/>
      <c r="AH25" s="278"/>
      <c r="AI25" s="278"/>
      <c r="AJ25" s="278"/>
      <c r="AK25" s="278"/>
      <c r="AL25" s="278"/>
      <c r="AM25" s="278"/>
      <c r="AN25" s="249">
        <f t="shared" si="35"/>
        <v>0</v>
      </c>
      <c r="AO25" s="250"/>
      <c r="AP25" s="250"/>
      <c r="AQ25" s="250"/>
      <c r="AR25" s="251">
        <f t="shared" si="5"/>
        <v>0</v>
      </c>
      <c r="AS25" s="248">
        <f>+'REKAPAN CHAMP AYAM'!AC22</f>
        <v>0</v>
      </c>
      <c r="AT25" s="268" t="e">
        <f t="shared" ref="AT25:AT38" si="52">+AN25/AS25</f>
        <v>#DIV/0!</v>
      </c>
      <c r="AU25" s="252" t="e">
        <f t="shared" si="37"/>
        <v>#DIV/0!</v>
      </c>
      <c r="AW25" s="247">
        <f t="shared" si="38"/>
        <v>46222</v>
      </c>
      <c r="AX25" s="273"/>
      <c r="AY25" s="273"/>
      <c r="AZ25" s="273"/>
      <c r="BA25" s="273"/>
      <c r="BB25" s="273"/>
      <c r="BC25" s="273"/>
      <c r="BD25" s="273"/>
      <c r="BE25" s="273"/>
      <c r="BF25" s="273"/>
      <c r="BG25" s="273"/>
      <c r="BH25" s="273"/>
      <c r="BI25" s="273"/>
      <c r="BJ25" s="273"/>
      <c r="BK25" s="273"/>
      <c r="BL25" s="274">
        <f t="shared" si="39"/>
        <v>0</v>
      </c>
      <c r="BM25" s="275"/>
      <c r="BN25" s="275"/>
      <c r="BO25" s="275"/>
      <c r="BP25" s="274">
        <f t="shared" si="6"/>
        <v>0</v>
      </c>
      <c r="BQ25" s="248">
        <f>+'REKAPAN CHAMP SAPI'!AC22</f>
        <v>0</v>
      </c>
      <c r="BR25" s="268" t="e">
        <f t="shared" ref="BR25:BR38" si="53">+BL25/BQ25</f>
        <v>#DIV/0!</v>
      </c>
      <c r="BS25" s="252" t="e">
        <f t="shared" si="41"/>
        <v>#DIV/0!</v>
      </c>
      <c r="BU25" s="247">
        <f t="shared" si="42"/>
        <v>46222</v>
      </c>
      <c r="BV25" s="248"/>
      <c r="BW25" s="248"/>
      <c r="BX25" s="248"/>
      <c r="BY25" s="248"/>
      <c r="BZ25" s="248"/>
      <c r="CA25" s="248"/>
      <c r="CB25" s="248"/>
      <c r="CC25" s="248"/>
      <c r="CD25" s="248"/>
      <c r="CE25" s="248"/>
      <c r="CF25" s="248"/>
      <c r="CG25" s="248"/>
      <c r="CH25" s="248"/>
      <c r="CI25" s="248"/>
      <c r="CJ25" s="249">
        <f t="shared" si="50"/>
        <v>0</v>
      </c>
      <c r="CK25" s="250"/>
      <c r="CL25" s="250"/>
      <c r="CM25" s="250"/>
      <c r="CN25" s="251">
        <f t="shared" si="8"/>
        <v>0</v>
      </c>
      <c r="CO25" s="248">
        <f>+'REKAPAN CHAMP OTAK-OTAK'!AC22</f>
        <v>0</v>
      </c>
      <c r="CP25" s="268" t="e">
        <f t="shared" ref="CP25:CP38" si="54">+CJ25/CO25</f>
        <v>#DIV/0!</v>
      </c>
      <c r="CQ25" s="252" t="e">
        <f t="shared" si="44"/>
        <v>#DIV/0!</v>
      </c>
      <c r="CS25" s="247">
        <f t="shared" si="45"/>
        <v>46222</v>
      </c>
      <c r="CT25" s="248"/>
      <c r="CU25" s="248"/>
      <c r="CV25" s="248"/>
      <c r="CW25" s="248"/>
      <c r="CX25" s="248"/>
      <c r="CY25" s="248"/>
      <c r="CZ25" s="248"/>
      <c r="DA25" s="248"/>
      <c r="DB25" s="248"/>
      <c r="DC25" s="248"/>
      <c r="DD25" s="248"/>
      <c r="DE25" s="248"/>
      <c r="DF25" s="248"/>
      <c r="DG25" s="248"/>
      <c r="DH25" s="249">
        <f t="shared" si="9"/>
        <v>0</v>
      </c>
      <c r="DI25" s="250"/>
      <c r="DJ25" s="250"/>
      <c r="DK25" s="250"/>
      <c r="DL25" s="251">
        <f t="shared" si="10"/>
        <v>0</v>
      </c>
      <c r="DM25" s="248">
        <f>+'REKAPAN CHAMP OTAK-OTAK'!AY22</f>
        <v>0</v>
      </c>
      <c r="DN25" s="268" t="e">
        <f t="shared" ref="DN25:DN38" si="55">+DH25/DM25</f>
        <v>#DIV/0!</v>
      </c>
      <c r="DO25" s="252" t="e">
        <f t="shared" si="47"/>
        <v>#DIV/0!</v>
      </c>
      <c r="DQ25" s="248">
        <f t="shared" si="11"/>
        <v>0</v>
      </c>
      <c r="DR25" s="248">
        <f t="shared" si="12"/>
        <v>0</v>
      </c>
      <c r="DS25" s="248">
        <f t="shared" si="13"/>
        <v>0</v>
      </c>
      <c r="DT25" s="248">
        <f t="shared" si="14"/>
        <v>0</v>
      </c>
      <c r="DU25" s="248">
        <f t="shared" si="15"/>
        <v>0</v>
      </c>
      <c r="DV25" s="248">
        <f t="shared" si="16"/>
        <v>0</v>
      </c>
      <c r="DW25" s="248">
        <f t="shared" si="17"/>
        <v>0</v>
      </c>
      <c r="DX25" s="248">
        <f t="shared" si="18"/>
        <v>0</v>
      </c>
      <c r="DY25" s="248">
        <f t="shared" si="19"/>
        <v>0</v>
      </c>
      <c r="DZ25" s="248">
        <f t="shared" si="20"/>
        <v>0</v>
      </c>
      <c r="EA25" s="248">
        <f t="shared" si="21"/>
        <v>0</v>
      </c>
      <c r="EB25" s="248">
        <f t="shared" si="22"/>
        <v>0</v>
      </c>
      <c r="EC25" s="248">
        <f t="shared" si="23"/>
        <v>0</v>
      </c>
      <c r="ED25" s="248">
        <f t="shared" si="24"/>
        <v>0</v>
      </c>
      <c r="EE25" s="249">
        <f t="shared" si="25"/>
        <v>0</v>
      </c>
      <c r="EF25" s="248">
        <f t="shared" si="26"/>
        <v>0</v>
      </c>
      <c r="EG25" s="248">
        <f t="shared" si="27"/>
        <v>0</v>
      </c>
      <c r="EH25" s="248">
        <f t="shared" si="28"/>
        <v>0</v>
      </c>
      <c r="EI25" s="251">
        <f t="shared" si="29"/>
        <v>0</v>
      </c>
      <c r="EJ25" s="282">
        <f t="shared" si="30"/>
        <v>0</v>
      </c>
      <c r="EK25" s="291" t="e">
        <f t="shared" si="51"/>
        <v>#DIV/0!</v>
      </c>
      <c r="EL25" s="291" t="e">
        <f t="shared" si="49"/>
        <v>#DIV/0!</v>
      </c>
    </row>
    <row r="26" spans="1:142">
      <c r="A26" s="247">
        <f t="shared" si="31"/>
        <v>46223</v>
      </c>
      <c r="B26" s="273">
        <v>1</v>
      </c>
      <c r="C26" s="273"/>
      <c r="D26" s="273"/>
      <c r="E26" s="273">
        <v>1</v>
      </c>
      <c r="F26" s="273">
        <v>2</v>
      </c>
      <c r="G26" s="273"/>
      <c r="H26" s="273">
        <v>2</v>
      </c>
      <c r="I26" s="273"/>
      <c r="J26" s="273"/>
      <c r="K26" s="273">
        <v>1</v>
      </c>
      <c r="L26" s="273"/>
      <c r="M26" s="273">
        <v>1</v>
      </c>
      <c r="N26" s="273"/>
      <c r="O26" s="273"/>
      <c r="P26" s="274">
        <f t="shared" si="32"/>
        <v>8</v>
      </c>
      <c r="Q26" s="275">
        <v>1</v>
      </c>
      <c r="R26" s="275"/>
      <c r="S26" s="275"/>
      <c r="T26" s="274">
        <f t="shared" si="3"/>
        <v>9</v>
      </c>
      <c r="U26" s="248">
        <f>+'REKAPAN OKEY AYAM'!AC23</f>
        <v>1578.68</v>
      </c>
      <c r="V26" s="268">
        <f t="shared" si="0"/>
        <v>5.0675247675273007E-3</v>
      </c>
      <c r="W26" s="252">
        <f t="shared" si="33"/>
        <v>6.3344059594091259E-4</v>
      </c>
      <c r="Y26" s="247">
        <f t="shared" si="34"/>
        <v>46223</v>
      </c>
      <c r="Z26" s="278"/>
      <c r="AA26" s="278"/>
      <c r="AB26" s="278"/>
      <c r="AC26" s="278"/>
      <c r="AD26" s="278"/>
      <c r="AE26" s="278"/>
      <c r="AF26" s="278"/>
      <c r="AG26" s="278"/>
      <c r="AH26" s="278"/>
      <c r="AI26" s="278"/>
      <c r="AJ26" s="278"/>
      <c r="AK26" s="278"/>
      <c r="AL26" s="278"/>
      <c r="AM26" s="278"/>
      <c r="AN26" s="249">
        <f t="shared" si="35"/>
        <v>0</v>
      </c>
      <c r="AO26" s="250"/>
      <c r="AP26" s="250"/>
      <c r="AQ26" s="250"/>
      <c r="AR26" s="251">
        <f t="shared" si="5"/>
        <v>0</v>
      </c>
      <c r="AS26" s="248">
        <f>+'REKAPAN CHAMP AYAM'!AC23</f>
        <v>0</v>
      </c>
      <c r="AT26" s="268" t="e">
        <f t="shared" si="52"/>
        <v>#DIV/0!</v>
      </c>
      <c r="AU26" s="252" t="e">
        <f t="shared" si="37"/>
        <v>#DIV/0!</v>
      </c>
      <c r="AW26" s="247">
        <f t="shared" si="38"/>
        <v>46223</v>
      </c>
      <c r="AX26" s="273"/>
      <c r="AY26" s="273"/>
      <c r="AZ26" s="273"/>
      <c r="BA26" s="273"/>
      <c r="BB26" s="273"/>
      <c r="BC26" s="273"/>
      <c r="BD26" s="273"/>
      <c r="BE26" s="273"/>
      <c r="BF26" s="273"/>
      <c r="BG26" s="273"/>
      <c r="BH26" s="273"/>
      <c r="BI26" s="273"/>
      <c r="BJ26" s="273"/>
      <c r="BK26" s="273"/>
      <c r="BL26" s="274">
        <f t="shared" si="39"/>
        <v>0</v>
      </c>
      <c r="BM26" s="275"/>
      <c r="BN26" s="275"/>
      <c r="BO26" s="275"/>
      <c r="BP26" s="274">
        <f t="shared" si="6"/>
        <v>0</v>
      </c>
      <c r="BQ26" s="248">
        <f>+'REKAPAN CHAMP SAPI'!AC23</f>
        <v>0</v>
      </c>
      <c r="BR26" s="268" t="e">
        <f t="shared" si="53"/>
        <v>#DIV/0!</v>
      </c>
      <c r="BS26" s="252" t="e">
        <f t="shared" si="41"/>
        <v>#DIV/0!</v>
      </c>
      <c r="BU26" s="247">
        <f t="shared" si="42"/>
        <v>46223</v>
      </c>
      <c r="BV26" s="248"/>
      <c r="BW26" s="248"/>
      <c r="BX26" s="273"/>
      <c r="BY26" s="273"/>
      <c r="BZ26" s="248"/>
      <c r="CA26" s="248"/>
      <c r="CB26" s="248"/>
      <c r="CC26" s="248"/>
      <c r="CD26" s="248"/>
      <c r="CE26" s="248"/>
      <c r="CF26" s="248"/>
      <c r="CG26" s="248"/>
      <c r="CH26" s="248"/>
      <c r="CI26" s="248"/>
      <c r="CJ26" s="249">
        <f t="shared" si="50"/>
        <v>0</v>
      </c>
      <c r="CK26" s="250"/>
      <c r="CL26" s="250"/>
      <c r="CM26" s="250"/>
      <c r="CN26" s="251">
        <f t="shared" si="8"/>
        <v>0</v>
      </c>
      <c r="CO26" s="248">
        <f>+'REKAPAN CHAMP OTAK-OTAK'!AC23</f>
        <v>0</v>
      </c>
      <c r="CP26" s="268" t="e">
        <f t="shared" si="54"/>
        <v>#DIV/0!</v>
      </c>
      <c r="CQ26" s="252" t="e">
        <f t="shared" si="44"/>
        <v>#DIV/0!</v>
      </c>
      <c r="CS26" s="247">
        <f t="shared" si="45"/>
        <v>46223</v>
      </c>
      <c r="CT26" s="248"/>
      <c r="CU26" s="248"/>
      <c r="CV26" s="248"/>
      <c r="CW26" s="248"/>
      <c r="CX26" s="248"/>
      <c r="CY26" s="248"/>
      <c r="CZ26" s="248"/>
      <c r="DA26" s="248"/>
      <c r="DB26" s="248"/>
      <c r="DC26" s="248"/>
      <c r="DD26" s="248"/>
      <c r="DE26" s="248"/>
      <c r="DF26" s="248"/>
      <c r="DG26" s="248"/>
      <c r="DH26" s="249">
        <f t="shared" si="9"/>
        <v>0</v>
      </c>
      <c r="DI26" s="250"/>
      <c r="DJ26" s="250"/>
      <c r="DK26" s="250"/>
      <c r="DL26" s="251">
        <f t="shared" si="10"/>
        <v>0</v>
      </c>
      <c r="DM26" s="248">
        <f>+'REKAPAN CHAMP OTAK-OTAK'!AY23</f>
        <v>0</v>
      </c>
      <c r="DN26" s="268" t="e">
        <f t="shared" si="55"/>
        <v>#DIV/0!</v>
      </c>
      <c r="DO26" s="252" t="e">
        <f t="shared" si="47"/>
        <v>#DIV/0!</v>
      </c>
      <c r="DQ26" s="248">
        <f t="shared" si="11"/>
        <v>1</v>
      </c>
      <c r="DR26" s="248">
        <f t="shared" si="12"/>
        <v>0</v>
      </c>
      <c r="DS26" s="248">
        <f t="shared" si="13"/>
        <v>0</v>
      </c>
      <c r="DT26" s="248">
        <f t="shared" si="14"/>
        <v>1</v>
      </c>
      <c r="DU26" s="248">
        <f t="shared" si="15"/>
        <v>2</v>
      </c>
      <c r="DV26" s="248">
        <f t="shared" si="16"/>
        <v>0</v>
      </c>
      <c r="DW26" s="248">
        <f t="shared" si="17"/>
        <v>2</v>
      </c>
      <c r="DX26" s="248">
        <f t="shared" si="18"/>
        <v>0</v>
      </c>
      <c r="DY26" s="248">
        <f t="shared" si="19"/>
        <v>0</v>
      </c>
      <c r="DZ26" s="248">
        <f t="shared" si="20"/>
        <v>1</v>
      </c>
      <c r="EA26" s="248">
        <f t="shared" si="21"/>
        <v>0</v>
      </c>
      <c r="EB26" s="248">
        <f t="shared" si="22"/>
        <v>1</v>
      </c>
      <c r="EC26" s="248">
        <f t="shared" si="23"/>
        <v>0</v>
      </c>
      <c r="ED26" s="248">
        <f t="shared" si="24"/>
        <v>0</v>
      </c>
      <c r="EE26" s="249">
        <f t="shared" si="25"/>
        <v>8</v>
      </c>
      <c r="EF26" s="248">
        <f t="shared" si="26"/>
        <v>1</v>
      </c>
      <c r="EG26" s="248">
        <f t="shared" si="27"/>
        <v>0</v>
      </c>
      <c r="EH26" s="248">
        <f t="shared" si="28"/>
        <v>0</v>
      </c>
      <c r="EI26" s="251">
        <f t="shared" si="29"/>
        <v>9</v>
      </c>
      <c r="EJ26" s="282">
        <f t="shared" si="30"/>
        <v>1578.68</v>
      </c>
      <c r="EK26" s="291">
        <f t="shared" si="51"/>
        <v>5.0675247675273007E-3</v>
      </c>
      <c r="EL26" s="291">
        <f t="shared" si="49"/>
        <v>6.3344059594091259E-4</v>
      </c>
    </row>
    <row r="27" spans="1:142">
      <c r="A27" s="247">
        <f t="shared" si="31"/>
        <v>46224</v>
      </c>
      <c r="B27" s="273">
        <f>2+2+2+2+2+1+0.5</f>
        <v>11.5</v>
      </c>
      <c r="C27" s="273"/>
      <c r="D27" s="273">
        <f>1+1+1+1</f>
        <v>4</v>
      </c>
      <c r="E27" s="273">
        <f>1+1</f>
        <v>2</v>
      </c>
      <c r="F27" s="273">
        <f>1+2+2+1</f>
        <v>6</v>
      </c>
      <c r="G27" s="273">
        <f>1+2</f>
        <v>3</v>
      </c>
      <c r="H27" s="273">
        <f>2+2+2+1+1+1+1</f>
        <v>10</v>
      </c>
      <c r="I27" s="273"/>
      <c r="J27" s="273">
        <f>1+1+1</f>
        <v>3</v>
      </c>
      <c r="K27" s="273">
        <f>1+2+1+1</f>
        <v>5</v>
      </c>
      <c r="L27" s="273">
        <f>1+1</f>
        <v>2</v>
      </c>
      <c r="M27" s="273">
        <f>1+1+1+1+0.5</f>
        <v>4.5</v>
      </c>
      <c r="N27" s="273">
        <f>1+2+1+1+1+1</f>
        <v>7</v>
      </c>
      <c r="O27" s="273">
        <v>1</v>
      </c>
      <c r="P27" s="274">
        <f t="shared" si="32"/>
        <v>59</v>
      </c>
      <c r="Q27" s="275">
        <f>4+4+4+4+5+6+3.5+3+3</f>
        <v>36.5</v>
      </c>
      <c r="R27" s="275"/>
      <c r="S27" s="275"/>
      <c r="T27" s="274">
        <f t="shared" si="3"/>
        <v>95.5</v>
      </c>
      <c r="U27" s="248">
        <f>+'REKAPAN OKEY AYAM'!AC24</f>
        <v>14208.12</v>
      </c>
      <c r="V27" s="268">
        <f t="shared" si="0"/>
        <v>4.1525550178348721E-3</v>
      </c>
      <c r="W27" s="252">
        <f t="shared" si="33"/>
        <v>2.5689535279825901E-3</v>
      </c>
      <c r="Y27" s="247">
        <f t="shared" si="34"/>
        <v>46224</v>
      </c>
      <c r="Z27" s="278"/>
      <c r="AA27" s="278"/>
      <c r="AB27" s="278"/>
      <c r="AC27" s="278"/>
      <c r="AD27" s="278"/>
      <c r="AE27" s="278"/>
      <c r="AF27" s="278"/>
      <c r="AG27" s="278"/>
      <c r="AH27" s="278"/>
      <c r="AI27" s="278"/>
      <c r="AJ27" s="278"/>
      <c r="AK27" s="278"/>
      <c r="AL27" s="278"/>
      <c r="AM27" s="278"/>
      <c r="AN27" s="249">
        <f t="shared" si="35"/>
        <v>0</v>
      </c>
      <c r="AO27" s="250"/>
      <c r="AP27" s="250"/>
      <c r="AQ27" s="250"/>
      <c r="AR27" s="251">
        <f t="shared" si="5"/>
        <v>0</v>
      </c>
      <c r="AS27" s="248">
        <f>+'REKAPAN CHAMP AYAM'!AC24</f>
        <v>0</v>
      </c>
      <c r="AT27" s="268" t="e">
        <f t="shared" si="52"/>
        <v>#DIV/0!</v>
      </c>
      <c r="AU27" s="252" t="e">
        <f t="shared" si="37"/>
        <v>#DIV/0!</v>
      </c>
      <c r="AW27" s="247">
        <f t="shared" si="38"/>
        <v>46224</v>
      </c>
      <c r="AX27" s="273"/>
      <c r="AY27" s="273"/>
      <c r="AZ27" s="273"/>
      <c r="BA27" s="273"/>
      <c r="BB27" s="273"/>
      <c r="BC27" s="273"/>
      <c r="BD27" s="273"/>
      <c r="BE27" s="273"/>
      <c r="BF27" s="273"/>
      <c r="BG27" s="273"/>
      <c r="BH27" s="273"/>
      <c r="BI27" s="273"/>
      <c r="BJ27" s="273"/>
      <c r="BK27" s="273"/>
      <c r="BL27" s="274">
        <f t="shared" si="39"/>
        <v>0</v>
      </c>
      <c r="BM27" s="275"/>
      <c r="BN27" s="275"/>
      <c r="BO27" s="275"/>
      <c r="BP27" s="274">
        <f t="shared" si="6"/>
        <v>0</v>
      </c>
      <c r="BQ27" s="248">
        <f>+'REKAPAN CHAMP SAPI'!AC24</f>
        <v>0</v>
      </c>
      <c r="BR27" s="268" t="e">
        <f t="shared" si="53"/>
        <v>#DIV/0!</v>
      </c>
      <c r="BS27" s="252" t="e">
        <f t="shared" si="41"/>
        <v>#DIV/0!</v>
      </c>
      <c r="BU27" s="247">
        <f t="shared" si="42"/>
        <v>46224</v>
      </c>
      <c r="BV27" s="248"/>
      <c r="BW27" s="248"/>
      <c r="BX27" s="248"/>
      <c r="BY27" s="248"/>
      <c r="BZ27" s="248"/>
      <c r="CA27" s="248"/>
      <c r="CB27" s="248"/>
      <c r="CC27" s="248"/>
      <c r="CD27" s="248"/>
      <c r="CE27" s="248"/>
      <c r="CF27" s="248"/>
      <c r="CG27" s="248"/>
      <c r="CH27" s="248"/>
      <c r="CI27" s="248"/>
      <c r="CJ27" s="249">
        <f t="shared" si="50"/>
        <v>0</v>
      </c>
      <c r="CK27" s="250"/>
      <c r="CL27" s="250"/>
      <c r="CM27" s="250"/>
      <c r="CN27" s="251">
        <f t="shared" si="8"/>
        <v>0</v>
      </c>
      <c r="CO27" s="248">
        <f>+'REKAPAN CHAMP OTAK-OTAK'!AC24</f>
        <v>0</v>
      </c>
      <c r="CP27" s="268" t="e">
        <f t="shared" si="54"/>
        <v>#DIV/0!</v>
      </c>
      <c r="CQ27" s="252" t="e">
        <f t="shared" si="44"/>
        <v>#DIV/0!</v>
      </c>
      <c r="CS27" s="247">
        <f t="shared" si="45"/>
        <v>46224</v>
      </c>
      <c r="CT27" s="248"/>
      <c r="CU27" s="248"/>
      <c r="CV27" s="248"/>
      <c r="CW27" s="248"/>
      <c r="CX27" s="248"/>
      <c r="CY27" s="248"/>
      <c r="CZ27" s="248"/>
      <c r="DA27" s="248"/>
      <c r="DB27" s="248"/>
      <c r="DC27" s="248"/>
      <c r="DD27" s="248"/>
      <c r="DE27" s="248"/>
      <c r="DF27" s="248"/>
      <c r="DG27" s="248"/>
      <c r="DH27" s="249">
        <f t="shared" si="9"/>
        <v>0</v>
      </c>
      <c r="DI27" s="250"/>
      <c r="DJ27" s="250"/>
      <c r="DK27" s="250"/>
      <c r="DL27" s="251">
        <f t="shared" si="10"/>
        <v>0</v>
      </c>
      <c r="DM27" s="248">
        <f>+'REKAPAN CHAMP OTAK-OTAK'!AY24</f>
        <v>0</v>
      </c>
      <c r="DN27" s="268" t="e">
        <f t="shared" si="55"/>
        <v>#DIV/0!</v>
      </c>
      <c r="DO27" s="252" t="e">
        <f t="shared" si="47"/>
        <v>#DIV/0!</v>
      </c>
      <c r="DQ27" s="248">
        <f t="shared" si="11"/>
        <v>11.5</v>
      </c>
      <c r="DR27" s="248">
        <f t="shared" si="12"/>
        <v>0</v>
      </c>
      <c r="DS27" s="248">
        <f t="shared" si="13"/>
        <v>4</v>
      </c>
      <c r="DT27" s="248">
        <f t="shared" si="14"/>
        <v>2</v>
      </c>
      <c r="DU27" s="248">
        <f t="shared" si="15"/>
        <v>6</v>
      </c>
      <c r="DV27" s="248">
        <f t="shared" si="16"/>
        <v>3</v>
      </c>
      <c r="DW27" s="248">
        <f t="shared" si="17"/>
        <v>10</v>
      </c>
      <c r="DX27" s="248">
        <f t="shared" si="18"/>
        <v>0</v>
      </c>
      <c r="DY27" s="248">
        <f t="shared" si="19"/>
        <v>3</v>
      </c>
      <c r="DZ27" s="248">
        <f t="shared" si="20"/>
        <v>5</v>
      </c>
      <c r="EA27" s="248">
        <f t="shared" si="21"/>
        <v>2</v>
      </c>
      <c r="EB27" s="248">
        <f t="shared" si="22"/>
        <v>4.5</v>
      </c>
      <c r="EC27" s="248">
        <f t="shared" si="23"/>
        <v>7</v>
      </c>
      <c r="ED27" s="248">
        <f t="shared" si="24"/>
        <v>1</v>
      </c>
      <c r="EE27" s="249">
        <f t="shared" si="25"/>
        <v>59</v>
      </c>
      <c r="EF27" s="248">
        <f t="shared" si="26"/>
        <v>36.5</v>
      </c>
      <c r="EG27" s="248">
        <f t="shared" si="27"/>
        <v>0</v>
      </c>
      <c r="EH27" s="248">
        <f t="shared" si="28"/>
        <v>0</v>
      </c>
      <c r="EI27" s="251">
        <f t="shared" si="29"/>
        <v>95.5</v>
      </c>
      <c r="EJ27" s="282">
        <f t="shared" si="30"/>
        <v>14208.12</v>
      </c>
      <c r="EK27" s="291">
        <f t="shared" si="51"/>
        <v>4.1525550178348721E-3</v>
      </c>
      <c r="EL27" s="291">
        <f t="shared" si="49"/>
        <v>2.5689535279825901E-3</v>
      </c>
    </row>
    <row r="28" spans="1:142">
      <c r="A28" s="247">
        <f t="shared" si="31"/>
        <v>46225</v>
      </c>
      <c r="B28" s="273">
        <f>2.5+1+1+0.5+0.5+2</f>
        <v>7.5</v>
      </c>
      <c r="C28" s="273"/>
      <c r="D28" s="273">
        <f>1+2.5+1+1+1+0.5+0.5+1</f>
        <v>8.5</v>
      </c>
      <c r="E28" s="273">
        <f>1+1+0.5</f>
        <v>2.5</v>
      </c>
      <c r="F28" s="273">
        <v>0.5</v>
      </c>
      <c r="G28" s="273">
        <f>1+1</f>
        <v>2</v>
      </c>
      <c r="H28" s="273">
        <f>1+1+1+0.5</f>
        <v>3.5</v>
      </c>
      <c r="I28" s="273"/>
      <c r="J28" s="273">
        <f>1+0.5</f>
        <v>1.5</v>
      </c>
      <c r="K28" s="273">
        <f>0.5+0.5</f>
        <v>1</v>
      </c>
      <c r="L28" s="273">
        <f>1+0.5+1+0.5</f>
        <v>3</v>
      </c>
      <c r="M28" s="273"/>
      <c r="N28" s="273">
        <f>1+1+1+1+0.5</f>
        <v>4.5</v>
      </c>
      <c r="O28" s="273">
        <f>1+0.5</f>
        <v>1.5</v>
      </c>
      <c r="P28" s="274">
        <f t="shared" si="32"/>
        <v>36</v>
      </c>
      <c r="Q28" s="275">
        <f>2+4+2+2.5+6+4+2.5+2</f>
        <v>25</v>
      </c>
      <c r="R28" s="275"/>
      <c r="S28" s="275"/>
      <c r="T28" s="274">
        <f t="shared" si="3"/>
        <v>61</v>
      </c>
      <c r="U28" s="248">
        <f>+'REKAPAN OKEY AYAM'!AC25</f>
        <v>12629.44</v>
      </c>
      <c r="V28" s="268">
        <f t="shared" si="0"/>
        <v>2.8504826817341068E-3</v>
      </c>
      <c r="W28" s="252">
        <f t="shared" si="33"/>
        <v>1.9795018623153522E-3</v>
      </c>
      <c r="Y28" s="247">
        <f t="shared" si="34"/>
        <v>46225</v>
      </c>
      <c r="Z28" s="278"/>
      <c r="AA28" s="278"/>
      <c r="AB28" s="278"/>
      <c r="AC28" s="278"/>
      <c r="AD28" s="278"/>
      <c r="AE28" s="278"/>
      <c r="AF28" s="278"/>
      <c r="AG28" s="278"/>
      <c r="AH28" s="278"/>
      <c r="AI28" s="278"/>
      <c r="AJ28" s="278"/>
      <c r="AK28" s="278"/>
      <c r="AL28" s="278"/>
      <c r="AM28" s="278"/>
      <c r="AN28" s="249">
        <f t="shared" si="35"/>
        <v>0</v>
      </c>
      <c r="AO28" s="250"/>
      <c r="AP28" s="250"/>
      <c r="AQ28" s="250"/>
      <c r="AR28" s="251">
        <f t="shared" si="5"/>
        <v>0</v>
      </c>
      <c r="AS28" s="248">
        <f>+'REKAPAN CHAMP AYAM'!AC25</f>
        <v>0</v>
      </c>
      <c r="AT28" s="268" t="e">
        <f t="shared" si="52"/>
        <v>#DIV/0!</v>
      </c>
      <c r="AU28" s="252" t="e">
        <f t="shared" si="37"/>
        <v>#DIV/0!</v>
      </c>
      <c r="AW28" s="247">
        <f t="shared" si="38"/>
        <v>46225</v>
      </c>
      <c r="AX28" s="273"/>
      <c r="AY28" s="273"/>
      <c r="AZ28" s="273"/>
      <c r="BA28" s="273"/>
      <c r="BB28" s="273"/>
      <c r="BC28" s="273"/>
      <c r="BD28" s="273"/>
      <c r="BE28" s="273"/>
      <c r="BF28" s="273"/>
      <c r="BG28" s="273"/>
      <c r="BH28" s="273"/>
      <c r="BI28" s="273"/>
      <c r="BJ28" s="273"/>
      <c r="BK28" s="273"/>
      <c r="BL28" s="274">
        <f t="shared" si="39"/>
        <v>0</v>
      </c>
      <c r="BM28" s="275"/>
      <c r="BN28" s="275"/>
      <c r="BO28" s="275"/>
      <c r="BP28" s="274">
        <f t="shared" si="6"/>
        <v>0</v>
      </c>
      <c r="BQ28" s="248">
        <f>+'REKAPAN CHAMP SAPI'!AC25</f>
        <v>0</v>
      </c>
      <c r="BR28" s="268" t="e">
        <f t="shared" si="53"/>
        <v>#DIV/0!</v>
      </c>
      <c r="BS28" s="252" t="e">
        <f t="shared" si="41"/>
        <v>#DIV/0!</v>
      </c>
      <c r="BU28" s="247">
        <f t="shared" si="42"/>
        <v>46225</v>
      </c>
      <c r="BV28" s="248"/>
      <c r="BW28" s="248"/>
      <c r="BX28" s="248"/>
      <c r="BY28" s="248"/>
      <c r="BZ28" s="248"/>
      <c r="CA28" s="248"/>
      <c r="CB28" s="248"/>
      <c r="CC28" s="248"/>
      <c r="CD28" s="248"/>
      <c r="CE28" s="248"/>
      <c r="CF28" s="248"/>
      <c r="CG28" s="248"/>
      <c r="CH28" s="248"/>
      <c r="CI28" s="248"/>
      <c r="CJ28" s="249">
        <f t="shared" si="50"/>
        <v>0</v>
      </c>
      <c r="CK28" s="250"/>
      <c r="CL28" s="250"/>
      <c r="CM28" s="250"/>
      <c r="CN28" s="251">
        <f t="shared" si="8"/>
        <v>0</v>
      </c>
      <c r="CO28" s="248">
        <f>+'REKAPAN CHAMP OTAK-OTAK'!AC25</f>
        <v>0</v>
      </c>
      <c r="CP28" s="268" t="e">
        <f t="shared" si="54"/>
        <v>#DIV/0!</v>
      </c>
      <c r="CQ28" s="252" t="e">
        <f t="shared" si="44"/>
        <v>#DIV/0!</v>
      </c>
      <c r="CS28" s="247">
        <f t="shared" si="45"/>
        <v>46225</v>
      </c>
      <c r="CT28" s="248"/>
      <c r="CU28" s="248"/>
      <c r="CV28" s="248"/>
      <c r="CW28" s="248"/>
      <c r="CX28" s="248"/>
      <c r="CY28" s="248"/>
      <c r="CZ28" s="248"/>
      <c r="DA28" s="248"/>
      <c r="DB28" s="248"/>
      <c r="DC28" s="248"/>
      <c r="DD28" s="248"/>
      <c r="DE28" s="248"/>
      <c r="DF28" s="248"/>
      <c r="DG28" s="248"/>
      <c r="DH28" s="249">
        <f t="shared" si="9"/>
        <v>0</v>
      </c>
      <c r="DI28" s="250"/>
      <c r="DJ28" s="250"/>
      <c r="DK28" s="250"/>
      <c r="DL28" s="251">
        <f t="shared" si="10"/>
        <v>0</v>
      </c>
      <c r="DM28" s="248">
        <f>+'REKAPAN CHAMP OTAK-OTAK'!AY25</f>
        <v>0</v>
      </c>
      <c r="DN28" s="268" t="e">
        <f t="shared" si="55"/>
        <v>#DIV/0!</v>
      </c>
      <c r="DO28" s="252" t="e">
        <f t="shared" si="47"/>
        <v>#DIV/0!</v>
      </c>
      <c r="DQ28" s="248">
        <f t="shared" si="11"/>
        <v>7.5</v>
      </c>
      <c r="DR28" s="248">
        <f t="shared" si="12"/>
        <v>0</v>
      </c>
      <c r="DS28" s="248">
        <f t="shared" si="13"/>
        <v>8.5</v>
      </c>
      <c r="DT28" s="248">
        <f t="shared" si="14"/>
        <v>2.5</v>
      </c>
      <c r="DU28" s="248">
        <f t="shared" si="15"/>
        <v>0.5</v>
      </c>
      <c r="DV28" s="248">
        <f t="shared" si="16"/>
        <v>2</v>
      </c>
      <c r="DW28" s="248">
        <f t="shared" si="17"/>
        <v>3.5</v>
      </c>
      <c r="DX28" s="248">
        <f t="shared" si="18"/>
        <v>0</v>
      </c>
      <c r="DY28" s="248">
        <f t="shared" si="19"/>
        <v>1.5</v>
      </c>
      <c r="DZ28" s="248">
        <f t="shared" si="20"/>
        <v>1</v>
      </c>
      <c r="EA28" s="248">
        <f t="shared" si="21"/>
        <v>3</v>
      </c>
      <c r="EB28" s="248">
        <f t="shared" si="22"/>
        <v>0</v>
      </c>
      <c r="EC28" s="248">
        <f t="shared" si="23"/>
        <v>4.5</v>
      </c>
      <c r="ED28" s="248">
        <f t="shared" si="24"/>
        <v>1.5</v>
      </c>
      <c r="EE28" s="249">
        <f t="shared" si="25"/>
        <v>36</v>
      </c>
      <c r="EF28" s="248">
        <f t="shared" si="26"/>
        <v>25</v>
      </c>
      <c r="EG28" s="248">
        <f t="shared" si="27"/>
        <v>0</v>
      </c>
      <c r="EH28" s="248">
        <f t="shared" si="28"/>
        <v>0</v>
      </c>
      <c r="EI28" s="251">
        <f t="shared" si="29"/>
        <v>61</v>
      </c>
      <c r="EJ28" s="282">
        <f t="shared" si="30"/>
        <v>12629.44</v>
      </c>
      <c r="EK28" s="291">
        <f t="shared" ref="EK28:EK38" si="56">+EE28/EJ28</f>
        <v>2.8504826817341068E-3</v>
      </c>
      <c r="EL28" s="291">
        <f t="shared" si="49"/>
        <v>1.9795018623153522E-3</v>
      </c>
    </row>
    <row r="29" spans="1:142">
      <c r="A29" s="247">
        <f t="shared" si="31"/>
        <v>46226</v>
      </c>
      <c r="B29" s="273">
        <f>5+7+2+2+2+1</f>
        <v>19</v>
      </c>
      <c r="C29" s="273"/>
      <c r="D29" s="273">
        <f>1+1+2+1+0.5+1+1+1+2</f>
        <v>10.5</v>
      </c>
      <c r="E29" s="273">
        <f>1+1+1+1</f>
        <v>4</v>
      </c>
      <c r="F29" s="273"/>
      <c r="G29" s="273">
        <f>1+1</f>
        <v>2</v>
      </c>
      <c r="H29" s="273">
        <f>1+1+1+0.5+1+1</f>
        <v>5.5</v>
      </c>
      <c r="I29" s="273"/>
      <c r="J29" s="273">
        <f>1+1+1+1+1+1</f>
        <v>6</v>
      </c>
      <c r="K29" s="273">
        <f>1+1+0.5+1+1+1+1</f>
        <v>6.5</v>
      </c>
      <c r="L29" s="273">
        <f>1+1+1+1+1</f>
        <v>5</v>
      </c>
      <c r="M29" s="273">
        <f>1+1+0.5+2+1+1+1</f>
        <v>7.5</v>
      </c>
      <c r="N29" s="273">
        <v>1</v>
      </c>
      <c r="O29" s="273">
        <f>1+0.5+1</f>
        <v>2.5</v>
      </c>
      <c r="P29" s="274">
        <f t="shared" si="32"/>
        <v>69.5</v>
      </c>
      <c r="Q29" s="275">
        <f>2+2+4+3+3+4+4+4+2+3</f>
        <v>31</v>
      </c>
      <c r="R29" s="275"/>
      <c r="S29" s="275"/>
      <c r="T29" s="274">
        <f t="shared" si="3"/>
        <v>100.5</v>
      </c>
      <c r="U29" s="248">
        <f>+'REKAPAN OKEY AYAM'!AC26</f>
        <v>15786.800000000001</v>
      </c>
      <c r="V29" s="268">
        <f t="shared" si="0"/>
        <v>4.4024121417893429E-3</v>
      </c>
      <c r="W29" s="252">
        <f t="shared" si="33"/>
        <v>1.9636658474168293E-3</v>
      </c>
      <c r="Y29" s="247">
        <f t="shared" si="34"/>
        <v>46226</v>
      </c>
      <c r="Z29" s="278"/>
      <c r="AA29" s="278"/>
      <c r="AB29" s="278"/>
      <c r="AC29" s="278"/>
      <c r="AD29" s="278"/>
      <c r="AE29" s="278"/>
      <c r="AF29" s="278"/>
      <c r="AG29" s="278"/>
      <c r="AH29" s="278"/>
      <c r="AI29" s="278"/>
      <c r="AJ29" s="278"/>
      <c r="AK29" s="278"/>
      <c r="AL29" s="278"/>
      <c r="AM29" s="278"/>
      <c r="AN29" s="249">
        <f t="shared" si="35"/>
        <v>0</v>
      </c>
      <c r="AO29" s="250"/>
      <c r="AP29" s="250"/>
      <c r="AQ29" s="250"/>
      <c r="AR29" s="251">
        <f t="shared" si="5"/>
        <v>0</v>
      </c>
      <c r="AS29" s="248">
        <f>+'REKAPAN CHAMP AYAM'!AC26</f>
        <v>0</v>
      </c>
      <c r="AT29" s="268" t="e">
        <f t="shared" si="52"/>
        <v>#DIV/0!</v>
      </c>
      <c r="AU29" s="252" t="e">
        <f t="shared" si="37"/>
        <v>#DIV/0!</v>
      </c>
      <c r="AW29" s="247">
        <f t="shared" si="38"/>
        <v>46226</v>
      </c>
      <c r="AX29" s="273"/>
      <c r="AY29" s="273"/>
      <c r="AZ29" s="273"/>
      <c r="BA29" s="273"/>
      <c r="BB29" s="273"/>
      <c r="BC29" s="273"/>
      <c r="BD29" s="273"/>
      <c r="BE29" s="273"/>
      <c r="BF29" s="273"/>
      <c r="BG29" s="273"/>
      <c r="BH29" s="273"/>
      <c r="BI29" s="273"/>
      <c r="BJ29" s="273"/>
      <c r="BK29" s="273"/>
      <c r="BL29" s="274">
        <f t="shared" si="39"/>
        <v>0</v>
      </c>
      <c r="BM29" s="275"/>
      <c r="BN29" s="275"/>
      <c r="BO29" s="275"/>
      <c r="BP29" s="274">
        <f t="shared" si="6"/>
        <v>0</v>
      </c>
      <c r="BQ29" s="248">
        <f>+'REKAPAN CHAMP SAPI'!AC26</f>
        <v>0</v>
      </c>
      <c r="BR29" s="268" t="e">
        <f t="shared" si="53"/>
        <v>#DIV/0!</v>
      </c>
      <c r="BS29" s="252" t="e">
        <f t="shared" si="41"/>
        <v>#DIV/0!</v>
      </c>
      <c r="BU29" s="247">
        <f t="shared" si="42"/>
        <v>46226</v>
      </c>
      <c r="BV29" s="248"/>
      <c r="BW29" s="248"/>
      <c r="BX29" s="248"/>
      <c r="BY29" s="248"/>
      <c r="BZ29" s="248"/>
      <c r="CA29" s="248"/>
      <c r="CB29" s="248"/>
      <c r="CC29" s="248"/>
      <c r="CD29" s="248"/>
      <c r="CE29" s="248"/>
      <c r="CF29" s="248"/>
      <c r="CG29" s="248"/>
      <c r="CH29" s="248"/>
      <c r="CI29" s="248"/>
      <c r="CJ29" s="249">
        <f t="shared" si="50"/>
        <v>0</v>
      </c>
      <c r="CK29" s="250"/>
      <c r="CL29" s="250"/>
      <c r="CM29" s="250"/>
      <c r="CN29" s="251">
        <f t="shared" si="8"/>
        <v>0</v>
      </c>
      <c r="CO29" s="248">
        <f>+'REKAPAN CHAMP OTAK-OTAK'!AC26</f>
        <v>0</v>
      </c>
      <c r="CP29" s="268" t="e">
        <f t="shared" si="54"/>
        <v>#DIV/0!</v>
      </c>
      <c r="CQ29" s="252" t="e">
        <f t="shared" si="44"/>
        <v>#DIV/0!</v>
      </c>
      <c r="CS29" s="247">
        <f t="shared" si="45"/>
        <v>46226</v>
      </c>
      <c r="CT29" s="248"/>
      <c r="CU29" s="248"/>
      <c r="CV29" s="248"/>
      <c r="CW29" s="248"/>
      <c r="CX29" s="248"/>
      <c r="CY29" s="248"/>
      <c r="CZ29" s="248"/>
      <c r="DA29" s="248"/>
      <c r="DB29" s="248"/>
      <c r="DC29" s="248"/>
      <c r="DD29" s="248"/>
      <c r="DE29" s="248"/>
      <c r="DF29" s="248"/>
      <c r="DG29" s="248"/>
      <c r="DH29" s="249">
        <f t="shared" si="9"/>
        <v>0</v>
      </c>
      <c r="DI29" s="250"/>
      <c r="DJ29" s="250"/>
      <c r="DK29" s="250"/>
      <c r="DL29" s="251">
        <f t="shared" si="10"/>
        <v>0</v>
      </c>
      <c r="DM29" s="248">
        <f>+'REKAPAN CHAMP OTAK-OTAK'!AY26</f>
        <v>0</v>
      </c>
      <c r="DN29" s="268" t="e">
        <f t="shared" si="55"/>
        <v>#DIV/0!</v>
      </c>
      <c r="DO29" s="252" t="e">
        <f t="shared" si="47"/>
        <v>#DIV/0!</v>
      </c>
      <c r="DQ29" s="248">
        <f t="shared" si="11"/>
        <v>19</v>
      </c>
      <c r="DR29" s="248">
        <f t="shared" si="12"/>
        <v>0</v>
      </c>
      <c r="DS29" s="248">
        <f t="shared" si="13"/>
        <v>10.5</v>
      </c>
      <c r="DT29" s="248">
        <f t="shared" si="14"/>
        <v>4</v>
      </c>
      <c r="DU29" s="248">
        <f t="shared" si="15"/>
        <v>0</v>
      </c>
      <c r="DV29" s="248">
        <f t="shared" si="16"/>
        <v>2</v>
      </c>
      <c r="DW29" s="248">
        <f t="shared" si="17"/>
        <v>5.5</v>
      </c>
      <c r="DX29" s="248">
        <f t="shared" si="18"/>
        <v>0</v>
      </c>
      <c r="DY29" s="248">
        <f t="shared" si="19"/>
        <v>6</v>
      </c>
      <c r="DZ29" s="248">
        <f t="shared" si="20"/>
        <v>6.5</v>
      </c>
      <c r="EA29" s="248">
        <f t="shared" si="21"/>
        <v>5</v>
      </c>
      <c r="EB29" s="248">
        <f t="shared" si="22"/>
        <v>7.5</v>
      </c>
      <c r="EC29" s="248">
        <f t="shared" si="23"/>
        <v>1</v>
      </c>
      <c r="ED29" s="248">
        <f t="shared" si="24"/>
        <v>2.5</v>
      </c>
      <c r="EE29" s="249">
        <f t="shared" si="25"/>
        <v>69.5</v>
      </c>
      <c r="EF29" s="248">
        <f t="shared" si="26"/>
        <v>31</v>
      </c>
      <c r="EG29" s="248">
        <f t="shared" si="27"/>
        <v>0</v>
      </c>
      <c r="EH29" s="248">
        <f t="shared" si="28"/>
        <v>0</v>
      </c>
      <c r="EI29" s="251">
        <f t="shared" si="29"/>
        <v>100.5</v>
      </c>
      <c r="EJ29" s="282">
        <f t="shared" si="30"/>
        <v>15786.800000000001</v>
      </c>
      <c r="EK29" s="291">
        <f t="shared" si="56"/>
        <v>4.4024121417893429E-3</v>
      </c>
      <c r="EL29" s="291">
        <f t="shared" si="49"/>
        <v>1.9636658474168293E-3</v>
      </c>
    </row>
    <row r="30" spans="1:142">
      <c r="A30" s="247">
        <f t="shared" si="31"/>
        <v>46227</v>
      </c>
      <c r="B30" s="273">
        <f>2+0.5+2+1</f>
        <v>5.5</v>
      </c>
      <c r="C30" s="273"/>
      <c r="D30" s="273">
        <f>2+1+1+0.5+1+0.5</f>
        <v>6</v>
      </c>
      <c r="E30" s="273">
        <f>1+0.5+1+1+0.5</f>
        <v>4</v>
      </c>
      <c r="F30" s="273">
        <f>0.5+1+0.5</f>
        <v>2</v>
      </c>
      <c r="G30" s="273">
        <f>1+0.5+1+1</f>
        <v>3.5</v>
      </c>
      <c r="H30" s="273">
        <f>1+1+1</f>
        <v>3</v>
      </c>
      <c r="I30" s="273"/>
      <c r="J30" s="273">
        <f>1+1+0.5+1+1+0.5</f>
        <v>5</v>
      </c>
      <c r="K30" s="273">
        <f>1+1+0.5+1+2</f>
        <v>5.5</v>
      </c>
      <c r="L30" s="273">
        <f>1+1+0.5</f>
        <v>2.5</v>
      </c>
      <c r="M30" s="273">
        <f>1+1</f>
        <v>2</v>
      </c>
      <c r="N30" s="273">
        <f>1+1+0.5+1+1+0.5+1+2</f>
        <v>8</v>
      </c>
      <c r="O30" s="273">
        <f>1+1+0.5+1+0.5+1</f>
        <v>5</v>
      </c>
      <c r="P30" s="274">
        <f t="shared" si="32"/>
        <v>52</v>
      </c>
      <c r="Q30" s="275">
        <f>3+3+5+2+2.5+2.5+2+2.5+2.5+2</f>
        <v>27</v>
      </c>
      <c r="R30" s="275"/>
      <c r="S30" s="275"/>
      <c r="T30" s="274">
        <f t="shared" si="3"/>
        <v>79</v>
      </c>
      <c r="U30" s="248">
        <f>+'REKAPAN OKEY AYAM'!AC27</f>
        <v>14208.12</v>
      </c>
      <c r="V30" s="268">
        <f t="shared" si="0"/>
        <v>3.6598789987697172E-3</v>
      </c>
      <c r="W30" s="252">
        <f t="shared" si="33"/>
        <v>1.9003217878227378E-3</v>
      </c>
      <c r="Y30" s="247">
        <f t="shared" si="34"/>
        <v>46227</v>
      </c>
      <c r="Z30" s="278"/>
      <c r="AA30" s="278"/>
      <c r="AB30" s="278"/>
      <c r="AC30" s="278"/>
      <c r="AD30" s="278"/>
      <c r="AE30" s="278"/>
      <c r="AF30" s="278"/>
      <c r="AG30" s="278"/>
      <c r="AH30" s="278"/>
      <c r="AI30" s="278"/>
      <c r="AJ30" s="278"/>
      <c r="AK30" s="278"/>
      <c r="AL30" s="278"/>
      <c r="AM30" s="278"/>
      <c r="AN30" s="249">
        <f t="shared" si="35"/>
        <v>0</v>
      </c>
      <c r="AO30" s="250"/>
      <c r="AP30" s="250"/>
      <c r="AQ30" s="250"/>
      <c r="AR30" s="251">
        <f t="shared" si="5"/>
        <v>0</v>
      </c>
      <c r="AS30" s="248">
        <f>+'REKAPAN CHAMP AYAM'!AC27</f>
        <v>0</v>
      </c>
      <c r="AT30" s="268" t="e">
        <f t="shared" si="52"/>
        <v>#DIV/0!</v>
      </c>
      <c r="AU30" s="252" t="e">
        <f t="shared" si="37"/>
        <v>#DIV/0!</v>
      </c>
      <c r="AW30" s="247">
        <f t="shared" si="38"/>
        <v>46227</v>
      </c>
      <c r="AX30" s="273"/>
      <c r="AY30" s="273"/>
      <c r="AZ30" s="273"/>
      <c r="BA30" s="273"/>
      <c r="BB30" s="273"/>
      <c r="BC30" s="273"/>
      <c r="BD30" s="273"/>
      <c r="BE30" s="273"/>
      <c r="BF30" s="273"/>
      <c r="BG30" s="273"/>
      <c r="BH30" s="273"/>
      <c r="BI30" s="273"/>
      <c r="BJ30" s="273"/>
      <c r="BK30" s="273"/>
      <c r="BL30" s="274">
        <f t="shared" si="39"/>
        <v>0</v>
      </c>
      <c r="BM30" s="275"/>
      <c r="BN30" s="275"/>
      <c r="BO30" s="275"/>
      <c r="BP30" s="274">
        <f t="shared" si="6"/>
        <v>0</v>
      </c>
      <c r="BQ30" s="248">
        <f>+'REKAPAN CHAMP SAPI'!AC27</f>
        <v>0</v>
      </c>
      <c r="BR30" s="268" t="e">
        <f t="shared" si="53"/>
        <v>#DIV/0!</v>
      </c>
      <c r="BS30" s="252" t="e">
        <f t="shared" si="41"/>
        <v>#DIV/0!</v>
      </c>
      <c r="BU30" s="247">
        <f t="shared" si="42"/>
        <v>46227</v>
      </c>
      <c r="BV30" s="248"/>
      <c r="BW30" s="248"/>
      <c r="BX30" s="248"/>
      <c r="BY30" s="248"/>
      <c r="BZ30" s="248"/>
      <c r="CA30" s="248"/>
      <c r="CB30" s="248"/>
      <c r="CC30" s="248"/>
      <c r="CD30" s="248"/>
      <c r="CE30" s="248"/>
      <c r="CF30" s="248"/>
      <c r="CG30" s="248"/>
      <c r="CH30" s="248"/>
      <c r="CI30" s="248"/>
      <c r="CJ30" s="249">
        <f t="shared" si="50"/>
        <v>0</v>
      </c>
      <c r="CK30" s="250"/>
      <c r="CL30" s="250"/>
      <c r="CM30" s="250"/>
      <c r="CN30" s="251">
        <f t="shared" si="8"/>
        <v>0</v>
      </c>
      <c r="CO30" s="248">
        <f>+'REKAPAN CHAMP OTAK-OTAK'!AC27</f>
        <v>0</v>
      </c>
      <c r="CP30" s="268" t="e">
        <f t="shared" si="54"/>
        <v>#DIV/0!</v>
      </c>
      <c r="CQ30" s="252" t="e">
        <f t="shared" si="44"/>
        <v>#DIV/0!</v>
      </c>
      <c r="CS30" s="247">
        <f t="shared" si="45"/>
        <v>46227</v>
      </c>
      <c r="CT30" s="248"/>
      <c r="CU30" s="248"/>
      <c r="CV30" s="248"/>
      <c r="CW30" s="248"/>
      <c r="CX30" s="248"/>
      <c r="CY30" s="248"/>
      <c r="CZ30" s="248"/>
      <c r="DA30" s="248"/>
      <c r="DB30" s="248"/>
      <c r="DC30" s="248"/>
      <c r="DD30" s="248"/>
      <c r="DE30" s="248"/>
      <c r="DF30" s="248"/>
      <c r="DG30" s="248"/>
      <c r="DH30" s="249">
        <f t="shared" si="9"/>
        <v>0</v>
      </c>
      <c r="DI30" s="250"/>
      <c r="DJ30" s="250"/>
      <c r="DK30" s="250"/>
      <c r="DL30" s="251">
        <f t="shared" si="10"/>
        <v>0</v>
      </c>
      <c r="DM30" s="248">
        <f>+'REKAPAN CHAMP OTAK-OTAK'!AY27</f>
        <v>0</v>
      </c>
      <c r="DN30" s="268" t="e">
        <f t="shared" si="55"/>
        <v>#DIV/0!</v>
      </c>
      <c r="DO30" s="252" t="e">
        <f t="shared" si="47"/>
        <v>#DIV/0!</v>
      </c>
      <c r="DQ30" s="248">
        <f t="shared" si="11"/>
        <v>5.5</v>
      </c>
      <c r="DR30" s="248">
        <f t="shared" si="12"/>
        <v>0</v>
      </c>
      <c r="DS30" s="248">
        <f t="shared" si="13"/>
        <v>6</v>
      </c>
      <c r="DT30" s="248">
        <f t="shared" si="14"/>
        <v>4</v>
      </c>
      <c r="DU30" s="248">
        <f t="shared" si="15"/>
        <v>2</v>
      </c>
      <c r="DV30" s="248">
        <f t="shared" si="16"/>
        <v>3.5</v>
      </c>
      <c r="DW30" s="248">
        <f t="shared" si="17"/>
        <v>3</v>
      </c>
      <c r="DX30" s="248">
        <f t="shared" si="18"/>
        <v>0</v>
      </c>
      <c r="DY30" s="248">
        <f t="shared" si="19"/>
        <v>5</v>
      </c>
      <c r="DZ30" s="248">
        <f t="shared" si="20"/>
        <v>5.5</v>
      </c>
      <c r="EA30" s="248">
        <f t="shared" si="21"/>
        <v>2.5</v>
      </c>
      <c r="EB30" s="248">
        <f t="shared" si="22"/>
        <v>2</v>
      </c>
      <c r="EC30" s="248">
        <f t="shared" si="23"/>
        <v>8</v>
      </c>
      <c r="ED30" s="248">
        <f t="shared" si="24"/>
        <v>5</v>
      </c>
      <c r="EE30" s="249">
        <f t="shared" si="25"/>
        <v>52</v>
      </c>
      <c r="EF30" s="248">
        <f t="shared" si="26"/>
        <v>27</v>
      </c>
      <c r="EG30" s="248">
        <f t="shared" si="27"/>
        <v>0</v>
      </c>
      <c r="EH30" s="248">
        <f t="shared" si="28"/>
        <v>0</v>
      </c>
      <c r="EI30" s="251">
        <f t="shared" si="29"/>
        <v>79</v>
      </c>
      <c r="EJ30" s="282">
        <f t="shared" si="30"/>
        <v>14208.12</v>
      </c>
      <c r="EK30" s="291">
        <f t="shared" si="56"/>
        <v>3.6598789987697172E-3</v>
      </c>
      <c r="EL30" s="291">
        <f t="shared" si="49"/>
        <v>1.9003217878227378E-3</v>
      </c>
    </row>
    <row r="31" spans="1:142">
      <c r="A31" s="247">
        <f t="shared" si="31"/>
        <v>46228</v>
      </c>
      <c r="B31" s="273">
        <f>0.5+1+2+1+1</f>
        <v>5.5</v>
      </c>
      <c r="C31" s="273"/>
      <c r="D31" s="273">
        <v>1</v>
      </c>
      <c r="E31" s="273">
        <v>1</v>
      </c>
      <c r="F31" s="273">
        <f>0.5+0.5+1</f>
        <v>2</v>
      </c>
      <c r="G31" s="273">
        <f>0.5+1+1+1+1</f>
        <v>4.5</v>
      </c>
      <c r="H31" s="273">
        <f>1+1+1</f>
        <v>3</v>
      </c>
      <c r="I31" s="273"/>
      <c r="J31" s="273">
        <v>1</v>
      </c>
      <c r="K31" s="273">
        <f>0.5+0.5+0.5+1+1</f>
        <v>3.5</v>
      </c>
      <c r="L31" s="273">
        <f>0.5+0.5+1+1</f>
        <v>3</v>
      </c>
      <c r="M31" s="273">
        <f>0.5+1+1</f>
        <v>2.5</v>
      </c>
      <c r="N31" s="273">
        <f>0.5+1+1</f>
        <v>2.5</v>
      </c>
      <c r="O31" s="273">
        <f>0.5+0.5</f>
        <v>1</v>
      </c>
      <c r="P31" s="274">
        <f t="shared" si="32"/>
        <v>30.5</v>
      </c>
      <c r="Q31" s="275">
        <f>3+2.5+1.5+3.5+3+3.5+6+4</f>
        <v>27</v>
      </c>
      <c r="R31" s="275"/>
      <c r="S31" s="275"/>
      <c r="T31" s="274">
        <f t="shared" si="3"/>
        <v>57.5</v>
      </c>
      <c r="U31" s="248">
        <f>+'REKAPAN OKEY AYAM'!AC28</f>
        <v>12629.44</v>
      </c>
      <c r="V31" s="268">
        <f t="shared" si="0"/>
        <v>2.4149922720247295E-3</v>
      </c>
      <c r="W31" s="252">
        <f t="shared" si="33"/>
        <v>2.1378620113005802E-3</v>
      </c>
      <c r="Y31" s="247">
        <f t="shared" si="34"/>
        <v>46228</v>
      </c>
      <c r="Z31" s="278"/>
      <c r="AA31" s="278"/>
      <c r="AB31" s="278"/>
      <c r="AC31" s="278"/>
      <c r="AD31" s="278"/>
      <c r="AE31" s="278"/>
      <c r="AF31" s="278"/>
      <c r="AG31" s="278"/>
      <c r="AH31" s="278"/>
      <c r="AI31" s="278"/>
      <c r="AJ31" s="278"/>
      <c r="AK31" s="278"/>
      <c r="AL31" s="278"/>
      <c r="AM31" s="278"/>
      <c r="AN31" s="249">
        <f t="shared" si="35"/>
        <v>0</v>
      </c>
      <c r="AO31" s="250"/>
      <c r="AP31" s="250"/>
      <c r="AQ31" s="250"/>
      <c r="AR31" s="251">
        <f t="shared" si="5"/>
        <v>0</v>
      </c>
      <c r="AS31" s="248">
        <f>+'REKAPAN CHAMP AYAM'!AC28</f>
        <v>0</v>
      </c>
      <c r="AT31" s="268" t="e">
        <f t="shared" si="52"/>
        <v>#DIV/0!</v>
      </c>
      <c r="AU31" s="252" t="e">
        <f t="shared" si="37"/>
        <v>#DIV/0!</v>
      </c>
      <c r="AW31" s="247">
        <f t="shared" si="38"/>
        <v>46228</v>
      </c>
      <c r="AX31" s="273"/>
      <c r="AY31" s="273"/>
      <c r="AZ31" s="273"/>
      <c r="BA31" s="273"/>
      <c r="BB31" s="273"/>
      <c r="BC31" s="273"/>
      <c r="BD31" s="273"/>
      <c r="BE31" s="273"/>
      <c r="BF31" s="273"/>
      <c r="BG31" s="273"/>
      <c r="BH31" s="273"/>
      <c r="BI31" s="273"/>
      <c r="BJ31" s="273"/>
      <c r="BK31" s="273"/>
      <c r="BL31" s="274">
        <f t="shared" si="39"/>
        <v>0</v>
      </c>
      <c r="BM31" s="275"/>
      <c r="BN31" s="275"/>
      <c r="BO31" s="275"/>
      <c r="BP31" s="274">
        <f t="shared" si="6"/>
        <v>0</v>
      </c>
      <c r="BQ31" s="248">
        <f>+'REKAPAN CHAMP SAPI'!AC28</f>
        <v>0</v>
      </c>
      <c r="BR31" s="268" t="e">
        <f t="shared" si="53"/>
        <v>#DIV/0!</v>
      </c>
      <c r="BS31" s="252" t="e">
        <f t="shared" si="41"/>
        <v>#DIV/0!</v>
      </c>
      <c r="BU31" s="247">
        <f t="shared" si="42"/>
        <v>46228</v>
      </c>
      <c r="BV31" s="248"/>
      <c r="BW31" s="248"/>
      <c r="BX31" s="248"/>
      <c r="BY31" s="248"/>
      <c r="BZ31" s="248"/>
      <c r="CA31" s="248"/>
      <c r="CB31" s="248"/>
      <c r="CC31" s="248"/>
      <c r="CD31" s="248"/>
      <c r="CE31" s="248"/>
      <c r="CF31" s="248"/>
      <c r="CG31" s="248"/>
      <c r="CH31" s="248"/>
      <c r="CI31" s="248"/>
      <c r="CJ31" s="249">
        <f t="shared" si="50"/>
        <v>0</v>
      </c>
      <c r="CK31" s="250"/>
      <c r="CL31" s="250"/>
      <c r="CM31" s="250"/>
      <c r="CN31" s="251">
        <f t="shared" si="8"/>
        <v>0</v>
      </c>
      <c r="CO31" s="248">
        <f>+'REKAPAN CHAMP OTAK-OTAK'!AC28</f>
        <v>0</v>
      </c>
      <c r="CP31" s="268" t="e">
        <f t="shared" si="54"/>
        <v>#DIV/0!</v>
      </c>
      <c r="CQ31" s="252" t="e">
        <f t="shared" si="44"/>
        <v>#DIV/0!</v>
      </c>
      <c r="CS31" s="247">
        <f t="shared" si="45"/>
        <v>46228</v>
      </c>
      <c r="CT31" s="248"/>
      <c r="CU31" s="248"/>
      <c r="CV31" s="248"/>
      <c r="CW31" s="248"/>
      <c r="CX31" s="248"/>
      <c r="CY31" s="248"/>
      <c r="CZ31" s="248"/>
      <c r="DA31" s="248"/>
      <c r="DB31" s="248"/>
      <c r="DC31" s="248"/>
      <c r="DD31" s="248"/>
      <c r="DE31" s="248"/>
      <c r="DF31" s="248"/>
      <c r="DG31" s="248"/>
      <c r="DH31" s="249">
        <f t="shared" si="9"/>
        <v>0</v>
      </c>
      <c r="DI31" s="250"/>
      <c r="DJ31" s="250"/>
      <c r="DK31" s="250"/>
      <c r="DL31" s="251">
        <f t="shared" si="10"/>
        <v>0</v>
      </c>
      <c r="DM31" s="248">
        <f>+'REKAPAN CHAMP OTAK-OTAK'!AY28</f>
        <v>0</v>
      </c>
      <c r="DN31" s="268" t="e">
        <f>+DH31/DM31</f>
        <v>#DIV/0!</v>
      </c>
      <c r="DO31" s="252" t="e">
        <f>+DI31/DM31</f>
        <v>#DIV/0!</v>
      </c>
      <c r="DQ31" s="248">
        <f t="shared" si="11"/>
        <v>5.5</v>
      </c>
      <c r="DR31" s="248">
        <f t="shared" si="12"/>
        <v>0</v>
      </c>
      <c r="DS31" s="248">
        <f t="shared" si="13"/>
        <v>1</v>
      </c>
      <c r="DT31" s="248">
        <f t="shared" si="14"/>
        <v>1</v>
      </c>
      <c r="DU31" s="248">
        <f t="shared" si="15"/>
        <v>2</v>
      </c>
      <c r="DV31" s="248">
        <f t="shared" si="16"/>
        <v>4.5</v>
      </c>
      <c r="DW31" s="248">
        <f t="shared" si="17"/>
        <v>3</v>
      </c>
      <c r="DX31" s="248">
        <f t="shared" si="18"/>
        <v>0</v>
      </c>
      <c r="DY31" s="248">
        <f t="shared" si="19"/>
        <v>1</v>
      </c>
      <c r="DZ31" s="248">
        <f t="shared" si="20"/>
        <v>3.5</v>
      </c>
      <c r="EA31" s="248">
        <f>+L31+AJ31+BH31+CF31+DD31</f>
        <v>3</v>
      </c>
      <c r="EB31" s="248">
        <f t="shared" si="22"/>
        <v>2.5</v>
      </c>
      <c r="EC31" s="248">
        <f t="shared" si="23"/>
        <v>2.5</v>
      </c>
      <c r="ED31" s="248">
        <f t="shared" si="24"/>
        <v>1</v>
      </c>
      <c r="EE31" s="249">
        <f t="shared" si="25"/>
        <v>30.5</v>
      </c>
      <c r="EF31" s="248">
        <f t="shared" si="26"/>
        <v>27</v>
      </c>
      <c r="EG31" s="248">
        <f t="shared" si="27"/>
        <v>0</v>
      </c>
      <c r="EH31" s="248">
        <f t="shared" si="28"/>
        <v>0</v>
      </c>
      <c r="EI31" s="251">
        <f t="shared" si="29"/>
        <v>57.5</v>
      </c>
      <c r="EJ31" s="282">
        <f>+U31+AS31+BQ31+CO31+DM31</f>
        <v>12629.44</v>
      </c>
      <c r="EK31" s="291">
        <f t="shared" si="56"/>
        <v>2.4149922720247295E-3</v>
      </c>
      <c r="EL31" s="291">
        <f t="shared" si="49"/>
        <v>2.1378620113005802E-3</v>
      </c>
    </row>
    <row r="32" spans="1:142">
      <c r="A32" s="247">
        <f t="shared" si="31"/>
        <v>46229</v>
      </c>
      <c r="B32" s="273"/>
      <c r="C32" s="273"/>
      <c r="D32" s="273"/>
      <c r="E32" s="273"/>
      <c r="F32" s="273"/>
      <c r="G32" s="273"/>
      <c r="H32" s="273"/>
      <c r="I32" s="273"/>
      <c r="J32" s="273"/>
      <c r="K32" s="273"/>
      <c r="L32" s="273"/>
      <c r="M32" s="273"/>
      <c r="N32" s="273"/>
      <c r="O32" s="273"/>
      <c r="P32" s="274">
        <f t="shared" si="32"/>
        <v>0</v>
      </c>
      <c r="Q32" s="275"/>
      <c r="R32" s="275"/>
      <c r="S32" s="275"/>
      <c r="T32" s="274">
        <f t="shared" si="3"/>
        <v>0</v>
      </c>
      <c r="U32" s="248">
        <f>+'REKAPAN OKEY AYAM'!AC29</f>
        <v>0</v>
      </c>
      <c r="V32" s="268" t="e">
        <f t="shared" si="0"/>
        <v>#DIV/0!</v>
      </c>
      <c r="W32" s="252" t="e">
        <f t="shared" si="33"/>
        <v>#DIV/0!</v>
      </c>
      <c r="Y32" s="247">
        <f t="shared" si="34"/>
        <v>46229</v>
      </c>
      <c r="Z32" s="278"/>
      <c r="AA32" s="278"/>
      <c r="AB32" s="278"/>
      <c r="AC32" s="278"/>
      <c r="AD32" s="278"/>
      <c r="AE32" s="278"/>
      <c r="AF32" s="278"/>
      <c r="AG32" s="278"/>
      <c r="AH32" s="278"/>
      <c r="AI32" s="278"/>
      <c r="AJ32" s="278"/>
      <c r="AK32" s="278"/>
      <c r="AL32" s="278"/>
      <c r="AM32" s="278"/>
      <c r="AN32" s="249">
        <f t="shared" si="35"/>
        <v>0</v>
      </c>
      <c r="AO32" s="250"/>
      <c r="AP32" s="250"/>
      <c r="AQ32" s="250"/>
      <c r="AR32" s="251">
        <f t="shared" si="5"/>
        <v>0</v>
      </c>
      <c r="AS32" s="248">
        <f>+'REKAPAN CHAMP AYAM'!AC29</f>
        <v>0</v>
      </c>
      <c r="AT32" s="268" t="e">
        <f t="shared" si="52"/>
        <v>#DIV/0!</v>
      </c>
      <c r="AU32" s="252" t="e">
        <f t="shared" si="37"/>
        <v>#DIV/0!</v>
      </c>
      <c r="AW32" s="247">
        <f t="shared" si="38"/>
        <v>46229</v>
      </c>
      <c r="AX32" s="273"/>
      <c r="AY32" s="273"/>
      <c r="AZ32" s="273"/>
      <c r="BA32" s="273"/>
      <c r="BB32" s="273"/>
      <c r="BC32" s="273"/>
      <c r="BD32" s="273"/>
      <c r="BE32" s="273"/>
      <c r="BF32" s="273"/>
      <c r="BG32" s="273"/>
      <c r="BH32" s="273"/>
      <c r="BI32" s="273"/>
      <c r="BJ32" s="273"/>
      <c r="BK32" s="273"/>
      <c r="BL32" s="274">
        <f t="shared" si="39"/>
        <v>0</v>
      </c>
      <c r="BM32" s="275"/>
      <c r="BN32" s="275"/>
      <c r="BO32" s="275"/>
      <c r="BP32" s="274">
        <f t="shared" si="6"/>
        <v>0</v>
      </c>
      <c r="BQ32" s="248">
        <f>+'REKAPAN CHAMP SAPI'!AC29</f>
        <v>0</v>
      </c>
      <c r="BR32" s="268" t="e">
        <f t="shared" si="53"/>
        <v>#DIV/0!</v>
      </c>
      <c r="BS32" s="252" t="e">
        <f t="shared" si="41"/>
        <v>#DIV/0!</v>
      </c>
      <c r="BU32" s="247">
        <f t="shared" si="42"/>
        <v>46229</v>
      </c>
      <c r="BV32" s="248"/>
      <c r="BW32" s="248"/>
      <c r="BX32" s="248"/>
      <c r="BY32" s="248"/>
      <c r="BZ32" s="248"/>
      <c r="CA32" s="248"/>
      <c r="CB32" s="248"/>
      <c r="CC32" s="248"/>
      <c r="CD32" s="248"/>
      <c r="CE32" s="248"/>
      <c r="CF32" s="248"/>
      <c r="CG32" s="248"/>
      <c r="CH32" s="248"/>
      <c r="CI32" s="248"/>
      <c r="CJ32" s="249">
        <f t="shared" si="50"/>
        <v>0</v>
      </c>
      <c r="CK32" s="250"/>
      <c r="CL32" s="250"/>
      <c r="CM32" s="250"/>
      <c r="CN32" s="251">
        <f t="shared" si="8"/>
        <v>0</v>
      </c>
      <c r="CO32" s="248">
        <f>+'REKAPAN CHAMP OTAK-OTAK'!AC29</f>
        <v>0</v>
      </c>
      <c r="CP32" s="268" t="e">
        <f t="shared" si="54"/>
        <v>#DIV/0!</v>
      </c>
      <c r="CQ32" s="252" t="e">
        <f t="shared" si="44"/>
        <v>#DIV/0!</v>
      </c>
      <c r="CS32" s="247">
        <f t="shared" si="45"/>
        <v>46229</v>
      </c>
      <c r="CT32" s="248"/>
      <c r="CU32" s="248"/>
      <c r="CV32" s="248"/>
      <c r="CW32" s="248"/>
      <c r="CX32" s="248"/>
      <c r="CY32" s="248"/>
      <c r="CZ32" s="248"/>
      <c r="DA32" s="248"/>
      <c r="DB32" s="248"/>
      <c r="DC32" s="248"/>
      <c r="DD32" s="248"/>
      <c r="DE32" s="248"/>
      <c r="DF32" s="248"/>
      <c r="DG32" s="248"/>
      <c r="DH32" s="249">
        <f t="shared" si="9"/>
        <v>0</v>
      </c>
      <c r="DI32" s="250"/>
      <c r="DJ32" s="250"/>
      <c r="DK32" s="250"/>
      <c r="DL32" s="251">
        <f t="shared" si="10"/>
        <v>0</v>
      </c>
      <c r="DM32" s="248">
        <f>+'REKAPAN CHAMP OTAK-OTAK'!AY29</f>
        <v>0</v>
      </c>
      <c r="DN32" s="268" t="e">
        <f t="shared" si="55"/>
        <v>#DIV/0!</v>
      </c>
      <c r="DO32" s="252" t="e">
        <f t="shared" si="47"/>
        <v>#DIV/0!</v>
      </c>
      <c r="DQ32" s="248">
        <f t="shared" si="11"/>
        <v>0</v>
      </c>
      <c r="DR32" s="248">
        <f t="shared" si="12"/>
        <v>0</v>
      </c>
      <c r="DS32" s="248">
        <f t="shared" si="13"/>
        <v>0</v>
      </c>
      <c r="DT32" s="248">
        <f t="shared" si="14"/>
        <v>0</v>
      </c>
      <c r="DU32" s="248">
        <f t="shared" si="15"/>
        <v>0</v>
      </c>
      <c r="DV32" s="248">
        <f t="shared" si="16"/>
        <v>0</v>
      </c>
      <c r="DW32" s="248">
        <f t="shared" si="17"/>
        <v>0</v>
      </c>
      <c r="DX32" s="248">
        <f t="shared" si="18"/>
        <v>0</v>
      </c>
      <c r="DY32" s="248">
        <f t="shared" si="19"/>
        <v>0</v>
      </c>
      <c r="DZ32" s="248">
        <f t="shared" si="20"/>
        <v>0</v>
      </c>
      <c r="EA32" s="248">
        <f t="shared" si="21"/>
        <v>0</v>
      </c>
      <c r="EB32" s="248">
        <f t="shared" si="22"/>
        <v>0</v>
      </c>
      <c r="EC32" s="248">
        <f t="shared" si="23"/>
        <v>0</v>
      </c>
      <c r="ED32" s="248">
        <f t="shared" si="24"/>
        <v>0</v>
      </c>
      <c r="EE32" s="249">
        <f t="shared" si="25"/>
        <v>0</v>
      </c>
      <c r="EF32" s="248">
        <f t="shared" si="26"/>
        <v>0</v>
      </c>
      <c r="EG32" s="248">
        <f t="shared" si="27"/>
        <v>0</v>
      </c>
      <c r="EH32" s="248">
        <f t="shared" si="28"/>
        <v>0</v>
      </c>
      <c r="EI32" s="251">
        <f t="shared" si="29"/>
        <v>0</v>
      </c>
      <c r="EJ32" s="282">
        <f t="shared" si="30"/>
        <v>0</v>
      </c>
      <c r="EK32" s="291" t="e">
        <f t="shared" si="56"/>
        <v>#DIV/0!</v>
      </c>
      <c r="EL32" s="291" t="e">
        <f t="shared" si="49"/>
        <v>#DIV/0!</v>
      </c>
    </row>
    <row r="33" spans="1:142">
      <c r="A33" s="247">
        <f t="shared" si="31"/>
        <v>46230</v>
      </c>
      <c r="B33" s="273"/>
      <c r="C33" s="273"/>
      <c r="D33" s="273"/>
      <c r="E33" s="273"/>
      <c r="F33" s="273"/>
      <c r="G33" s="273"/>
      <c r="H33" s="273"/>
      <c r="I33" s="273"/>
      <c r="J33" s="273"/>
      <c r="K33" s="273"/>
      <c r="L33" s="273"/>
      <c r="M33" s="273"/>
      <c r="N33" s="273"/>
      <c r="O33" s="273"/>
      <c r="P33" s="274">
        <f t="shared" si="32"/>
        <v>0</v>
      </c>
      <c r="Q33" s="275"/>
      <c r="R33" s="275"/>
      <c r="S33" s="275"/>
      <c r="T33" s="274">
        <f t="shared" si="3"/>
        <v>0</v>
      </c>
      <c r="U33" s="248">
        <f>+'REKAPAN OKEY AYAM'!AC30</f>
        <v>0</v>
      </c>
      <c r="V33" s="268" t="e">
        <f t="shared" si="0"/>
        <v>#DIV/0!</v>
      </c>
      <c r="W33" s="252" t="e">
        <f t="shared" si="33"/>
        <v>#DIV/0!</v>
      </c>
      <c r="Y33" s="247">
        <f t="shared" si="34"/>
        <v>46230</v>
      </c>
      <c r="Z33" s="278"/>
      <c r="AA33" s="278"/>
      <c r="AB33" s="278"/>
      <c r="AC33" s="278"/>
      <c r="AD33" s="278"/>
      <c r="AE33" s="278"/>
      <c r="AF33" s="278"/>
      <c r="AG33" s="278"/>
      <c r="AH33" s="278"/>
      <c r="AI33" s="278"/>
      <c r="AJ33" s="278"/>
      <c r="AK33" s="278"/>
      <c r="AL33" s="278"/>
      <c r="AM33" s="278"/>
      <c r="AN33" s="249">
        <f t="shared" si="35"/>
        <v>0</v>
      </c>
      <c r="AO33" s="250"/>
      <c r="AP33" s="250"/>
      <c r="AQ33" s="250"/>
      <c r="AR33" s="251">
        <f t="shared" si="5"/>
        <v>0</v>
      </c>
      <c r="AS33" s="248">
        <f>+'REKAPAN CHAMP AYAM'!AC30</f>
        <v>0</v>
      </c>
      <c r="AT33" s="268" t="e">
        <f t="shared" si="52"/>
        <v>#DIV/0!</v>
      </c>
      <c r="AU33" s="252" t="e">
        <f t="shared" si="37"/>
        <v>#DIV/0!</v>
      </c>
      <c r="AW33" s="247">
        <f t="shared" si="38"/>
        <v>46230</v>
      </c>
      <c r="AX33" s="273"/>
      <c r="AY33" s="273"/>
      <c r="AZ33" s="273"/>
      <c r="BA33" s="273"/>
      <c r="BB33" s="273"/>
      <c r="BC33" s="273"/>
      <c r="BD33" s="273"/>
      <c r="BE33" s="273"/>
      <c r="BF33" s="273"/>
      <c r="BG33" s="273"/>
      <c r="BH33" s="273"/>
      <c r="BI33" s="273"/>
      <c r="BJ33" s="273"/>
      <c r="BK33" s="273"/>
      <c r="BL33" s="274">
        <f t="shared" ref="BL33:BL40" si="57">SUM(AX33:BK33)</f>
        <v>0</v>
      </c>
      <c r="BM33" s="275"/>
      <c r="BN33" s="275"/>
      <c r="BO33" s="275"/>
      <c r="BP33" s="274">
        <f t="shared" si="6"/>
        <v>0</v>
      </c>
      <c r="BQ33" s="248">
        <f>+'REKAPAN CHAMP SAPI'!AC30</f>
        <v>0</v>
      </c>
      <c r="BR33" s="268" t="e">
        <f t="shared" si="53"/>
        <v>#DIV/0!</v>
      </c>
      <c r="BS33" s="252" t="e">
        <f t="shared" si="41"/>
        <v>#DIV/0!</v>
      </c>
      <c r="BU33" s="247">
        <f t="shared" si="42"/>
        <v>46230</v>
      </c>
      <c r="BV33" s="248"/>
      <c r="BW33" s="248"/>
      <c r="BX33" s="248"/>
      <c r="BY33" s="248"/>
      <c r="BZ33" s="248"/>
      <c r="CA33" s="248"/>
      <c r="CB33" s="248"/>
      <c r="CC33" s="248"/>
      <c r="CD33" s="248"/>
      <c r="CE33" s="248"/>
      <c r="CF33" s="248"/>
      <c r="CG33" s="248"/>
      <c r="CH33" s="248"/>
      <c r="CI33" s="248"/>
      <c r="CJ33" s="249">
        <f t="shared" si="50"/>
        <v>0</v>
      </c>
      <c r="CK33" s="250"/>
      <c r="CL33" s="250"/>
      <c r="CM33" s="250"/>
      <c r="CN33" s="251">
        <f t="shared" si="8"/>
        <v>0</v>
      </c>
      <c r="CO33" s="248">
        <f>+'REKAPAN CHAMP OTAK-OTAK'!AC30</f>
        <v>0</v>
      </c>
      <c r="CP33" s="268" t="e">
        <f t="shared" si="54"/>
        <v>#DIV/0!</v>
      </c>
      <c r="CQ33" s="252" t="e">
        <f t="shared" si="44"/>
        <v>#DIV/0!</v>
      </c>
      <c r="CS33" s="247">
        <f t="shared" si="45"/>
        <v>46230</v>
      </c>
      <c r="CT33" s="248"/>
      <c r="CU33" s="248"/>
      <c r="CV33" s="248"/>
      <c r="CW33" s="248"/>
      <c r="CX33" s="248"/>
      <c r="CY33" s="248"/>
      <c r="CZ33" s="248"/>
      <c r="DA33" s="248"/>
      <c r="DB33" s="248"/>
      <c r="DC33" s="248"/>
      <c r="DD33" s="248"/>
      <c r="DE33" s="248"/>
      <c r="DF33" s="248"/>
      <c r="DG33" s="248"/>
      <c r="DH33" s="249">
        <f t="shared" si="9"/>
        <v>0</v>
      </c>
      <c r="DI33" s="250"/>
      <c r="DJ33" s="250"/>
      <c r="DK33" s="250"/>
      <c r="DL33" s="251">
        <f t="shared" si="10"/>
        <v>0</v>
      </c>
      <c r="DM33" s="248">
        <f>+'REKAPAN CHAMP OTAK-OTAK'!AY30</f>
        <v>0</v>
      </c>
      <c r="DN33" s="268" t="e">
        <f t="shared" si="55"/>
        <v>#DIV/0!</v>
      </c>
      <c r="DO33" s="252" t="e">
        <f t="shared" si="47"/>
        <v>#DIV/0!</v>
      </c>
      <c r="DQ33" s="248">
        <f t="shared" si="11"/>
        <v>0</v>
      </c>
      <c r="DR33" s="248">
        <f t="shared" si="12"/>
        <v>0</v>
      </c>
      <c r="DS33" s="248">
        <f t="shared" si="13"/>
        <v>0</v>
      </c>
      <c r="DT33" s="248">
        <f t="shared" si="14"/>
        <v>0</v>
      </c>
      <c r="DU33" s="248">
        <f t="shared" si="15"/>
        <v>0</v>
      </c>
      <c r="DV33" s="248">
        <f t="shared" si="16"/>
        <v>0</v>
      </c>
      <c r="DW33" s="248">
        <f t="shared" si="17"/>
        <v>0</v>
      </c>
      <c r="DX33" s="248">
        <f t="shared" si="18"/>
        <v>0</v>
      </c>
      <c r="DY33" s="248">
        <f t="shared" si="19"/>
        <v>0</v>
      </c>
      <c r="DZ33" s="248">
        <f t="shared" si="20"/>
        <v>0</v>
      </c>
      <c r="EA33" s="248">
        <f t="shared" si="21"/>
        <v>0</v>
      </c>
      <c r="EB33" s="248">
        <f t="shared" si="22"/>
        <v>0</v>
      </c>
      <c r="EC33" s="248">
        <f t="shared" si="23"/>
        <v>0</v>
      </c>
      <c r="ED33" s="248">
        <f t="shared" si="24"/>
        <v>0</v>
      </c>
      <c r="EE33" s="249">
        <f t="shared" si="25"/>
        <v>0</v>
      </c>
      <c r="EF33" s="248">
        <f t="shared" si="26"/>
        <v>0</v>
      </c>
      <c r="EG33" s="248">
        <f t="shared" si="27"/>
        <v>0</v>
      </c>
      <c r="EH33" s="248">
        <f t="shared" si="28"/>
        <v>0</v>
      </c>
      <c r="EI33" s="251">
        <f t="shared" si="29"/>
        <v>0</v>
      </c>
      <c r="EJ33" s="282">
        <f t="shared" si="30"/>
        <v>0</v>
      </c>
      <c r="EK33" s="291" t="e">
        <f t="shared" si="56"/>
        <v>#DIV/0!</v>
      </c>
      <c r="EL33" s="291" t="e">
        <f t="shared" si="49"/>
        <v>#DIV/0!</v>
      </c>
    </row>
    <row r="34" spans="1:142">
      <c r="A34" s="247">
        <f t="shared" si="31"/>
        <v>46231</v>
      </c>
      <c r="B34" s="273"/>
      <c r="C34" s="273"/>
      <c r="D34" s="273"/>
      <c r="E34" s="273"/>
      <c r="F34" s="273"/>
      <c r="G34" s="273"/>
      <c r="H34" s="273"/>
      <c r="I34" s="273"/>
      <c r="J34" s="273"/>
      <c r="K34" s="273"/>
      <c r="L34" s="273"/>
      <c r="M34" s="273"/>
      <c r="N34" s="273"/>
      <c r="O34" s="273"/>
      <c r="P34" s="274">
        <f t="shared" si="32"/>
        <v>0</v>
      </c>
      <c r="Q34" s="275"/>
      <c r="R34" s="275"/>
      <c r="S34" s="275"/>
      <c r="T34" s="274">
        <f t="shared" si="3"/>
        <v>0</v>
      </c>
      <c r="U34" s="248">
        <f>+'REKAPAN OKEY AYAM'!AC31</f>
        <v>0</v>
      </c>
      <c r="V34" s="268" t="e">
        <f t="shared" si="0"/>
        <v>#DIV/0!</v>
      </c>
      <c r="W34" s="252" t="e">
        <f t="shared" si="33"/>
        <v>#DIV/0!</v>
      </c>
      <c r="Y34" s="247">
        <f t="shared" si="34"/>
        <v>46231</v>
      </c>
      <c r="Z34" s="278"/>
      <c r="AA34" s="278"/>
      <c r="AB34" s="278"/>
      <c r="AC34" s="278"/>
      <c r="AD34" s="278"/>
      <c r="AE34" s="278"/>
      <c r="AF34" s="278"/>
      <c r="AG34" s="278"/>
      <c r="AH34" s="278"/>
      <c r="AI34" s="278"/>
      <c r="AJ34" s="278"/>
      <c r="AK34" s="278"/>
      <c r="AL34" s="278"/>
      <c r="AM34" s="278"/>
      <c r="AN34" s="249">
        <f t="shared" si="35"/>
        <v>0</v>
      </c>
      <c r="AO34" s="250"/>
      <c r="AP34" s="250"/>
      <c r="AQ34" s="250"/>
      <c r="AR34" s="251">
        <f t="shared" si="5"/>
        <v>0</v>
      </c>
      <c r="AS34" s="248">
        <f>+'REKAPAN CHAMP AYAM'!AC31</f>
        <v>0</v>
      </c>
      <c r="AT34" s="268" t="e">
        <f t="shared" si="52"/>
        <v>#DIV/0!</v>
      </c>
      <c r="AU34" s="252" t="e">
        <f t="shared" si="37"/>
        <v>#DIV/0!</v>
      </c>
      <c r="AW34" s="247">
        <f t="shared" si="38"/>
        <v>46231</v>
      </c>
      <c r="AX34" s="273"/>
      <c r="AY34" s="273"/>
      <c r="AZ34" s="273"/>
      <c r="BA34" s="273"/>
      <c r="BB34" s="273"/>
      <c r="BC34" s="273"/>
      <c r="BD34" s="273"/>
      <c r="BE34" s="273"/>
      <c r="BF34" s="273"/>
      <c r="BG34" s="273"/>
      <c r="BH34" s="273"/>
      <c r="BI34" s="273"/>
      <c r="BJ34" s="273"/>
      <c r="BK34" s="273"/>
      <c r="BL34" s="274">
        <f t="shared" si="57"/>
        <v>0</v>
      </c>
      <c r="BM34" s="275"/>
      <c r="BN34" s="275"/>
      <c r="BO34" s="275"/>
      <c r="BP34" s="274">
        <f t="shared" si="6"/>
        <v>0</v>
      </c>
      <c r="BQ34" s="248">
        <f>+'REKAPAN CHAMP SAPI'!AC31</f>
        <v>0</v>
      </c>
      <c r="BR34" s="268" t="e">
        <f t="shared" si="53"/>
        <v>#DIV/0!</v>
      </c>
      <c r="BS34" s="252" t="e">
        <f t="shared" si="41"/>
        <v>#DIV/0!</v>
      </c>
      <c r="BU34" s="247">
        <f t="shared" si="42"/>
        <v>46231</v>
      </c>
      <c r="BV34" s="248"/>
      <c r="BW34" s="248"/>
      <c r="BX34" s="248"/>
      <c r="BY34" s="248"/>
      <c r="BZ34" s="248"/>
      <c r="CA34" s="248"/>
      <c r="CB34" s="248"/>
      <c r="CC34" s="248"/>
      <c r="CD34" s="248"/>
      <c r="CE34" s="248"/>
      <c r="CF34" s="248"/>
      <c r="CG34" s="248"/>
      <c r="CH34" s="248"/>
      <c r="CI34" s="248"/>
      <c r="CJ34" s="249">
        <f t="shared" si="7"/>
        <v>0</v>
      </c>
      <c r="CK34" s="250"/>
      <c r="CL34" s="250"/>
      <c r="CM34" s="250"/>
      <c r="CN34" s="251">
        <f t="shared" si="8"/>
        <v>0</v>
      </c>
      <c r="CO34" s="248">
        <f>+'REKAPAN CHAMP OTAK-OTAK'!AC31</f>
        <v>0</v>
      </c>
      <c r="CP34" s="268" t="e">
        <f t="shared" si="54"/>
        <v>#DIV/0!</v>
      </c>
      <c r="CQ34" s="252" t="e">
        <f t="shared" si="44"/>
        <v>#DIV/0!</v>
      </c>
      <c r="CS34" s="247">
        <f t="shared" si="45"/>
        <v>46231</v>
      </c>
      <c r="CT34" s="248"/>
      <c r="CU34" s="248"/>
      <c r="CV34" s="248"/>
      <c r="CW34" s="248"/>
      <c r="CX34" s="248"/>
      <c r="CY34" s="248"/>
      <c r="CZ34" s="248"/>
      <c r="DA34" s="248"/>
      <c r="DB34" s="248"/>
      <c r="DC34" s="248"/>
      <c r="DD34" s="248"/>
      <c r="DE34" s="248"/>
      <c r="DF34" s="248"/>
      <c r="DG34" s="248"/>
      <c r="DH34" s="249">
        <f t="shared" si="9"/>
        <v>0</v>
      </c>
      <c r="DI34" s="250"/>
      <c r="DJ34" s="250"/>
      <c r="DK34" s="250"/>
      <c r="DL34" s="251">
        <f t="shared" si="10"/>
        <v>0</v>
      </c>
      <c r="DM34" s="248">
        <f>+'REKAPAN CHAMP OTAK-OTAK'!AY31</f>
        <v>0</v>
      </c>
      <c r="DN34" s="268" t="e">
        <f t="shared" si="55"/>
        <v>#DIV/0!</v>
      </c>
      <c r="DO34" s="252" t="e">
        <f t="shared" si="47"/>
        <v>#DIV/0!</v>
      </c>
      <c r="DQ34" s="248">
        <f t="shared" si="11"/>
        <v>0</v>
      </c>
      <c r="DR34" s="248">
        <f t="shared" si="12"/>
        <v>0</v>
      </c>
      <c r="DS34" s="248">
        <f t="shared" si="13"/>
        <v>0</v>
      </c>
      <c r="DT34" s="248">
        <f t="shared" si="14"/>
        <v>0</v>
      </c>
      <c r="DU34" s="248">
        <f t="shared" si="15"/>
        <v>0</v>
      </c>
      <c r="DV34" s="248">
        <f t="shared" si="16"/>
        <v>0</v>
      </c>
      <c r="DW34" s="248">
        <f t="shared" si="17"/>
        <v>0</v>
      </c>
      <c r="DX34" s="248">
        <f t="shared" si="18"/>
        <v>0</v>
      </c>
      <c r="DY34" s="248">
        <f t="shared" si="19"/>
        <v>0</v>
      </c>
      <c r="DZ34" s="248">
        <f t="shared" si="20"/>
        <v>0</v>
      </c>
      <c r="EA34" s="248">
        <f t="shared" si="21"/>
        <v>0</v>
      </c>
      <c r="EB34" s="248">
        <f t="shared" si="22"/>
        <v>0</v>
      </c>
      <c r="EC34" s="248">
        <f t="shared" si="23"/>
        <v>0</v>
      </c>
      <c r="ED34" s="248">
        <f t="shared" si="24"/>
        <v>0</v>
      </c>
      <c r="EE34" s="249">
        <f t="shared" si="25"/>
        <v>0</v>
      </c>
      <c r="EF34" s="248">
        <f t="shared" si="26"/>
        <v>0</v>
      </c>
      <c r="EG34" s="248">
        <f t="shared" si="27"/>
        <v>0</v>
      </c>
      <c r="EH34" s="248">
        <f t="shared" si="28"/>
        <v>0</v>
      </c>
      <c r="EI34" s="251">
        <f t="shared" si="29"/>
        <v>0</v>
      </c>
      <c r="EJ34" s="282">
        <f t="shared" si="30"/>
        <v>0</v>
      </c>
      <c r="EK34" s="291" t="e">
        <f t="shared" si="56"/>
        <v>#DIV/0!</v>
      </c>
      <c r="EL34" s="291" t="e">
        <f t="shared" si="49"/>
        <v>#DIV/0!</v>
      </c>
    </row>
    <row r="35" spans="1:142">
      <c r="A35" s="247">
        <f t="shared" si="31"/>
        <v>46232</v>
      </c>
      <c r="B35" s="273"/>
      <c r="C35" s="273"/>
      <c r="D35" s="273"/>
      <c r="E35" s="273"/>
      <c r="F35" s="273"/>
      <c r="G35" s="273"/>
      <c r="H35" s="273"/>
      <c r="I35" s="273"/>
      <c r="J35" s="273"/>
      <c r="K35" s="273"/>
      <c r="L35" s="273"/>
      <c r="M35" s="273"/>
      <c r="N35" s="273"/>
      <c r="O35" s="273"/>
      <c r="P35" s="274">
        <f t="shared" si="32"/>
        <v>0</v>
      </c>
      <c r="Q35" s="275"/>
      <c r="R35" s="275"/>
      <c r="S35" s="275"/>
      <c r="T35" s="274">
        <f t="shared" si="3"/>
        <v>0</v>
      </c>
      <c r="U35" s="248">
        <f>+'REKAPAN OKEY AYAM'!AC32</f>
        <v>0</v>
      </c>
      <c r="V35" s="268" t="e">
        <f t="shared" si="0"/>
        <v>#DIV/0!</v>
      </c>
      <c r="W35" s="252" t="e">
        <f t="shared" si="33"/>
        <v>#DIV/0!</v>
      </c>
      <c r="Y35" s="247">
        <f t="shared" si="34"/>
        <v>46232</v>
      </c>
      <c r="Z35" s="278"/>
      <c r="AA35" s="278"/>
      <c r="AB35" s="278"/>
      <c r="AC35" s="278"/>
      <c r="AD35" s="278"/>
      <c r="AE35" s="278"/>
      <c r="AF35" s="278"/>
      <c r="AG35" s="278"/>
      <c r="AH35" s="278"/>
      <c r="AI35" s="278"/>
      <c r="AJ35" s="278"/>
      <c r="AK35" s="278"/>
      <c r="AL35" s="278"/>
      <c r="AM35" s="278"/>
      <c r="AN35" s="249">
        <f t="shared" si="35"/>
        <v>0</v>
      </c>
      <c r="AO35" s="250"/>
      <c r="AP35" s="250"/>
      <c r="AQ35" s="250"/>
      <c r="AR35" s="251">
        <f t="shared" si="5"/>
        <v>0</v>
      </c>
      <c r="AS35" s="248">
        <f>+'REKAPAN CHAMP AYAM'!AC32</f>
        <v>0</v>
      </c>
      <c r="AT35" s="268" t="e">
        <f t="shared" si="52"/>
        <v>#DIV/0!</v>
      </c>
      <c r="AU35" s="252" t="e">
        <f t="shared" si="37"/>
        <v>#DIV/0!</v>
      </c>
      <c r="AW35" s="247">
        <f t="shared" si="38"/>
        <v>46232</v>
      </c>
      <c r="AX35" s="273"/>
      <c r="AY35" s="273"/>
      <c r="AZ35" s="273"/>
      <c r="BA35" s="273"/>
      <c r="BB35" s="273"/>
      <c r="BC35" s="273"/>
      <c r="BD35" s="273"/>
      <c r="BE35" s="273"/>
      <c r="BF35" s="273"/>
      <c r="BG35" s="273"/>
      <c r="BH35" s="273"/>
      <c r="BI35" s="273"/>
      <c r="BJ35" s="273"/>
      <c r="BK35" s="273"/>
      <c r="BL35" s="274">
        <f t="shared" si="57"/>
        <v>0</v>
      </c>
      <c r="BM35" s="275"/>
      <c r="BN35" s="275"/>
      <c r="BO35" s="275"/>
      <c r="BP35" s="274">
        <f t="shared" si="6"/>
        <v>0</v>
      </c>
      <c r="BQ35" s="248">
        <f>+'REKAPAN CHAMP SAPI'!AC32</f>
        <v>0</v>
      </c>
      <c r="BR35" s="268" t="e">
        <f t="shared" si="53"/>
        <v>#DIV/0!</v>
      </c>
      <c r="BS35" s="252" t="e">
        <f t="shared" si="41"/>
        <v>#DIV/0!</v>
      </c>
      <c r="BU35" s="247">
        <f t="shared" si="42"/>
        <v>46232</v>
      </c>
      <c r="BV35" s="248"/>
      <c r="BW35" s="248"/>
      <c r="BX35" s="248"/>
      <c r="BY35" s="248"/>
      <c r="BZ35" s="248"/>
      <c r="CA35" s="248"/>
      <c r="CB35" s="248"/>
      <c r="CC35" s="248"/>
      <c r="CD35" s="248"/>
      <c r="CE35" s="248"/>
      <c r="CF35" s="248"/>
      <c r="CG35" s="248"/>
      <c r="CH35" s="248"/>
      <c r="CI35" s="248"/>
      <c r="CJ35" s="249">
        <f t="shared" si="7"/>
        <v>0</v>
      </c>
      <c r="CK35" s="250"/>
      <c r="CL35" s="250"/>
      <c r="CM35" s="250"/>
      <c r="CN35" s="251">
        <f t="shared" si="8"/>
        <v>0</v>
      </c>
      <c r="CO35" s="248">
        <f>+'REKAPAN CHAMP OTAK-OTAK'!AC32</f>
        <v>0</v>
      </c>
      <c r="CP35" s="268" t="e">
        <f t="shared" si="54"/>
        <v>#DIV/0!</v>
      </c>
      <c r="CQ35" s="252" t="e">
        <f t="shared" si="44"/>
        <v>#DIV/0!</v>
      </c>
      <c r="CS35" s="247">
        <f t="shared" si="45"/>
        <v>46232</v>
      </c>
      <c r="CT35" s="248"/>
      <c r="CU35" s="248"/>
      <c r="CV35" s="248"/>
      <c r="CW35" s="248"/>
      <c r="CX35" s="248"/>
      <c r="CY35" s="248"/>
      <c r="CZ35" s="248"/>
      <c r="DA35" s="248"/>
      <c r="DB35" s="248"/>
      <c r="DC35" s="248"/>
      <c r="DD35" s="248"/>
      <c r="DE35" s="248"/>
      <c r="DF35" s="248"/>
      <c r="DG35" s="248"/>
      <c r="DH35" s="249">
        <f t="shared" si="9"/>
        <v>0</v>
      </c>
      <c r="DI35" s="250"/>
      <c r="DJ35" s="250"/>
      <c r="DK35" s="250"/>
      <c r="DL35" s="251">
        <f t="shared" si="10"/>
        <v>0</v>
      </c>
      <c r="DM35" s="248">
        <f>+'REKAPAN CHAMP OTAK-OTAK'!AY32</f>
        <v>0</v>
      </c>
      <c r="DN35" s="268" t="e">
        <f t="shared" si="55"/>
        <v>#DIV/0!</v>
      </c>
      <c r="DO35" s="252" t="e">
        <f t="shared" si="47"/>
        <v>#DIV/0!</v>
      </c>
      <c r="DQ35" s="248">
        <f t="shared" si="11"/>
        <v>0</v>
      </c>
      <c r="DR35" s="248">
        <f t="shared" si="12"/>
        <v>0</v>
      </c>
      <c r="DS35" s="248">
        <f t="shared" si="13"/>
        <v>0</v>
      </c>
      <c r="DT35" s="248">
        <f t="shared" si="14"/>
        <v>0</v>
      </c>
      <c r="DU35" s="248">
        <f t="shared" si="15"/>
        <v>0</v>
      </c>
      <c r="DV35" s="248">
        <f t="shared" si="16"/>
        <v>0</v>
      </c>
      <c r="DW35" s="248">
        <f t="shared" si="17"/>
        <v>0</v>
      </c>
      <c r="DX35" s="248">
        <f t="shared" si="18"/>
        <v>0</v>
      </c>
      <c r="DY35" s="248">
        <f t="shared" si="19"/>
        <v>0</v>
      </c>
      <c r="DZ35" s="248">
        <f t="shared" si="20"/>
        <v>0</v>
      </c>
      <c r="EA35" s="248">
        <f t="shared" si="21"/>
        <v>0</v>
      </c>
      <c r="EB35" s="248">
        <f t="shared" si="22"/>
        <v>0</v>
      </c>
      <c r="EC35" s="248">
        <f t="shared" si="23"/>
        <v>0</v>
      </c>
      <c r="ED35" s="248">
        <f t="shared" si="24"/>
        <v>0</v>
      </c>
      <c r="EE35" s="249">
        <f t="shared" si="25"/>
        <v>0</v>
      </c>
      <c r="EF35" s="248">
        <f t="shared" si="26"/>
        <v>0</v>
      </c>
      <c r="EG35" s="248">
        <f t="shared" si="27"/>
        <v>0</v>
      </c>
      <c r="EH35" s="248">
        <f t="shared" si="28"/>
        <v>0</v>
      </c>
      <c r="EI35" s="251">
        <f t="shared" si="29"/>
        <v>0</v>
      </c>
      <c r="EJ35" s="282">
        <f t="shared" si="30"/>
        <v>0</v>
      </c>
      <c r="EK35" s="291" t="e">
        <f t="shared" si="56"/>
        <v>#DIV/0!</v>
      </c>
      <c r="EL35" s="291" t="e">
        <f t="shared" si="49"/>
        <v>#DIV/0!</v>
      </c>
    </row>
    <row r="36" spans="1:142">
      <c r="A36" s="247">
        <f t="shared" si="31"/>
        <v>46233</v>
      </c>
      <c r="B36" s="273"/>
      <c r="C36" s="273"/>
      <c r="D36" s="273"/>
      <c r="E36" s="273"/>
      <c r="F36" s="273"/>
      <c r="G36" s="273"/>
      <c r="H36" s="273"/>
      <c r="I36" s="273"/>
      <c r="J36" s="273"/>
      <c r="K36" s="273"/>
      <c r="L36" s="273"/>
      <c r="M36" s="273"/>
      <c r="N36" s="273"/>
      <c r="O36" s="273"/>
      <c r="P36" s="274">
        <f t="shared" si="32"/>
        <v>0</v>
      </c>
      <c r="Q36" s="275"/>
      <c r="R36" s="275"/>
      <c r="S36" s="275"/>
      <c r="T36" s="274">
        <f t="shared" si="3"/>
        <v>0</v>
      </c>
      <c r="U36" s="248">
        <f>+'REKAPAN OKEY AYAM'!AC33</f>
        <v>0</v>
      </c>
      <c r="V36" s="268" t="e">
        <f t="shared" si="0"/>
        <v>#DIV/0!</v>
      </c>
      <c r="W36" s="252" t="e">
        <f t="shared" si="33"/>
        <v>#DIV/0!</v>
      </c>
      <c r="Y36" s="247">
        <f t="shared" si="34"/>
        <v>46233</v>
      </c>
      <c r="Z36" s="278"/>
      <c r="AA36" s="278"/>
      <c r="AB36" s="278"/>
      <c r="AC36" s="278"/>
      <c r="AD36" s="278"/>
      <c r="AE36" s="278"/>
      <c r="AF36" s="278"/>
      <c r="AG36" s="278"/>
      <c r="AH36" s="278"/>
      <c r="AI36" s="278"/>
      <c r="AJ36" s="278"/>
      <c r="AK36" s="278"/>
      <c r="AL36" s="278"/>
      <c r="AM36" s="278"/>
      <c r="AN36" s="249">
        <f t="shared" si="4"/>
        <v>0</v>
      </c>
      <c r="AO36" s="250"/>
      <c r="AP36" s="250"/>
      <c r="AQ36" s="250"/>
      <c r="AR36" s="251">
        <f t="shared" si="5"/>
        <v>0</v>
      </c>
      <c r="AS36" s="248">
        <f>+'REKAPAN CHAMP AYAM'!AC33</f>
        <v>0</v>
      </c>
      <c r="AT36" s="268" t="e">
        <f t="shared" si="52"/>
        <v>#DIV/0!</v>
      </c>
      <c r="AU36" s="252" t="e">
        <f t="shared" si="37"/>
        <v>#DIV/0!</v>
      </c>
      <c r="AW36" s="247">
        <f t="shared" si="38"/>
        <v>46233</v>
      </c>
      <c r="AX36" s="273"/>
      <c r="AY36" s="273"/>
      <c r="AZ36" s="273"/>
      <c r="BA36" s="273"/>
      <c r="BB36" s="273"/>
      <c r="BC36" s="273"/>
      <c r="BD36" s="273"/>
      <c r="BE36" s="273"/>
      <c r="BF36" s="273"/>
      <c r="BG36" s="273"/>
      <c r="BH36" s="273"/>
      <c r="BI36" s="273"/>
      <c r="BJ36" s="273"/>
      <c r="BK36" s="273"/>
      <c r="BL36" s="274">
        <f t="shared" si="57"/>
        <v>0</v>
      </c>
      <c r="BM36" s="275"/>
      <c r="BN36" s="275"/>
      <c r="BO36" s="275"/>
      <c r="BP36" s="274">
        <f t="shared" si="6"/>
        <v>0</v>
      </c>
      <c r="BQ36" s="248">
        <f>+'REKAPAN CHAMP SAPI'!AC33</f>
        <v>0</v>
      </c>
      <c r="BR36" s="268" t="e">
        <f t="shared" si="53"/>
        <v>#DIV/0!</v>
      </c>
      <c r="BS36" s="252" t="e">
        <f t="shared" si="41"/>
        <v>#DIV/0!</v>
      </c>
      <c r="BU36" s="247">
        <f t="shared" si="42"/>
        <v>46233</v>
      </c>
      <c r="BV36" s="248"/>
      <c r="BW36" s="248"/>
      <c r="BX36" s="273"/>
      <c r="BY36" s="273"/>
      <c r="BZ36" s="273"/>
      <c r="CA36" s="273"/>
      <c r="CB36" s="273"/>
      <c r="CC36" s="273"/>
      <c r="CD36" s="273"/>
      <c r="CE36" s="273"/>
      <c r="CF36" s="248"/>
      <c r="CG36" s="248"/>
      <c r="CH36" s="248"/>
      <c r="CI36" s="248"/>
      <c r="CJ36" s="249">
        <f t="shared" si="7"/>
        <v>0</v>
      </c>
      <c r="CK36" s="250"/>
      <c r="CL36" s="250"/>
      <c r="CM36" s="250"/>
      <c r="CN36" s="251">
        <f t="shared" si="8"/>
        <v>0</v>
      </c>
      <c r="CO36" s="248">
        <f>+'REKAPAN CHAMP OTAK-OTAK'!AC33</f>
        <v>0</v>
      </c>
      <c r="CP36" s="268" t="e">
        <f t="shared" si="54"/>
        <v>#DIV/0!</v>
      </c>
      <c r="CQ36" s="252" t="e">
        <f t="shared" si="44"/>
        <v>#DIV/0!</v>
      </c>
      <c r="CS36" s="247">
        <f t="shared" si="45"/>
        <v>46233</v>
      </c>
      <c r="CT36" s="248"/>
      <c r="CU36" s="248"/>
      <c r="CV36" s="248"/>
      <c r="CW36" s="248"/>
      <c r="CX36" s="248"/>
      <c r="CY36" s="248"/>
      <c r="CZ36" s="248"/>
      <c r="DA36" s="248"/>
      <c r="DB36" s="248"/>
      <c r="DC36" s="248"/>
      <c r="DD36" s="248"/>
      <c r="DE36" s="248"/>
      <c r="DF36" s="248"/>
      <c r="DG36" s="248"/>
      <c r="DH36" s="249">
        <f t="shared" si="9"/>
        <v>0</v>
      </c>
      <c r="DI36" s="250"/>
      <c r="DJ36" s="250"/>
      <c r="DK36" s="250"/>
      <c r="DL36" s="251">
        <f t="shared" si="10"/>
        <v>0</v>
      </c>
      <c r="DM36" s="248">
        <f>+'REKAPAN CHAMP OTAK-OTAK'!AY33</f>
        <v>0</v>
      </c>
      <c r="DN36" s="268" t="e">
        <f t="shared" si="55"/>
        <v>#DIV/0!</v>
      </c>
      <c r="DO36" s="252" t="e">
        <f t="shared" si="47"/>
        <v>#DIV/0!</v>
      </c>
      <c r="DQ36" s="248">
        <f t="shared" si="11"/>
        <v>0</v>
      </c>
      <c r="DR36" s="248">
        <f t="shared" si="12"/>
        <v>0</v>
      </c>
      <c r="DS36" s="248">
        <f t="shared" si="13"/>
        <v>0</v>
      </c>
      <c r="DT36" s="248">
        <f t="shared" si="14"/>
        <v>0</v>
      </c>
      <c r="DU36" s="248">
        <f t="shared" si="15"/>
        <v>0</v>
      </c>
      <c r="DV36" s="248">
        <f t="shared" si="16"/>
        <v>0</v>
      </c>
      <c r="DW36" s="248">
        <f t="shared" si="17"/>
        <v>0</v>
      </c>
      <c r="DX36" s="248">
        <f t="shared" si="18"/>
        <v>0</v>
      </c>
      <c r="DY36" s="248">
        <f t="shared" si="19"/>
        <v>0</v>
      </c>
      <c r="DZ36" s="248">
        <f t="shared" si="20"/>
        <v>0</v>
      </c>
      <c r="EA36" s="248">
        <f t="shared" si="21"/>
        <v>0</v>
      </c>
      <c r="EB36" s="248">
        <f t="shared" si="22"/>
        <v>0</v>
      </c>
      <c r="EC36" s="248">
        <f t="shared" si="23"/>
        <v>0</v>
      </c>
      <c r="ED36" s="248">
        <f t="shared" si="24"/>
        <v>0</v>
      </c>
      <c r="EE36" s="249">
        <f t="shared" si="25"/>
        <v>0</v>
      </c>
      <c r="EF36" s="248">
        <f t="shared" si="26"/>
        <v>0</v>
      </c>
      <c r="EG36" s="248">
        <f t="shared" si="27"/>
        <v>0</v>
      </c>
      <c r="EH36" s="248">
        <f t="shared" si="28"/>
        <v>0</v>
      </c>
      <c r="EI36" s="251">
        <f t="shared" si="29"/>
        <v>0</v>
      </c>
      <c r="EJ36" s="282">
        <f t="shared" si="30"/>
        <v>0</v>
      </c>
      <c r="EK36" s="291" t="e">
        <f>+EE36/EJ36</f>
        <v>#DIV/0!</v>
      </c>
      <c r="EL36" s="291" t="e">
        <f t="shared" si="49"/>
        <v>#DIV/0!</v>
      </c>
    </row>
    <row r="37" spans="1:142">
      <c r="A37" s="247">
        <f t="shared" si="31"/>
        <v>46234</v>
      </c>
      <c r="B37" s="273"/>
      <c r="C37" s="273"/>
      <c r="D37" s="273"/>
      <c r="E37" s="273"/>
      <c r="F37" s="273"/>
      <c r="G37" s="273"/>
      <c r="H37" s="273"/>
      <c r="I37" s="273"/>
      <c r="J37" s="273"/>
      <c r="K37" s="273"/>
      <c r="L37" s="273"/>
      <c r="M37" s="273"/>
      <c r="N37" s="273"/>
      <c r="O37" s="273"/>
      <c r="P37" s="274">
        <f t="shared" ref="P37" si="58">SUM(B37:O37)</f>
        <v>0</v>
      </c>
      <c r="Q37" s="275"/>
      <c r="R37" s="275"/>
      <c r="S37" s="275"/>
      <c r="T37" s="274">
        <f t="shared" si="3"/>
        <v>0</v>
      </c>
      <c r="U37" s="248">
        <f>+'REKAPAN OKEY AYAM'!AC34</f>
        <v>0</v>
      </c>
      <c r="V37" s="268" t="e">
        <f t="shared" si="0"/>
        <v>#DIV/0!</v>
      </c>
      <c r="W37" s="252" t="e">
        <f t="shared" si="33"/>
        <v>#DIV/0!</v>
      </c>
      <c r="Y37" s="247">
        <f t="shared" si="34"/>
        <v>46234</v>
      </c>
      <c r="Z37" s="278"/>
      <c r="AA37" s="278"/>
      <c r="AB37" s="278"/>
      <c r="AC37" s="278"/>
      <c r="AD37" s="278"/>
      <c r="AE37" s="278"/>
      <c r="AF37" s="278"/>
      <c r="AG37" s="278"/>
      <c r="AH37" s="278"/>
      <c r="AI37" s="278"/>
      <c r="AJ37" s="278"/>
      <c r="AK37" s="278"/>
      <c r="AL37" s="278"/>
      <c r="AM37" s="278"/>
      <c r="AN37" s="249">
        <f t="shared" si="4"/>
        <v>0</v>
      </c>
      <c r="AO37" s="250"/>
      <c r="AP37" s="250"/>
      <c r="AQ37" s="250"/>
      <c r="AR37" s="251">
        <f t="shared" si="5"/>
        <v>0</v>
      </c>
      <c r="AS37" s="248">
        <f>+'REKAPAN CHAMP AYAM'!AC34</f>
        <v>0</v>
      </c>
      <c r="AT37" s="268" t="e">
        <f t="shared" si="52"/>
        <v>#DIV/0!</v>
      </c>
      <c r="AU37" s="252" t="e">
        <f t="shared" si="37"/>
        <v>#DIV/0!</v>
      </c>
      <c r="AW37" s="247">
        <f t="shared" si="38"/>
        <v>46234</v>
      </c>
      <c r="AX37" s="273"/>
      <c r="AY37" s="273"/>
      <c r="AZ37" s="273"/>
      <c r="BA37" s="273"/>
      <c r="BB37" s="273"/>
      <c r="BC37" s="273"/>
      <c r="BD37" s="273"/>
      <c r="BE37" s="273"/>
      <c r="BF37" s="273"/>
      <c r="BG37" s="273"/>
      <c r="BH37" s="273"/>
      <c r="BI37" s="273"/>
      <c r="BJ37" s="273"/>
      <c r="BK37" s="273"/>
      <c r="BL37" s="274">
        <f t="shared" si="57"/>
        <v>0</v>
      </c>
      <c r="BM37" s="275"/>
      <c r="BN37" s="275"/>
      <c r="BO37" s="275"/>
      <c r="BP37" s="274">
        <f t="shared" si="6"/>
        <v>0</v>
      </c>
      <c r="BQ37" s="248">
        <f>+'REKAPAN CHAMP SAPI'!AC34</f>
        <v>0</v>
      </c>
      <c r="BR37" s="268" t="e">
        <f t="shared" si="53"/>
        <v>#DIV/0!</v>
      </c>
      <c r="BS37" s="252" t="e">
        <f t="shared" si="41"/>
        <v>#DIV/0!</v>
      </c>
      <c r="BU37" s="247">
        <f t="shared" si="42"/>
        <v>46234</v>
      </c>
      <c r="BV37" s="248"/>
      <c r="BW37" s="248"/>
      <c r="BX37" s="248"/>
      <c r="BY37" s="248"/>
      <c r="BZ37" s="248"/>
      <c r="CA37" s="248"/>
      <c r="CB37" s="248"/>
      <c r="CC37" s="248"/>
      <c r="CD37" s="248"/>
      <c r="CE37" s="248"/>
      <c r="CF37" s="248"/>
      <c r="CG37" s="248"/>
      <c r="CH37" s="248"/>
      <c r="CI37" s="248"/>
      <c r="CJ37" s="249">
        <f t="shared" si="7"/>
        <v>0</v>
      </c>
      <c r="CK37" s="250"/>
      <c r="CL37" s="250"/>
      <c r="CM37" s="250"/>
      <c r="CN37" s="251">
        <f t="shared" si="8"/>
        <v>0</v>
      </c>
      <c r="CO37" s="248">
        <f>+'REKAPAN CHAMP OTAK-OTAK'!AC34</f>
        <v>0</v>
      </c>
      <c r="CP37" s="268" t="e">
        <f t="shared" si="54"/>
        <v>#DIV/0!</v>
      </c>
      <c r="CQ37" s="252" t="e">
        <f t="shared" si="44"/>
        <v>#DIV/0!</v>
      </c>
      <c r="CS37" s="247">
        <f t="shared" si="45"/>
        <v>46234</v>
      </c>
      <c r="CT37" s="248"/>
      <c r="CU37" s="248"/>
      <c r="CV37" s="248"/>
      <c r="CW37" s="248"/>
      <c r="CX37" s="248"/>
      <c r="CY37" s="248"/>
      <c r="CZ37" s="248"/>
      <c r="DA37" s="248"/>
      <c r="DB37" s="248"/>
      <c r="DC37" s="248"/>
      <c r="DD37" s="248"/>
      <c r="DE37" s="248"/>
      <c r="DF37" s="248"/>
      <c r="DG37" s="248"/>
      <c r="DH37" s="249">
        <f t="shared" si="9"/>
        <v>0</v>
      </c>
      <c r="DI37" s="250"/>
      <c r="DJ37" s="250"/>
      <c r="DK37" s="250"/>
      <c r="DL37" s="251">
        <f t="shared" si="10"/>
        <v>0</v>
      </c>
      <c r="DM37" s="248">
        <f>+'REKAPAN CHAMP OTAK-OTAK'!AY34</f>
        <v>0</v>
      </c>
      <c r="DN37" s="268" t="e">
        <f t="shared" si="55"/>
        <v>#DIV/0!</v>
      </c>
      <c r="DO37" s="252" t="e">
        <f t="shared" si="47"/>
        <v>#DIV/0!</v>
      </c>
      <c r="DQ37" s="248">
        <f t="shared" si="11"/>
        <v>0</v>
      </c>
      <c r="DR37" s="248">
        <f t="shared" si="12"/>
        <v>0</v>
      </c>
      <c r="DS37" s="248">
        <f t="shared" si="13"/>
        <v>0</v>
      </c>
      <c r="DT37" s="248">
        <f t="shared" si="14"/>
        <v>0</v>
      </c>
      <c r="DU37" s="248">
        <f t="shared" si="15"/>
        <v>0</v>
      </c>
      <c r="DV37" s="248">
        <f t="shared" si="16"/>
        <v>0</v>
      </c>
      <c r="DW37" s="248">
        <f t="shared" si="17"/>
        <v>0</v>
      </c>
      <c r="DX37" s="248">
        <f t="shared" si="18"/>
        <v>0</v>
      </c>
      <c r="DY37" s="248">
        <f t="shared" si="19"/>
        <v>0</v>
      </c>
      <c r="DZ37" s="248">
        <f t="shared" si="20"/>
        <v>0</v>
      </c>
      <c r="EA37" s="248">
        <f t="shared" si="21"/>
        <v>0</v>
      </c>
      <c r="EB37" s="248">
        <f t="shared" si="22"/>
        <v>0</v>
      </c>
      <c r="EC37" s="248">
        <f t="shared" si="23"/>
        <v>0</v>
      </c>
      <c r="ED37" s="248">
        <f t="shared" si="24"/>
        <v>0</v>
      </c>
      <c r="EE37" s="249">
        <f t="shared" si="25"/>
        <v>0</v>
      </c>
      <c r="EF37" s="248">
        <f t="shared" si="26"/>
        <v>0</v>
      </c>
      <c r="EG37" s="248">
        <f t="shared" si="27"/>
        <v>0</v>
      </c>
      <c r="EH37" s="248">
        <f t="shared" si="28"/>
        <v>0</v>
      </c>
      <c r="EI37" s="251">
        <f t="shared" si="29"/>
        <v>0</v>
      </c>
      <c r="EJ37" s="282">
        <f t="shared" si="30"/>
        <v>0</v>
      </c>
      <c r="EK37" s="291" t="e">
        <f t="shared" si="56"/>
        <v>#DIV/0!</v>
      </c>
      <c r="EL37" s="291" t="e">
        <f t="shared" si="49"/>
        <v>#DIV/0!</v>
      </c>
    </row>
    <row r="38" spans="1:142">
      <c r="A38" s="247"/>
      <c r="B38" s="274"/>
      <c r="C38" s="275"/>
      <c r="D38" s="275"/>
      <c r="E38" s="275"/>
      <c r="F38" s="275"/>
      <c r="G38" s="275"/>
      <c r="H38" s="275"/>
      <c r="I38" s="275"/>
      <c r="J38" s="275"/>
      <c r="K38" s="275"/>
      <c r="L38" s="275"/>
      <c r="M38" s="275"/>
      <c r="N38" s="275"/>
      <c r="O38" s="275"/>
      <c r="P38" s="274">
        <f>SUM(B38:O38)</f>
        <v>0</v>
      </c>
      <c r="Q38" s="275"/>
      <c r="R38" s="275"/>
      <c r="S38" s="275"/>
      <c r="T38" s="274">
        <f t="shared" si="3"/>
        <v>0</v>
      </c>
      <c r="U38" s="248"/>
      <c r="V38" s="268" t="e">
        <f t="shared" si="0"/>
        <v>#DIV/0!</v>
      </c>
      <c r="W38" s="252" t="e">
        <f t="shared" si="33"/>
        <v>#DIV/0!</v>
      </c>
      <c r="Y38" s="247"/>
      <c r="Z38" s="251"/>
      <c r="AA38" s="250"/>
      <c r="AB38" s="250"/>
      <c r="AC38" s="250"/>
      <c r="AD38" s="250"/>
      <c r="AE38" s="250"/>
      <c r="AF38" s="250"/>
      <c r="AG38" s="250"/>
      <c r="AH38" s="250"/>
      <c r="AI38" s="250"/>
      <c r="AJ38" s="250"/>
      <c r="AK38" s="250"/>
      <c r="AL38" s="250"/>
      <c r="AM38" s="250"/>
      <c r="AN38" s="249">
        <f>SUM(Z38:AM38)</f>
        <v>0</v>
      </c>
      <c r="AO38" s="250"/>
      <c r="AP38" s="250"/>
      <c r="AQ38" s="250"/>
      <c r="AR38" s="251">
        <f t="shared" si="5"/>
        <v>0</v>
      </c>
      <c r="AS38" s="248"/>
      <c r="AT38" s="268" t="e">
        <f t="shared" si="52"/>
        <v>#DIV/0!</v>
      </c>
      <c r="AU38" s="252" t="e">
        <f t="shared" si="37"/>
        <v>#DIV/0!</v>
      </c>
      <c r="AW38" s="247"/>
      <c r="AX38" s="274"/>
      <c r="AY38" s="275"/>
      <c r="AZ38" s="275"/>
      <c r="BA38" s="275"/>
      <c r="BB38" s="275"/>
      <c r="BC38" s="275"/>
      <c r="BD38" s="275"/>
      <c r="BE38" s="275"/>
      <c r="BF38" s="275"/>
      <c r="BG38" s="275"/>
      <c r="BH38" s="275"/>
      <c r="BI38" s="275"/>
      <c r="BJ38" s="275"/>
      <c r="BK38" s="275"/>
      <c r="BL38" s="274">
        <f t="shared" si="57"/>
        <v>0</v>
      </c>
      <c r="BM38" s="275"/>
      <c r="BN38" s="275"/>
      <c r="BO38" s="275"/>
      <c r="BP38" s="274">
        <f t="shared" si="6"/>
        <v>0</v>
      </c>
      <c r="BQ38" s="248"/>
      <c r="BR38" s="268" t="e">
        <f t="shared" si="53"/>
        <v>#DIV/0!</v>
      </c>
      <c r="BS38" s="252" t="e">
        <f t="shared" si="41"/>
        <v>#DIV/0!</v>
      </c>
      <c r="BU38" s="247"/>
      <c r="BV38" s="251"/>
      <c r="BW38" s="250"/>
      <c r="BX38" s="250"/>
      <c r="BY38" s="250"/>
      <c r="BZ38" s="250"/>
      <c r="CA38" s="250"/>
      <c r="CB38" s="250"/>
      <c r="CC38" s="250"/>
      <c r="CD38" s="250"/>
      <c r="CE38" s="250"/>
      <c r="CF38" s="250"/>
      <c r="CG38" s="250"/>
      <c r="CH38" s="250"/>
      <c r="CI38" s="250"/>
      <c r="CJ38" s="249">
        <f>SUM(BV38:CI38)</f>
        <v>0</v>
      </c>
      <c r="CK38" s="250"/>
      <c r="CL38" s="250"/>
      <c r="CM38" s="250"/>
      <c r="CN38" s="251">
        <f t="shared" si="8"/>
        <v>0</v>
      </c>
      <c r="CO38" s="248"/>
      <c r="CP38" s="268" t="e">
        <f t="shared" si="54"/>
        <v>#DIV/0!</v>
      </c>
      <c r="CQ38" s="252" t="e">
        <f t="shared" si="44"/>
        <v>#DIV/0!</v>
      </c>
      <c r="CS38" s="247"/>
      <c r="CT38" s="251"/>
      <c r="CU38" s="250"/>
      <c r="CV38" s="250"/>
      <c r="CW38" s="250"/>
      <c r="CX38" s="250"/>
      <c r="CY38" s="250"/>
      <c r="CZ38" s="250"/>
      <c r="DA38" s="250"/>
      <c r="DB38" s="250"/>
      <c r="DC38" s="250"/>
      <c r="DD38" s="250"/>
      <c r="DE38" s="250"/>
      <c r="DF38" s="250"/>
      <c r="DG38" s="250"/>
      <c r="DH38" s="249">
        <f>SUM(CT38:DG38)</f>
        <v>0</v>
      </c>
      <c r="DI38" s="250"/>
      <c r="DJ38" s="250"/>
      <c r="DK38" s="250"/>
      <c r="DL38" s="251">
        <f t="shared" si="10"/>
        <v>0</v>
      </c>
      <c r="DM38" s="248"/>
      <c r="DN38" s="268" t="e">
        <f t="shared" si="55"/>
        <v>#DIV/0!</v>
      </c>
      <c r="DO38" s="252" t="e">
        <f t="shared" si="47"/>
        <v>#DIV/0!</v>
      </c>
      <c r="DQ38" s="251"/>
      <c r="DR38" s="250"/>
      <c r="DS38" s="250"/>
      <c r="DT38" s="250"/>
      <c r="DU38" s="250"/>
      <c r="DV38" s="250"/>
      <c r="DW38" s="250"/>
      <c r="DX38" s="250"/>
      <c r="DY38" s="250"/>
      <c r="DZ38" s="250"/>
      <c r="EA38" s="250"/>
      <c r="EB38" s="250"/>
      <c r="EC38" s="250"/>
      <c r="ED38" s="250"/>
      <c r="EE38" s="249">
        <f>SUM(DQ38:ED38)</f>
        <v>0</v>
      </c>
      <c r="EF38" s="250"/>
      <c r="EG38" s="250"/>
      <c r="EH38" s="250"/>
      <c r="EI38" s="251">
        <f>SUM(EE38:EH38)</f>
        <v>0</v>
      </c>
      <c r="EJ38" s="282"/>
      <c r="EK38" s="291" t="e">
        <f t="shared" si="56"/>
        <v>#DIV/0!</v>
      </c>
      <c r="EL38" s="291" t="e">
        <f t="shared" si="49"/>
        <v>#DIV/0!</v>
      </c>
    </row>
    <row r="39" spans="1:142">
      <c r="A39" s="247"/>
      <c r="B39" s="274"/>
      <c r="C39" s="275"/>
      <c r="D39" s="275"/>
      <c r="E39" s="275"/>
      <c r="F39" s="275"/>
      <c r="G39" s="275"/>
      <c r="H39" s="275"/>
      <c r="I39" s="275"/>
      <c r="J39" s="275"/>
      <c r="K39" s="275"/>
      <c r="L39" s="275"/>
      <c r="M39" s="275"/>
      <c r="N39" s="275"/>
      <c r="O39" s="275"/>
      <c r="P39" s="274">
        <f>SUM(B39:O39)</f>
        <v>0</v>
      </c>
      <c r="Q39" s="275"/>
      <c r="R39" s="275"/>
      <c r="S39" s="275"/>
      <c r="T39" s="274">
        <f t="shared" si="3"/>
        <v>0</v>
      </c>
      <c r="U39" s="248"/>
      <c r="V39" s="268"/>
      <c r="W39" s="255"/>
      <c r="Y39" s="247"/>
      <c r="Z39" s="251"/>
      <c r="AA39" s="250"/>
      <c r="AB39" s="250"/>
      <c r="AC39" s="250"/>
      <c r="AD39" s="250"/>
      <c r="AE39" s="250"/>
      <c r="AF39" s="250"/>
      <c r="AG39" s="250"/>
      <c r="AH39" s="250"/>
      <c r="AI39" s="250"/>
      <c r="AJ39" s="250"/>
      <c r="AK39" s="250"/>
      <c r="AL39" s="250"/>
      <c r="AM39" s="250"/>
      <c r="AN39" s="249">
        <f>SUM(Z39:AM39)</f>
        <v>0</v>
      </c>
      <c r="AO39" s="250"/>
      <c r="AP39" s="250"/>
      <c r="AQ39" s="250"/>
      <c r="AR39" s="251">
        <f t="shared" si="5"/>
        <v>0</v>
      </c>
      <c r="AS39" s="248"/>
      <c r="AT39" s="268"/>
      <c r="AU39" s="255"/>
      <c r="AW39" s="247"/>
      <c r="AX39" s="274"/>
      <c r="AY39" s="275"/>
      <c r="AZ39" s="275"/>
      <c r="BA39" s="275"/>
      <c r="BB39" s="275"/>
      <c r="BC39" s="275"/>
      <c r="BD39" s="275"/>
      <c r="BE39" s="275"/>
      <c r="BF39" s="275"/>
      <c r="BG39" s="275"/>
      <c r="BH39" s="275"/>
      <c r="BI39" s="275"/>
      <c r="BJ39" s="275"/>
      <c r="BK39" s="275"/>
      <c r="BL39" s="274">
        <f t="shared" si="57"/>
        <v>0</v>
      </c>
      <c r="BM39" s="275"/>
      <c r="BN39" s="275"/>
      <c r="BO39" s="275"/>
      <c r="BP39" s="274">
        <f t="shared" si="6"/>
        <v>0</v>
      </c>
      <c r="BQ39" s="248"/>
      <c r="BR39" s="268"/>
      <c r="BS39" s="255"/>
      <c r="BU39" s="247"/>
      <c r="BV39" s="251"/>
      <c r="BW39" s="250"/>
      <c r="BX39" s="250"/>
      <c r="BY39" s="250"/>
      <c r="BZ39" s="250"/>
      <c r="CA39" s="250"/>
      <c r="CB39" s="250"/>
      <c r="CC39" s="250"/>
      <c r="CD39" s="250"/>
      <c r="CE39" s="250"/>
      <c r="CF39" s="250"/>
      <c r="CG39" s="250"/>
      <c r="CH39" s="250"/>
      <c r="CI39" s="250"/>
      <c r="CJ39" s="249">
        <f>SUM(BV39:CI39)</f>
        <v>0</v>
      </c>
      <c r="CK39" s="250"/>
      <c r="CL39" s="250"/>
      <c r="CM39" s="250"/>
      <c r="CN39" s="251">
        <f t="shared" si="8"/>
        <v>0</v>
      </c>
      <c r="CO39" s="248"/>
      <c r="CP39" s="268"/>
      <c r="CQ39" s="255"/>
      <c r="CS39" s="247"/>
      <c r="CT39" s="251"/>
      <c r="CU39" s="250"/>
      <c r="CV39" s="250"/>
      <c r="CW39" s="250"/>
      <c r="CX39" s="250"/>
      <c r="CY39" s="250"/>
      <c r="CZ39" s="250"/>
      <c r="DA39" s="250"/>
      <c r="DB39" s="250"/>
      <c r="DC39" s="250"/>
      <c r="DD39" s="250"/>
      <c r="DE39" s="250"/>
      <c r="DF39" s="250"/>
      <c r="DG39" s="250"/>
      <c r="DH39" s="249">
        <f>SUM(CT39:DG39)</f>
        <v>0</v>
      </c>
      <c r="DI39" s="250"/>
      <c r="DJ39" s="250"/>
      <c r="DK39" s="250"/>
      <c r="DL39" s="251">
        <f t="shared" si="10"/>
        <v>0</v>
      </c>
      <c r="DM39" s="248"/>
      <c r="DN39" s="268"/>
      <c r="DO39" s="255"/>
      <c r="DQ39" s="251"/>
      <c r="DR39" s="250"/>
      <c r="DS39" s="250"/>
      <c r="DT39" s="250"/>
      <c r="DU39" s="250"/>
      <c r="DV39" s="250"/>
      <c r="DW39" s="250"/>
      <c r="DX39" s="250"/>
      <c r="DY39" s="250"/>
      <c r="DZ39" s="250"/>
      <c r="EA39" s="250"/>
      <c r="EB39" s="250"/>
      <c r="EC39" s="250"/>
      <c r="ED39" s="250"/>
      <c r="EE39" s="249">
        <f>SUM(DQ39:ED39)</f>
        <v>0</v>
      </c>
      <c r="EF39" s="250"/>
      <c r="EG39" s="250"/>
      <c r="EH39" s="250"/>
      <c r="EI39" s="251">
        <f>SUM(EE39:EH39)</f>
        <v>0</v>
      </c>
      <c r="EJ39" s="282"/>
      <c r="EK39" s="268"/>
      <c r="EL39" s="255"/>
    </row>
    <row r="40" spans="1:142">
      <c r="A40" s="256"/>
      <c r="B40" s="276"/>
      <c r="C40" s="274"/>
      <c r="D40" s="274"/>
      <c r="E40" s="274"/>
      <c r="F40" s="274"/>
      <c r="G40" s="274"/>
      <c r="H40" s="274"/>
      <c r="I40" s="274"/>
      <c r="J40" s="274"/>
      <c r="K40" s="274"/>
      <c r="L40" s="274"/>
      <c r="M40" s="274"/>
      <c r="N40" s="274"/>
      <c r="O40" s="274"/>
      <c r="P40" s="274">
        <f>SUM(B40:O40)</f>
        <v>0</v>
      </c>
      <c r="Q40" s="275"/>
      <c r="R40" s="275"/>
      <c r="S40" s="275"/>
      <c r="T40" s="274"/>
      <c r="U40" s="257"/>
      <c r="V40" s="268"/>
      <c r="W40" s="255"/>
      <c r="Y40" s="256"/>
      <c r="Z40" s="256"/>
      <c r="AA40" s="251"/>
      <c r="AB40" s="251"/>
      <c r="AC40" s="251"/>
      <c r="AD40" s="251"/>
      <c r="AE40" s="251"/>
      <c r="AF40" s="251"/>
      <c r="AG40" s="251"/>
      <c r="AH40" s="251"/>
      <c r="AI40" s="251"/>
      <c r="AJ40" s="251"/>
      <c r="AK40" s="251"/>
      <c r="AL40" s="251"/>
      <c r="AM40" s="251"/>
      <c r="AN40" s="249">
        <f>SUM(Z40:AM40)</f>
        <v>0</v>
      </c>
      <c r="AO40" s="250"/>
      <c r="AP40" s="250"/>
      <c r="AQ40" s="250"/>
      <c r="AR40" s="251"/>
      <c r="AS40" s="257"/>
      <c r="AT40" s="268"/>
      <c r="AU40" s="255"/>
      <c r="AW40" s="256"/>
      <c r="AX40" s="276"/>
      <c r="AY40" s="274"/>
      <c r="AZ40" s="274"/>
      <c r="BA40" s="274"/>
      <c r="BB40" s="274"/>
      <c r="BC40" s="274"/>
      <c r="BD40" s="274"/>
      <c r="BE40" s="274"/>
      <c r="BF40" s="274"/>
      <c r="BG40" s="274"/>
      <c r="BH40" s="274"/>
      <c r="BI40" s="274"/>
      <c r="BJ40" s="274"/>
      <c r="BK40" s="274"/>
      <c r="BL40" s="274">
        <f t="shared" si="57"/>
        <v>0</v>
      </c>
      <c r="BM40" s="275"/>
      <c r="BN40" s="275"/>
      <c r="BO40" s="275"/>
      <c r="BP40" s="274"/>
      <c r="BQ40" s="257"/>
      <c r="BR40" s="268"/>
      <c r="BS40" s="255"/>
      <c r="BU40" s="256"/>
      <c r="BV40" s="256"/>
      <c r="BW40" s="251"/>
      <c r="BX40" s="251"/>
      <c r="BY40" s="251"/>
      <c r="BZ40" s="251"/>
      <c r="CA40" s="251"/>
      <c r="CB40" s="251"/>
      <c r="CC40" s="251"/>
      <c r="CD40" s="251"/>
      <c r="CE40" s="251"/>
      <c r="CF40" s="251"/>
      <c r="CG40" s="251"/>
      <c r="CH40" s="251"/>
      <c r="CI40" s="251"/>
      <c r="CJ40" s="249">
        <f>SUM(BV40:CI40)</f>
        <v>0</v>
      </c>
      <c r="CK40" s="250"/>
      <c r="CL40" s="250"/>
      <c r="CM40" s="250"/>
      <c r="CN40" s="251"/>
      <c r="CO40" s="257"/>
      <c r="CP40" s="268"/>
      <c r="CQ40" s="255"/>
      <c r="CS40" s="256"/>
      <c r="CT40" s="256"/>
      <c r="CU40" s="251"/>
      <c r="CV40" s="251"/>
      <c r="CW40" s="251"/>
      <c r="CX40" s="251"/>
      <c r="CY40" s="251"/>
      <c r="CZ40" s="251"/>
      <c r="DA40" s="251"/>
      <c r="DB40" s="251"/>
      <c r="DC40" s="251"/>
      <c r="DD40" s="251"/>
      <c r="DE40" s="251"/>
      <c r="DF40" s="251"/>
      <c r="DG40" s="251"/>
      <c r="DH40" s="249">
        <f>SUM(CT40:DG40)</f>
        <v>0</v>
      </c>
      <c r="DI40" s="250"/>
      <c r="DJ40" s="250"/>
      <c r="DK40" s="250"/>
      <c r="DL40" s="251"/>
      <c r="DM40" s="257"/>
      <c r="DN40" s="268"/>
      <c r="DO40" s="255"/>
      <c r="DQ40" s="256"/>
      <c r="DR40" s="251"/>
      <c r="DS40" s="251"/>
      <c r="DT40" s="251"/>
      <c r="DU40" s="251"/>
      <c r="DV40" s="251"/>
      <c r="DW40" s="251"/>
      <c r="DX40" s="251"/>
      <c r="DY40" s="251"/>
      <c r="DZ40" s="251"/>
      <c r="EA40" s="251"/>
      <c r="EB40" s="251"/>
      <c r="EC40" s="251"/>
      <c r="ED40" s="251"/>
      <c r="EE40" s="249">
        <f>SUM(DQ40:ED40)</f>
        <v>0</v>
      </c>
      <c r="EF40" s="250"/>
      <c r="EG40" s="250"/>
      <c r="EH40" s="250"/>
      <c r="EI40" s="251"/>
      <c r="EJ40" s="283"/>
      <c r="EK40" s="268"/>
      <c r="EL40" s="255"/>
    </row>
    <row r="41" spans="1:142">
      <c r="A41" s="258"/>
      <c r="B41" s="277">
        <f t="shared" ref="B41:U41" si="59">SUM(B7:B39)</f>
        <v>99.4</v>
      </c>
      <c r="C41" s="277">
        <f t="shared" si="59"/>
        <v>0</v>
      </c>
      <c r="D41" s="277">
        <f t="shared" si="59"/>
        <v>77.5</v>
      </c>
      <c r="E41" s="277">
        <f t="shared" si="59"/>
        <v>34</v>
      </c>
      <c r="F41" s="277">
        <f t="shared" si="59"/>
        <v>23.5</v>
      </c>
      <c r="G41" s="277">
        <f>SUM(G7:G39)</f>
        <v>68.8</v>
      </c>
      <c r="H41" s="277">
        <f>SUM(H7:H39)</f>
        <v>58.3</v>
      </c>
      <c r="I41" s="277">
        <f t="shared" si="59"/>
        <v>0</v>
      </c>
      <c r="J41" s="277">
        <f t="shared" si="59"/>
        <v>65.3</v>
      </c>
      <c r="K41" s="277">
        <f t="shared" si="59"/>
        <v>31.3</v>
      </c>
      <c r="L41" s="277">
        <f t="shared" si="59"/>
        <v>23.9</v>
      </c>
      <c r="M41" s="277">
        <f t="shared" si="59"/>
        <v>29</v>
      </c>
      <c r="N41" s="277">
        <f t="shared" si="59"/>
        <v>35.5</v>
      </c>
      <c r="O41" s="277">
        <f t="shared" si="59"/>
        <v>24.5</v>
      </c>
      <c r="P41" s="277">
        <f t="shared" si="59"/>
        <v>571</v>
      </c>
      <c r="Q41" s="277">
        <f t="shared" si="59"/>
        <v>314.8</v>
      </c>
      <c r="R41" s="277">
        <f t="shared" si="59"/>
        <v>0</v>
      </c>
      <c r="S41" s="277"/>
      <c r="T41" s="277">
        <f t="shared" si="59"/>
        <v>885.8</v>
      </c>
      <c r="U41" s="260">
        <f t="shared" si="59"/>
        <v>146027.9</v>
      </c>
      <c r="V41" s="269">
        <f>P41/U41</f>
        <v>3.9102116787271476E-3</v>
      </c>
      <c r="W41" s="261">
        <f>Q41/U41</f>
        <v>2.1557524281318845E-3</v>
      </c>
      <c r="X41" s="244"/>
      <c r="Y41" s="258"/>
      <c r="Z41" s="259">
        <f t="shared" ref="Z41:AP41" si="60">SUM(Z7:Z39)</f>
        <v>27.5</v>
      </c>
      <c r="AA41" s="259">
        <f t="shared" si="60"/>
        <v>0</v>
      </c>
      <c r="AB41" s="259">
        <f t="shared" si="60"/>
        <v>50</v>
      </c>
      <c r="AC41" s="259">
        <f t="shared" si="60"/>
        <v>22.5</v>
      </c>
      <c r="AD41" s="259">
        <f t="shared" si="60"/>
        <v>16.5</v>
      </c>
      <c r="AE41" s="259">
        <f>SUM(AE7:AE39)</f>
        <v>28</v>
      </c>
      <c r="AF41" s="259">
        <f>SUM(AF7:AF39)</f>
        <v>36.5</v>
      </c>
      <c r="AG41" s="259">
        <f t="shared" si="60"/>
        <v>0</v>
      </c>
      <c r="AH41" s="259">
        <f t="shared" si="60"/>
        <v>27</v>
      </c>
      <c r="AI41" s="259">
        <f t="shared" si="60"/>
        <v>13</v>
      </c>
      <c r="AJ41" s="259">
        <f t="shared" si="60"/>
        <v>20.5</v>
      </c>
      <c r="AK41" s="259">
        <f t="shared" si="60"/>
        <v>19</v>
      </c>
      <c r="AL41" s="259">
        <f t="shared" si="60"/>
        <v>27</v>
      </c>
      <c r="AM41" s="259">
        <f t="shared" si="60"/>
        <v>9</v>
      </c>
      <c r="AN41" s="259">
        <f t="shared" si="60"/>
        <v>296.5</v>
      </c>
      <c r="AO41" s="260">
        <f t="shared" si="60"/>
        <v>196.5</v>
      </c>
      <c r="AP41" s="260">
        <f t="shared" si="60"/>
        <v>0</v>
      </c>
      <c r="AQ41" s="260"/>
      <c r="AR41" s="260">
        <f>SUM(AR7:AR39)</f>
        <v>493</v>
      </c>
      <c r="AS41" s="260">
        <f>SUM(AS7:AS39)</f>
        <v>67548.800000000003</v>
      </c>
      <c r="AT41" s="269">
        <f>AN41/AS41</f>
        <v>4.3894192050784025E-3</v>
      </c>
      <c r="AU41" s="261">
        <f>AO41/AS41</f>
        <v>2.9090080060637643E-3</v>
      </c>
      <c r="AW41" s="258"/>
      <c r="AX41" s="277">
        <f t="shared" ref="AX41:BN41" si="61">SUM(AX7:AX39)</f>
        <v>10.5</v>
      </c>
      <c r="AY41" s="277">
        <f t="shared" si="61"/>
        <v>0</v>
      </c>
      <c r="AZ41" s="277">
        <f t="shared" si="61"/>
        <v>21.5</v>
      </c>
      <c r="BA41" s="277">
        <f t="shared" si="61"/>
        <v>2</v>
      </c>
      <c r="BB41" s="277">
        <f t="shared" si="61"/>
        <v>5</v>
      </c>
      <c r="BC41" s="277">
        <f>SUM(BC7:BC39)</f>
        <v>13</v>
      </c>
      <c r="BD41" s="277">
        <f>SUM(BD7:BD39)</f>
        <v>13</v>
      </c>
      <c r="BE41" s="277">
        <f t="shared" si="61"/>
        <v>0</v>
      </c>
      <c r="BF41" s="277">
        <f t="shared" si="61"/>
        <v>3</v>
      </c>
      <c r="BG41" s="277">
        <f t="shared" si="61"/>
        <v>1</v>
      </c>
      <c r="BH41" s="277">
        <f t="shared" si="61"/>
        <v>0</v>
      </c>
      <c r="BI41" s="277">
        <f t="shared" si="61"/>
        <v>3</v>
      </c>
      <c r="BJ41" s="277">
        <f t="shared" si="61"/>
        <v>3</v>
      </c>
      <c r="BK41" s="277">
        <f t="shared" si="61"/>
        <v>0</v>
      </c>
      <c r="BL41" s="277">
        <f t="shared" si="61"/>
        <v>75</v>
      </c>
      <c r="BM41" s="277">
        <f t="shared" si="61"/>
        <v>78</v>
      </c>
      <c r="BN41" s="277">
        <f t="shared" si="61"/>
        <v>0</v>
      </c>
      <c r="BO41" s="277"/>
      <c r="BP41" s="277">
        <f>SUM(BP7:BP39)</f>
        <v>153</v>
      </c>
      <c r="BQ41" s="260">
        <f>SUM(BQ7:BQ39)</f>
        <v>17547.12</v>
      </c>
      <c r="BR41" s="269">
        <f>BL41/BQ41</f>
        <v>4.2742056816161287E-3</v>
      </c>
      <c r="BS41" s="261">
        <f>BM41/BQ41</f>
        <v>4.4451739088807738E-3</v>
      </c>
      <c r="BU41" s="258"/>
      <c r="BV41" s="259">
        <f t="shared" ref="BV41:CL41" si="62">SUM(BV7:BV39)</f>
        <v>0</v>
      </c>
      <c r="BW41" s="259">
        <f t="shared" si="62"/>
        <v>0</v>
      </c>
      <c r="BX41" s="259">
        <f t="shared" si="62"/>
        <v>0</v>
      </c>
      <c r="BY41" s="259">
        <f t="shared" si="62"/>
        <v>0</v>
      </c>
      <c r="BZ41" s="259">
        <f t="shared" si="62"/>
        <v>0</v>
      </c>
      <c r="CA41" s="259">
        <f>SUM(CA7:CA39)</f>
        <v>0</v>
      </c>
      <c r="CB41" s="259">
        <f>SUM(CB7:CB39)</f>
        <v>0</v>
      </c>
      <c r="CC41" s="259">
        <f t="shared" si="62"/>
        <v>0</v>
      </c>
      <c r="CD41" s="259">
        <f t="shared" si="62"/>
        <v>0</v>
      </c>
      <c r="CE41" s="259">
        <f t="shared" si="62"/>
        <v>0</v>
      </c>
      <c r="CF41" s="259">
        <f t="shared" si="62"/>
        <v>0</v>
      </c>
      <c r="CG41" s="259">
        <f t="shared" si="62"/>
        <v>0</v>
      </c>
      <c r="CH41" s="259">
        <f t="shared" si="62"/>
        <v>0</v>
      </c>
      <c r="CI41" s="259">
        <f t="shared" si="62"/>
        <v>0</v>
      </c>
      <c r="CJ41" s="259">
        <f t="shared" si="62"/>
        <v>0</v>
      </c>
      <c r="CK41" s="260">
        <f t="shared" si="62"/>
        <v>0</v>
      </c>
      <c r="CL41" s="260">
        <f t="shared" si="62"/>
        <v>0</v>
      </c>
      <c r="CM41" s="260"/>
      <c r="CN41" s="260">
        <f>SUM(CN7:CN39)</f>
        <v>0</v>
      </c>
      <c r="CO41" s="260">
        <f>SUM(CO7:CO39)</f>
        <v>0</v>
      </c>
      <c r="CP41" s="269" t="e">
        <f>CJ41/CO41</f>
        <v>#DIV/0!</v>
      </c>
      <c r="CQ41" s="261" t="e">
        <f>CK41/CO41</f>
        <v>#DIV/0!</v>
      </c>
      <c r="CS41" s="258"/>
      <c r="CT41" s="259">
        <f t="shared" ref="CT41:DJ41" si="63">SUM(CT7:CT39)</f>
        <v>0</v>
      </c>
      <c r="CU41" s="259">
        <f t="shared" si="63"/>
        <v>0</v>
      </c>
      <c r="CV41" s="259">
        <f t="shared" si="63"/>
        <v>0</v>
      </c>
      <c r="CW41" s="259">
        <f t="shared" si="63"/>
        <v>0</v>
      </c>
      <c r="CX41" s="259">
        <f t="shared" si="63"/>
        <v>0</v>
      </c>
      <c r="CY41" s="259">
        <f>SUM(CY7:CY39)</f>
        <v>0</v>
      </c>
      <c r="CZ41" s="259">
        <f>SUM(CZ7:CZ39)</f>
        <v>0</v>
      </c>
      <c r="DA41" s="259">
        <f t="shared" si="63"/>
        <v>0</v>
      </c>
      <c r="DB41" s="259">
        <f t="shared" si="63"/>
        <v>0</v>
      </c>
      <c r="DC41" s="259">
        <f t="shared" si="63"/>
        <v>0</v>
      </c>
      <c r="DD41" s="259">
        <f t="shared" si="63"/>
        <v>0</v>
      </c>
      <c r="DE41" s="259">
        <f t="shared" si="63"/>
        <v>0</v>
      </c>
      <c r="DF41" s="259">
        <f t="shared" si="63"/>
        <v>0</v>
      </c>
      <c r="DG41" s="259">
        <f t="shared" si="63"/>
        <v>0</v>
      </c>
      <c r="DH41" s="259">
        <f t="shared" si="63"/>
        <v>0</v>
      </c>
      <c r="DI41" s="260">
        <f t="shared" si="63"/>
        <v>0</v>
      </c>
      <c r="DJ41" s="260">
        <f t="shared" si="63"/>
        <v>0</v>
      </c>
      <c r="DK41" s="260"/>
      <c r="DL41" s="260">
        <f>SUM(DL7:DL39)</f>
        <v>0</v>
      </c>
      <c r="DM41" s="260">
        <f>SUM(DM7:DM39)</f>
        <v>0</v>
      </c>
      <c r="DN41" s="269" t="e">
        <f>DH41/DM41</f>
        <v>#DIV/0!</v>
      </c>
      <c r="DO41" s="261" t="e">
        <f>DI41/DM41</f>
        <v>#DIV/0!</v>
      </c>
      <c r="DQ41" s="259">
        <f t="shared" ref="DQ41:EG41" si="64">SUM(DQ7:DQ39)</f>
        <v>137.4</v>
      </c>
      <c r="DR41" s="259">
        <f t="shared" si="64"/>
        <v>0</v>
      </c>
      <c r="DS41" s="259">
        <f t="shared" si="64"/>
        <v>149</v>
      </c>
      <c r="DT41" s="259">
        <f t="shared" si="64"/>
        <v>58.5</v>
      </c>
      <c r="DU41" s="259">
        <f t="shared" si="64"/>
        <v>45</v>
      </c>
      <c r="DV41" s="259">
        <f t="shared" si="64"/>
        <v>109.8</v>
      </c>
      <c r="DW41" s="259">
        <f t="shared" si="64"/>
        <v>107.8</v>
      </c>
      <c r="DX41" s="259">
        <f t="shared" si="64"/>
        <v>0</v>
      </c>
      <c r="DY41" s="259">
        <f t="shared" si="64"/>
        <v>95.3</v>
      </c>
      <c r="DZ41" s="259">
        <f t="shared" si="64"/>
        <v>45.3</v>
      </c>
      <c r="EA41" s="259">
        <f t="shared" si="64"/>
        <v>44.4</v>
      </c>
      <c r="EB41" s="259">
        <f t="shared" si="64"/>
        <v>51</v>
      </c>
      <c r="EC41" s="259">
        <f t="shared" si="64"/>
        <v>65.5</v>
      </c>
      <c r="ED41" s="259">
        <f t="shared" si="64"/>
        <v>33.5</v>
      </c>
      <c r="EE41" s="259">
        <f t="shared" si="64"/>
        <v>942.5</v>
      </c>
      <c r="EF41" s="260">
        <f t="shared" si="64"/>
        <v>589.29999999999995</v>
      </c>
      <c r="EG41" s="260">
        <f t="shared" si="64"/>
        <v>0</v>
      </c>
      <c r="EH41" s="260"/>
      <c r="EI41" s="260">
        <f>SUM(EI7:EI39)</f>
        <v>1531.8</v>
      </c>
      <c r="EJ41" s="284">
        <f>SUM(EJ7:EJ39)</f>
        <v>231123.81999999995</v>
      </c>
      <c r="EK41" s="269">
        <f>EE41/EJ41</f>
        <v>4.0779007546690779E-3</v>
      </c>
      <c r="EL41" s="261">
        <f>EF41/EJ41</f>
        <v>2.549715559391499E-3</v>
      </c>
    </row>
    <row r="42" spans="1:142">
      <c r="A42" s="258"/>
      <c r="B42" s="258"/>
      <c r="C42" s="258"/>
      <c r="D42" s="258"/>
      <c r="E42" s="258"/>
      <c r="F42" s="258"/>
      <c r="G42" s="258"/>
      <c r="H42" s="258"/>
      <c r="I42" s="258"/>
      <c r="J42" s="258"/>
      <c r="K42" s="258"/>
      <c r="L42" s="258"/>
      <c r="M42" s="258"/>
      <c r="N42" s="258"/>
      <c r="O42" s="258"/>
      <c r="P42" s="258"/>
      <c r="Q42" s="258"/>
      <c r="R42" s="258"/>
      <c r="S42" s="258"/>
      <c r="T42" s="262"/>
      <c r="U42" s="258"/>
      <c r="V42" s="270"/>
      <c r="W42" s="262"/>
      <c r="Y42" s="258"/>
      <c r="Z42" s="258"/>
      <c r="AA42" s="258"/>
      <c r="AB42" s="258"/>
      <c r="AC42" s="258"/>
      <c r="AD42" s="258"/>
      <c r="AE42" s="258"/>
      <c r="AF42" s="258"/>
      <c r="AG42" s="258"/>
      <c r="AH42" s="258"/>
      <c r="AI42" s="258"/>
      <c r="AJ42" s="258"/>
      <c r="AK42" s="258"/>
      <c r="AL42" s="258"/>
      <c r="AM42" s="258"/>
      <c r="AN42" s="258"/>
      <c r="AO42" s="258"/>
      <c r="AP42" s="258"/>
      <c r="AQ42" s="258"/>
      <c r="AR42" s="262"/>
      <c r="AS42" s="258"/>
      <c r="AT42" s="270"/>
      <c r="AU42" s="262"/>
      <c r="AW42" s="258"/>
      <c r="AX42" s="279"/>
      <c r="AY42" s="279"/>
      <c r="AZ42" s="279"/>
      <c r="BA42" s="279"/>
      <c r="BB42" s="279"/>
      <c r="BC42" s="279"/>
      <c r="BD42" s="279"/>
      <c r="BE42" s="279"/>
      <c r="BF42" s="279"/>
      <c r="BG42" s="279"/>
      <c r="BH42" s="279"/>
      <c r="BI42" s="279"/>
      <c r="BJ42" s="279"/>
      <c r="BK42" s="279"/>
      <c r="BL42" s="279"/>
      <c r="BM42" s="279"/>
      <c r="BN42" s="279"/>
      <c r="BO42" s="279"/>
      <c r="BP42" s="280"/>
      <c r="BQ42" s="258"/>
      <c r="BR42" s="270"/>
      <c r="BS42" s="262"/>
      <c r="BU42" s="258"/>
      <c r="BV42" s="258"/>
      <c r="BW42" s="258"/>
      <c r="BX42" s="258"/>
      <c r="BY42" s="258"/>
      <c r="BZ42" s="258"/>
      <c r="CA42" s="258"/>
      <c r="CB42" s="258"/>
      <c r="CC42" s="258"/>
      <c r="CD42" s="258"/>
      <c r="CE42" s="258"/>
      <c r="CF42" s="258"/>
      <c r="CG42" s="258"/>
      <c r="CH42" s="258"/>
      <c r="CI42" s="258"/>
      <c r="CJ42" s="258"/>
      <c r="CK42" s="258"/>
      <c r="CL42" s="258"/>
      <c r="CM42" s="258"/>
      <c r="CN42" s="262"/>
      <c r="CO42" s="258"/>
      <c r="CP42" s="270"/>
      <c r="CQ42" s="262"/>
      <c r="CS42" s="258"/>
      <c r="CT42" s="258"/>
      <c r="CU42" s="258"/>
      <c r="CV42" s="258"/>
      <c r="CW42" s="258"/>
      <c r="CX42" s="258"/>
      <c r="CY42" s="258"/>
      <c r="CZ42" s="258"/>
      <c r="DA42" s="258"/>
      <c r="DB42" s="258"/>
      <c r="DC42" s="258"/>
      <c r="DD42" s="258"/>
      <c r="DE42" s="258"/>
      <c r="DF42" s="258"/>
      <c r="DG42" s="258"/>
      <c r="DH42" s="258"/>
      <c r="DI42" s="258"/>
      <c r="DJ42" s="258"/>
      <c r="DK42" s="258"/>
      <c r="DL42" s="262"/>
      <c r="DM42" s="258"/>
      <c r="DN42" s="270"/>
      <c r="DO42" s="262"/>
      <c r="DQ42" s="258"/>
      <c r="DR42" s="258"/>
      <c r="DS42" s="258"/>
      <c r="DT42" s="258"/>
      <c r="DU42" s="258"/>
      <c r="DV42" s="258"/>
      <c r="DW42" s="258"/>
      <c r="DX42" s="258"/>
      <c r="DY42" s="258"/>
      <c r="DZ42" s="258"/>
      <c r="EA42" s="258"/>
      <c r="EB42" s="258"/>
      <c r="EC42" s="258"/>
      <c r="ED42" s="258"/>
      <c r="EE42" s="258"/>
      <c r="EF42" s="258"/>
      <c r="EG42" s="258"/>
      <c r="EH42" s="258"/>
      <c r="EI42" s="262"/>
      <c r="EJ42" s="285"/>
      <c r="EK42" s="270"/>
      <c r="EL42" s="262"/>
    </row>
    <row r="43" spans="1:142">
      <c r="B43" s="263">
        <f>+B41/$U$41</f>
        <v>6.8069184039488354E-4</v>
      </c>
      <c r="C43" s="263">
        <f t="shared" ref="C43:O43" si="65">+C41/$U$41</f>
        <v>0</v>
      </c>
      <c r="D43" s="263">
        <f t="shared" si="65"/>
        <v>5.3072049930184579E-4</v>
      </c>
      <c r="E43" s="263">
        <f t="shared" si="65"/>
        <v>2.3283221904855169E-4</v>
      </c>
      <c r="F43" s="263">
        <f t="shared" si="65"/>
        <v>1.6092815140120485E-4</v>
      </c>
      <c r="G43" s="263">
        <f>+G41/$U$41</f>
        <v>4.7114284325118695E-4</v>
      </c>
      <c r="H43" s="263">
        <f>+H41/$U$41</f>
        <v>3.9923877560384011E-4</v>
      </c>
      <c r="I43" s="263">
        <f t="shared" si="65"/>
        <v>0</v>
      </c>
      <c r="J43" s="263">
        <f t="shared" si="65"/>
        <v>4.471748207020713E-4</v>
      </c>
      <c r="K43" s="263">
        <f t="shared" si="65"/>
        <v>2.1434260165351964E-4</v>
      </c>
      <c r="L43" s="263">
        <f t="shared" si="65"/>
        <v>1.6366735397824661E-4</v>
      </c>
      <c r="M43" s="263">
        <f t="shared" si="65"/>
        <v>1.9859218683552937E-4</v>
      </c>
      <c r="N43" s="263">
        <f t="shared" si="65"/>
        <v>2.4310422871245838E-4</v>
      </c>
      <c r="O43" s="263">
        <f t="shared" si="65"/>
        <v>1.677761578438093E-4</v>
      </c>
      <c r="P43" s="263">
        <f>+P41/$U$41</f>
        <v>3.9102116787271476E-3</v>
      </c>
      <c r="Q43" s="263">
        <f>+Q41/$U$41</f>
        <v>2.1557524281318845E-3</v>
      </c>
      <c r="R43" s="263">
        <f>+R41/$U$41</f>
        <v>0</v>
      </c>
      <c r="S43" s="263">
        <f>+S41/$U$41</f>
        <v>0</v>
      </c>
      <c r="T43" s="239">
        <f>+T41/0.0125</f>
        <v>70863.999999999985</v>
      </c>
      <c r="V43" s="263">
        <f>100%-V41-W41</f>
        <v>0.99393403589314089</v>
      </c>
      <c r="W43" s="263"/>
      <c r="Z43" s="286">
        <f>+Z41/$AS$41</f>
        <v>4.0711307972902554E-4</v>
      </c>
      <c r="AA43" s="286">
        <f t="shared" ref="AA43:AQ43" si="66">+AA41/$AS$41</f>
        <v>0</v>
      </c>
      <c r="AB43" s="286">
        <f t="shared" si="66"/>
        <v>7.4020559950731908E-4</v>
      </c>
      <c r="AC43" s="286">
        <f t="shared" si="66"/>
        <v>3.330925197782936E-4</v>
      </c>
      <c r="AD43" s="286">
        <f t="shared" si="66"/>
        <v>2.4426784783741529E-4</v>
      </c>
      <c r="AE43" s="286">
        <f t="shared" si="66"/>
        <v>4.1451513572409869E-4</v>
      </c>
      <c r="AF43" s="286">
        <f t="shared" si="66"/>
        <v>5.40350087640343E-4</v>
      </c>
      <c r="AG43" s="286">
        <f t="shared" si="66"/>
        <v>0</v>
      </c>
      <c r="AH43" s="286">
        <f t="shared" si="66"/>
        <v>3.9971102373395233E-4</v>
      </c>
      <c r="AI43" s="286">
        <f t="shared" si="66"/>
        <v>1.9245345587190298E-4</v>
      </c>
      <c r="AJ43" s="286">
        <f t="shared" si="66"/>
        <v>3.0348429579800086E-4</v>
      </c>
      <c r="AK43" s="286">
        <f>+AK41/$AS$41</f>
        <v>2.8127812781278129E-4</v>
      </c>
      <c r="AL43" s="286">
        <f t="shared" si="66"/>
        <v>3.9971102373395233E-4</v>
      </c>
      <c r="AM43" s="286">
        <f t="shared" si="66"/>
        <v>1.3323700791131743E-4</v>
      </c>
      <c r="AN43" s="286">
        <f t="shared" si="66"/>
        <v>4.3894192050784025E-3</v>
      </c>
      <c r="AO43" s="286">
        <f t="shared" si="66"/>
        <v>2.9090080060637643E-3</v>
      </c>
      <c r="AP43" s="286">
        <f t="shared" si="66"/>
        <v>0</v>
      </c>
      <c r="AQ43" s="286">
        <f t="shared" si="66"/>
        <v>0</v>
      </c>
      <c r="AR43" s="239">
        <f>+AR41/0.021</f>
        <v>23476.190476190473</v>
      </c>
      <c r="AT43" s="263">
        <f>100%-AT41-AU41</f>
        <v>0.99270157278885784</v>
      </c>
      <c r="AU43" s="263"/>
      <c r="AX43" s="263">
        <f>+AX41/$BQ$41</f>
        <v>5.98388795426258E-4</v>
      </c>
      <c r="AY43" s="263">
        <f t="shared" ref="AY43:BO43" si="67">+AY41/$BQ$41</f>
        <v>0</v>
      </c>
      <c r="AZ43" s="263">
        <f t="shared" si="67"/>
        <v>1.2252722953966235E-3</v>
      </c>
      <c r="BA43" s="263">
        <f t="shared" si="67"/>
        <v>1.139788181764301E-4</v>
      </c>
      <c r="BB43" s="263">
        <f t="shared" si="67"/>
        <v>2.8494704544107524E-4</v>
      </c>
      <c r="BC43" s="263">
        <f t="shared" si="67"/>
        <v>7.4086231814679559E-4</v>
      </c>
      <c r="BD43" s="263">
        <f t="shared" si="67"/>
        <v>7.4086231814679559E-4</v>
      </c>
      <c r="BE43" s="263">
        <f t="shared" si="67"/>
        <v>0</v>
      </c>
      <c r="BF43" s="263">
        <f t="shared" si="67"/>
        <v>1.7096822726464514E-4</v>
      </c>
      <c r="BG43" s="263">
        <f t="shared" si="67"/>
        <v>5.6989409088215051E-5</v>
      </c>
      <c r="BH43" s="263">
        <f t="shared" si="67"/>
        <v>0</v>
      </c>
      <c r="BI43" s="263">
        <f t="shared" si="67"/>
        <v>1.7096822726464514E-4</v>
      </c>
      <c r="BJ43" s="263">
        <f t="shared" si="67"/>
        <v>1.7096822726464514E-4</v>
      </c>
      <c r="BK43" s="263">
        <f t="shared" si="67"/>
        <v>0</v>
      </c>
      <c r="BL43" s="263">
        <f t="shared" si="67"/>
        <v>4.2742056816161287E-3</v>
      </c>
      <c r="BM43" s="263">
        <f t="shared" si="67"/>
        <v>4.4451739088807738E-3</v>
      </c>
      <c r="BN43" s="263">
        <f t="shared" si="67"/>
        <v>0</v>
      </c>
      <c r="BO43" s="263">
        <f t="shared" si="67"/>
        <v>0</v>
      </c>
      <c r="BP43" s="239">
        <f>+BP41/0.021</f>
        <v>7285.7142857142853</v>
      </c>
      <c r="BR43" s="263">
        <f>100%-BR41-BS41</f>
        <v>0.99128062040950304</v>
      </c>
      <c r="BS43" s="263"/>
      <c r="BV43" s="286" t="e">
        <f>+BV41/$CO$41</f>
        <v>#DIV/0!</v>
      </c>
      <c r="BW43" s="286" t="e">
        <f t="shared" ref="BW43:CM43" si="68">+BW41/$CO$41</f>
        <v>#DIV/0!</v>
      </c>
      <c r="BX43" s="286" t="e">
        <f t="shared" si="68"/>
        <v>#DIV/0!</v>
      </c>
      <c r="BY43" s="286" t="e">
        <f t="shared" si="68"/>
        <v>#DIV/0!</v>
      </c>
      <c r="BZ43" s="286" t="e">
        <f t="shared" si="68"/>
        <v>#DIV/0!</v>
      </c>
      <c r="CA43" s="286" t="e">
        <f t="shared" si="68"/>
        <v>#DIV/0!</v>
      </c>
      <c r="CB43" s="286" t="e">
        <f t="shared" si="68"/>
        <v>#DIV/0!</v>
      </c>
      <c r="CC43" s="286" t="e">
        <f t="shared" si="68"/>
        <v>#DIV/0!</v>
      </c>
      <c r="CD43" s="286" t="e">
        <f t="shared" si="68"/>
        <v>#DIV/0!</v>
      </c>
      <c r="CE43" s="286" t="e">
        <f t="shared" si="68"/>
        <v>#DIV/0!</v>
      </c>
      <c r="CF43" s="286" t="e">
        <f t="shared" si="68"/>
        <v>#DIV/0!</v>
      </c>
      <c r="CG43" s="286" t="e">
        <f t="shared" si="68"/>
        <v>#DIV/0!</v>
      </c>
      <c r="CH43" s="286" t="e">
        <f t="shared" si="68"/>
        <v>#DIV/0!</v>
      </c>
      <c r="CI43" s="286" t="e">
        <f t="shared" si="68"/>
        <v>#DIV/0!</v>
      </c>
      <c r="CJ43" s="286" t="e">
        <f t="shared" si="68"/>
        <v>#DIV/0!</v>
      </c>
      <c r="CK43" s="286" t="e">
        <f t="shared" si="68"/>
        <v>#DIV/0!</v>
      </c>
      <c r="CL43" s="286" t="e">
        <f t="shared" si="68"/>
        <v>#DIV/0!</v>
      </c>
      <c r="CM43" s="286" t="e">
        <f t="shared" si="68"/>
        <v>#DIV/0!</v>
      </c>
      <c r="CN43" s="239">
        <f>+CN41/0.021</f>
        <v>0</v>
      </c>
      <c r="CP43" s="263" t="e">
        <f>100%-CP41-CQ41</f>
        <v>#DIV/0!</v>
      </c>
      <c r="CQ43" s="263"/>
      <c r="CT43" s="286" t="e">
        <f>+CT41/$DM$41</f>
        <v>#DIV/0!</v>
      </c>
      <c r="CU43" s="286" t="e">
        <f t="shared" ref="CU43:DK43" si="69">+CU41/$DM$41</f>
        <v>#DIV/0!</v>
      </c>
      <c r="CV43" s="286" t="e">
        <f t="shared" si="69"/>
        <v>#DIV/0!</v>
      </c>
      <c r="CW43" s="286" t="e">
        <f t="shared" si="69"/>
        <v>#DIV/0!</v>
      </c>
      <c r="CX43" s="286" t="e">
        <f t="shared" si="69"/>
        <v>#DIV/0!</v>
      </c>
      <c r="CY43" s="286" t="e">
        <f t="shared" si="69"/>
        <v>#DIV/0!</v>
      </c>
      <c r="CZ43" s="286" t="e">
        <f t="shared" si="69"/>
        <v>#DIV/0!</v>
      </c>
      <c r="DA43" s="286" t="e">
        <f t="shared" si="69"/>
        <v>#DIV/0!</v>
      </c>
      <c r="DB43" s="286" t="e">
        <f t="shared" si="69"/>
        <v>#DIV/0!</v>
      </c>
      <c r="DC43" s="286" t="e">
        <f t="shared" si="69"/>
        <v>#DIV/0!</v>
      </c>
      <c r="DD43" s="286" t="e">
        <f t="shared" si="69"/>
        <v>#DIV/0!</v>
      </c>
      <c r="DE43" s="286" t="e">
        <f t="shared" si="69"/>
        <v>#DIV/0!</v>
      </c>
      <c r="DF43" s="286" t="e">
        <f t="shared" si="69"/>
        <v>#DIV/0!</v>
      </c>
      <c r="DG43" s="286" t="e">
        <f t="shared" si="69"/>
        <v>#DIV/0!</v>
      </c>
      <c r="DH43" s="286" t="e">
        <f t="shared" si="69"/>
        <v>#DIV/0!</v>
      </c>
      <c r="DI43" s="286" t="e">
        <f t="shared" si="69"/>
        <v>#DIV/0!</v>
      </c>
      <c r="DJ43" s="286" t="e">
        <f t="shared" si="69"/>
        <v>#DIV/0!</v>
      </c>
      <c r="DK43" s="286" t="e">
        <f t="shared" si="69"/>
        <v>#DIV/0!</v>
      </c>
      <c r="DL43" s="239">
        <f>+DL41/0.023</f>
        <v>0</v>
      </c>
      <c r="DN43" s="263" t="e">
        <f>100%-DN41-DO41</f>
        <v>#DIV/0!</v>
      </c>
      <c r="DO43" s="263"/>
      <c r="DQ43" s="263">
        <f>+DQ41/$EJ$41</f>
        <v>5.9448653972576275E-4</v>
      </c>
      <c r="DR43" s="263">
        <f t="shared" ref="DR43:EH43" si="70">+DR41/$EJ$41</f>
        <v>0</v>
      </c>
      <c r="DS43" s="263">
        <f t="shared" si="70"/>
        <v>6.4467608747553599E-4</v>
      </c>
      <c r="DT43" s="263">
        <f t="shared" si="70"/>
        <v>2.5311108132428762E-4</v>
      </c>
      <c r="DU43" s="263">
        <f t="shared" si="70"/>
        <v>1.9470083178791355E-4</v>
      </c>
      <c r="DV43" s="263">
        <f t="shared" si="70"/>
        <v>4.7507002956250903E-4</v>
      </c>
      <c r="DW43" s="263">
        <f t="shared" si="70"/>
        <v>4.6641665926082403E-4</v>
      </c>
      <c r="DX43" s="263">
        <f t="shared" si="70"/>
        <v>0</v>
      </c>
      <c r="DY43" s="263">
        <f t="shared" si="70"/>
        <v>4.1233309487529249E-4</v>
      </c>
      <c r="DZ43" s="263">
        <f t="shared" si="70"/>
        <v>1.9599883733316631E-4</v>
      </c>
      <c r="EA43" s="263">
        <f t="shared" si="70"/>
        <v>1.9210482069740803E-4</v>
      </c>
      <c r="EB43" s="263">
        <f t="shared" si="70"/>
        <v>2.2066094269296868E-4</v>
      </c>
      <c r="EC43" s="263">
        <f t="shared" si="70"/>
        <v>2.8339787738018528E-4</v>
      </c>
      <c r="ED43" s="263">
        <f t="shared" si="70"/>
        <v>1.4494395255322453E-4</v>
      </c>
      <c r="EE43" s="263">
        <f t="shared" si="70"/>
        <v>4.0779007546690779E-3</v>
      </c>
      <c r="EF43" s="263">
        <f t="shared" si="70"/>
        <v>2.549715559391499E-3</v>
      </c>
      <c r="EG43" s="263">
        <f t="shared" si="70"/>
        <v>0</v>
      </c>
      <c r="EH43" s="263">
        <f t="shared" si="70"/>
        <v>0</v>
      </c>
      <c r="EI43" s="239">
        <f>+T43+AR43+BP43+CN43+DL43</f>
        <v>101625.90476190475</v>
      </c>
      <c r="EK43" s="263">
        <f>100%-EK41-EL41</f>
        <v>0.99337238368593939</v>
      </c>
      <c r="EL43" s="263"/>
    </row>
    <row r="44" spans="1:142">
      <c r="C44" s="264"/>
      <c r="D44" s="264"/>
      <c r="E44" s="264"/>
      <c r="F44" s="264"/>
      <c r="G44" s="264"/>
      <c r="H44" s="264"/>
      <c r="I44" s="264"/>
      <c r="J44" s="264"/>
      <c r="K44" s="264"/>
      <c r="L44" s="264"/>
      <c r="M44" s="264"/>
      <c r="N44" s="264"/>
      <c r="O44" s="264"/>
      <c r="P44" s="264"/>
      <c r="Q44" s="264"/>
      <c r="R44" s="264"/>
      <c r="S44" s="264"/>
      <c r="T44" s="239">
        <f>+T43*0.125</f>
        <v>8857.9999999999982</v>
      </c>
      <c r="AA44" s="264"/>
      <c r="AB44" s="264"/>
      <c r="AC44" s="264"/>
      <c r="AD44" s="264"/>
      <c r="AE44" s="264"/>
      <c r="AF44" s="264"/>
      <c r="AG44" s="264"/>
      <c r="AH44" s="264"/>
      <c r="AI44" s="264"/>
      <c r="AJ44" s="264"/>
      <c r="AK44" s="264"/>
      <c r="AL44" s="264"/>
      <c r="AM44" s="264"/>
      <c r="AN44" s="264"/>
      <c r="AO44" s="264"/>
      <c r="AP44" s="264"/>
      <c r="AQ44" s="264"/>
      <c r="AR44" s="239">
        <f>+AR43*0.185</f>
        <v>4343.0952380952376</v>
      </c>
      <c r="AY44" s="264"/>
      <c r="AZ44" s="264"/>
      <c r="BA44" s="264"/>
      <c r="BB44" s="264"/>
      <c r="BC44" s="264"/>
      <c r="BD44" s="264"/>
      <c r="BE44" s="264"/>
      <c r="BF44" s="264"/>
      <c r="BG44" s="264"/>
      <c r="BH44" s="264"/>
      <c r="BI44" s="264"/>
      <c r="BJ44" s="264"/>
      <c r="BK44" s="264"/>
      <c r="BL44" s="264"/>
      <c r="BM44" s="264"/>
      <c r="BN44" s="264"/>
      <c r="BO44" s="264"/>
      <c r="BP44" s="239">
        <f>+BP43*0.185</f>
        <v>1347.8571428571427</v>
      </c>
      <c r="BW44" s="264"/>
      <c r="BX44" s="264"/>
      <c r="BY44" s="264"/>
      <c r="BZ44" s="264"/>
      <c r="CA44" s="264"/>
      <c r="CB44" s="264"/>
      <c r="CC44" s="264"/>
      <c r="CD44" s="264"/>
      <c r="CE44" s="264"/>
      <c r="CF44" s="264"/>
      <c r="CG44" s="264"/>
      <c r="CH44" s="264"/>
      <c r="CI44" s="264"/>
      <c r="CJ44" s="264"/>
      <c r="CK44" s="264"/>
      <c r="CL44" s="264"/>
      <c r="CM44" s="264"/>
      <c r="CN44" s="239">
        <f>+CN43*0.185</f>
        <v>0</v>
      </c>
      <c r="CU44" s="264"/>
      <c r="CV44" s="264"/>
      <c r="CW44" s="264"/>
      <c r="CX44" s="264"/>
      <c r="CY44" s="264"/>
      <c r="CZ44" s="264"/>
      <c r="DA44" s="264"/>
      <c r="DB44" s="264"/>
      <c r="DC44" s="264"/>
      <c r="DD44" s="264"/>
      <c r="DE44" s="264"/>
      <c r="DF44" s="264"/>
      <c r="DG44" s="264"/>
      <c r="DH44" s="264"/>
      <c r="DI44" s="264"/>
      <c r="DJ44" s="264"/>
      <c r="DK44" s="264"/>
      <c r="DL44" s="239">
        <f>+DL43*0.185</f>
        <v>0</v>
      </c>
      <c r="EI44" s="239">
        <f>+T44+AR44+BP44+CN44+DL44</f>
        <v>14548.95238095238</v>
      </c>
    </row>
    <row r="45" spans="1:142">
      <c r="C45" s="244"/>
      <c r="D45" s="244"/>
      <c r="E45" s="244"/>
      <c r="F45" s="244"/>
      <c r="G45" s="244"/>
      <c r="H45" s="244"/>
      <c r="I45" s="244"/>
      <c r="J45" s="244"/>
      <c r="K45" s="244"/>
      <c r="L45" s="244"/>
      <c r="M45" s="244"/>
      <c r="N45" s="244"/>
      <c r="O45" s="244"/>
      <c r="P45" s="244"/>
      <c r="Q45" s="244"/>
      <c r="R45" s="244"/>
      <c r="S45" s="244"/>
      <c r="T45" s="239">
        <f>+T44/1500</f>
        <v>5.9053333333333322</v>
      </c>
      <c r="V45" s="265"/>
      <c r="W45" s="265"/>
      <c r="AA45" s="244"/>
      <c r="AB45" s="244"/>
      <c r="AC45" s="244"/>
      <c r="AD45" s="244"/>
      <c r="AE45" s="244"/>
      <c r="AF45" s="244"/>
      <c r="AG45" s="244"/>
      <c r="AH45" s="244"/>
      <c r="AI45" s="244"/>
      <c r="AJ45" s="244"/>
      <c r="AK45" s="244"/>
      <c r="AL45" s="244"/>
      <c r="AM45" s="244"/>
      <c r="AN45" s="244"/>
      <c r="AO45" s="244"/>
      <c r="AP45" s="244"/>
      <c r="AQ45" s="244"/>
      <c r="AR45" s="239">
        <f>+AR44/1500</f>
        <v>2.895396825396825</v>
      </c>
      <c r="AT45" s="265"/>
      <c r="AU45" s="265"/>
      <c r="AY45" s="244"/>
      <c r="AZ45" s="244"/>
      <c r="BA45" s="244"/>
      <c r="BB45" s="244"/>
      <c r="BC45" s="244"/>
      <c r="BD45" s="244"/>
      <c r="BE45" s="244"/>
      <c r="BF45" s="244"/>
      <c r="BG45" s="244"/>
      <c r="BH45" s="244"/>
      <c r="BI45" s="244"/>
      <c r="BJ45" s="244"/>
      <c r="BK45" s="244"/>
      <c r="BL45" s="244"/>
      <c r="BM45" s="244"/>
      <c r="BN45" s="244"/>
      <c r="BO45" s="244"/>
      <c r="BP45" s="239">
        <f>+BP44/1500</f>
        <v>0.89857142857142847</v>
      </c>
      <c r="BR45" s="265"/>
      <c r="BS45" s="265"/>
      <c r="BW45" s="244"/>
      <c r="BX45" s="244"/>
      <c r="BY45" s="244"/>
      <c r="BZ45" s="244"/>
      <c r="CA45" s="244"/>
      <c r="CB45" s="244"/>
      <c r="CC45" s="244"/>
      <c r="CD45" s="244"/>
      <c r="CE45" s="244"/>
      <c r="CF45" s="244"/>
      <c r="CG45" s="244"/>
      <c r="CH45" s="244"/>
      <c r="CI45" s="244"/>
      <c r="CJ45" s="244"/>
      <c r="CK45" s="244"/>
      <c r="CL45" s="244"/>
      <c r="CM45" s="244"/>
      <c r="CN45" s="239">
        <f>+CN44/1500</f>
        <v>0</v>
      </c>
      <c r="CP45" s="265"/>
      <c r="CQ45" s="265"/>
      <c r="CU45" s="244"/>
      <c r="CV45" s="244"/>
      <c r="CW45" s="244"/>
      <c r="CX45" s="244"/>
      <c r="CY45" s="244"/>
      <c r="CZ45" s="244"/>
      <c r="DA45" s="244"/>
      <c r="DB45" s="244"/>
      <c r="DC45" s="244"/>
      <c r="DD45" s="244"/>
      <c r="DE45" s="244"/>
      <c r="DF45" s="244"/>
      <c r="DG45" s="244"/>
      <c r="DH45" s="244"/>
      <c r="DI45" s="244"/>
      <c r="DJ45" s="244"/>
      <c r="DK45" s="244"/>
      <c r="DL45" s="239">
        <f>+DL44/1500</f>
        <v>0</v>
      </c>
      <c r="DN45" s="265"/>
      <c r="DO45" s="265"/>
    </row>
    <row r="46" spans="1:142">
      <c r="C46" s="244"/>
      <c r="D46" s="244"/>
      <c r="E46" s="244"/>
      <c r="F46" s="244"/>
      <c r="G46" s="244"/>
      <c r="H46" s="244"/>
      <c r="I46" s="244"/>
      <c r="J46" s="244"/>
      <c r="K46" s="244"/>
      <c r="L46" s="244"/>
      <c r="M46" s="244"/>
      <c r="N46" s="244"/>
      <c r="O46" s="244"/>
      <c r="P46" s="244"/>
      <c r="Q46" s="244"/>
      <c r="R46" s="244"/>
      <c r="S46" s="244"/>
      <c r="AA46" s="244"/>
      <c r="AB46" s="244"/>
      <c r="AC46" s="244"/>
      <c r="AD46" s="244"/>
      <c r="AE46" s="244"/>
      <c r="AF46" s="244"/>
      <c r="AG46" s="244"/>
      <c r="AH46" s="244"/>
      <c r="AI46" s="244"/>
      <c r="AJ46" s="244"/>
      <c r="AK46" s="244"/>
      <c r="AL46" s="244"/>
      <c r="AM46" s="244"/>
      <c r="AN46" s="244"/>
      <c r="AO46" s="244"/>
      <c r="AP46" s="244"/>
      <c r="AQ46" s="244"/>
      <c r="AY46" s="244"/>
      <c r="AZ46" s="244"/>
      <c r="BA46" s="244"/>
      <c r="BB46" s="244"/>
      <c r="BC46" s="244"/>
      <c r="BD46" s="244"/>
      <c r="BE46" s="244"/>
      <c r="BF46" s="244"/>
      <c r="BG46" s="244"/>
      <c r="BH46" s="244"/>
      <c r="BI46" s="244"/>
      <c r="BJ46" s="244"/>
      <c r="BK46" s="244"/>
      <c r="BL46" s="244"/>
      <c r="BM46" s="244"/>
      <c r="BN46" s="244"/>
      <c r="BO46" s="244"/>
      <c r="BW46" s="244"/>
      <c r="BX46" s="244"/>
      <c r="BY46" s="244"/>
      <c r="BZ46" s="244"/>
      <c r="CA46" s="244"/>
      <c r="CB46" s="244"/>
      <c r="CC46" s="244"/>
      <c r="CD46" s="244"/>
      <c r="CE46" s="244"/>
      <c r="CF46" s="244"/>
      <c r="CG46" s="244"/>
      <c r="CH46" s="244"/>
      <c r="CI46" s="244"/>
      <c r="CJ46" s="244"/>
      <c r="CK46" s="244"/>
      <c r="CL46" s="244"/>
      <c r="CM46" s="244"/>
      <c r="CU46" s="244"/>
      <c r="CV46" s="244"/>
      <c r="CW46" s="244"/>
      <c r="CX46" s="244"/>
      <c r="CY46" s="244"/>
      <c r="CZ46" s="244"/>
      <c r="DA46" s="244"/>
      <c r="DB46" s="244"/>
      <c r="DC46" s="244"/>
      <c r="DD46" s="244"/>
      <c r="DE46" s="244"/>
      <c r="DF46" s="244"/>
      <c r="DG46" s="244"/>
      <c r="DH46" s="244"/>
      <c r="DI46" s="244"/>
      <c r="DJ46" s="244"/>
      <c r="DK46" s="244"/>
    </row>
  </sheetData>
  <mergeCells count="77">
    <mergeCell ref="DQ1:EL1"/>
    <mergeCell ref="DQ2:EL2"/>
    <mergeCell ref="EI4:EI6"/>
    <mergeCell ref="EJ4:EJ6"/>
    <mergeCell ref="EK4:EK6"/>
    <mergeCell ref="EL4:EL6"/>
    <mergeCell ref="DQ5:ED5"/>
    <mergeCell ref="EE5:EE6"/>
    <mergeCell ref="EF5:EF6"/>
    <mergeCell ref="EG5:EG6"/>
    <mergeCell ref="EH5:EH6"/>
    <mergeCell ref="DQ4:EF4"/>
    <mergeCell ref="W4:W6"/>
    <mergeCell ref="R5:R6"/>
    <mergeCell ref="S5:S6"/>
    <mergeCell ref="AU4:AU6"/>
    <mergeCell ref="BS4:BS6"/>
    <mergeCell ref="AW4:AW6"/>
    <mergeCell ref="AX4:BM4"/>
    <mergeCell ref="BP4:BP6"/>
    <mergeCell ref="BQ4:BQ6"/>
    <mergeCell ref="BR4:BR6"/>
    <mergeCell ref="AX5:BK5"/>
    <mergeCell ref="BL5:BL6"/>
    <mergeCell ref="BM5:BM6"/>
    <mergeCell ref="BN5:BN6"/>
    <mergeCell ref="BO5:BO6"/>
    <mergeCell ref="CQ4:CQ6"/>
    <mergeCell ref="DO4:DO6"/>
    <mergeCell ref="Y1:AT1"/>
    <mergeCell ref="Y2:AT2"/>
    <mergeCell ref="Y4:Y6"/>
    <mergeCell ref="Z4:AO4"/>
    <mergeCell ref="AR4:AR6"/>
    <mergeCell ref="AS4:AS6"/>
    <mergeCell ref="AT4:AT6"/>
    <mergeCell ref="Z5:AM5"/>
    <mergeCell ref="AN5:AN6"/>
    <mergeCell ref="AO5:AO6"/>
    <mergeCell ref="AP5:AP6"/>
    <mergeCell ref="AQ5:AQ6"/>
    <mergeCell ref="AW1:BR1"/>
    <mergeCell ref="AW2:BR2"/>
    <mergeCell ref="A1:V1"/>
    <mergeCell ref="A2:V2"/>
    <mergeCell ref="A4:A6"/>
    <mergeCell ref="B4:Q4"/>
    <mergeCell ref="T4:T6"/>
    <mergeCell ref="U4:U6"/>
    <mergeCell ref="V4:V6"/>
    <mergeCell ref="B5:O5"/>
    <mergeCell ref="P5:P6"/>
    <mergeCell ref="Q5:Q6"/>
    <mergeCell ref="BU1:CP1"/>
    <mergeCell ref="BU2:CP2"/>
    <mergeCell ref="BU4:BU6"/>
    <mergeCell ref="BV4:CK4"/>
    <mergeCell ref="CN4:CN6"/>
    <mergeCell ref="CO4:CO6"/>
    <mergeCell ref="CP4:CP6"/>
    <mergeCell ref="BV5:CI5"/>
    <mergeCell ref="CJ5:CJ6"/>
    <mergeCell ref="CK5:CK6"/>
    <mergeCell ref="CL5:CL6"/>
    <mergeCell ref="CM5:CM6"/>
    <mergeCell ref="CS1:DN1"/>
    <mergeCell ref="CS2:DN2"/>
    <mergeCell ref="CS4:CS6"/>
    <mergeCell ref="CT4:DI4"/>
    <mergeCell ref="DL4:DL6"/>
    <mergeCell ref="DM4:DM6"/>
    <mergeCell ref="DN4:DN6"/>
    <mergeCell ref="CT5:DG5"/>
    <mergeCell ref="DH5:DH6"/>
    <mergeCell ref="DI5:DI6"/>
    <mergeCell ref="DJ5:DJ6"/>
    <mergeCell ref="DK5:DK6"/>
  </mergeCells>
  <pageMargins left="0.7" right="0.7" top="0.75" bottom="0.75" header="0.3" footer="0.3"/>
  <pageSetup paperSize="9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>
  <sheetPr codeName="Sheet10">
    <tabColor rgb="FFFF0000"/>
    <pageSetUpPr fitToPage="1"/>
  </sheetPr>
  <dimension ref="A1:AF202"/>
  <sheetViews>
    <sheetView zoomScale="80" zoomScaleNormal="80" workbookViewId="0">
      <pane xSplit="3" ySplit="8" topLeftCell="D93" activePane="bottomRight" state="frozen"/>
      <selection pane="topRight" activeCell="D1" sqref="D1"/>
      <selection pane="bottomLeft" activeCell="A9" sqref="A9"/>
      <selection pane="bottomRight" activeCell="D120" sqref="D120"/>
    </sheetView>
  </sheetViews>
  <sheetFormatPr defaultRowHeight="15"/>
  <cols>
    <col min="1" max="1" width="11.7109375" customWidth="1"/>
    <col min="2" max="2" width="13" customWidth="1"/>
    <col min="3" max="3" width="13" style="490" customWidth="1"/>
    <col min="4" max="4" width="14.28515625" customWidth="1"/>
    <col min="5" max="6" width="14.85546875" customWidth="1"/>
    <col min="7" max="8" width="14.28515625" customWidth="1"/>
    <col min="9" max="10" width="13.42578125" customWidth="1"/>
    <col min="11" max="28" width="13.28515625" customWidth="1"/>
    <col min="29" max="29" width="12.5703125" customWidth="1"/>
    <col min="30" max="30" width="17.42578125" customWidth="1"/>
    <col min="31" max="31" width="9.140625" customWidth="1"/>
    <col min="32" max="32" width="11.140625" customWidth="1"/>
  </cols>
  <sheetData>
    <row r="1" spans="1:30" ht="18.75">
      <c r="A1" s="675" t="s">
        <v>72</v>
      </c>
      <c r="B1" s="675"/>
      <c r="C1" s="675"/>
      <c r="D1" s="675"/>
      <c r="E1" s="675"/>
      <c r="F1" s="675"/>
      <c r="G1" s="675"/>
      <c r="H1" s="675"/>
      <c r="I1" s="675"/>
      <c r="J1" s="675"/>
      <c r="K1" s="675"/>
      <c r="L1" s="675"/>
      <c r="M1" s="675"/>
      <c r="N1" s="675"/>
      <c r="O1" s="675"/>
      <c r="P1" s="675"/>
      <c r="Q1" s="675"/>
      <c r="R1" s="675"/>
      <c r="S1" s="675"/>
      <c r="T1" s="675"/>
      <c r="U1" s="675"/>
      <c r="V1" s="675"/>
      <c r="W1" s="675"/>
      <c r="X1" s="675"/>
      <c r="Y1" s="675"/>
      <c r="Z1" s="675"/>
      <c r="AA1" s="675"/>
      <c r="AB1" s="675"/>
      <c r="AC1" s="675"/>
      <c r="AD1" s="675"/>
    </row>
    <row r="2" spans="1:30" ht="15.75">
      <c r="A2" s="676"/>
      <c r="B2" s="676"/>
      <c r="C2" s="676"/>
      <c r="D2" s="676"/>
      <c r="E2" s="676"/>
      <c r="F2" s="676"/>
      <c r="G2" s="676"/>
      <c r="H2" s="676"/>
      <c r="I2" s="676"/>
      <c r="J2" s="676"/>
      <c r="K2" s="676"/>
      <c r="L2" s="676"/>
      <c r="M2" s="676"/>
      <c r="N2" s="676"/>
      <c r="O2" s="676"/>
      <c r="P2" s="676"/>
      <c r="Q2" s="676"/>
      <c r="R2" s="676"/>
      <c r="S2" s="676"/>
      <c r="T2" s="676"/>
      <c r="U2" s="676"/>
      <c r="V2" s="676"/>
      <c r="W2" s="676"/>
      <c r="X2" s="676"/>
      <c r="Y2" s="676"/>
      <c r="Z2" s="676"/>
      <c r="AA2" s="676"/>
      <c r="AB2" s="676"/>
      <c r="AC2" s="676"/>
      <c r="AD2" s="676"/>
    </row>
    <row r="3" spans="1:30" ht="15.75">
      <c r="A3" s="676" t="str">
        <f>+'DAILY CHAMP AYAM'!A3:AD3</f>
        <v>JULI'26</v>
      </c>
      <c r="B3" s="676"/>
      <c r="C3" s="676"/>
      <c r="D3" s="676"/>
      <c r="E3" s="676"/>
      <c r="F3" s="676"/>
      <c r="G3" s="676"/>
      <c r="H3" s="676"/>
      <c r="I3" s="676"/>
      <c r="J3" s="676"/>
      <c r="K3" s="676"/>
      <c r="L3" s="676"/>
      <c r="M3" s="676"/>
      <c r="N3" s="676"/>
      <c r="O3" s="676"/>
      <c r="P3" s="676"/>
      <c r="Q3" s="676"/>
      <c r="R3" s="676"/>
      <c r="S3" s="676"/>
      <c r="T3" s="676"/>
      <c r="U3" s="676"/>
      <c r="V3" s="676"/>
      <c r="W3" s="676"/>
      <c r="X3" s="676"/>
      <c r="Y3" s="676"/>
      <c r="Z3" s="676"/>
      <c r="AA3" s="676"/>
      <c r="AB3" s="676"/>
      <c r="AC3" s="676"/>
      <c r="AD3" s="676"/>
    </row>
    <row r="4" spans="1:30" ht="15.75" thickBot="1">
      <c r="A4" s="13"/>
      <c r="B4" s="13"/>
      <c r="C4" s="483"/>
      <c r="D4" s="13"/>
      <c r="E4" s="13"/>
      <c r="F4" s="13"/>
      <c r="G4" s="13"/>
      <c r="H4" s="13"/>
      <c r="I4" s="14">
        <f>+I174</f>
        <v>0</v>
      </c>
      <c r="J4" s="14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4">
        <f>+AC174</f>
        <v>0</v>
      </c>
      <c r="AD4" s="13"/>
    </row>
    <row r="5" spans="1:30" ht="15.75" customHeight="1" thickTop="1">
      <c r="A5" s="677" t="s">
        <v>11</v>
      </c>
      <c r="B5" s="680" t="s">
        <v>24</v>
      </c>
      <c r="C5" s="701" t="s">
        <v>37</v>
      </c>
      <c r="D5" s="683" t="s">
        <v>12</v>
      </c>
      <c r="E5" s="686" t="s">
        <v>1</v>
      </c>
      <c r="F5" s="687"/>
      <c r="G5" s="687"/>
      <c r="H5" s="687"/>
      <c r="I5" s="687"/>
      <c r="J5" s="687"/>
      <c r="K5" s="687"/>
      <c r="L5" s="687"/>
      <c r="M5" s="687"/>
      <c r="N5" s="687"/>
      <c r="O5" s="687"/>
      <c r="P5" s="687"/>
      <c r="Q5" s="687"/>
      <c r="R5" s="687"/>
      <c r="S5" s="687"/>
      <c r="T5" s="687"/>
      <c r="U5" s="687"/>
      <c r="V5" s="687"/>
      <c r="W5" s="687"/>
      <c r="X5" s="687"/>
      <c r="Y5" s="687"/>
      <c r="Z5" s="687"/>
      <c r="AA5" s="687"/>
      <c r="AB5" s="687"/>
      <c r="AC5" s="688"/>
      <c r="AD5" s="689" t="s">
        <v>2</v>
      </c>
    </row>
    <row r="6" spans="1:30" ht="15" customHeight="1">
      <c r="A6" s="678"/>
      <c r="B6" s="681"/>
      <c r="C6" s="702"/>
      <c r="D6" s="684"/>
      <c r="E6" s="692" t="s">
        <v>5</v>
      </c>
      <c r="F6" s="693"/>
      <c r="G6" s="693"/>
      <c r="H6" s="694"/>
      <c r="I6" s="695" t="s">
        <v>6</v>
      </c>
      <c r="J6" s="696" t="s">
        <v>13</v>
      </c>
      <c r="K6" s="698" t="s">
        <v>14</v>
      </c>
      <c r="L6" s="698"/>
      <c r="M6" s="698"/>
      <c r="N6" s="698"/>
      <c r="O6" s="698"/>
      <c r="P6" s="698"/>
      <c r="Q6" s="698"/>
      <c r="R6" s="698"/>
      <c r="S6" s="698"/>
      <c r="T6" s="698"/>
      <c r="U6" s="698"/>
      <c r="V6" s="698"/>
      <c r="W6" s="698"/>
      <c r="X6" s="698"/>
      <c r="Y6" s="698"/>
      <c r="Z6" s="698"/>
      <c r="AA6" s="698"/>
      <c r="AB6" s="698"/>
      <c r="AC6" s="695" t="s">
        <v>15</v>
      </c>
      <c r="AD6" s="690"/>
    </row>
    <row r="7" spans="1:30" ht="25.5" customHeight="1">
      <c r="A7" s="678"/>
      <c r="B7" s="681"/>
      <c r="C7" s="702"/>
      <c r="D7" s="685"/>
      <c r="E7" s="699" t="s">
        <v>64</v>
      </c>
      <c r="F7" s="700"/>
      <c r="G7" s="699" t="s">
        <v>38</v>
      </c>
      <c r="H7" s="700"/>
      <c r="I7" s="681"/>
      <c r="J7" s="697"/>
      <c r="K7" s="90" t="s">
        <v>16</v>
      </c>
      <c r="L7" s="90" t="s">
        <v>17</v>
      </c>
      <c r="M7" s="90" t="s">
        <v>58</v>
      </c>
      <c r="N7" s="90" t="s">
        <v>59</v>
      </c>
      <c r="O7" s="90" t="s">
        <v>18</v>
      </c>
      <c r="P7" s="90" t="s">
        <v>60</v>
      </c>
      <c r="Q7" s="90" t="s">
        <v>19</v>
      </c>
      <c r="R7" s="90" t="s">
        <v>55</v>
      </c>
      <c r="S7" s="90" t="s">
        <v>61</v>
      </c>
      <c r="T7" s="90" t="s">
        <v>62</v>
      </c>
      <c r="U7" s="90" t="s">
        <v>63</v>
      </c>
      <c r="V7" s="90" t="s">
        <v>56</v>
      </c>
      <c r="W7" s="90" t="s">
        <v>20</v>
      </c>
      <c r="X7" s="90" t="s">
        <v>57</v>
      </c>
      <c r="Y7" s="271" t="s">
        <v>154</v>
      </c>
      <c r="Z7" s="90" t="s">
        <v>21</v>
      </c>
      <c r="AA7" s="292" t="s">
        <v>155</v>
      </c>
      <c r="AB7" s="90" t="s">
        <v>22</v>
      </c>
      <c r="AC7" s="681"/>
      <c r="AD7" s="690"/>
    </row>
    <row r="8" spans="1:30" ht="15.75" thickBot="1">
      <c r="A8" s="679"/>
      <c r="B8" s="682"/>
      <c r="C8" s="703"/>
      <c r="D8" s="18" t="s">
        <v>4</v>
      </c>
      <c r="E8" s="19" t="s">
        <v>3</v>
      </c>
      <c r="F8" s="20" t="s">
        <v>4</v>
      </c>
      <c r="G8" s="19" t="s">
        <v>3</v>
      </c>
      <c r="H8" s="20" t="s">
        <v>4</v>
      </c>
      <c r="I8" s="682"/>
      <c r="J8" s="21" t="s">
        <v>4</v>
      </c>
      <c r="K8" s="20" t="s">
        <v>4</v>
      </c>
      <c r="L8" s="20" t="s">
        <v>4</v>
      </c>
      <c r="M8" s="20" t="s">
        <v>4</v>
      </c>
      <c r="N8" s="20" t="s">
        <v>4</v>
      </c>
      <c r="O8" s="20" t="s">
        <v>4</v>
      </c>
      <c r="P8" s="20" t="s">
        <v>4</v>
      </c>
      <c r="Q8" s="20" t="s">
        <v>4</v>
      </c>
      <c r="R8" s="20" t="s">
        <v>4</v>
      </c>
      <c r="S8" s="20" t="s">
        <v>4</v>
      </c>
      <c r="T8" s="20" t="s">
        <v>4</v>
      </c>
      <c r="U8" s="20" t="s">
        <v>4</v>
      </c>
      <c r="V8" s="20" t="s">
        <v>4</v>
      </c>
      <c r="W8" s="20" t="s">
        <v>4</v>
      </c>
      <c r="X8" s="20" t="s">
        <v>4</v>
      </c>
      <c r="Y8" s="20" t="s">
        <v>4</v>
      </c>
      <c r="Z8" s="20" t="s">
        <v>4</v>
      </c>
      <c r="AA8" s="20" t="s">
        <v>4</v>
      </c>
      <c r="AB8" s="20" t="s">
        <v>4</v>
      </c>
      <c r="AC8" s="682"/>
      <c r="AD8" s="691"/>
    </row>
    <row r="9" spans="1:30" ht="18" customHeight="1" thickTop="1">
      <c r="A9" s="23"/>
      <c r="B9" s="25"/>
      <c r="C9" s="485"/>
      <c r="D9" s="24"/>
      <c r="E9" s="34"/>
      <c r="F9" s="24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7"/>
    </row>
    <row r="10" spans="1:30" ht="18" customHeight="1">
      <c r="A10" s="333">
        <v>46212</v>
      </c>
      <c r="B10" s="298">
        <v>46204</v>
      </c>
      <c r="C10" s="486" t="s">
        <v>181</v>
      </c>
      <c r="D10" s="5">
        <f>+'Actual VS SAP'!B6</f>
        <v>10210.625</v>
      </c>
      <c r="E10" s="597">
        <f>416+18+3</f>
        <v>437</v>
      </c>
      <c r="F10" s="6">
        <f t="shared" ref="F10:F14" si="0">+E10*3.875</f>
        <v>1693.375</v>
      </c>
      <c r="G10" s="95"/>
      <c r="H10" s="28">
        <f t="shared" ref="H10:H13" si="1">+G10*4.5</f>
        <v>0</v>
      </c>
      <c r="I10" s="28">
        <f t="shared" ref="I10:I11" si="2">+F10+H10</f>
        <v>1693.375</v>
      </c>
      <c r="J10" s="26"/>
      <c r="K10" s="26">
        <v>2.4500000000000002</v>
      </c>
      <c r="L10" s="26">
        <v>3.45</v>
      </c>
      <c r="M10" s="26">
        <v>0.5</v>
      </c>
      <c r="N10" s="26"/>
      <c r="O10" s="26">
        <v>21</v>
      </c>
      <c r="P10" s="26">
        <v>0.7</v>
      </c>
      <c r="Q10" s="26"/>
      <c r="R10" s="26">
        <v>0.95</v>
      </c>
      <c r="S10" s="26"/>
      <c r="T10" s="26">
        <v>1.75</v>
      </c>
      <c r="U10" s="26"/>
      <c r="V10" s="26"/>
      <c r="W10" s="26"/>
      <c r="X10" s="26"/>
      <c r="Y10" s="26"/>
      <c r="Z10" s="26"/>
      <c r="AA10" s="26"/>
      <c r="AB10" s="26"/>
      <c r="AC10" s="26">
        <f t="shared" ref="AC10:AC38" si="3">SUM(K10:AB10)</f>
        <v>30.799999999999997</v>
      </c>
      <c r="AD10" s="27"/>
    </row>
    <row r="11" spans="1:30" ht="18" customHeight="1">
      <c r="A11" s="333"/>
      <c r="B11" s="298">
        <v>46204</v>
      </c>
      <c r="C11" s="486" t="s">
        <v>182</v>
      </c>
      <c r="D11" s="5"/>
      <c r="E11" s="34">
        <v>392</v>
      </c>
      <c r="F11" s="6">
        <f t="shared" si="0"/>
        <v>1519</v>
      </c>
      <c r="G11" s="95"/>
      <c r="H11" s="28">
        <f t="shared" si="1"/>
        <v>0</v>
      </c>
      <c r="I11" s="28">
        <f t="shared" si="2"/>
        <v>1519</v>
      </c>
      <c r="J11" s="26"/>
      <c r="K11" s="26">
        <v>2.5</v>
      </c>
      <c r="L11" s="26">
        <v>3.1</v>
      </c>
      <c r="M11" s="26">
        <v>1.45</v>
      </c>
      <c r="N11" s="26"/>
      <c r="O11" s="26">
        <v>3.85</v>
      </c>
      <c r="P11" s="26">
        <v>0.2</v>
      </c>
      <c r="Q11" s="26"/>
      <c r="R11" s="26">
        <v>0.4</v>
      </c>
      <c r="S11" s="26"/>
      <c r="T11" s="26">
        <v>1.1000000000000001</v>
      </c>
      <c r="U11" s="26"/>
      <c r="V11" s="26"/>
      <c r="W11" s="26"/>
      <c r="X11" s="26"/>
      <c r="Y11" s="26"/>
      <c r="Z11" s="26"/>
      <c r="AA11" s="26"/>
      <c r="AB11" s="26"/>
      <c r="AC11" s="26">
        <f t="shared" si="3"/>
        <v>12.6</v>
      </c>
      <c r="AD11" s="27"/>
    </row>
    <row r="12" spans="1:30" ht="18" customHeight="1">
      <c r="A12" s="333"/>
      <c r="B12" s="298">
        <v>46204</v>
      </c>
      <c r="C12" s="486" t="s">
        <v>183</v>
      </c>
      <c r="D12" s="5"/>
      <c r="E12" s="34">
        <f>347+86</f>
        <v>433</v>
      </c>
      <c r="F12" s="6">
        <f t="shared" si="0"/>
        <v>1677.875</v>
      </c>
      <c r="G12" s="95"/>
      <c r="H12" s="28">
        <f t="shared" si="1"/>
        <v>0</v>
      </c>
      <c r="I12" s="28">
        <f>+F12+H12</f>
        <v>1677.875</v>
      </c>
      <c r="J12" s="26"/>
      <c r="K12" s="26">
        <v>1.2</v>
      </c>
      <c r="L12" s="26">
        <v>4.2</v>
      </c>
      <c r="M12" s="26">
        <v>0.25</v>
      </c>
      <c r="N12" s="26"/>
      <c r="O12" s="26">
        <v>10.1</v>
      </c>
      <c r="P12" s="26"/>
      <c r="Q12" s="26"/>
      <c r="R12" s="26">
        <v>0.25</v>
      </c>
      <c r="S12" s="26"/>
      <c r="T12" s="26">
        <v>1.1000000000000001</v>
      </c>
      <c r="U12" s="26"/>
      <c r="V12" s="26"/>
      <c r="W12" s="26"/>
      <c r="X12" s="26"/>
      <c r="Y12" s="26"/>
      <c r="Z12" s="26"/>
      <c r="AA12" s="26"/>
      <c r="AB12" s="26"/>
      <c r="AC12" s="26">
        <f t="shared" si="3"/>
        <v>17.100000000000001</v>
      </c>
      <c r="AD12" s="27"/>
    </row>
    <row r="13" spans="1:30" s="50" customFormat="1" ht="18" customHeight="1">
      <c r="A13" s="333"/>
      <c r="B13" s="298">
        <v>46204</v>
      </c>
      <c r="C13" s="486" t="s">
        <v>184</v>
      </c>
      <c r="D13" s="5"/>
      <c r="E13" s="34">
        <v>466</v>
      </c>
      <c r="F13" s="6">
        <f t="shared" si="0"/>
        <v>1805.75</v>
      </c>
      <c r="G13" s="95"/>
      <c r="H13" s="28">
        <f t="shared" si="1"/>
        <v>0</v>
      </c>
      <c r="I13" s="28">
        <f t="shared" ref="I13:I14" si="4">+F13+H13</f>
        <v>1805.75</v>
      </c>
      <c r="J13" s="26"/>
      <c r="K13" s="26">
        <v>1.75</v>
      </c>
      <c r="L13" s="26">
        <v>3.5</v>
      </c>
      <c r="M13" s="26"/>
      <c r="N13" s="26"/>
      <c r="O13" s="26">
        <v>7.85</v>
      </c>
      <c r="P13" s="26">
        <v>0.85</v>
      </c>
      <c r="Q13" s="26"/>
      <c r="R13" s="26"/>
      <c r="S13" s="26"/>
      <c r="T13" s="26">
        <v>1.8</v>
      </c>
      <c r="U13" s="26"/>
      <c r="V13" s="26"/>
      <c r="W13" s="26"/>
      <c r="X13" s="26"/>
      <c r="Y13" s="26"/>
      <c r="Z13" s="26"/>
      <c r="AA13" s="26"/>
      <c r="AB13" s="26"/>
      <c r="AC13" s="350">
        <f t="shared" si="3"/>
        <v>15.75</v>
      </c>
      <c r="AD13" s="351"/>
    </row>
    <row r="14" spans="1:30" ht="18" customHeight="1">
      <c r="A14" s="333"/>
      <c r="B14" s="298">
        <v>46204</v>
      </c>
      <c r="C14" s="486" t="s">
        <v>185</v>
      </c>
      <c r="D14" s="5"/>
      <c r="E14" s="34">
        <v>438</v>
      </c>
      <c r="F14" s="6">
        <f t="shared" si="0"/>
        <v>1697.25</v>
      </c>
      <c r="G14" s="95"/>
      <c r="H14" s="28">
        <f>+G14*4.5</f>
        <v>0</v>
      </c>
      <c r="I14" s="28">
        <f t="shared" si="4"/>
        <v>1697.25</v>
      </c>
      <c r="J14" s="26"/>
      <c r="K14" s="26">
        <v>4.3499999999999996</v>
      </c>
      <c r="L14" s="26">
        <v>6.75</v>
      </c>
      <c r="M14" s="26"/>
      <c r="N14" s="26"/>
      <c r="O14" s="26">
        <v>19.25</v>
      </c>
      <c r="P14" s="26">
        <v>0.9</v>
      </c>
      <c r="Q14" s="26"/>
      <c r="R14" s="26">
        <v>2.75</v>
      </c>
      <c r="S14" s="26"/>
      <c r="T14" s="26">
        <v>0.8</v>
      </c>
      <c r="U14" s="26"/>
      <c r="V14" s="26"/>
      <c r="W14" s="26"/>
      <c r="X14" s="26"/>
      <c r="Y14" s="26"/>
      <c r="Z14" s="26"/>
      <c r="AA14" s="26"/>
      <c r="AB14" s="26"/>
      <c r="AC14" s="26">
        <f t="shared" si="3"/>
        <v>34.799999999999997</v>
      </c>
      <c r="AD14" s="27"/>
    </row>
    <row r="15" spans="1:30" ht="15" customHeight="1">
      <c r="A15" s="333"/>
      <c r="B15" s="298">
        <v>46204</v>
      </c>
      <c r="C15" s="486" t="s">
        <v>186</v>
      </c>
      <c r="D15" s="5"/>
      <c r="E15" s="34"/>
      <c r="F15" s="6">
        <f t="shared" ref="F15:F18" si="5">+E15*3.875</f>
        <v>0</v>
      </c>
      <c r="G15" s="95"/>
      <c r="H15" s="28">
        <f>+G15*4.5</f>
        <v>0</v>
      </c>
      <c r="I15" s="28">
        <f t="shared" ref="I15:I18" si="6">+F15+H15</f>
        <v>0</v>
      </c>
      <c r="J15" s="26"/>
      <c r="K15" s="26">
        <v>12.2</v>
      </c>
      <c r="L15" s="26">
        <v>21</v>
      </c>
      <c r="M15" s="26">
        <v>2.2000000000000002</v>
      </c>
      <c r="N15" s="26"/>
      <c r="O15" s="26">
        <v>62.05</v>
      </c>
      <c r="P15" s="26">
        <v>2.65</v>
      </c>
      <c r="Q15" s="26"/>
      <c r="R15" s="26">
        <v>4.3499999999999996</v>
      </c>
      <c r="S15" s="26"/>
      <c r="T15" s="26">
        <v>6.55</v>
      </c>
      <c r="U15" s="26"/>
      <c r="V15" s="26"/>
      <c r="W15" s="26"/>
      <c r="X15" s="26"/>
      <c r="Y15" s="26"/>
      <c r="Z15" s="26"/>
      <c r="AA15" s="26"/>
      <c r="AB15" s="26"/>
      <c r="AC15" s="26">
        <f t="shared" si="3"/>
        <v>111</v>
      </c>
      <c r="AD15" s="27"/>
    </row>
    <row r="16" spans="1:30" ht="15" customHeight="1">
      <c r="A16" s="333">
        <v>46213</v>
      </c>
      <c r="B16" s="298">
        <v>46204</v>
      </c>
      <c r="C16" s="486" t="s">
        <v>185</v>
      </c>
      <c r="D16" s="5"/>
      <c r="E16" s="34">
        <v>21</v>
      </c>
      <c r="F16" s="6">
        <f t="shared" ref="F16:F17" si="7">+E16*3.875</f>
        <v>81.375</v>
      </c>
      <c r="G16" s="95"/>
      <c r="H16" s="28">
        <f t="shared" ref="H16:H17" si="8">+G16*4.5</f>
        <v>0</v>
      </c>
      <c r="I16" s="28">
        <f t="shared" ref="I16:I17" si="9">+F16+H16</f>
        <v>81.375</v>
      </c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  <c r="AA16" s="26"/>
      <c r="AB16" s="26"/>
      <c r="AC16" s="26">
        <f t="shared" si="3"/>
        <v>0</v>
      </c>
      <c r="AD16" s="27"/>
    </row>
    <row r="17" spans="1:32" ht="15" customHeight="1">
      <c r="A17" s="333"/>
      <c r="B17" s="298">
        <v>46204</v>
      </c>
      <c r="C17" s="486" t="s">
        <v>186</v>
      </c>
      <c r="D17" s="5"/>
      <c r="E17" s="34">
        <v>281</v>
      </c>
      <c r="F17" s="6">
        <f t="shared" si="7"/>
        <v>1088.875</v>
      </c>
      <c r="G17" s="95"/>
      <c r="H17" s="28">
        <f t="shared" si="8"/>
        <v>0</v>
      </c>
      <c r="I17" s="28">
        <f t="shared" si="9"/>
        <v>1088.875</v>
      </c>
      <c r="J17" s="26"/>
      <c r="K17" s="26">
        <v>3.39</v>
      </c>
      <c r="L17" s="26">
        <v>5.55</v>
      </c>
      <c r="M17" s="26"/>
      <c r="N17" s="26">
        <v>1.55</v>
      </c>
      <c r="O17" s="26">
        <v>4.3499999999999996</v>
      </c>
      <c r="P17" s="26">
        <v>0.85</v>
      </c>
      <c r="Q17" s="26"/>
      <c r="R17" s="26">
        <v>1.2</v>
      </c>
      <c r="S17" s="26"/>
      <c r="T17" s="26">
        <v>0.6</v>
      </c>
      <c r="U17" s="26"/>
      <c r="V17" s="26"/>
      <c r="W17" s="26"/>
      <c r="X17" s="26"/>
      <c r="Y17" s="26"/>
      <c r="Z17" s="26"/>
      <c r="AA17" s="26"/>
      <c r="AB17" s="26"/>
      <c r="AC17" s="26">
        <f t="shared" si="3"/>
        <v>17.490000000000002</v>
      </c>
      <c r="AD17" s="27"/>
    </row>
    <row r="18" spans="1:32" ht="15" customHeight="1">
      <c r="A18" s="333"/>
      <c r="B18" s="298">
        <v>46204</v>
      </c>
      <c r="C18" s="486" t="s">
        <v>187</v>
      </c>
      <c r="D18" s="5"/>
      <c r="E18" s="34">
        <v>99</v>
      </c>
      <c r="F18" s="6">
        <f t="shared" si="5"/>
        <v>383.625</v>
      </c>
      <c r="G18" s="95"/>
      <c r="H18" s="28">
        <f t="shared" ref="H18" si="10">+G18*4.5</f>
        <v>0</v>
      </c>
      <c r="I18" s="28">
        <f t="shared" si="6"/>
        <v>383.625</v>
      </c>
      <c r="J18" s="26"/>
      <c r="K18" s="26">
        <v>0.75</v>
      </c>
      <c r="L18" s="26">
        <v>1.25</v>
      </c>
      <c r="M18" s="26"/>
      <c r="N18" s="26">
        <v>0.5</v>
      </c>
      <c r="O18" s="26">
        <v>0.9</v>
      </c>
      <c r="P18" s="26"/>
      <c r="Q18" s="26"/>
      <c r="R18" s="26">
        <v>0.75</v>
      </c>
      <c r="S18" s="26"/>
      <c r="T18" s="26">
        <v>0.5</v>
      </c>
      <c r="U18" s="26"/>
      <c r="V18" s="26"/>
      <c r="W18" s="26"/>
      <c r="X18" s="26"/>
      <c r="Y18" s="26"/>
      <c r="Z18" s="26"/>
      <c r="AA18" s="26"/>
      <c r="AB18" s="26"/>
      <c r="AC18" s="26">
        <f t="shared" si="3"/>
        <v>4.6500000000000004</v>
      </c>
      <c r="AD18" s="27"/>
    </row>
    <row r="19" spans="1:32" ht="15.75" customHeight="1">
      <c r="A19" s="333"/>
      <c r="B19" s="298">
        <v>46209</v>
      </c>
      <c r="C19" s="486" t="s">
        <v>205</v>
      </c>
      <c r="D19" s="24">
        <f>+'Actual VS SAP'!B11</f>
        <v>1495.75</v>
      </c>
      <c r="E19" s="34">
        <v>378</v>
      </c>
      <c r="F19" s="6">
        <f t="shared" ref="F19:F26" si="11">+E19*3.875</f>
        <v>1464.75</v>
      </c>
      <c r="G19" s="95"/>
      <c r="H19" s="28">
        <f t="shared" ref="H19:H53" si="12">+G19*4.5</f>
        <v>0</v>
      </c>
      <c r="I19" s="28">
        <f t="shared" ref="I19:I53" si="13">+F19+H19</f>
        <v>1464.75</v>
      </c>
      <c r="J19" s="26"/>
      <c r="K19" s="26">
        <v>0.32</v>
      </c>
      <c r="L19" s="26">
        <v>0.5</v>
      </c>
      <c r="M19" s="26"/>
      <c r="N19" s="26"/>
      <c r="O19" s="26">
        <v>1.2</v>
      </c>
      <c r="P19" s="26">
        <v>0.5</v>
      </c>
      <c r="Q19" s="26"/>
      <c r="R19" s="24">
        <v>4.95</v>
      </c>
      <c r="S19" s="24"/>
      <c r="T19" s="24">
        <v>1.5</v>
      </c>
      <c r="U19" s="24"/>
      <c r="V19" s="24"/>
      <c r="W19" s="24"/>
      <c r="X19" s="24"/>
      <c r="Y19" s="24"/>
      <c r="Z19" s="24"/>
      <c r="AA19" s="24"/>
      <c r="AB19" s="24"/>
      <c r="AC19" s="26">
        <f t="shared" si="3"/>
        <v>8.9700000000000006</v>
      </c>
      <c r="AD19" s="27"/>
    </row>
    <row r="20" spans="1:32">
      <c r="A20" s="333"/>
      <c r="B20" s="298">
        <v>46210</v>
      </c>
      <c r="C20" s="486" t="s">
        <v>206</v>
      </c>
      <c r="D20" s="5">
        <f>+'Actual VS SAP'!B12</f>
        <v>12775.875</v>
      </c>
      <c r="E20" s="34">
        <v>455</v>
      </c>
      <c r="F20" s="6">
        <f t="shared" si="11"/>
        <v>1763.125</v>
      </c>
      <c r="G20" s="95"/>
      <c r="H20" s="28">
        <f t="shared" si="12"/>
        <v>0</v>
      </c>
      <c r="I20" s="28">
        <f t="shared" si="13"/>
        <v>1763.125</v>
      </c>
      <c r="J20" s="26"/>
      <c r="K20" s="26">
        <v>0.42</v>
      </c>
      <c r="L20" s="26">
        <v>0.84</v>
      </c>
      <c r="M20" s="26"/>
      <c r="N20" s="26"/>
      <c r="O20" s="26">
        <v>15.45</v>
      </c>
      <c r="P20" s="26">
        <v>0.75</v>
      </c>
      <c r="Q20" s="26"/>
      <c r="R20" s="24">
        <v>1.1000000000000001</v>
      </c>
      <c r="S20" s="24"/>
      <c r="T20" s="24">
        <v>1.7</v>
      </c>
      <c r="U20" s="24"/>
      <c r="V20" s="24"/>
      <c r="W20" s="24"/>
      <c r="X20" s="26"/>
      <c r="Y20" s="26"/>
      <c r="Z20" s="26"/>
      <c r="AA20" s="26"/>
      <c r="AB20" s="26"/>
      <c r="AC20" s="26">
        <f t="shared" si="3"/>
        <v>20.260000000000002</v>
      </c>
      <c r="AD20" s="27"/>
      <c r="AF20" s="10"/>
    </row>
    <row r="21" spans="1:32">
      <c r="A21" s="333"/>
      <c r="B21" s="298">
        <v>46210</v>
      </c>
      <c r="C21" s="486" t="s">
        <v>207</v>
      </c>
      <c r="D21" s="5"/>
      <c r="E21" s="34">
        <v>418</v>
      </c>
      <c r="F21" s="6">
        <f t="shared" si="11"/>
        <v>1619.75</v>
      </c>
      <c r="G21" s="95"/>
      <c r="H21" s="28">
        <f t="shared" si="12"/>
        <v>0</v>
      </c>
      <c r="I21" s="28">
        <f t="shared" si="13"/>
        <v>1619.75</v>
      </c>
      <c r="J21" s="26"/>
      <c r="K21" s="26">
        <v>0.9</v>
      </c>
      <c r="L21" s="26">
        <v>0.9</v>
      </c>
      <c r="M21" s="26"/>
      <c r="N21" s="26"/>
      <c r="O21" s="26">
        <v>5.0999999999999996</v>
      </c>
      <c r="P21" s="26"/>
      <c r="Q21" s="26"/>
      <c r="R21" s="26">
        <v>0.47</v>
      </c>
      <c r="S21" s="26">
        <v>0.11</v>
      </c>
      <c r="T21" s="26">
        <v>0.98</v>
      </c>
      <c r="U21" s="26"/>
      <c r="V21" s="26"/>
      <c r="W21" s="26"/>
      <c r="X21" s="26"/>
      <c r="Y21" s="26"/>
      <c r="Z21" s="26"/>
      <c r="AA21" s="26"/>
      <c r="AB21" s="26"/>
      <c r="AC21" s="26">
        <f t="shared" si="3"/>
        <v>8.4599999999999991</v>
      </c>
      <c r="AD21" s="27"/>
      <c r="AF21" s="10"/>
    </row>
    <row r="22" spans="1:32">
      <c r="A22" s="333"/>
      <c r="B22" s="298">
        <v>46210</v>
      </c>
      <c r="C22" s="486" t="s">
        <v>208</v>
      </c>
      <c r="D22" s="5"/>
      <c r="E22" s="34">
        <f>282+141</f>
        <v>423</v>
      </c>
      <c r="F22" s="6">
        <f t="shared" si="11"/>
        <v>1639.125</v>
      </c>
      <c r="G22" s="95"/>
      <c r="H22" s="28">
        <f t="shared" si="12"/>
        <v>0</v>
      </c>
      <c r="I22" s="28">
        <f t="shared" si="13"/>
        <v>1639.125</v>
      </c>
      <c r="J22" s="26"/>
      <c r="K22" s="26">
        <v>0.8</v>
      </c>
      <c r="L22" s="26">
        <v>1.25</v>
      </c>
      <c r="M22" s="26"/>
      <c r="N22" s="26"/>
      <c r="O22" s="26">
        <v>8.75</v>
      </c>
      <c r="P22" s="26">
        <v>1.75</v>
      </c>
      <c r="Q22" s="26"/>
      <c r="R22" s="26">
        <v>0.7</v>
      </c>
      <c r="S22" s="26"/>
      <c r="T22" s="26">
        <v>1.4</v>
      </c>
      <c r="U22" s="26"/>
      <c r="V22" s="26"/>
      <c r="W22" s="26"/>
      <c r="X22" s="26"/>
      <c r="Y22" s="26"/>
      <c r="Z22" s="26"/>
      <c r="AA22" s="26"/>
      <c r="AB22" s="26"/>
      <c r="AC22" s="26">
        <f t="shared" si="3"/>
        <v>14.65</v>
      </c>
      <c r="AD22" s="27"/>
      <c r="AF22" s="10"/>
    </row>
    <row r="23" spans="1:32">
      <c r="A23" s="333"/>
      <c r="B23" s="298">
        <v>46210</v>
      </c>
      <c r="C23" s="486" t="s">
        <v>209</v>
      </c>
      <c r="D23" s="5"/>
      <c r="E23" s="34"/>
      <c r="F23" s="6">
        <f t="shared" ref="F23" si="14">+E23*3.875</f>
        <v>0</v>
      </c>
      <c r="G23" s="95"/>
      <c r="H23" s="28">
        <f t="shared" ref="H23" si="15">+G23*4.5</f>
        <v>0</v>
      </c>
      <c r="I23" s="28">
        <f t="shared" ref="I23" si="16">+F23+H23</f>
        <v>0</v>
      </c>
      <c r="J23" s="26"/>
      <c r="K23" s="26">
        <v>2.1</v>
      </c>
      <c r="L23" s="26">
        <v>1.6</v>
      </c>
      <c r="M23" s="26"/>
      <c r="N23" s="26"/>
      <c r="O23" s="26">
        <v>5.6</v>
      </c>
      <c r="P23" s="26"/>
      <c r="Q23" s="26"/>
      <c r="R23" s="26">
        <v>2.4500000000000002</v>
      </c>
      <c r="S23" s="26"/>
      <c r="T23" s="26">
        <v>0.91</v>
      </c>
      <c r="U23" s="26"/>
      <c r="V23" s="26"/>
      <c r="W23" s="26"/>
      <c r="X23" s="26"/>
      <c r="Y23" s="26"/>
      <c r="Z23" s="26"/>
      <c r="AA23" s="26"/>
      <c r="AB23" s="26"/>
      <c r="AC23" s="26">
        <f t="shared" si="3"/>
        <v>12.66</v>
      </c>
      <c r="AD23" s="27"/>
      <c r="AF23" s="10"/>
    </row>
    <row r="24" spans="1:32">
      <c r="A24" s="333">
        <v>46214</v>
      </c>
      <c r="B24" s="298">
        <v>46210</v>
      </c>
      <c r="C24" s="486" t="s">
        <v>209</v>
      </c>
      <c r="D24" s="5"/>
      <c r="E24" s="34">
        <v>422</v>
      </c>
      <c r="F24" s="6">
        <f t="shared" ref="F24" si="17">+E24*3.875</f>
        <v>1635.25</v>
      </c>
      <c r="G24" s="95"/>
      <c r="H24" s="28">
        <f t="shared" ref="H24" si="18">+G24*4.5</f>
        <v>0</v>
      </c>
      <c r="I24" s="28">
        <f t="shared" ref="I24" si="19">+F24+H24</f>
        <v>1635.25</v>
      </c>
      <c r="J24" s="26"/>
      <c r="K24" s="26">
        <v>1.5</v>
      </c>
      <c r="L24" s="26">
        <v>1.2</v>
      </c>
      <c r="M24" s="26"/>
      <c r="N24" s="26">
        <v>0.32</v>
      </c>
      <c r="O24" s="26">
        <v>4.2</v>
      </c>
      <c r="P24" s="26"/>
      <c r="Q24" s="26"/>
      <c r="R24" s="26">
        <v>0.62</v>
      </c>
      <c r="S24" s="26">
        <v>0.06</v>
      </c>
      <c r="T24" s="26">
        <v>0.56000000000000005</v>
      </c>
      <c r="U24" s="26"/>
      <c r="V24" s="26"/>
      <c r="W24" s="26"/>
      <c r="X24" s="26"/>
      <c r="Y24" s="26"/>
      <c r="Z24" s="26"/>
      <c r="AA24" s="26"/>
      <c r="AB24" s="26"/>
      <c r="AC24" s="26">
        <f t="shared" si="3"/>
        <v>8.4600000000000009</v>
      </c>
      <c r="AD24" s="29"/>
      <c r="AF24" s="10"/>
    </row>
    <row r="25" spans="1:32">
      <c r="A25" s="333"/>
      <c r="B25" s="298">
        <v>46210</v>
      </c>
      <c r="C25" s="486" t="s">
        <v>210</v>
      </c>
      <c r="D25" s="5"/>
      <c r="E25" s="34">
        <v>436</v>
      </c>
      <c r="F25" s="6">
        <f t="shared" si="11"/>
        <v>1689.5</v>
      </c>
      <c r="G25" s="95"/>
      <c r="H25" s="28">
        <f t="shared" ref="H25:H26" si="20">+G25*4.5</f>
        <v>0</v>
      </c>
      <c r="I25" s="28">
        <f t="shared" ref="I25:I26" si="21">+F25+H25</f>
        <v>1689.5</v>
      </c>
      <c r="J25" s="26"/>
      <c r="K25" s="26">
        <v>1.33</v>
      </c>
      <c r="L25" s="26">
        <v>2.74</v>
      </c>
      <c r="M25" s="26"/>
      <c r="N25" s="26"/>
      <c r="O25" s="26">
        <v>8.36</v>
      </c>
      <c r="P25" s="26">
        <v>0.75</v>
      </c>
      <c r="Q25" s="26"/>
      <c r="R25" s="26">
        <v>0.7</v>
      </c>
      <c r="S25" s="26">
        <v>0.15</v>
      </c>
      <c r="T25" s="26">
        <v>2.1</v>
      </c>
      <c r="U25" s="26"/>
      <c r="V25" s="26"/>
      <c r="W25" s="26"/>
      <c r="X25" s="26"/>
      <c r="Y25" s="26"/>
      <c r="Z25" s="26"/>
      <c r="AA25" s="26"/>
      <c r="AB25" s="26"/>
      <c r="AC25" s="26">
        <f t="shared" si="3"/>
        <v>16.13</v>
      </c>
      <c r="AD25" s="29"/>
      <c r="AF25" s="10"/>
    </row>
    <row r="26" spans="1:32">
      <c r="A26" s="333"/>
      <c r="B26" s="298">
        <v>46210</v>
      </c>
      <c r="C26" s="486" t="s">
        <v>211</v>
      </c>
      <c r="D26" s="5"/>
      <c r="E26" s="34">
        <v>387</v>
      </c>
      <c r="F26" s="6">
        <f t="shared" si="11"/>
        <v>1499.625</v>
      </c>
      <c r="G26" s="95"/>
      <c r="H26" s="28">
        <f t="shared" si="20"/>
        <v>0</v>
      </c>
      <c r="I26" s="28">
        <f t="shared" si="21"/>
        <v>1499.625</v>
      </c>
      <c r="J26" s="26"/>
      <c r="K26" s="26">
        <v>1.04</v>
      </c>
      <c r="L26" s="26">
        <v>2.8</v>
      </c>
      <c r="M26" s="26"/>
      <c r="N26" s="26">
        <v>0.8</v>
      </c>
      <c r="O26" s="26">
        <v>19.920000000000002</v>
      </c>
      <c r="P26" s="26">
        <v>0.85</v>
      </c>
      <c r="Q26" s="26"/>
      <c r="R26" s="26">
        <v>0.8</v>
      </c>
      <c r="S26" s="26"/>
      <c r="T26" s="26">
        <v>0.9</v>
      </c>
      <c r="U26" s="26"/>
      <c r="V26" s="26"/>
      <c r="W26" s="26"/>
      <c r="X26" s="26"/>
      <c r="Y26" s="26"/>
      <c r="Z26" s="26"/>
      <c r="AA26" s="26"/>
      <c r="AB26" s="26"/>
      <c r="AC26" s="26">
        <f t="shared" si="3"/>
        <v>27.110000000000003</v>
      </c>
      <c r="AD26" s="29"/>
      <c r="AF26" s="10"/>
    </row>
    <row r="27" spans="1:32">
      <c r="A27" s="333"/>
      <c r="B27" s="298">
        <v>46210</v>
      </c>
      <c r="C27" s="486" t="s">
        <v>212</v>
      </c>
      <c r="D27" s="5"/>
      <c r="E27" s="34">
        <f>99+121</f>
        <v>220</v>
      </c>
      <c r="F27" s="6">
        <f>+E27*3.875</f>
        <v>852.5</v>
      </c>
      <c r="G27" s="95"/>
      <c r="H27" s="28">
        <f t="shared" si="12"/>
        <v>0</v>
      </c>
      <c r="I27" s="28">
        <f t="shared" si="13"/>
        <v>852.5</v>
      </c>
      <c r="J27" s="26"/>
      <c r="K27" s="26">
        <v>1.66</v>
      </c>
      <c r="L27" s="26">
        <v>2</v>
      </c>
      <c r="M27" s="26"/>
      <c r="N27" s="26"/>
      <c r="O27" s="26">
        <v>4.24</v>
      </c>
      <c r="P27" s="26">
        <v>0.62</v>
      </c>
      <c r="Q27" s="26"/>
      <c r="R27" s="26">
        <v>2.2000000000000002</v>
      </c>
      <c r="S27" s="26"/>
      <c r="T27" s="26">
        <v>0.92</v>
      </c>
      <c r="U27" s="26"/>
      <c r="V27" s="26"/>
      <c r="W27" s="26"/>
      <c r="X27" s="26"/>
      <c r="Y27" s="26"/>
      <c r="Z27" s="26"/>
      <c r="AA27" s="26"/>
      <c r="AB27" s="26"/>
      <c r="AC27" s="26">
        <f t="shared" si="3"/>
        <v>11.639999999999999</v>
      </c>
      <c r="AD27" s="29"/>
      <c r="AF27" s="10"/>
    </row>
    <row r="28" spans="1:32">
      <c r="A28" s="333"/>
      <c r="B28" s="298">
        <v>46210</v>
      </c>
      <c r="C28" s="486" t="s">
        <v>213</v>
      </c>
      <c r="D28" s="5"/>
      <c r="E28" s="34">
        <v>444</v>
      </c>
      <c r="F28" s="6">
        <f>+E28*3.875</f>
        <v>1720.5</v>
      </c>
      <c r="G28" s="95"/>
      <c r="H28" s="28">
        <f t="shared" si="12"/>
        <v>0</v>
      </c>
      <c r="I28" s="28">
        <f t="shared" si="13"/>
        <v>1720.5</v>
      </c>
      <c r="J28" s="26"/>
      <c r="K28" s="26">
        <v>3.2</v>
      </c>
      <c r="L28" s="26">
        <v>7.45</v>
      </c>
      <c r="M28" s="26"/>
      <c r="N28" s="26">
        <v>2.1</v>
      </c>
      <c r="O28" s="26">
        <v>4.45</v>
      </c>
      <c r="P28" s="26">
        <v>1.4</v>
      </c>
      <c r="Q28" s="26"/>
      <c r="R28" s="26">
        <v>12.46</v>
      </c>
      <c r="S28" s="26"/>
      <c r="T28" s="26">
        <v>1.9</v>
      </c>
      <c r="U28" s="26"/>
      <c r="V28" s="26"/>
      <c r="W28" s="26"/>
      <c r="X28" s="26"/>
      <c r="Y28" s="26"/>
      <c r="Z28" s="26"/>
      <c r="AA28" s="26"/>
      <c r="AB28" s="26"/>
      <c r="AC28" s="26">
        <f t="shared" si="3"/>
        <v>32.96</v>
      </c>
      <c r="AD28" s="29"/>
      <c r="AF28" s="10"/>
    </row>
    <row r="29" spans="1:32">
      <c r="A29" s="333"/>
      <c r="B29" s="298">
        <v>46211</v>
      </c>
      <c r="C29" s="486" t="s">
        <v>219</v>
      </c>
      <c r="D29" s="5">
        <f>+'Actual VS SAP'!B13</f>
        <v>14426.625</v>
      </c>
      <c r="E29" s="34">
        <v>487</v>
      </c>
      <c r="F29" s="6">
        <f t="shared" ref="F29:F92" si="22">+E29*3.875</f>
        <v>1887.125</v>
      </c>
      <c r="G29" s="95"/>
      <c r="H29" s="28">
        <f t="shared" si="12"/>
        <v>0</v>
      </c>
      <c r="I29" s="28">
        <f t="shared" si="13"/>
        <v>1887.125</v>
      </c>
      <c r="J29" s="26"/>
      <c r="K29" s="26">
        <v>1.98</v>
      </c>
      <c r="L29" s="26">
        <v>3.44</v>
      </c>
      <c r="M29" s="26"/>
      <c r="N29" s="26"/>
      <c r="O29" s="26">
        <v>6.85</v>
      </c>
      <c r="P29" s="26">
        <v>1.1000000000000001</v>
      </c>
      <c r="Q29" s="26"/>
      <c r="R29" s="26">
        <v>3.04</v>
      </c>
      <c r="S29" s="26"/>
      <c r="T29" s="26">
        <v>1.84</v>
      </c>
      <c r="U29" s="26"/>
      <c r="V29" s="26"/>
      <c r="W29" s="26"/>
      <c r="X29" s="26"/>
      <c r="Y29" s="26"/>
      <c r="Z29" s="26"/>
      <c r="AA29" s="26"/>
      <c r="AB29" s="26"/>
      <c r="AC29" s="26">
        <f t="shared" si="3"/>
        <v>18.25</v>
      </c>
      <c r="AD29" s="29"/>
      <c r="AF29" s="10"/>
    </row>
    <row r="30" spans="1:32" s="50" customFormat="1">
      <c r="A30" s="333"/>
      <c r="B30" s="298">
        <v>46211</v>
      </c>
      <c r="C30" s="486" t="s">
        <v>220</v>
      </c>
      <c r="D30" s="5"/>
      <c r="E30" s="34">
        <v>471</v>
      </c>
      <c r="F30" s="6">
        <f t="shared" si="22"/>
        <v>1825.125</v>
      </c>
      <c r="G30" s="95"/>
      <c r="H30" s="28">
        <f t="shared" si="12"/>
        <v>0</v>
      </c>
      <c r="I30" s="28">
        <f t="shared" si="13"/>
        <v>1825.125</v>
      </c>
      <c r="J30" s="26"/>
      <c r="K30" s="26">
        <v>0.62</v>
      </c>
      <c r="L30" s="26">
        <v>1.98</v>
      </c>
      <c r="M30" s="26"/>
      <c r="N30" s="26">
        <v>0.14000000000000001</v>
      </c>
      <c r="O30" s="26">
        <v>3.9</v>
      </c>
      <c r="P30" s="26">
        <v>0.1</v>
      </c>
      <c r="Q30" s="26"/>
      <c r="R30" s="26"/>
      <c r="S30" s="26"/>
      <c r="T30" s="26">
        <v>2.38</v>
      </c>
      <c r="U30" s="26"/>
      <c r="V30" s="26"/>
      <c r="W30" s="26"/>
      <c r="X30" s="26"/>
      <c r="Y30" s="26"/>
      <c r="Z30" s="26"/>
      <c r="AA30" s="26"/>
      <c r="AB30" s="26"/>
      <c r="AC30" s="26">
        <f t="shared" si="3"/>
        <v>9.120000000000001</v>
      </c>
      <c r="AD30" s="51"/>
      <c r="AF30" s="10"/>
    </row>
    <row r="31" spans="1:32">
      <c r="A31" s="333"/>
      <c r="B31" s="298">
        <v>46211</v>
      </c>
      <c r="C31" s="486" t="s">
        <v>221</v>
      </c>
      <c r="D31" s="5"/>
      <c r="E31" s="34">
        <f>197+168</f>
        <v>365</v>
      </c>
      <c r="F31" s="6">
        <f t="shared" si="22"/>
        <v>1414.375</v>
      </c>
      <c r="G31" s="95"/>
      <c r="H31" s="28">
        <f t="shared" si="12"/>
        <v>0</v>
      </c>
      <c r="I31" s="28">
        <f>+F31+H31</f>
        <v>1414.375</v>
      </c>
      <c r="J31" s="26"/>
      <c r="K31" s="26">
        <v>1.4</v>
      </c>
      <c r="L31" s="26">
        <v>2.06</v>
      </c>
      <c r="M31" s="26"/>
      <c r="N31" s="26"/>
      <c r="O31" s="26">
        <v>6.68</v>
      </c>
      <c r="P31" s="26">
        <v>2.44</v>
      </c>
      <c r="Q31" s="26"/>
      <c r="R31" s="26">
        <v>0.76</v>
      </c>
      <c r="S31" s="26"/>
      <c r="T31" s="26">
        <v>1.74</v>
      </c>
      <c r="U31" s="26"/>
      <c r="V31" s="26"/>
      <c r="W31" s="26"/>
      <c r="X31" s="26"/>
      <c r="Y31" s="26"/>
      <c r="Z31" s="26"/>
      <c r="AA31" s="26"/>
      <c r="AB31" s="26"/>
      <c r="AC31" s="26">
        <f t="shared" si="3"/>
        <v>15.08</v>
      </c>
      <c r="AD31" s="29"/>
      <c r="AF31" s="10"/>
    </row>
    <row r="32" spans="1:32">
      <c r="A32" s="333"/>
      <c r="B32" s="298">
        <v>46211</v>
      </c>
      <c r="C32" s="486" t="s">
        <v>222</v>
      </c>
      <c r="D32" s="5"/>
      <c r="E32" s="34"/>
      <c r="F32" s="6">
        <f t="shared" si="22"/>
        <v>0</v>
      </c>
      <c r="G32" s="95"/>
      <c r="H32" s="28">
        <f t="shared" si="12"/>
        <v>0</v>
      </c>
      <c r="I32" s="28">
        <f t="shared" si="13"/>
        <v>0</v>
      </c>
      <c r="J32" s="26"/>
      <c r="K32" s="26">
        <v>0.8</v>
      </c>
      <c r="L32" s="26">
        <v>0.9</v>
      </c>
      <c r="M32" s="26"/>
      <c r="N32" s="26"/>
      <c r="O32" s="26">
        <v>1.6</v>
      </c>
      <c r="P32" s="26"/>
      <c r="Q32" s="26"/>
      <c r="R32" s="26"/>
      <c r="S32" s="26"/>
      <c r="T32" s="26">
        <v>1.1200000000000001</v>
      </c>
      <c r="U32" s="26"/>
      <c r="V32" s="26"/>
      <c r="W32" s="26"/>
      <c r="X32" s="26"/>
      <c r="Y32" s="26"/>
      <c r="Z32" s="26"/>
      <c r="AA32" s="26"/>
      <c r="AB32" s="26"/>
      <c r="AC32" s="26">
        <f t="shared" si="3"/>
        <v>4.42</v>
      </c>
      <c r="AD32" s="29"/>
      <c r="AF32" s="10"/>
    </row>
    <row r="33" spans="1:32">
      <c r="A33" s="333">
        <v>46216</v>
      </c>
      <c r="B33" s="298">
        <v>46211</v>
      </c>
      <c r="C33" s="486" t="s">
        <v>222</v>
      </c>
      <c r="D33" s="5"/>
      <c r="E33" s="34">
        <v>350</v>
      </c>
      <c r="F33" s="6">
        <f t="shared" si="22"/>
        <v>1356.25</v>
      </c>
      <c r="G33" s="95"/>
      <c r="H33" s="28">
        <f>+G33*4.5</f>
        <v>0</v>
      </c>
      <c r="I33" s="28">
        <f t="shared" si="13"/>
        <v>1356.25</v>
      </c>
      <c r="J33" s="26"/>
      <c r="K33" s="26">
        <v>0.04</v>
      </c>
      <c r="L33" s="26">
        <v>0.12</v>
      </c>
      <c r="M33" s="26"/>
      <c r="N33" s="26"/>
      <c r="O33" s="26">
        <v>0.06</v>
      </c>
      <c r="P33" s="26">
        <v>0.02</v>
      </c>
      <c r="Q33" s="26"/>
      <c r="R33" s="26"/>
      <c r="S33" s="26"/>
      <c r="T33" s="26">
        <v>0.26</v>
      </c>
      <c r="U33" s="26"/>
      <c r="V33" s="26"/>
      <c r="W33" s="26"/>
      <c r="X33" s="26"/>
      <c r="Y33" s="26"/>
      <c r="Z33" s="26"/>
      <c r="AA33" s="26"/>
      <c r="AB33" s="26"/>
      <c r="AC33" s="26">
        <f t="shared" si="3"/>
        <v>0.5</v>
      </c>
      <c r="AD33" s="29"/>
      <c r="AF33" s="10"/>
    </row>
    <row r="34" spans="1:32">
      <c r="A34" s="333"/>
      <c r="B34" s="298">
        <v>46211</v>
      </c>
      <c r="C34" s="486" t="s">
        <v>223</v>
      </c>
      <c r="D34" s="5"/>
      <c r="E34" s="34">
        <v>514</v>
      </c>
      <c r="F34" s="6">
        <f t="shared" ref="F34:F35" si="23">+E34*3.875</f>
        <v>1991.75</v>
      </c>
      <c r="G34" s="95"/>
      <c r="H34" s="28">
        <f>+G34*4.5</f>
        <v>0</v>
      </c>
      <c r="I34" s="28">
        <f t="shared" ref="I34:I37" si="24">+F34+H34</f>
        <v>1991.75</v>
      </c>
      <c r="J34" s="26"/>
      <c r="K34" s="26">
        <v>1.6</v>
      </c>
      <c r="L34" s="26">
        <v>3.92</v>
      </c>
      <c r="M34" s="26"/>
      <c r="N34" s="26"/>
      <c r="O34" s="26">
        <v>2.56</v>
      </c>
      <c r="P34" s="26">
        <v>0.12</v>
      </c>
      <c r="Q34" s="26"/>
      <c r="R34" s="26">
        <v>0.36</v>
      </c>
      <c r="S34" s="26"/>
      <c r="T34" s="26">
        <v>1.96</v>
      </c>
      <c r="U34" s="26"/>
      <c r="V34" s="26"/>
      <c r="W34" s="26"/>
      <c r="X34" s="26"/>
      <c r="Y34" s="26"/>
      <c r="Z34" s="26"/>
      <c r="AA34" s="26"/>
      <c r="AB34" s="26"/>
      <c r="AC34" s="26">
        <f t="shared" si="3"/>
        <v>10.52</v>
      </c>
      <c r="AD34" s="29"/>
      <c r="AF34" s="10"/>
    </row>
    <row r="35" spans="1:32">
      <c r="A35" s="333"/>
      <c r="B35" s="298">
        <v>46211</v>
      </c>
      <c r="C35" s="486" t="s">
        <v>224</v>
      </c>
      <c r="D35" s="5"/>
      <c r="E35" s="34">
        <v>448</v>
      </c>
      <c r="F35" s="6">
        <f t="shared" si="23"/>
        <v>1736</v>
      </c>
      <c r="G35" s="95"/>
      <c r="H35" s="28">
        <f t="shared" ref="H35:H37" si="25">+G35*4.5</f>
        <v>0</v>
      </c>
      <c r="I35" s="28">
        <f t="shared" si="24"/>
        <v>1736</v>
      </c>
      <c r="J35" s="26"/>
      <c r="K35" s="26">
        <v>2.2599999999999998</v>
      </c>
      <c r="L35" s="26">
        <v>3.7</v>
      </c>
      <c r="M35" s="26"/>
      <c r="N35" s="26"/>
      <c r="O35" s="26">
        <v>13.78</v>
      </c>
      <c r="P35" s="26">
        <v>0.24</v>
      </c>
      <c r="Q35" s="26"/>
      <c r="R35" s="26">
        <v>0.68</v>
      </c>
      <c r="S35" s="26"/>
      <c r="T35" s="26">
        <v>2.2599999999999998</v>
      </c>
      <c r="U35" s="26"/>
      <c r="V35" s="26"/>
      <c r="W35" s="26"/>
      <c r="X35" s="26"/>
      <c r="Y35" s="26"/>
      <c r="Z35" s="26"/>
      <c r="AA35" s="26"/>
      <c r="AB35" s="26"/>
      <c r="AC35" s="26">
        <f t="shared" si="3"/>
        <v>22.919999999999995</v>
      </c>
      <c r="AD35" s="29"/>
      <c r="AF35" s="10"/>
    </row>
    <row r="36" spans="1:32">
      <c r="A36" s="333"/>
      <c r="B36" s="298">
        <v>46211</v>
      </c>
      <c r="C36" s="486" t="s">
        <v>225</v>
      </c>
      <c r="D36" s="5"/>
      <c r="E36" s="34">
        <v>355</v>
      </c>
      <c r="F36" s="6">
        <f t="shared" si="22"/>
        <v>1375.625</v>
      </c>
      <c r="G36" s="95"/>
      <c r="H36" s="28">
        <f t="shared" si="25"/>
        <v>0</v>
      </c>
      <c r="I36" s="28">
        <f t="shared" si="24"/>
        <v>1375.625</v>
      </c>
      <c r="J36" s="26"/>
      <c r="K36" s="26">
        <v>1.7</v>
      </c>
      <c r="L36" s="26">
        <v>3.3</v>
      </c>
      <c r="M36" s="26"/>
      <c r="N36" s="26"/>
      <c r="O36" s="26">
        <v>6.36</v>
      </c>
      <c r="P36" s="26">
        <v>0.5</v>
      </c>
      <c r="Q36" s="26"/>
      <c r="R36" s="26">
        <v>0.3</v>
      </c>
      <c r="S36" s="26">
        <v>1.55</v>
      </c>
      <c r="T36" s="26">
        <v>1.7</v>
      </c>
      <c r="U36" s="26"/>
      <c r="V36" s="26"/>
      <c r="W36" s="26"/>
      <c r="X36" s="26"/>
      <c r="Y36" s="26"/>
      <c r="Z36" s="26"/>
      <c r="AA36" s="26"/>
      <c r="AB36" s="26"/>
      <c r="AC36" s="26">
        <f t="shared" si="3"/>
        <v>15.41</v>
      </c>
      <c r="AD36" s="29"/>
      <c r="AF36" s="10"/>
    </row>
    <row r="37" spans="1:32">
      <c r="A37" s="333"/>
      <c r="B37" s="298">
        <v>46211</v>
      </c>
      <c r="C37" s="486" t="s">
        <v>226</v>
      </c>
      <c r="D37" s="5"/>
      <c r="E37" s="34">
        <v>184</v>
      </c>
      <c r="F37" s="6">
        <f t="shared" si="22"/>
        <v>713</v>
      </c>
      <c r="G37" s="95"/>
      <c r="H37" s="28">
        <f t="shared" si="25"/>
        <v>0</v>
      </c>
      <c r="I37" s="28">
        <f t="shared" si="24"/>
        <v>713</v>
      </c>
      <c r="J37" s="26"/>
      <c r="K37" s="26">
        <v>1.06</v>
      </c>
      <c r="L37" s="26">
        <v>2.75</v>
      </c>
      <c r="M37" s="26"/>
      <c r="N37" s="26"/>
      <c r="O37" s="26">
        <v>3.42</v>
      </c>
      <c r="P37" s="26">
        <v>0.3</v>
      </c>
      <c r="Q37" s="26"/>
      <c r="R37" s="26">
        <v>2.44</v>
      </c>
      <c r="S37" s="26"/>
      <c r="T37" s="26">
        <v>0.2</v>
      </c>
      <c r="U37" s="26"/>
      <c r="V37" s="26"/>
      <c r="W37" s="26"/>
      <c r="X37" s="26"/>
      <c r="Y37" s="26"/>
      <c r="Z37" s="26"/>
      <c r="AA37" s="26"/>
      <c r="AB37" s="26"/>
      <c r="AC37" s="26">
        <f t="shared" si="3"/>
        <v>10.17</v>
      </c>
      <c r="AD37" s="29"/>
      <c r="AF37" s="10"/>
    </row>
    <row r="38" spans="1:32">
      <c r="A38" s="333"/>
      <c r="B38" s="298">
        <v>46211</v>
      </c>
      <c r="C38" s="486" t="s">
        <v>227</v>
      </c>
      <c r="D38" s="5"/>
      <c r="E38" s="34">
        <v>435</v>
      </c>
      <c r="F38" s="6">
        <f t="shared" si="22"/>
        <v>1685.625</v>
      </c>
      <c r="G38" s="95"/>
      <c r="H38" s="28">
        <f t="shared" si="12"/>
        <v>0</v>
      </c>
      <c r="I38" s="28">
        <f t="shared" si="13"/>
        <v>1685.625</v>
      </c>
      <c r="J38" s="26"/>
      <c r="K38" s="26">
        <v>2</v>
      </c>
      <c r="L38" s="26">
        <v>3.75</v>
      </c>
      <c r="M38" s="26"/>
      <c r="N38" s="26"/>
      <c r="O38" s="26">
        <v>3.9</v>
      </c>
      <c r="P38" s="26">
        <v>0.35</v>
      </c>
      <c r="Q38" s="26"/>
      <c r="R38" s="26">
        <v>1.84</v>
      </c>
      <c r="S38" s="26"/>
      <c r="T38" s="26">
        <v>1.7</v>
      </c>
      <c r="U38" s="26"/>
      <c r="V38" s="26"/>
      <c r="W38" s="26"/>
      <c r="X38" s="26"/>
      <c r="Y38" s="26"/>
      <c r="Z38" s="26"/>
      <c r="AA38" s="26"/>
      <c r="AB38" s="26"/>
      <c r="AC38" s="26">
        <f t="shared" si="3"/>
        <v>13.54</v>
      </c>
      <c r="AD38" s="29"/>
      <c r="AF38" s="10"/>
    </row>
    <row r="39" spans="1:32">
      <c r="A39" s="333"/>
      <c r="B39" s="298">
        <v>46212</v>
      </c>
      <c r="C39" s="486" t="s">
        <v>232</v>
      </c>
      <c r="D39" s="5">
        <f>+'HASIL PROD'!D102</f>
        <v>15209.375</v>
      </c>
      <c r="E39" s="34"/>
      <c r="F39" s="6">
        <f t="shared" si="22"/>
        <v>0</v>
      </c>
      <c r="G39" s="95"/>
      <c r="H39" s="28">
        <f t="shared" si="12"/>
        <v>0</v>
      </c>
      <c r="I39" s="28">
        <f t="shared" si="13"/>
        <v>0</v>
      </c>
      <c r="J39" s="26"/>
      <c r="K39" s="26">
        <v>3.68</v>
      </c>
      <c r="L39" s="26">
        <v>4.16</v>
      </c>
      <c r="M39" s="26"/>
      <c r="N39" s="26"/>
      <c r="O39" s="26">
        <v>7.14</v>
      </c>
      <c r="P39" s="26">
        <v>0.8</v>
      </c>
      <c r="Q39" s="26"/>
      <c r="R39" s="26">
        <v>0.42</v>
      </c>
      <c r="S39" s="26"/>
      <c r="T39" s="26">
        <v>1.4</v>
      </c>
      <c r="U39" s="26"/>
      <c r="V39" s="26"/>
      <c r="W39" s="26"/>
      <c r="X39" s="26"/>
      <c r="Y39" s="26"/>
      <c r="Z39" s="26"/>
      <c r="AA39" s="26"/>
      <c r="AB39" s="26"/>
      <c r="AC39" s="26">
        <f t="shared" ref="AC39:AC44" si="26">SUM(K39:AB39)</f>
        <v>17.600000000000001</v>
      </c>
      <c r="AD39" s="29"/>
      <c r="AF39" s="10"/>
    </row>
    <row r="40" spans="1:32">
      <c r="A40" s="333"/>
      <c r="B40" s="298">
        <v>46212</v>
      </c>
      <c r="C40" s="486" t="s">
        <v>233</v>
      </c>
      <c r="D40" s="5"/>
      <c r="E40" s="34"/>
      <c r="F40" s="6">
        <f t="shared" si="22"/>
        <v>0</v>
      </c>
      <c r="G40" s="95"/>
      <c r="H40" s="28">
        <f t="shared" si="12"/>
        <v>0</v>
      </c>
      <c r="I40" s="28">
        <f t="shared" si="13"/>
        <v>0</v>
      </c>
      <c r="J40" s="26"/>
      <c r="K40" s="26">
        <v>3</v>
      </c>
      <c r="L40" s="26">
        <v>3.6</v>
      </c>
      <c r="M40" s="26"/>
      <c r="N40" s="26"/>
      <c r="O40" s="26">
        <v>3.86</v>
      </c>
      <c r="P40" s="26">
        <v>0.15</v>
      </c>
      <c r="Q40" s="26"/>
      <c r="R40" s="26">
        <v>1.1000000000000001</v>
      </c>
      <c r="S40" s="26"/>
      <c r="T40" s="26">
        <v>1.7</v>
      </c>
      <c r="U40" s="26"/>
      <c r="V40" s="26"/>
      <c r="W40" s="26"/>
      <c r="X40" s="26"/>
      <c r="Y40" s="26"/>
      <c r="Z40" s="26"/>
      <c r="AA40" s="26"/>
      <c r="AB40" s="26"/>
      <c r="AC40" s="26">
        <f t="shared" si="26"/>
        <v>13.409999999999998</v>
      </c>
      <c r="AD40" s="29"/>
      <c r="AF40" s="10"/>
    </row>
    <row r="41" spans="1:32">
      <c r="A41" s="3"/>
      <c r="B41" s="298">
        <v>46212</v>
      </c>
      <c r="C41" s="486" t="s">
        <v>234</v>
      </c>
      <c r="D41" s="5"/>
      <c r="E41" s="34"/>
      <c r="F41" s="6">
        <f t="shared" si="22"/>
        <v>0</v>
      </c>
      <c r="G41" s="95"/>
      <c r="H41" s="28">
        <f t="shared" si="12"/>
        <v>0</v>
      </c>
      <c r="I41" s="28">
        <f t="shared" si="13"/>
        <v>0</v>
      </c>
      <c r="J41" s="26"/>
      <c r="K41" s="26">
        <v>1.2</v>
      </c>
      <c r="L41" s="26">
        <v>2.2000000000000002</v>
      </c>
      <c r="M41" s="26"/>
      <c r="N41" s="26"/>
      <c r="O41" s="26">
        <v>3.74</v>
      </c>
      <c r="P41" s="26">
        <v>0.15</v>
      </c>
      <c r="Q41" s="26"/>
      <c r="R41" s="26">
        <v>0.3</v>
      </c>
      <c r="S41" s="26"/>
      <c r="T41" s="26">
        <v>0.28000000000000003</v>
      </c>
      <c r="U41" s="26"/>
      <c r="V41" s="26"/>
      <c r="W41" s="26"/>
      <c r="X41" s="26"/>
      <c r="Y41" s="26"/>
      <c r="Z41" s="26"/>
      <c r="AA41" s="26"/>
      <c r="AB41" s="26"/>
      <c r="AC41" s="26">
        <f t="shared" si="26"/>
        <v>7.870000000000001</v>
      </c>
      <c r="AD41" s="29"/>
      <c r="AF41" s="10"/>
    </row>
    <row r="42" spans="1:32">
      <c r="A42" s="333">
        <v>46217</v>
      </c>
      <c r="B42" s="298">
        <v>46212</v>
      </c>
      <c r="C42" s="486" t="s">
        <v>232</v>
      </c>
      <c r="D42" s="5"/>
      <c r="E42" s="34">
        <v>404</v>
      </c>
      <c r="F42" s="6">
        <f t="shared" si="22"/>
        <v>1565.5</v>
      </c>
      <c r="G42" s="95"/>
      <c r="H42" s="28">
        <f t="shared" si="12"/>
        <v>0</v>
      </c>
      <c r="I42" s="28">
        <f t="shared" si="13"/>
        <v>1565.5</v>
      </c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6"/>
      <c r="Z42" s="26"/>
      <c r="AA42" s="26"/>
      <c r="AB42" s="26"/>
      <c r="AC42" s="26">
        <f t="shared" si="26"/>
        <v>0</v>
      </c>
      <c r="AD42" s="29"/>
      <c r="AF42" s="10"/>
    </row>
    <row r="43" spans="1:32">
      <c r="A43" s="333"/>
      <c r="B43" s="298">
        <v>46212</v>
      </c>
      <c r="C43" s="486" t="s">
        <v>233</v>
      </c>
      <c r="D43" s="5"/>
      <c r="E43" s="34">
        <v>443</v>
      </c>
      <c r="F43" s="6">
        <f t="shared" si="22"/>
        <v>1716.625</v>
      </c>
      <c r="G43" s="95"/>
      <c r="H43" s="28">
        <f t="shared" ref="H43:H44" si="27">+G43*4.5</f>
        <v>0</v>
      </c>
      <c r="I43" s="28">
        <f t="shared" ref="I43:I44" si="28">+F43+H43</f>
        <v>1716.625</v>
      </c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6"/>
      <c r="Z43" s="26"/>
      <c r="AA43" s="26"/>
      <c r="AB43" s="26"/>
      <c r="AC43" s="26">
        <f t="shared" si="26"/>
        <v>0</v>
      </c>
      <c r="AD43" s="29"/>
      <c r="AF43" s="10"/>
    </row>
    <row r="44" spans="1:32">
      <c r="A44" s="333"/>
      <c r="B44" s="298">
        <v>46212</v>
      </c>
      <c r="C44" s="486" t="s">
        <v>234</v>
      </c>
      <c r="D44" s="5"/>
      <c r="E44" s="34">
        <v>446</v>
      </c>
      <c r="F44" s="6">
        <f t="shared" si="22"/>
        <v>1728.25</v>
      </c>
      <c r="G44" s="95"/>
      <c r="H44" s="28">
        <f t="shared" si="27"/>
        <v>0</v>
      </c>
      <c r="I44" s="28">
        <f t="shared" si="28"/>
        <v>1728.25</v>
      </c>
      <c r="J44" s="26"/>
      <c r="K44" s="26">
        <v>1.7</v>
      </c>
      <c r="L44" s="26">
        <v>4.2</v>
      </c>
      <c r="M44" s="26"/>
      <c r="N44" s="26"/>
      <c r="O44" s="26">
        <v>7</v>
      </c>
      <c r="P44" s="26">
        <v>7.0000000000000007E-2</v>
      </c>
      <c r="Q44" s="26"/>
      <c r="R44" s="26">
        <v>1</v>
      </c>
      <c r="S44" s="26"/>
      <c r="T44" s="26">
        <v>0.7</v>
      </c>
      <c r="U44" s="26"/>
      <c r="V44" s="26"/>
      <c r="W44" s="26"/>
      <c r="X44" s="26"/>
      <c r="Y44" s="26"/>
      <c r="Z44" s="26"/>
      <c r="AA44" s="26"/>
      <c r="AB44" s="26"/>
      <c r="AC44" s="26">
        <f t="shared" si="26"/>
        <v>14.67</v>
      </c>
      <c r="AD44" s="29"/>
    </row>
    <row r="45" spans="1:32">
      <c r="A45" s="333"/>
      <c r="B45" s="298">
        <v>46212</v>
      </c>
      <c r="C45" s="486" t="s">
        <v>235</v>
      </c>
      <c r="D45" s="5"/>
      <c r="E45" s="34">
        <v>420</v>
      </c>
      <c r="F45" s="6">
        <f t="shared" si="22"/>
        <v>1627.5</v>
      </c>
      <c r="G45" s="95"/>
      <c r="H45" s="28">
        <f t="shared" si="12"/>
        <v>0</v>
      </c>
      <c r="I45" s="28">
        <f t="shared" si="13"/>
        <v>1627.5</v>
      </c>
      <c r="J45" s="26"/>
      <c r="K45" s="26">
        <v>1.02</v>
      </c>
      <c r="L45" s="26">
        <v>4</v>
      </c>
      <c r="M45" s="26"/>
      <c r="N45" s="26"/>
      <c r="O45" s="26">
        <v>3.7</v>
      </c>
      <c r="P45" s="26">
        <v>0.12</v>
      </c>
      <c r="Q45" s="26"/>
      <c r="R45" s="26">
        <v>0.3</v>
      </c>
      <c r="S45" s="26"/>
      <c r="T45" s="26">
        <v>0.92</v>
      </c>
      <c r="U45" s="26"/>
      <c r="V45" s="26"/>
      <c r="W45" s="26"/>
      <c r="X45" s="26"/>
      <c r="Y45" s="26"/>
      <c r="Z45" s="26"/>
      <c r="AA45" s="26"/>
      <c r="AB45" s="26"/>
      <c r="AC45" s="26">
        <f t="shared" ref="AC45:AC119" si="29">SUM(K45:AB45)</f>
        <v>10.059999999999999</v>
      </c>
      <c r="AD45" s="29"/>
    </row>
    <row r="46" spans="1:32">
      <c r="A46" s="333"/>
      <c r="B46" s="298">
        <v>46212</v>
      </c>
      <c r="C46" s="486" t="s">
        <v>236</v>
      </c>
      <c r="D46" s="5"/>
      <c r="E46" s="34">
        <v>464</v>
      </c>
      <c r="F46" s="6">
        <f t="shared" si="22"/>
        <v>1798</v>
      </c>
      <c r="G46" s="95"/>
      <c r="H46" s="28">
        <f t="shared" si="12"/>
        <v>0</v>
      </c>
      <c r="I46" s="28">
        <f t="shared" si="13"/>
        <v>1798</v>
      </c>
      <c r="J46" s="26"/>
      <c r="K46" s="26">
        <v>2.74</v>
      </c>
      <c r="L46" s="26">
        <v>5</v>
      </c>
      <c r="M46" s="26"/>
      <c r="N46" s="26"/>
      <c r="O46" s="26">
        <v>9.75</v>
      </c>
      <c r="P46" s="26">
        <v>0.65</v>
      </c>
      <c r="Q46" s="26"/>
      <c r="R46" s="26">
        <v>0.5</v>
      </c>
      <c r="S46" s="26">
        <v>0.4</v>
      </c>
      <c r="T46" s="26">
        <v>2.4500000000000002</v>
      </c>
      <c r="U46" s="26"/>
      <c r="V46" s="26"/>
      <c r="W46" s="26"/>
      <c r="X46" s="26"/>
      <c r="Y46" s="26"/>
      <c r="Z46" s="26"/>
      <c r="AA46" s="26"/>
      <c r="AB46" s="26"/>
      <c r="AC46" s="26">
        <f t="shared" si="29"/>
        <v>21.49</v>
      </c>
      <c r="AD46" s="29"/>
    </row>
    <row r="47" spans="1:32">
      <c r="A47" s="3"/>
      <c r="B47" s="298">
        <v>46212</v>
      </c>
      <c r="C47" s="486" t="s">
        <v>237</v>
      </c>
      <c r="D47" s="5"/>
      <c r="E47" s="34">
        <v>424</v>
      </c>
      <c r="F47" s="6">
        <f t="shared" si="22"/>
        <v>1643</v>
      </c>
      <c r="G47" s="95"/>
      <c r="H47" s="28">
        <f t="shared" si="12"/>
        <v>0</v>
      </c>
      <c r="I47" s="28">
        <f t="shared" si="13"/>
        <v>1643</v>
      </c>
      <c r="J47" s="26"/>
      <c r="K47" s="26">
        <v>3.4</v>
      </c>
      <c r="L47" s="26">
        <v>6.35</v>
      </c>
      <c r="M47" s="26"/>
      <c r="N47" s="26"/>
      <c r="O47" s="26">
        <v>8.92</v>
      </c>
      <c r="P47" s="26">
        <v>0.5</v>
      </c>
      <c r="Q47" s="26"/>
      <c r="R47" s="26">
        <v>0.5</v>
      </c>
      <c r="S47" s="26"/>
      <c r="T47" s="26">
        <v>2.4</v>
      </c>
      <c r="U47" s="26"/>
      <c r="V47" s="26"/>
      <c r="W47" s="26"/>
      <c r="X47" s="26"/>
      <c r="Y47" s="26"/>
      <c r="Z47" s="26"/>
      <c r="AA47" s="26"/>
      <c r="AB47" s="26"/>
      <c r="AC47" s="26">
        <f t="shared" si="29"/>
        <v>22.07</v>
      </c>
      <c r="AD47" s="29"/>
    </row>
    <row r="48" spans="1:32">
      <c r="A48" s="333"/>
      <c r="B48" s="298">
        <v>46212</v>
      </c>
      <c r="C48" s="486" t="s">
        <v>238</v>
      </c>
      <c r="D48" s="5"/>
      <c r="E48" s="34">
        <v>39</v>
      </c>
      <c r="F48" s="6">
        <f t="shared" si="22"/>
        <v>151.125</v>
      </c>
      <c r="G48" s="95"/>
      <c r="H48" s="28">
        <f t="shared" si="12"/>
        <v>0</v>
      </c>
      <c r="I48" s="28">
        <f t="shared" si="13"/>
        <v>151.125</v>
      </c>
      <c r="J48" s="26"/>
      <c r="K48" s="26">
        <v>5.2</v>
      </c>
      <c r="L48" s="26">
        <v>7.5</v>
      </c>
      <c r="M48" s="26">
        <v>1.2</v>
      </c>
      <c r="N48" s="26"/>
      <c r="O48" s="26">
        <v>7.2</v>
      </c>
      <c r="P48" s="26"/>
      <c r="Q48" s="26"/>
      <c r="R48" s="26">
        <v>0.22</v>
      </c>
      <c r="S48" s="26"/>
      <c r="T48" s="26">
        <v>1.5</v>
      </c>
      <c r="U48" s="26"/>
      <c r="V48" s="26"/>
      <c r="W48" s="26"/>
      <c r="X48" s="26"/>
      <c r="Y48" s="26"/>
      <c r="Z48" s="26"/>
      <c r="AA48" s="26"/>
      <c r="AB48" s="26"/>
      <c r="AC48" s="26">
        <f t="shared" si="29"/>
        <v>22.819999999999997</v>
      </c>
      <c r="AD48" s="29"/>
    </row>
    <row r="49" spans="1:30">
      <c r="A49" s="333">
        <v>46218</v>
      </c>
      <c r="B49" s="298">
        <v>46212</v>
      </c>
      <c r="C49" s="486" t="s">
        <v>238</v>
      </c>
      <c r="D49" s="5"/>
      <c r="E49" s="34">
        <v>367</v>
      </c>
      <c r="F49" s="6">
        <f t="shared" si="22"/>
        <v>1422.125</v>
      </c>
      <c r="G49" s="95"/>
      <c r="H49" s="28">
        <f t="shared" si="12"/>
        <v>0</v>
      </c>
      <c r="I49" s="28">
        <f t="shared" si="13"/>
        <v>1422.125</v>
      </c>
      <c r="J49" s="26"/>
      <c r="K49" s="26">
        <v>0.2</v>
      </c>
      <c r="L49" s="26">
        <v>0.45</v>
      </c>
      <c r="M49" s="26"/>
      <c r="N49" s="26"/>
      <c r="O49" s="26">
        <v>2.35</v>
      </c>
      <c r="P49" s="26">
        <v>0.15</v>
      </c>
      <c r="Q49" s="26"/>
      <c r="R49" s="26">
        <v>0.2</v>
      </c>
      <c r="S49" s="26"/>
      <c r="T49" s="26">
        <v>1.3</v>
      </c>
      <c r="U49" s="26"/>
      <c r="V49" s="26"/>
      <c r="W49" s="26"/>
      <c r="X49" s="26"/>
      <c r="Y49" s="26"/>
      <c r="Z49" s="26"/>
      <c r="AA49" s="26"/>
      <c r="AB49" s="26"/>
      <c r="AC49" s="26">
        <f t="shared" si="29"/>
        <v>4.6500000000000004</v>
      </c>
      <c r="AD49" s="29"/>
    </row>
    <row r="50" spans="1:30">
      <c r="A50" s="3"/>
      <c r="B50" s="298">
        <v>46212</v>
      </c>
      <c r="C50" s="486" t="s">
        <v>239</v>
      </c>
      <c r="D50" s="5"/>
      <c r="E50" s="34">
        <v>293</v>
      </c>
      <c r="F50" s="6">
        <f t="shared" si="22"/>
        <v>1135.375</v>
      </c>
      <c r="G50" s="95"/>
      <c r="H50" s="28">
        <f t="shared" si="12"/>
        <v>0</v>
      </c>
      <c r="I50" s="28">
        <f t="shared" si="13"/>
        <v>1135.375</v>
      </c>
      <c r="J50" s="26"/>
      <c r="K50" s="26">
        <v>2.3199999999999998</v>
      </c>
      <c r="L50" s="26">
        <v>4.75</v>
      </c>
      <c r="M50" s="26">
        <v>0.6</v>
      </c>
      <c r="N50" s="26"/>
      <c r="O50" s="26">
        <v>13.35</v>
      </c>
      <c r="P50" s="26">
        <v>0.4</v>
      </c>
      <c r="Q50" s="26"/>
      <c r="R50" s="26">
        <v>0.4</v>
      </c>
      <c r="S50" s="26"/>
      <c r="T50" s="26">
        <v>2.1</v>
      </c>
      <c r="U50" s="26"/>
      <c r="V50" s="26"/>
      <c r="W50" s="26"/>
      <c r="X50" s="26"/>
      <c r="Y50" s="26"/>
      <c r="Z50" s="26"/>
      <c r="AA50" s="26"/>
      <c r="AB50" s="26"/>
      <c r="AC50" s="26">
        <f t="shared" si="29"/>
        <v>23.919999999999998</v>
      </c>
      <c r="AD50" s="29"/>
    </row>
    <row r="51" spans="1:30">
      <c r="A51" s="3"/>
      <c r="B51" s="298">
        <v>46212</v>
      </c>
      <c r="C51" s="486" t="s">
        <v>240</v>
      </c>
      <c r="D51" s="5"/>
      <c r="E51" s="34">
        <v>441</v>
      </c>
      <c r="F51" s="6">
        <f t="shared" si="22"/>
        <v>1708.875</v>
      </c>
      <c r="G51" s="95"/>
      <c r="H51" s="28">
        <f t="shared" si="12"/>
        <v>0</v>
      </c>
      <c r="I51" s="28">
        <f t="shared" si="13"/>
        <v>1708.875</v>
      </c>
      <c r="J51" s="26"/>
      <c r="K51" s="26">
        <v>2.4</v>
      </c>
      <c r="L51" s="26">
        <v>7</v>
      </c>
      <c r="M51" s="26"/>
      <c r="N51" s="26"/>
      <c r="O51" s="26">
        <v>10.8</v>
      </c>
      <c r="P51" s="26">
        <v>1.7</v>
      </c>
      <c r="Q51" s="26"/>
      <c r="R51" s="26">
        <v>0.65</v>
      </c>
      <c r="S51" s="26"/>
      <c r="T51" s="26">
        <v>0.92</v>
      </c>
      <c r="U51" s="26"/>
      <c r="V51" s="26"/>
      <c r="W51" s="26"/>
      <c r="X51" s="26"/>
      <c r="Y51" s="26"/>
      <c r="Z51" s="26"/>
      <c r="AA51" s="26"/>
      <c r="AB51" s="26"/>
      <c r="AC51" s="26">
        <f t="shared" si="29"/>
        <v>23.470000000000002</v>
      </c>
      <c r="AD51" s="29"/>
    </row>
    <row r="52" spans="1:30">
      <c r="A52" s="333"/>
      <c r="B52" s="298">
        <v>46213</v>
      </c>
      <c r="C52" s="486" t="s">
        <v>241</v>
      </c>
      <c r="D52" s="5">
        <f>+'HASIL PROD'!D113</f>
        <v>14418.875</v>
      </c>
      <c r="E52" s="34">
        <v>437</v>
      </c>
      <c r="F52" s="6">
        <f t="shared" si="22"/>
        <v>1693.375</v>
      </c>
      <c r="G52" s="95"/>
      <c r="H52" s="28">
        <f t="shared" si="12"/>
        <v>0</v>
      </c>
      <c r="I52" s="28">
        <f t="shared" si="13"/>
        <v>1693.375</v>
      </c>
      <c r="J52" s="26">
        <f>(9+7)*3.875</f>
        <v>62</v>
      </c>
      <c r="K52" s="26">
        <v>1.85</v>
      </c>
      <c r="L52" s="26">
        <v>5.65</v>
      </c>
      <c r="M52" s="26">
        <v>1.1000000000000001</v>
      </c>
      <c r="N52" s="26"/>
      <c r="O52" s="26">
        <v>2.15</v>
      </c>
      <c r="P52" s="26">
        <v>0.4</v>
      </c>
      <c r="Q52" s="26"/>
      <c r="R52" s="26"/>
      <c r="S52" s="26"/>
      <c r="T52" s="26"/>
      <c r="U52" s="26"/>
      <c r="V52" s="26"/>
      <c r="W52" s="26"/>
      <c r="X52" s="26"/>
      <c r="Y52" s="26"/>
      <c r="Z52" s="26"/>
      <c r="AA52" s="26"/>
      <c r="AB52" s="26"/>
      <c r="AC52" s="26">
        <f t="shared" si="29"/>
        <v>11.15</v>
      </c>
      <c r="AD52" s="29"/>
    </row>
    <row r="53" spans="1:30">
      <c r="A53" s="3"/>
      <c r="B53" s="298">
        <v>46213</v>
      </c>
      <c r="C53" s="486" t="s">
        <v>242</v>
      </c>
      <c r="D53" s="5"/>
      <c r="E53" s="34">
        <v>362</v>
      </c>
      <c r="F53" s="6">
        <f t="shared" si="22"/>
        <v>1402.75</v>
      </c>
      <c r="G53" s="95"/>
      <c r="H53" s="28">
        <f t="shared" si="12"/>
        <v>0</v>
      </c>
      <c r="I53" s="28">
        <f t="shared" si="13"/>
        <v>1402.75</v>
      </c>
      <c r="J53" s="26">
        <f>(38)*3.875</f>
        <v>147.25</v>
      </c>
      <c r="K53" s="26">
        <v>1.6</v>
      </c>
      <c r="L53" s="26">
        <v>2.4</v>
      </c>
      <c r="M53" s="26">
        <v>1.1499999999999999</v>
      </c>
      <c r="N53" s="26"/>
      <c r="O53" s="26">
        <v>7.1</v>
      </c>
      <c r="P53" s="26">
        <v>0.55000000000000004</v>
      </c>
      <c r="Q53" s="26"/>
      <c r="R53" s="26"/>
      <c r="S53" s="26"/>
      <c r="T53" s="26"/>
      <c r="U53" s="26"/>
      <c r="V53" s="26"/>
      <c r="W53" s="26"/>
      <c r="X53" s="26"/>
      <c r="Y53" s="26"/>
      <c r="Z53" s="26"/>
      <c r="AA53" s="26"/>
      <c r="AB53" s="26"/>
      <c r="AC53" s="26">
        <f t="shared" si="29"/>
        <v>12.8</v>
      </c>
      <c r="AD53" s="29"/>
    </row>
    <row r="54" spans="1:30">
      <c r="A54" s="3"/>
      <c r="B54" s="298">
        <v>46213</v>
      </c>
      <c r="C54" s="486" t="s">
        <v>243</v>
      </c>
      <c r="D54" s="5"/>
      <c r="E54" s="34">
        <v>26</v>
      </c>
      <c r="F54" s="6">
        <f t="shared" si="22"/>
        <v>100.75</v>
      </c>
      <c r="G54" s="95"/>
      <c r="H54" s="28">
        <f t="shared" ref="H54:H89" si="30">+G54*4.5</f>
        <v>0</v>
      </c>
      <c r="I54" s="28">
        <f t="shared" ref="I54:I89" si="31">+F54+H54</f>
        <v>100.75</v>
      </c>
      <c r="J54" s="26"/>
      <c r="K54" s="26">
        <v>2.48</v>
      </c>
      <c r="L54" s="26">
        <v>5.34</v>
      </c>
      <c r="M54" s="26">
        <v>0.44</v>
      </c>
      <c r="N54" s="26"/>
      <c r="O54" s="26">
        <v>0.75</v>
      </c>
      <c r="P54" s="26">
        <v>0.2</v>
      </c>
      <c r="Q54" s="26"/>
      <c r="R54" s="26"/>
      <c r="S54" s="26"/>
      <c r="T54" s="26"/>
      <c r="U54" s="26"/>
      <c r="V54" s="26"/>
      <c r="W54" s="26"/>
      <c r="X54" s="26"/>
      <c r="Y54" s="26"/>
      <c r="Z54" s="26"/>
      <c r="AA54" s="26"/>
      <c r="AB54" s="26"/>
      <c r="AC54" s="26">
        <f t="shared" si="29"/>
        <v>9.2099999999999991</v>
      </c>
      <c r="AD54" s="29"/>
    </row>
    <row r="55" spans="1:30">
      <c r="A55" s="333">
        <v>46219</v>
      </c>
      <c r="B55" s="298">
        <v>46213</v>
      </c>
      <c r="C55" s="486" t="s">
        <v>243</v>
      </c>
      <c r="D55" s="5"/>
      <c r="E55" s="34">
        <v>201</v>
      </c>
      <c r="F55" s="6">
        <f t="shared" si="22"/>
        <v>778.875</v>
      </c>
      <c r="G55" s="95"/>
      <c r="H55" s="28">
        <f t="shared" si="30"/>
        <v>0</v>
      </c>
      <c r="I55" s="28">
        <f t="shared" si="31"/>
        <v>778.875</v>
      </c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>
        <f t="shared" si="29"/>
        <v>0</v>
      </c>
      <c r="AD55" s="29"/>
    </row>
    <row r="56" spans="1:30">
      <c r="A56" s="333">
        <v>46223</v>
      </c>
      <c r="B56" s="298">
        <v>46213</v>
      </c>
      <c r="C56" s="486" t="s">
        <v>243</v>
      </c>
      <c r="D56" s="5"/>
      <c r="E56" s="34"/>
      <c r="F56" s="6">
        <f t="shared" si="22"/>
        <v>0</v>
      </c>
      <c r="G56" s="95"/>
      <c r="H56" s="28">
        <f t="shared" si="30"/>
        <v>0</v>
      </c>
      <c r="I56" s="28">
        <f t="shared" si="31"/>
        <v>0</v>
      </c>
      <c r="J56" s="26"/>
      <c r="K56" s="26">
        <v>0.16</v>
      </c>
      <c r="L56" s="26">
        <v>1.58</v>
      </c>
      <c r="M56" s="26"/>
      <c r="N56" s="26">
        <v>0.88</v>
      </c>
      <c r="O56" s="26">
        <v>1.6</v>
      </c>
      <c r="P56" s="26">
        <v>0.4</v>
      </c>
      <c r="Q56" s="26"/>
      <c r="R56" s="26"/>
      <c r="S56" s="26"/>
      <c r="T56" s="26">
        <v>1.54</v>
      </c>
      <c r="U56" s="26"/>
      <c r="V56" s="26"/>
      <c r="W56" s="26"/>
      <c r="X56" s="26"/>
      <c r="Y56" s="26"/>
      <c r="Z56" s="26"/>
      <c r="AA56" s="26"/>
      <c r="AB56" s="26"/>
      <c r="AC56" s="26">
        <f t="shared" si="29"/>
        <v>6.160000000000001</v>
      </c>
      <c r="AD56" s="29"/>
    </row>
    <row r="57" spans="1:30">
      <c r="A57" s="333"/>
      <c r="B57" s="298">
        <v>46213</v>
      </c>
      <c r="C57" s="486" t="s">
        <v>244</v>
      </c>
      <c r="D57" s="5"/>
      <c r="E57" s="34"/>
      <c r="F57" s="6">
        <f t="shared" si="22"/>
        <v>0</v>
      </c>
      <c r="G57" s="95"/>
      <c r="H57" s="28">
        <f t="shared" si="30"/>
        <v>0</v>
      </c>
      <c r="I57" s="28">
        <f t="shared" si="31"/>
        <v>0</v>
      </c>
      <c r="J57" s="26"/>
      <c r="K57" s="26">
        <v>1.8</v>
      </c>
      <c r="L57" s="26">
        <v>2.2000000000000002</v>
      </c>
      <c r="M57" s="26"/>
      <c r="N57" s="26">
        <v>0.56000000000000005</v>
      </c>
      <c r="O57" s="26">
        <v>2.92</v>
      </c>
      <c r="P57" s="26">
        <v>0.08</v>
      </c>
      <c r="Q57" s="26"/>
      <c r="R57" s="26"/>
      <c r="S57" s="26"/>
      <c r="T57" s="26">
        <v>1.72</v>
      </c>
      <c r="U57" s="26"/>
      <c r="V57" s="26"/>
      <c r="W57" s="26"/>
      <c r="X57" s="26"/>
      <c r="Y57" s="26"/>
      <c r="Z57" s="26"/>
      <c r="AA57" s="26"/>
      <c r="AB57" s="26"/>
      <c r="AC57" s="26">
        <f t="shared" si="29"/>
        <v>9.2800000000000011</v>
      </c>
      <c r="AD57" s="29"/>
    </row>
    <row r="58" spans="1:30">
      <c r="A58" s="3"/>
      <c r="B58" s="298">
        <v>46213</v>
      </c>
      <c r="C58" s="486" t="s">
        <v>245</v>
      </c>
      <c r="D58" s="5"/>
      <c r="E58" s="34"/>
      <c r="F58" s="6">
        <f t="shared" si="22"/>
        <v>0</v>
      </c>
      <c r="G58" s="95"/>
      <c r="H58" s="28">
        <f t="shared" si="30"/>
        <v>0</v>
      </c>
      <c r="I58" s="28">
        <f t="shared" si="31"/>
        <v>0</v>
      </c>
      <c r="J58" s="26"/>
      <c r="K58" s="26">
        <v>0.68</v>
      </c>
      <c r="L58" s="26">
        <v>0.64</v>
      </c>
      <c r="M58" s="26"/>
      <c r="N58" s="26">
        <v>0.24</v>
      </c>
      <c r="O58" s="26">
        <v>0.88</v>
      </c>
      <c r="P58" s="26">
        <v>0.06</v>
      </c>
      <c r="Q58" s="26"/>
      <c r="R58" s="26"/>
      <c r="S58" s="26"/>
      <c r="T58" s="26">
        <v>0.74</v>
      </c>
      <c r="U58" s="26"/>
      <c r="V58" s="26"/>
      <c r="W58" s="26"/>
      <c r="X58" s="26"/>
      <c r="Y58" s="26"/>
      <c r="Z58" s="26"/>
      <c r="AA58" s="26"/>
      <c r="AB58" s="26"/>
      <c r="AC58" s="26">
        <f t="shared" si="29"/>
        <v>3.24</v>
      </c>
      <c r="AD58" s="29"/>
    </row>
    <row r="59" spans="1:30">
      <c r="A59" s="333">
        <v>46224</v>
      </c>
      <c r="B59" s="298">
        <v>46213</v>
      </c>
      <c r="C59" s="486" t="s">
        <v>243</v>
      </c>
      <c r="D59" s="5"/>
      <c r="E59" s="34">
        <v>200</v>
      </c>
      <c r="F59" s="6">
        <f t="shared" si="22"/>
        <v>775</v>
      </c>
      <c r="G59" s="95"/>
      <c r="H59" s="28">
        <f t="shared" si="30"/>
        <v>0</v>
      </c>
      <c r="I59" s="28">
        <f t="shared" si="31"/>
        <v>775</v>
      </c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>
        <f t="shared" si="29"/>
        <v>0</v>
      </c>
      <c r="AD59" s="29"/>
    </row>
    <row r="60" spans="1:30">
      <c r="A60" s="333"/>
      <c r="B60" s="298">
        <v>46213</v>
      </c>
      <c r="C60" s="486" t="s">
        <v>244</v>
      </c>
      <c r="D60" s="5"/>
      <c r="E60" s="34">
        <v>414</v>
      </c>
      <c r="F60" s="6">
        <f t="shared" si="22"/>
        <v>1604.25</v>
      </c>
      <c r="G60" s="95"/>
      <c r="H60" s="28">
        <f t="shared" si="30"/>
        <v>0</v>
      </c>
      <c r="I60" s="28">
        <f t="shared" si="31"/>
        <v>1604.25</v>
      </c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>
        <f t="shared" si="29"/>
        <v>0</v>
      </c>
      <c r="AD60" s="29"/>
    </row>
    <row r="61" spans="1:30">
      <c r="A61" s="3"/>
      <c r="B61" s="298">
        <v>46213</v>
      </c>
      <c r="C61" s="486" t="s">
        <v>245</v>
      </c>
      <c r="D61" s="5"/>
      <c r="E61" s="34">
        <v>430</v>
      </c>
      <c r="F61" s="6">
        <f t="shared" si="22"/>
        <v>1666.25</v>
      </c>
      <c r="G61" s="95"/>
      <c r="H61" s="28">
        <f t="shared" si="30"/>
        <v>0</v>
      </c>
      <c r="I61" s="28">
        <f t="shared" si="31"/>
        <v>1666.25</v>
      </c>
      <c r="J61" s="26"/>
      <c r="K61" s="26">
        <v>2.8</v>
      </c>
      <c r="L61" s="26">
        <v>3.2</v>
      </c>
      <c r="M61" s="26"/>
      <c r="N61" s="26">
        <v>0.24</v>
      </c>
      <c r="O61" s="26">
        <v>3</v>
      </c>
      <c r="P61" s="26">
        <v>2.1</v>
      </c>
      <c r="Q61" s="26"/>
      <c r="R61" s="26"/>
      <c r="S61" s="26"/>
      <c r="T61" s="26">
        <v>0.74</v>
      </c>
      <c r="U61" s="26"/>
      <c r="V61" s="26"/>
      <c r="W61" s="26"/>
      <c r="X61" s="26"/>
      <c r="Y61" s="26"/>
      <c r="Z61" s="26"/>
      <c r="AA61" s="26"/>
      <c r="AB61" s="26"/>
      <c r="AC61" s="26">
        <f t="shared" si="29"/>
        <v>12.08</v>
      </c>
      <c r="AD61" s="29"/>
    </row>
    <row r="62" spans="1:30">
      <c r="A62" s="3"/>
      <c r="B62" s="298">
        <v>46213</v>
      </c>
      <c r="C62" s="486" t="s">
        <v>246</v>
      </c>
      <c r="D62" s="5"/>
      <c r="E62" s="34">
        <v>344</v>
      </c>
      <c r="F62" s="6">
        <f t="shared" si="22"/>
        <v>1333</v>
      </c>
      <c r="G62" s="95"/>
      <c r="H62" s="28">
        <f t="shared" si="30"/>
        <v>0</v>
      </c>
      <c r="I62" s="28">
        <f t="shared" si="31"/>
        <v>1333</v>
      </c>
      <c r="J62" s="26">
        <f>(52)*3.875</f>
        <v>201.5</v>
      </c>
      <c r="K62" s="26">
        <v>5.2</v>
      </c>
      <c r="L62" s="26">
        <v>4.2</v>
      </c>
      <c r="M62" s="26"/>
      <c r="N62" s="26"/>
      <c r="O62" s="26">
        <v>1.05</v>
      </c>
      <c r="P62" s="26"/>
      <c r="Q62" s="26"/>
      <c r="R62" s="26"/>
      <c r="S62" s="26"/>
      <c r="T62" s="26">
        <v>1.5</v>
      </c>
      <c r="U62" s="26"/>
      <c r="V62" s="26"/>
      <c r="W62" s="26"/>
      <c r="X62" s="26"/>
      <c r="Y62" s="26"/>
      <c r="Z62" s="26"/>
      <c r="AA62" s="26"/>
      <c r="AB62" s="26"/>
      <c r="AC62" s="26">
        <f t="shared" si="29"/>
        <v>11.950000000000001</v>
      </c>
      <c r="AD62" s="29"/>
    </row>
    <row r="63" spans="1:30">
      <c r="A63" s="3"/>
      <c r="B63" s="298">
        <v>46213</v>
      </c>
      <c r="C63" s="486" t="s">
        <v>247</v>
      </c>
      <c r="D63" s="5"/>
      <c r="E63" s="34">
        <v>404</v>
      </c>
      <c r="F63" s="6">
        <f t="shared" si="22"/>
        <v>1565.5</v>
      </c>
      <c r="G63" s="95"/>
      <c r="H63" s="28">
        <f t="shared" si="30"/>
        <v>0</v>
      </c>
      <c r="I63" s="28">
        <f t="shared" si="31"/>
        <v>1565.5</v>
      </c>
      <c r="J63" s="26"/>
      <c r="K63" s="26">
        <v>1.6</v>
      </c>
      <c r="L63" s="26">
        <v>7.5</v>
      </c>
      <c r="M63" s="26"/>
      <c r="N63" s="26"/>
      <c r="O63" s="26">
        <v>2.65</v>
      </c>
      <c r="P63" s="26">
        <v>0.3</v>
      </c>
      <c r="Q63" s="26"/>
      <c r="R63" s="26">
        <v>0.8</v>
      </c>
      <c r="S63" s="26"/>
      <c r="T63" s="26">
        <v>2.04</v>
      </c>
      <c r="U63" s="26"/>
      <c r="V63" s="26"/>
      <c r="W63" s="26"/>
      <c r="X63" s="26"/>
      <c r="Y63" s="26"/>
      <c r="Z63" s="26"/>
      <c r="AA63" s="26"/>
      <c r="AB63" s="26"/>
      <c r="AC63" s="26">
        <f t="shared" si="29"/>
        <v>14.89</v>
      </c>
      <c r="AD63" s="29"/>
    </row>
    <row r="64" spans="1:30">
      <c r="A64" s="3"/>
      <c r="B64" s="298">
        <v>46213</v>
      </c>
      <c r="C64" s="486" t="s">
        <v>248</v>
      </c>
      <c r="D64" s="5"/>
      <c r="E64" s="34">
        <v>353</v>
      </c>
      <c r="F64" s="6">
        <f t="shared" si="22"/>
        <v>1367.875</v>
      </c>
      <c r="G64" s="95"/>
      <c r="H64" s="28">
        <f t="shared" si="30"/>
        <v>0</v>
      </c>
      <c r="I64" s="28">
        <f t="shared" si="31"/>
        <v>1367.875</v>
      </c>
      <c r="J64" s="26"/>
      <c r="K64" s="26">
        <v>0.9</v>
      </c>
      <c r="L64" s="26">
        <v>5.5</v>
      </c>
      <c r="M64" s="26"/>
      <c r="N64" s="26"/>
      <c r="O64" s="26">
        <v>3.8</v>
      </c>
      <c r="P64" s="26">
        <v>0.8</v>
      </c>
      <c r="Q64" s="26"/>
      <c r="R64" s="26">
        <v>0.8</v>
      </c>
      <c r="S64" s="26"/>
      <c r="T64" s="26">
        <v>1.7</v>
      </c>
      <c r="U64" s="26">
        <v>0.5</v>
      </c>
      <c r="V64" s="26"/>
      <c r="W64" s="26"/>
      <c r="X64" s="26"/>
      <c r="Y64" s="26"/>
      <c r="Z64" s="26"/>
      <c r="AA64" s="26"/>
      <c r="AB64" s="26"/>
      <c r="AC64" s="26">
        <f t="shared" si="29"/>
        <v>14</v>
      </c>
      <c r="AD64" s="29"/>
    </row>
    <row r="65" spans="1:30">
      <c r="A65" s="3"/>
      <c r="B65" s="298">
        <v>46213</v>
      </c>
      <c r="C65" s="486" t="s">
        <v>249</v>
      </c>
      <c r="D65" s="5"/>
      <c r="E65" s="34">
        <v>236</v>
      </c>
      <c r="F65" s="6">
        <f t="shared" si="22"/>
        <v>914.5</v>
      </c>
      <c r="G65" s="95"/>
      <c r="H65" s="28">
        <f t="shared" si="30"/>
        <v>0</v>
      </c>
      <c r="I65" s="28">
        <f t="shared" si="31"/>
        <v>914.5</v>
      </c>
      <c r="J65" s="26"/>
      <c r="K65" s="26">
        <v>1.92</v>
      </c>
      <c r="L65" s="26">
        <v>4.3499999999999996</v>
      </c>
      <c r="M65" s="26"/>
      <c r="N65" s="26">
        <v>0.8</v>
      </c>
      <c r="O65" s="26">
        <v>4.0999999999999996</v>
      </c>
      <c r="P65" s="26">
        <v>0.68</v>
      </c>
      <c r="Q65" s="26"/>
      <c r="R65" s="26">
        <v>1.1000000000000001</v>
      </c>
      <c r="S65" s="26"/>
      <c r="T65" s="26">
        <v>1.1000000000000001</v>
      </c>
      <c r="U65" s="26"/>
      <c r="V65" s="26"/>
      <c r="W65" s="26"/>
      <c r="X65" s="26"/>
      <c r="Y65" s="26"/>
      <c r="Z65" s="26"/>
      <c r="AA65" s="26"/>
      <c r="AB65" s="26"/>
      <c r="AC65" s="26">
        <f t="shared" si="29"/>
        <v>14.049999999999997</v>
      </c>
      <c r="AD65" s="29"/>
    </row>
    <row r="66" spans="1:30">
      <c r="A66" s="3"/>
      <c r="B66" s="298">
        <v>46220</v>
      </c>
      <c r="C66" s="486" t="s">
        <v>279</v>
      </c>
      <c r="D66" s="5">
        <f>+'HASIL PROD'!D190</f>
        <v>8610.25</v>
      </c>
      <c r="E66" s="34">
        <v>405</v>
      </c>
      <c r="F66" s="6">
        <f t="shared" si="22"/>
        <v>1569.375</v>
      </c>
      <c r="G66" s="95"/>
      <c r="H66" s="28">
        <f t="shared" ref="H66" si="32">+G66*4.5</f>
        <v>0</v>
      </c>
      <c r="I66" s="28">
        <f t="shared" ref="I66" si="33">+F66+H66</f>
        <v>1569.375</v>
      </c>
      <c r="J66" s="26"/>
      <c r="K66" s="26">
        <v>1.18</v>
      </c>
      <c r="L66" s="26">
        <v>3.35</v>
      </c>
      <c r="M66" s="26"/>
      <c r="N66" s="26">
        <v>0.5</v>
      </c>
      <c r="O66" s="26">
        <v>4.45</v>
      </c>
      <c r="P66" s="26">
        <v>0.42</v>
      </c>
      <c r="Q66" s="26"/>
      <c r="R66" s="26">
        <v>2.1</v>
      </c>
      <c r="S66" s="26"/>
      <c r="T66" s="26">
        <v>1.1000000000000001</v>
      </c>
      <c r="U66" s="26"/>
      <c r="V66" s="26"/>
      <c r="W66" s="26"/>
      <c r="X66" s="26"/>
      <c r="Y66" s="26"/>
      <c r="Z66" s="26"/>
      <c r="AA66" s="26"/>
      <c r="AB66" s="26"/>
      <c r="AC66" s="26">
        <f t="shared" si="29"/>
        <v>13.1</v>
      </c>
      <c r="AD66" s="29"/>
    </row>
    <row r="67" spans="1:30">
      <c r="A67" s="3"/>
      <c r="B67" s="298">
        <v>46220</v>
      </c>
      <c r="C67" s="486" t="s">
        <v>280</v>
      </c>
      <c r="D67" s="5"/>
      <c r="E67" s="34">
        <v>61</v>
      </c>
      <c r="F67" s="6">
        <f t="shared" si="22"/>
        <v>236.375</v>
      </c>
      <c r="G67" s="95"/>
      <c r="H67" s="28">
        <f t="shared" si="30"/>
        <v>0</v>
      </c>
      <c r="I67" s="28">
        <f t="shared" si="31"/>
        <v>236.375</v>
      </c>
      <c r="J67" s="26"/>
      <c r="K67" s="26">
        <v>0.38</v>
      </c>
      <c r="L67" s="26">
        <v>1.45</v>
      </c>
      <c r="M67" s="26"/>
      <c r="N67" s="26"/>
      <c r="O67" s="26">
        <v>0.4</v>
      </c>
      <c r="P67" s="26"/>
      <c r="Q67" s="26"/>
      <c r="R67" s="26">
        <v>0.2</v>
      </c>
      <c r="S67" s="26"/>
      <c r="T67" s="26">
        <v>0.4</v>
      </c>
      <c r="U67" s="26"/>
      <c r="V67" s="26"/>
      <c r="W67" s="26"/>
      <c r="X67" s="26"/>
      <c r="Y67" s="26"/>
      <c r="Z67" s="26"/>
      <c r="AA67" s="26"/>
      <c r="AB67" s="26"/>
      <c r="AC67" s="26">
        <f t="shared" si="29"/>
        <v>2.83</v>
      </c>
      <c r="AD67" s="29"/>
    </row>
    <row r="68" spans="1:30">
      <c r="A68" s="333">
        <v>46225</v>
      </c>
      <c r="B68" s="298">
        <v>46220</v>
      </c>
      <c r="C68" s="486" t="s">
        <v>280</v>
      </c>
      <c r="D68" s="5"/>
      <c r="E68" s="34">
        <v>379</v>
      </c>
      <c r="F68" s="6">
        <f t="shared" si="22"/>
        <v>1468.625</v>
      </c>
      <c r="G68" s="95"/>
      <c r="H68" s="28">
        <f t="shared" si="30"/>
        <v>0</v>
      </c>
      <c r="I68" s="28">
        <f t="shared" si="31"/>
        <v>1468.625</v>
      </c>
      <c r="J68" s="26"/>
      <c r="K68" s="26">
        <v>0.67</v>
      </c>
      <c r="L68" s="26">
        <v>2.9</v>
      </c>
      <c r="M68" s="26"/>
      <c r="N68" s="26"/>
      <c r="O68" s="26">
        <v>7.5</v>
      </c>
      <c r="P68" s="26">
        <v>0.53</v>
      </c>
      <c r="Q68" s="26"/>
      <c r="R68" s="26"/>
      <c r="S68" s="26"/>
      <c r="T68" s="26">
        <v>1.04</v>
      </c>
      <c r="U68" s="26"/>
      <c r="V68" s="26"/>
      <c r="W68" s="26"/>
      <c r="X68" s="26"/>
      <c r="Y68" s="26"/>
      <c r="Z68" s="26"/>
      <c r="AA68" s="26"/>
      <c r="AB68" s="26"/>
      <c r="AC68" s="26">
        <f t="shared" si="29"/>
        <v>12.64</v>
      </c>
      <c r="AD68" s="29"/>
    </row>
    <row r="69" spans="1:30">
      <c r="A69" s="3"/>
      <c r="B69" s="298">
        <v>46220</v>
      </c>
      <c r="C69" s="486" t="s">
        <v>281</v>
      </c>
      <c r="D69" s="5"/>
      <c r="E69" s="34">
        <v>456</v>
      </c>
      <c r="F69" s="6">
        <f t="shared" si="22"/>
        <v>1767</v>
      </c>
      <c r="G69" s="95"/>
      <c r="H69" s="28">
        <f t="shared" si="30"/>
        <v>0</v>
      </c>
      <c r="I69" s="28">
        <f t="shared" si="31"/>
        <v>1767</v>
      </c>
      <c r="J69" s="26"/>
      <c r="K69" s="26">
        <v>3</v>
      </c>
      <c r="L69" s="26">
        <v>3.4</v>
      </c>
      <c r="M69" s="26"/>
      <c r="N69" s="26"/>
      <c r="O69" s="26">
        <v>3.2</v>
      </c>
      <c r="P69" s="26">
        <v>0.7</v>
      </c>
      <c r="Q69" s="26"/>
      <c r="R69" s="26"/>
      <c r="S69" s="26"/>
      <c r="T69" s="26">
        <v>4.75</v>
      </c>
      <c r="U69" s="26"/>
      <c r="V69" s="26"/>
      <c r="W69" s="26"/>
      <c r="X69" s="26"/>
      <c r="Y69" s="26"/>
      <c r="Z69" s="26"/>
      <c r="AA69" s="26"/>
      <c r="AB69" s="26"/>
      <c r="AC69" s="26">
        <f t="shared" si="29"/>
        <v>15.05</v>
      </c>
      <c r="AD69" s="29"/>
    </row>
    <row r="70" spans="1:30">
      <c r="A70" s="3"/>
      <c r="B70" s="298">
        <v>46220</v>
      </c>
      <c r="C70" s="486" t="s">
        <v>282</v>
      </c>
      <c r="D70" s="5"/>
      <c r="E70" s="34">
        <v>474</v>
      </c>
      <c r="F70" s="6">
        <f t="shared" si="22"/>
        <v>1836.75</v>
      </c>
      <c r="G70" s="95"/>
      <c r="H70" s="28">
        <f t="shared" si="30"/>
        <v>0</v>
      </c>
      <c r="I70" s="28">
        <f t="shared" si="31"/>
        <v>1836.75</v>
      </c>
      <c r="J70" s="26"/>
      <c r="K70" s="26">
        <v>3.7</v>
      </c>
      <c r="L70" s="26">
        <v>5.4</v>
      </c>
      <c r="M70" s="26"/>
      <c r="N70" s="26"/>
      <c r="O70" s="26">
        <v>7.54</v>
      </c>
      <c r="P70" s="26">
        <v>0.7</v>
      </c>
      <c r="Q70" s="26"/>
      <c r="R70" s="26"/>
      <c r="S70" s="26"/>
      <c r="T70" s="26">
        <v>0.9</v>
      </c>
      <c r="U70" s="26"/>
      <c r="V70" s="26">
        <v>0.4</v>
      </c>
      <c r="W70" s="26"/>
      <c r="X70" s="26"/>
      <c r="Y70" s="26"/>
      <c r="Z70" s="26"/>
      <c r="AA70" s="26"/>
      <c r="AB70" s="26"/>
      <c r="AC70" s="26">
        <f t="shared" si="29"/>
        <v>18.639999999999997</v>
      </c>
      <c r="AD70" s="29"/>
    </row>
    <row r="71" spans="1:30">
      <c r="A71" s="3"/>
      <c r="B71" s="298">
        <v>46220</v>
      </c>
      <c r="C71" s="486" t="s">
        <v>283</v>
      </c>
      <c r="D71" s="5"/>
      <c r="E71" s="34">
        <v>79</v>
      </c>
      <c r="F71" s="6">
        <f t="shared" si="22"/>
        <v>306.125</v>
      </c>
      <c r="G71" s="95"/>
      <c r="H71" s="28">
        <f t="shared" si="30"/>
        <v>0</v>
      </c>
      <c r="I71" s="28">
        <f t="shared" si="31"/>
        <v>306.125</v>
      </c>
      <c r="J71" s="26"/>
      <c r="K71" s="26">
        <v>0.7</v>
      </c>
      <c r="L71" s="26">
        <v>0.7</v>
      </c>
      <c r="M71" s="26"/>
      <c r="N71" s="26">
        <v>0.26</v>
      </c>
      <c r="O71" s="26">
        <v>1.5</v>
      </c>
      <c r="P71" s="26"/>
      <c r="Q71" s="26"/>
      <c r="R71" s="26"/>
      <c r="S71" s="26"/>
      <c r="T71" s="26">
        <v>0.5</v>
      </c>
      <c r="U71" s="26"/>
      <c r="V71" s="26"/>
      <c r="W71" s="26"/>
      <c r="X71" s="26"/>
      <c r="Y71" s="26"/>
      <c r="Z71" s="26"/>
      <c r="AA71" s="26"/>
      <c r="AB71" s="26"/>
      <c r="AC71" s="26">
        <f t="shared" si="29"/>
        <v>3.66</v>
      </c>
      <c r="AD71" s="29"/>
    </row>
    <row r="72" spans="1:30">
      <c r="A72" s="333">
        <v>46226</v>
      </c>
      <c r="B72" s="298">
        <v>46220</v>
      </c>
      <c r="C72" s="486" t="s">
        <v>283</v>
      </c>
      <c r="D72" s="5"/>
      <c r="E72" s="34">
        <v>272</v>
      </c>
      <c r="F72" s="6">
        <f t="shared" si="22"/>
        <v>1054</v>
      </c>
      <c r="G72" s="95"/>
      <c r="H72" s="28">
        <f t="shared" si="30"/>
        <v>0</v>
      </c>
      <c r="I72" s="28">
        <f t="shared" si="31"/>
        <v>1054</v>
      </c>
      <c r="J72" s="26"/>
      <c r="K72" s="26">
        <v>2</v>
      </c>
      <c r="L72" s="26">
        <v>3</v>
      </c>
      <c r="M72" s="26"/>
      <c r="N72" s="26"/>
      <c r="O72" s="26">
        <v>1.5</v>
      </c>
      <c r="P72" s="26"/>
      <c r="Q72" s="26"/>
      <c r="R72" s="26">
        <v>1</v>
      </c>
      <c r="S72" s="26"/>
      <c r="T72" s="26">
        <v>1.3</v>
      </c>
      <c r="U72" s="26"/>
      <c r="V72" s="26"/>
      <c r="W72" s="26"/>
      <c r="X72" s="26"/>
      <c r="Y72" s="26"/>
      <c r="Z72" s="26"/>
      <c r="AA72" s="26"/>
      <c r="AB72" s="26"/>
      <c r="AC72" s="26">
        <f t="shared" si="29"/>
        <v>8.8000000000000007</v>
      </c>
      <c r="AD72" s="29"/>
    </row>
    <row r="73" spans="1:30">
      <c r="A73" s="3"/>
      <c r="B73" s="298">
        <v>46223</v>
      </c>
      <c r="C73" s="486" t="s">
        <v>284</v>
      </c>
      <c r="D73" s="5">
        <f>+'HASIL PROD'!D223</f>
        <v>1553.875</v>
      </c>
      <c r="E73" s="34">
        <v>384</v>
      </c>
      <c r="F73" s="6">
        <f t="shared" si="22"/>
        <v>1488</v>
      </c>
      <c r="G73" s="95"/>
      <c r="H73" s="28">
        <f t="shared" si="30"/>
        <v>0</v>
      </c>
      <c r="I73" s="28">
        <f t="shared" si="31"/>
        <v>1488</v>
      </c>
      <c r="J73" s="26"/>
      <c r="K73" s="26">
        <v>1.5</v>
      </c>
      <c r="L73" s="26">
        <v>1.4</v>
      </c>
      <c r="M73" s="26">
        <v>2.2000000000000002</v>
      </c>
      <c r="N73" s="26"/>
      <c r="O73" s="26">
        <v>3</v>
      </c>
      <c r="P73" s="26">
        <v>0.37</v>
      </c>
      <c r="Q73" s="26"/>
      <c r="R73" s="26">
        <v>0.68</v>
      </c>
      <c r="S73" s="26">
        <v>2.2999999999999998</v>
      </c>
      <c r="T73" s="26">
        <v>0.9</v>
      </c>
      <c r="U73" s="26"/>
      <c r="V73" s="26"/>
      <c r="W73" s="26"/>
      <c r="X73" s="26"/>
      <c r="Y73" s="26"/>
      <c r="Z73" s="26"/>
      <c r="AA73" s="26"/>
      <c r="AB73" s="26"/>
      <c r="AC73" s="26">
        <f t="shared" si="29"/>
        <v>12.35</v>
      </c>
      <c r="AD73" s="29"/>
    </row>
    <row r="74" spans="1:30">
      <c r="A74" s="3"/>
      <c r="B74" s="298">
        <v>46224</v>
      </c>
      <c r="C74" s="486" t="s">
        <v>285</v>
      </c>
      <c r="D74" s="5">
        <f>+'HASIL PROD'!D234</f>
        <v>14666.875</v>
      </c>
      <c r="E74" s="34">
        <v>411</v>
      </c>
      <c r="F74" s="6">
        <f t="shared" si="22"/>
        <v>1592.625</v>
      </c>
      <c r="G74" s="95"/>
      <c r="H74" s="28">
        <f t="shared" si="30"/>
        <v>0</v>
      </c>
      <c r="I74" s="28">
        <f t="shared" si="31"/>
        <v>1592.625</v>
      </c>
      <c r="J74" s="26">
        <f>(34)*3.875</f>
        <v>131.75</v>
      </c>
      <c r="K74" s="26">
        <v>0.8</v>
      </c>
      <c r="L74" s="26">
        <v>3.2</v>
      </c>
      <c r="M74" s="26"/>
      <c r="N74" s="26"/>
      <c r="O74" s="26">
        <v>22</v>
      </c>
      <c r="P74" s="26"/>
      <c r="Q74" s="26"/>
      <c r="R74" s="26">
        <v>0.3</v>
      </c>
      <c r="S74" s="26">
        <v>1.6</v>
      </c>
      <c r="T74" s="26">
        <v>2.7</v>
      </c>
      <c r="U74" s="26"/>
      <c r="V74" s="26"/>
      <c r="W74" s="26"/>
      <c r="X74" s="26"/>
      <c r="Y74" s="26"/>
      <c r="Z74" s="26"/>
      <c r="AA74" s="26"/>
      <c r="AB74" s="26"/>
      <c r="AC74" s="26">
        <f t="shared" si="29"/>
        <v>30.6</v>
      </c>
      <c r="AD74" s="29"/>
    </row>
    <row r="75" spans="1:30">
      <c r="A75" s="3"/>
      <c r="B75" s="298">
        <v>46224</v>
      </c>
      <c r="C75" s="486" t="s">
        <v>286</v>
      </c>
      <c r="D75" s="5"/>
      <c r="E75" s="34">
        <v>416</v>
      </c>
      <c r="F75" s="6">
        <f t="shared" si="22"/>
        <v>1612</v>
      </c>
      <c r="G75" s="95"/>
      <c r="H75" s="28">
        <f t="shared" si="30"/>
        <v>0</v>
      </c>
      <c r="I75" s="28">
        <f t="shared" si="31"/>
        <v>1612</v>
      </c>
      <c r="J75" s="26"/>
      <c r="K75" s="26">
        <v>0.7</v>
      </c>
      <c r="L75" s="26">
        <v>3.75</v>
      </c>
      <c r="M75" s="26">
        <v>2.4500000000000002</v>
      </c>
      <c r="N75" s="26"/>
      <c r="O75" s="26">
        <v>10.45</v>
      </c>
      <c r="P75" s="26">
        <v>0.2</v>
      </c>
      <c r="Q75" s="26"/>
      <c r="R75" s="26">
        <v>0.34</v>
      </c>
      <c r="S75" s="26"/>
      <c r="T75" s="26">
        <v>1.7</v>
      </c>
      <c r="U75" s="26"/>
      <c r="V75" s="26"/>
      <c r="W75" s="26"/>
      <c r="X75" s="26"/>
      <c r="Y75" s="26"/>
      <c r="Z75" s="26"/>
      <c r="AA75" s="26"/>
      <c r="AB75" s="26"/>
      <c r="AC75" s="26">
        <f t="shared" si="29"/>
        <v>19.59</v>
      </c>
      <c r="AD75" s="29"/>
    </row>
    <row r="76" spans="1:30">
      <c r="A76" s="3"/>
      <c r="B76" s="298">
        <v>46224</v>
      </c>
      <c r="C76" s="486" t="s">
        <v>287</v>
      </c>
      <c r="D76" s="5"/>
      <c r="E76" s="34">
        <v>447</v>
      </c>
      <c r="F76" s="6">
        <f t="shared" si="22"/>
        <v>1732.125</v>
      </c>
      <c r="G76" s="95"/>
      <c r="H76" s="28">
        <f t="shared" si="30"/>
        <v>0</v>
      </c>
      <c r="I76" s="28">
        <f t="shared" si="31"/>
        <v>1732.125</v>
      </c>
      <c r="J76" s="26"/>
      <c r="K76" s="26">
        <v>0.9</v>
      </c>
      <c r="L76" s="26">
        <v>4</v>
      </c>
      <c r="M76" s="26"/>
      <c r="N76" s="26"/>
      <c r="O76" s="26">
        <v>7.4</v>
      </c>
      <c r="P76" s="26">
        <v>0.18</v>
      </c>
      <c r="Q76" s="26"/>
      <c r="R76" s="26">
        <v>0.4</v>
      </c>
      <c r="S76" s="26"/>
      <c r="T76" s="26">
        <v>1.3</v>
      </c>
      <c r="U76" s="26"/>
      <c r="V76" s="26"/>
      <c r="W76" s="26"/>
      <c r="X76" s="26"/>
      <c r="Y76" s="26"/>
      <c r="Z76" s="26"/>
      <c r="AA76" s="26"/>
      <c r="AB76" s="26"/>
      <c r="AC76" s="26">
        <f t="shared" si="29"/>
        <v>14.180000000000001</v>
      </c>
      <c r="AD76" s="29"/>
    </row>
    <row r="77" spans="1:30">
      <c r="A77" s="3"/>
      <c r="B77" s="298">
        <v>46224</v>
      </c>
      <c r="C77" s="486" t="s">
        <v>288</v>
      </c>
      <c r="D77" s="5"/>
      <c r="E77" s="34">
        <f>211+165</f>
        <v>376</v>
      </c>
      <c r="F77" s="6">
        <f t="shared" si="22"/>
        <v>1457</v>
      </c>
      <c r="G77" s="95"/>
      <c r="H77" s="28">
        <f t="shared" si="30"/>
        <v>0</v>
      </c>
      <c r="I77" s="28">
        <f t="shared" si="31"/>
        <v>1457</v>
      </c>
      <c r="J77" s="26"/>
      <c r="K77" s="26">
        <v>0.35</v>
      </c>
      <c r="L77" s="26">
        <v>1.1000000000000001</v>
      </c>
      <c r="M77" s="26"/>
      <c r="N77" s="26"/>
      <c r="O77" s="26">
        <v>3.4</v>
      </c>
      <c r="P77" s="26">
        <v>0.2</v>
      </c>
      <c r="Q77" s="26"/>
      <c r="R77" s="26">
        <v>0.45</v>
      </c>
      <c r="S77" s="26"/>
      <c r="T77" s="26">
        <v>1.5</v>
      </c>
      <c r="U77" s="26"/>
      <c r="V77" s="26"/>
      <c r="W77" s="26"/>
      <c r="X77" s="26"/>
      <c r="Y77" s="26"/>
      <c r="Z77" s="26"/>
      <c r="AA77" s="26"/>
      <c r="AB77" s="26"/>
      <c r="AC77" s="26">
        <f t="shared" si="29"/>
        <v>7</v>
      </c>
      <c r="AD77" s="29"/>
    </row>
    <row r="78" spans="1:30">
      <c r="A78" s="333">
        <v>46227</v>
      </c>
      <c r="B78" s="298">
        <v>46224</v>
      </c>
      <c r="C78" s="486" t="s">
        <v>288</v>
      </c>
      <c r="D78" s="5"/>
      <c r="E78" s="34">
        <v>117</v>
      </c>
      <c r="F78" s="6">
        <f t="shared" si="22"/>
        <v>453.375</v>
      </c>
      <c r="G78" s="95"/>
      <c r="H78" s="28">
        <f t="shared" si="30"/>
        <v>0</v>
      </c>
      <c r="I78" s="28">
        <f t="shared" si="31"/>
        <v>453.375</v>
      </c>
      <c r="J78" s="26"/>
      <c r="K78" s="26">
        <v>1.2</v>
      </c>
      <c r="L78" s="26">
        <v>1</v>
      </c>
      <c r="M78" s="26"/>
      <c r="N78" s="26"/>
      <c r="O78" s="26">
        <v>0.8</v>
      </c>
      <c r="P78" s="26"/>
      <c r="Q78" s="26"/>
      <c r="R78" s="26"/>
      <c r="S78" s="26">
        <v>0.16</v>
      </c>
      <c r="T78" s="26">
        <v>0.3</v>
      </c>
      <c r="U78" s="26"/>
      <c r="V78" s="26"/>
      <c r="W78" s="26"/>
      <c r="X78" s="26"/>
      <c r="Y78" s="26"/>
      <c r="Z78" s="26"/>
      <c r="AA78" s="26"/>
      <c r="AB78" s="26"/>
      <c r="AC78" s="26">
        <f t="shared" si="29"/>
        <v>3.46</v>
      </c>
      <c r="AD78" s="29"/>
    </row>
    <row r="79" spans="1:30">
      <c r="A79" s="3"/>
      <c r="B79" s="298">
        <v>46224</v>
      </c>
      <c r="C79" s="486" t="s">
        <v>289</v>
      </c>
      <c r="D79" s="5"/>
      <c r="E79" s="34">
        <v>426</v>
      </c>
      <c r="F79" s="6">
        <f t="shared" si="22"/>
        <v>1650.75</v>
      </c>
      <c r="G79" s="95"/>
      <c r="H79" s="28">
        <f t="shared" si="30"/>
        <v>0</v>
      </c>
      <c r="I79" s="28">
        <f t="shared" si="31"/>
        <v>1650.75</v>
      </c>
      <c r="J79" s="26"/>
      <c r="K79" s="26">
        <v>2.1</v>
      </c>
      <c r="L79" s="26">
        <v>2</v>
      </c>
      <c r="M79" s="26"/>
      <c r="N79" s="26"/>
      <c r="O79" s="26">
        <v>3.5</v>
      </c>
      <c r="P79" s="26"/>
      <c r="Q79" s="26"/>
      <c r="R79" s="26"/>
      <c r="S79" s="26">
        <v>0.2</v>
      </c>
      <c r="T79" s="26">
        <v>0.6</v>
      </c>
      <c r="U79" s="26"/>
      <c r="V79" s="26"/>
      <c r="W79" s="26"/>
      <c r="X79" s="26"/>
      <c r="Y79" s="26"/>
      <c r="Z79" s="26"/>
      <c r="AA79" s="26"/>
      <c r="AB79" s="26"/>
      <c r="AC79" s="26">
        <f t="shared" si="29"/>
        <v>8.4</v>
      </c>
      <c r="AD79" s="29"/>
    </row>
    <row r="80" spans="1:30">
      <c r="A80" s="3"/>
      <c r="B80" s="298">
        <v>46224</v>
      </c>
      <c r="C80" s="486" t="s">
        <v>290</v>
      </c>
      <c r="D80" s="5"/>
      <c r="E80" s="34">
        <v>438</v>
      </c>
      <c r="F80" s="6">
        <f t="shared" si="22"/>
        <v>1697.25</v>
      </c>
      <c r="G80" s="95"/>
      <c r="H80" s="28">
        <f t="shared" si="30"/>
        <v>0</v>
      </c>
      <c r="I80" s="28">
        <f t="shared" si="31"/>
        <v>1697.25</v>
      </c>
      <c r="J80" s="26"/>
      <c r="K80" s="26">
        <v>1.4</v>
      </c>
      <c r="L80" s="26">
        <v>5.4</v>
      </c>
      <c r="M80" s="26"/>
      <c r="N80" s="26"/>
      <c r="O80" s="26">
        <v>19</v>
      </c>
      <c r="P80" s="26"/>
      <c r="Q80" s="26"/>
      <c r="R80" s="26">
        <v>1.63</v>
      </c>
      <c r="S80" s="26"/>
      <c r="T80" s="26">
        <v>1.01</v>
      </c>
      <c r="U80" s="26"/>
      <c r="V80" s="26"/>
      <c r="W80" s="26"/>
      <c r="X80" s="26"/>
      <c r="Y80" s="26"/>
      <c r="Z80" s="26"/>
      <c r="AA80" s="26"/>
      <c r="AB80" s="26"/>
      <c r="AC80" s="26">
        <f t="shared" si="29"/>
        <v>28.44</v>
      </c>
      <c r="AD80" s="29"/>
    </row>
    <row r="81" spans="1:32">
      <c r="A81" s="3"/>
      <c r="B81" s="298">
        <v>46224</v>
      </c>
      <c r="C81" s="486" t="s">
        <v>291</v>
      </c>
      <c r="D81" s="5"/>
      <c r="E81" s="34">
        <v>418</v>
      </c>
      <c r="F81" s="6">
        <f t="shared" si="22"/>
        <v>1619.75</v>
      </c>
      <c r="G81" s="95"/>
      <c r="H81" s="28">
        <f t="shared" si="30"/>
        <v>0</v>
      </c>
      <c r="I81" s="28">
        <f t="shared" si="31"/>
        <v>1619.75</v>
      </c>
      <c r="J81" s="26"/>
      <c r="K81" s="26">
        <v>1.75</v>
      </c>
      <c r="L81" s="26">
        <v>5.14</v>
      </c>
      <c r="M81" s="26"/>
      <c r="N81" s="26"/>
      <c r="O81" s="26">
        <v>10.75</v>
      </c>
      <c r="P81" s="26">
        <v>0.9</v>
      </c>
      <c r="Q81" s="26"/>
      <c r="R81" s="26">
        <v>0.53</v>
      </c>
      <c r="S81" s="26"/>
      <c r="T81" s="26">
        <v>5.14</v>
      </c>
      <c r="U81" s="26"/>
      <c r="V81" s="26"/>
      <c r="W81" s="26"/>
      <c r="X81" s="26"/>
      <c r="Y81" s="26"/>
      <c r="Z81" s="26"/>
      <c r="AA81" s="26"/>
      <c r="AB81" s="26"/>
      <c r="AC81" s="26">
        <f t="shared" si="29"/>
        <v>24.21</v>
      </c>
      <c r="AD81" s="29"/>
    </row>
    <row r="82" spans="1:32">
      <c r="A82" s="3"/>
      <c r="B82" s="298">
        <v>46224</v>
      </c>
      <c r="C82" s="486" t="s">
        <v>292</v>
      </c>
      <c r="D82" s="5"/>
      <c r="E82" s="34">
        <v>211</v>
      </c>
      <c r="F82" s="6">
        <f t="shared" si="22"/>
        <v>817.625</v>
      </c>
      <c r="G82" s="95"/>
      <c r="H82" s="28">
        <f t="shared" si="30"/>
        <v>0</v>
      </c>
      <c r="I82" s="28">
        <f t="shared" si="31"/>
        <v>817.625</v>
      </c>
      <c r="J82" s="26">
        <f>(16)*3.875</f>
        <v>62</v>
      </c>
      <c r="K82" s="26">
        <v>0.94</v>
      </c>
      <c r="L82" s="26">
        <v>2.5</v>
      </c>
      <c r="M82" s="26"/>
      <c r="N82" s="26"/>
      <c r="O82" s="26">
        <v>11.7</v>
      </c>
      <c r="P82" s="26">
        <v>0.78</v>
      </c>
      <c r="Q82" s="26"/>
      <c r="R82" s="26">
        <v>0.7</v>
      </c>
      <c r="S82" s="26"/>
      <c r="T82" s="26">
        <v>0.9</v>
      </c>
      <c r="U82" s="26"/>
      <c r="V82" s="26"/>
      <c r="W82" s="26"/>
      <c r="X82" s="26"/>
      <c r="Y82" s="26"/>
      <c r="Z82" s="26"/>
      <c r="AA82" s="26"/>
      <c r="AB82" s="26"/>
      <c r="AC82" s="26">
        <f t="shared" si="29"/>
        <v>17.519999999999996</v>
      </c>
      <c r="AD82" s="29"/>
      <c r="AF82" s="10"/>
    </row>
    <row r="83" spans="1:32">
      <c r="A83" s="3"/>
      <c r="B83" s="298">
        <v>46224</v>
      </c>
      <c r="C83" s="486" t="s">
        <v>293</v>
      </c>
      <c r="D83" s="5"/>
      <c r="E83" s="34">
        <v>40</v>
      </c>
      <c r="F83" s="6">
        <f t="shared" si="22"/>
        <v>155</v>
      </c>
      <c r="G83" s="95"/>
      <c r="H83" s="28">
        <f t="shared" si="30"/>
        <v>0</v>
      </c>
      <c r="I83" s="28">
        <f t="shared" si="31"/>
        <v>155</v>
      </c>
      <c r="J83" s="26"/>
      <c r="K83" s="26">
        <v>0.84</v>
      </c>
      <c r="L83" s="26">
        <v>4.7</v>
      </c>
      <c r="M83" s="26"/>
      <c r="N83" s="26"/>
      <c r="O83" s="26">
        <v>4.4000000000000004</v>
      </c>
      <c r="P83" s="26">
        <v>0.6</v>
      </c>
      <c r="Q83" s="26"/>
      <c r="R83" s="26"/>
      <c r="S83" s="26"/>
      <c r="T83" s="26">
        <v>0.7</v>
      </c>
      <c r="U83" s="26"/>
      <c r="V83" s="26"/>
      <c r="W83" s="26"/>
      <c r="X83" s="26"/>
      <c r="Y83" s="26"/>
      <c r="Z83" s="26"/>
      <c r="AA83" s="26"/>
      <c r="AB83" s="26"/>
      <c r="AC83" s="26">
        <f t="shared" si="29"/>
        <v>11.24</v>
      </c>
      <c r="AD83" s="29"/>
    </row>
    <row r="84" spans="1:32">
      <c r="A84" s="333">
        <v>46228</v>
      </c>
      <c r="B84" s="298">
        <v>46224</v>
      </c>
      <c r="C84" s="486" t="s">
        <v>293</v>
      </c>
      <c r="D84" s="5"/>
      <c r="E84" s="34">
        <v>351</v>
      </c>
      <c r="F84" s="6">
        <f t="shared" si="22"/>
        <v>1360.125</v>
      </c>
      <c r="G84" s="95"/>
      <c r="H84" s="28">
        <f t="shared" si="30"/>
        <v>0</v>
      </c>
      <c r="I84" s="28">
        <f t="shared" si="31"/>
        <v>1360.125</v>
      </c>
      <c r="J84" s="26"/>
      <c r="K84" s="26">
        <v>0.4</v>
      </c>
      <c r="L84" s="26">
        <v>2.1</v>
      </c>
      <c r="M84" s="26"/>
      <c r="N84" s="26"/>
      <c r="O84" s="26">
        <v>1.04</v>
      </c>
      <c r="P84" s="26">
        <v>0.14000000000000001</v>
      </c>
      <c r="Q84" s="26"/>
      <c r="R84" s="26"/>
      <c r="S84" s="26"/>
      <c r="T84" s="26">
        <v>1.2</v>
      </c>
      <c r="U84" s="26"/>
      <c r="V84" s="26"/>
      <c r="W84" s="26"/>
      <c r="X84" s="26"/>
      <c r="Y84" s="26"/>
      <c r="Z84" s="26"/>
      <c r="AA84" s="26"/>
      <c r="AB84" s="26"/>
      <c r="AC84" s="26">
        <f t="shared" si="29"/>
        <v>4.88</v>
      </c>
      <c r="AD84" s="29"/>
    </row>
    <row r="85" spans="1:32">
      <c r="A85" s="3"/>
      <c r="B85" s="298">
        <v>46225</v>
      </c>
      <c r="C85" s="486" t="s">
        <v>294</v>
      </c>
      <c r="D85" s="5">
        <f>+'HASIL PROD'!D245</f>
        <v>13674.875</v>
      </c>
      <c r="E85" s="34">
        <v>437</v>
      </c>
      <c r="F85" s="6">
        <f t="shared" si="22"/>
        <v>1693.375</v>
      </c>
      <c r="G85" s="95"/>
      <c r="H85" s="28">
        <f t="shared" si="30"/>
        <v>0</v>
      </c>
      <c r="I85" s="28">
        <f t="shared" si="31"/>
        <v>1693.375</v>
      </c>
      <c r="J85" s="26"/>
      <c r="K85" s="26">
        <v>3.2</v>
      </c>
      <c r="L85" s="26">
        <v>4.4000000000000004</v>
      </c>
      <c r="M85" s="26"/>
      <c r="N85" s="26"/>
      <c r="O85" s="26">
        <v>2.5</v>
      </c>
      <c r="P85" s="26">
        <v>0.6</v>
      </c>
      <c r="Q85" s="26"/>
      <c r="R85" s="26">
        <v>0.5</v>
      </c>
      <c r="S85" s="26"/>
      <c r="T85" s="26">
        <v>1.3</v>
      </c>
      <c r="U85" s="26"/>
      <c r="V85" s="26"/>
      <c r="W85" s="26"/>
      <c r="X85" s="26"/>
      <c r="Y85" s="26"/>
      <c r="Z85" s="26"/>
      <c r="AA85" s="26"/>
      <c r="AB85" s="26"/>
      <c r="AC85" s="26">
        <f t="shared" si="29"/>
        <v>12.500000000000002</v>
      </c>
      <c r="AD85" s="29"/>
    </row>
    <row r="86" spans="1:32">
      <c r="A86" s="3"/>
      <c r="B86" s="298">
        <v>46225</v>
      </c>
      <c r="C86" s="486" t="s">
        <v>295</v>
      </c>
      <c r="D86" s="5"/>
      <c r="E86" s="34">
        <v>455</v>
      </c>
      <c r="F86" s="6">
        <f t="shared" si="22"/>
        <v>1763.125</v>
      </c>
      <c r="G86" s="95"/>
      <c r="H86" s="28">
        <f t="shared" si="30"/>
        <v>0</v>
      </c>
      <c r="I86" s="28">
        <f t="shared" si="31"/>
        <v>1763.125</v>
      </c>
      <c r="J86" s="26"/>
      <c r="K86" s="26">
        <v>3.75</v>
      </c>
      <c r="L86" s="26">
        <v>5</v>
      </c>
      <c r="M86" s="26"/>
      <c r="N86" s="26"/>
      <c r="O86" s="26">
        <v>21</v>
      </c>
      <c r="P86" s="26">
        <v>0.2</v>
      </c>
      <c r="Q86" s="26"/>
      <c r="R86" s="26"/>
      <c r="S86" s="26"/>
      <c r="T86" s="26">
        <v>1.8</v>
      </c>
      <c r="U86" s="26"/>
      <c r="V86" s="26"/>
      <c r="W86" s="26"/>
      <c r="X86" s="26"/>
      <c r="Y86" s="26"/>
      <c r="Z86" s="26"/>
      <c r="AA86" s="26"/>
      <c r="AB86" s="26"/>
      <c r="AC86" s="26">
        <f t="shared" si="29"/>
        <v>31.75</v>
      </c>
      <c r="AD86" s="29"/>
    </row>
    <row r="87" spans="1:32">
      <c r="A87" s="3"/>
      <c r="B87" s="298">
        <v>46225</v>
      </c>
      <c r="C87" s="486" t="s">
        <v>296</v>
      </c>
      <c r="D87" s="5"/>
      <c r="E87" s="34">
        <v>461</v>
      </c>
      <c r="F87" s="6">
        <f t="shared" si="22"/>
        <v>1786.375</v>
      </c>
      <c r="G87" s="95"/>
      <c r="H87" s="28">
        <f t="shared" si="30"/>
        <v>0</v>
      </c>
      <c r="I87" s="28">
        <f t="shared" si="31"/>
        <v>1786.375</v>
      </c>
      <c r="J87" s="26"/>
      <c r="K87" s="26">
        <v>1.5</v>
      </c>
      <c r="L87" s="26">
        <v>2.1</v>
      </c>
      <c r="M87" s="26"/>
      <c r="N87" s="26"/>
      <c r="O87" s="26">
        <v>4.2</v>
      </c>
      <c r="P87" s="26"/>
      <c r="Q87" s="26"/>
      <c r="R87" s="26">
        <v>0.4</v>
      </c>
      <c r="S87" s="26"/>
      <c r="T87" s="26">
        <v>0.64</v>
      </c>
      <c r="U87" s="26"/>
      <c r="V87" s="26"/>
      <c r="W87" s="26"/>
      <c r="X87" s="26"/>
      <c r="Y87" s="26"/>
      <c r="Z87" s="26"/>
      <c r="AA87" s="26"/>
      <c r="AB87" s="26"/>
      <c r="AC87" s="26">
        <f>SUM(K87:AB87)</f>
        <v>8.8400000000000016</v>
      </c>
      <c r="AD87" s="29"/>
    </row>
    <row r="88" spans="1:32">
      <c r="A88" s="3"/>
      <c r="B88" s="298">
        <v>46225</v>
      </c>
      <c r="C88" s="486" t="s">
        <v>297</v>
      </c>
      <c r="D88" s="5"/>
      <c r="E88" s="34">
        <f>132+343</f>
        <v>475</v>
      </c>
      <c r="F88" s="6">
        <f t="shared" si="22"/>
        <v>1840.625</v>
      </c>
      <c r="G88" s="95"/>
      <c r="H88" s="28">
        <f t="shared" si="30"/>
        <v>0</v>
      </c>
      <c r="I88" s="28">
        <f t="shared" si="31"/>
        <v>1840.625</v>
      </c>
      <c r="J88" s="26"/>
      <c r="K88" s="26">
        <v>1.7</v>
      </c>
      <c r="L88" s="26">
        <v>3.7</v>
      </c>
      <c r="M88" s="26"/>
      <c r="N88" s="26"/>
      <c r="O88" s="26">
        <v>3.75</v>
      </c>
      <c r="P88" s="26">
        <v>0.15</v>
      </c>
      <c r="Q88" s="26"/>
      <c r="R88" s="26">
        <v>1.2</v>
      </c>
      <c r="S88" s="26"/>
      <c r="T88" s="26">
        <v>0.2</v>
      </c>
      <c r="U88" s="26"/>
      <c r="V88" s="26"/>
      <c r="W88" s="26"/>
      <c r="X88" s="26"/>
      <c r="Y88" s="26"/>
      <c r="Z88" s="26"/>
      <c r="AA88" s="26"/>
      <c r="AB88" s="26"/>
      <c r="AC88" s="26">
        <f>SUM(K88:AB88)</f>
        <v>10.7</v>
      </c>
      <c r="AD88" s="29"/>
    </row>
    <row r="89" spans="1:32">
      <c r="A89" s="333">
        <v>46230</v>
      </c>
      <c r="B89" s="298">
        <v>46225</v>
      </c>
      <c r="C89" s="486" t="s">
        <v>298</v>
      </c>
      <c r="D89" s="5"/>
      <c r="E89" s="34">
        <v>425</v>
      </c>
      <c r="F89" s="6">
        <f t="shared" si="22"/>
        <v>1646.875</v>
      </c>
      <c r="G89" s="95"/>
      <c r="H89" s="28">
        <f t="shared" si="30"/>
        <v>0</v>
      </c>
      <c r="I89" s="28">
        <f t="shared" si="31"/>
        <v>1646.875</v>
      </c>
      <c r="J89" s="26"/>
      <c r="K89" s="26">
        <v>1.8</v>
      </c>
      <c r="L89" s="26">
        <v>2.5</v>
      </c>
      <c r="M89" s="26"/>
      <c r="N89" s="26"/>
      <c r="O89" s="26">
        <v>3.22</v>
      </c>
      <c r="P89" s="26">
        <v>0.08</v>
      </c>
      <c r="Q89" s="26"/>
      <c r="R89" s="26">
        <v>1.36</v>
      </c>
      <c r="S89" s="26"/>
      <c r="T89" s="26">
        <v>1.5</v>
      </c>
      <c r="U89" s="26"/>
      <c r="V89" s="26"/>
      <c r="W89" s="26"/>
      <c r="X89" s="26"/>
      <c r="Y89" s="26"/>
      <c r="Z89" s="26"/>
      <c r="AA89" s="26"/>
      <c r="AB89" s="26"/>
      <c r="AC89" s="26">
        <f t="shared" si="29"/>
        <v>10.459999999999999</v>
      </c>
      <c r="AD89" s="29"/>
    </row>
    <row r="90" spans="1:32">
      <c r="A90" s="3"/>
      <c r="B90" s="298">
        <v>46225</v>
      </c>
      <c r="C90" s="486" t="s">
        <v>299</v>
      </c>
      <c r="D90" s="5"/>
      <c r="E90" s="34">
        <v>464</v>
      </c>
      <c r="F90" s="6">
        <f t="shared" si="22"/>
        <v>1798</v>
      </c>
      <c r="G90" s="95"/>
      <c r="H90" s="28">
        <f t="shared" ref="H90:H109" si="34">+G90*4.5</f>
        <v>0</v>
      </c>
      <c r="I90" s="28">
        <f t="shared" ref="I90:I109" si="35">+F90+H90</f>
        <v>1798</v>
      </c>
      <c r="J90" s="26"/>
      <c r="K90" s="26">
        <v>2.2000000000000002</v>
      </c>
      <c r="L90" s="26">
        <v>4.5</v>
      </c>
      <c r="M90" s="26"/>
      <c r="N90" s="26"/>
      <c r="O90" s="26">
        <v>2.1</v>
      </c>
      <c r="P90" s="26"/>
      <c r="Q90" s="26"/>
      <c r="R90" s="26"/>
      <c r="S90" s="26"/>
      <c r="T90" s="26">
        <v>1.76</v>
      </c>
      <c r="U90" s="26"/>
      <c r="V90" s="26"/>
      <c r="W90" s="26"/>
      <c r="X90" s="26"/>
      <c r="Y90" s="26"/>
      <c r="Z90" s="26"/>
      <c r="AA90" s="26"/>
      <c r="AB90" s="26"/>
      <c r="AC90" s="26">
        <f t="shared" si="29"/>
        <v>10.56</v>
      </c>
      <c r="AD90" s="29"/>
    </row>
    <row r="91" spans="1:32">
      <c r="A91" s="3"/>
      <c r="B91" s="298">
        <v>46225</v>
      </c>
      <c r="C91" s="486" t="s">
        <v>300</v>
      </c>
      <c r="D91" s="5"/>
      <c r="E91" s="34">
        <v>265</v>
      </c>
      <c r="F91" s="6">
        <f t="shared" si="22"/>
        <v>1026.875</v>
      </c>
      <c r="G91" s="95"/>
      <c r="H91" s="28">
        <f t="shared" si="34"/>
        <v>0</v>
      </c>
      <c r="I91" s="28">
        <f t="shared" si="35"/>
        <v>1026.875</v>
      </c>
      <c r="J91" s="26"/>
      <c r="K91" s="26">
        <v>0.9</v>
      </c>
      <c r="L91" s="26">
        <v>2.75</v>
      </c>
      <c r="M91" s="26"/>
      <c r="N91" s="26"/>
      <c r="O91" s="26">
        <v>1.2</v>
      </c>
      <c r="P91" s="26">
        <v>0.2</v>
      </c>
      <c r="Q91" s="26"/>
      <c r="R91" s="26"/>
      <c r="S91" s="26"/>
      <c r="T91" s="26">
        <v>0.5</v>
      </c>
      <c r="U91" s="26"/>
      <c r="V91" s="26"/>
      <c r="W91" s="26"/>
      <c r="X91" s="26"/>
      <c r="Y91" s="26"/>
      <c r="Z91" s="26"/>
      <c r="AA91" s="26"/>
      <c r="AB91" s="26"/>
      <c r="AC91" s="26">
        <f t="shared" si="29"/>
        <v>5.55</v>
      </c>
      <c r="AD91" s="29"/>
    </row>
    <row r="92" spans="1:32">
      <c r="A92" s="3"/>
      <c r="B92" s="298">
        <v>46225</v>
      </c>
      <c r="C92" s="486" t="s">
        <v>301</v>
      </c>
      <c r="D92" s="5"/>
      <c r="E92" s="34">
        <v>432</v>
      </c>
      <c r="F92" s="6">
        <f t="shared" si="22"/>
        <v>1674</v>
      </c>
      <c r="G92" s="95"/>
      <c r="H92" s="28">
        <f t="shared" si="34"/>
        <v>0</v>
      </c>
      <c r="I92" s="28">
        <f t="shared" si="35"/>
        <v>1674</v>
      </c>
      <c r="J92" s="26">
        <f>+(10+25)*3.875</f>
        <v>135.625</v>
      </c>
      <c r="K92" s="26">
        <v>0.6</v>
      </c>
      <c r="L92" s="26">
        <v>1.1499999999999999</v>
      </c>
      <c r="M92" s="26"/>
      <c r="N92" s="26"/>
      <c r="O92" s="26">
        <v>4.5</v>
      </c>
      <c r="P92" s="26">
        <v>0.6</v>
      </c>
      <c r="Q92" s="26"/>
      <c r="R92" s="26">
        <v>3.2</v>
      </c>
      <c r="S92" s="26"/>
      <c r="T92" s="26">
        <v>1.9</v>
      </c>
      <c r="U92" s="26"/>
      <c r="V92" s="26"/>
      <c r="W92" s="26"/>
      <c r="X92" s="26"/>
      <c r="Y92" s="26"/>
      <c r="Z92" s="26"/>
      <c r="AA92" s="26"/>
      <c r="AB92" s="26"/>
      <c r="AC92" s="26">
        <f t="shared" si="29"/>
        <v>11.950000000000001</v>
      </c>
      <c r="AD92" s="29"/>
    </row>
    <row r="93" spans="1:32">
      <c r="A93" s="3"/>
      <c r="B93" s="298">
        <v>46226</v>
      </c>
      <c r="C93" s="486" t="s">
        <v>302</v>
      </c>
      <c r="D93" s="5">
        <f>+'HASIL PROD'!D256</f>
        <v>16278.875</v>
      </c>
      <c r="E93" s="34">
        <v>390</v>
      </c>
      <c r="F93" s="6">
        <f t="shared" ref="F93:F156" si="36">+E93*3.875</f>
        <v>1511.25</v>
      </c>
      <c r="G93" s="95"/>
      <c r="H93" s="28">
        <f t="shared" si="34"/>
        <v>0</v>
      </c>
      <c r="I93" s="28">
        <f t="shared" si="35"/>
        <v>1511.25</v>
      </c>
      <c r="J93" s="26"/>
      <c r="K93" s="26">
        <v>0.9</v>
      </c>
      <c r="L93" s="26">
        <v>2.2999999999999998</v>
      </c>
      <c r="M93" s="26"/>
      <c r="N93" s="26"/>
      <c r="O93" s="26">
        <v>8.5</v>
      </c>
      <c r="P93" s="26">
        <v>0.4</v>
      </c>
      <c r="Q93" s="26"/>
      <c r="R93" s="26"/>
      <c r="S93" s="26"/>
      <c r="T93" s="26">
        <v>2.7</v>
      </c>
      <c r="U93" s="26">
        <v>1</v>
      </c>
      <c r="V93" s="26"/>
      <c r="W93" s="26"/>
      <c r="X93" s="26"/>
      <c r="Y93" s="26"/>
      <c r="Z93" s="26"/>
      <c r="AA93" s="26"/>
      <c r="AB93" s="26"/>
      <c r="AC93" s="26">
        <f t="shared" si="29"/>
        <v>15.8</v>
      </c>
      <c r="AD93" s="29"/>
    </row>
    <row r="94" spans="1:32">
      <c r="A94" s="3"/>
      <c r="B94" s="298">
        <v>46226</v>
      </c>
      <c r="C94" s="486" t="s">
        <v>303</v>
      </c>
      <c r="D94" s="5"/>
      <c r="E94" s="34">
        <v>474</v>
      </c>
      <c r="F94" s="6">
        <f t="shared" si="36"/>
        <v>1836.75</v>
      </c>
      <c r="G94" s="95"/>
      <c r="H94" s="28">
        <f t="shared" ref="H94" si="37">+G94*4.5</f>
        <v>0</v>
      </c>
      <c r="I94" s="28">
        <f t="shared" ref="I94" si="38">+F94+H94</f>
        <v>1836.75</v>
      </c>
      <c r="J94" s="26"/>
      <c r="K94" s="26">
        <v>0.88</v>
      </c>
      <c r="L94" s="26">
        <v>1.2</v>
      </c>
      <c r="M94" s="26"/>
      <c r="N94" s="26"/>
      <c r="O94" s="26">
        <v>6.1</v>
      </c>
      <c r="P94" s="26">
        <v>0.57999999999999996</v>
      </c>
      <c r="Q94" s="26"/>
      <c r="R94" s="26">
        <v>0.76</v>
      </c>
      <c r="S94" s="26"/>
      <c r="T94" s="26">
        <v>2.5</v>
      </c>
      <c r="U94" s="26"/>
      <c r="V94" s="26"/>
      <c r="W94" s="26"/>
      <c r="X94" s="26"/>
      <c r="Y94" s="26"/>
      <c r="Z94" s="26"/>
      <c r="AA94" s="26"/>
      <c r="AB94" s="26"/>
      <c r="AC94" s="26">
        <f t="shared" si="29"/>
        <v>12.02</v>
      </c>
      <c r="AD94" s="29"/>
    </row>
    <row r="95" spans="1:32">
      <c r="A95" s="3"/>
      <c r="B95" s="298">
        <v>46226</v>
      </c>
      <c r="C95" s="486" t="s">
        <v>304</v>
      </c>
      <c r="D95" s="5"/>
      <c r="E95" s="34">
        <v>421</v>
      </c>
      <c r="F95" s="6">
        <f t="shared" si="36"/>
        <v>1631.375</v>
      </c>
      <c r="G95" s="95"/>
      <c r="H95" s="28">
        <f t="shared" si="34"/>
        <v>0</v>
      </c>
      <c r="I95" s="28">
        <f t="shared" si="35"/>
        <v>1631.375</v>
      </c>
      <c r="J95" s="26"/>
      <c r="K95" s="26">
        <v>1</v>
      </c>
      <c r="L95" s="26">
        <v>2.2400000000000002</v>
      </c>
      <c r="M95" s="26"/>
      <c r="N95" s="26"/>
      <c r="O95" s="26">
        <v>3.5</v>
      </c>
      <c r="P95" s="26">
        <v>0.28000000000000003</v>
      </c>
      <c r="Q95" s="26"/>
      <c r="R95" s="26">
        <v>0.3</v>
      </c>
      <c r="S95" s="26"/>
      <c r="T95" s="26">
        <v>0.94</v>
      </c>
      <c r="U95" s="26"/>
      <c r="V95" s="26"/>
      <c r="W95" s="26"/>
      <c r="X95" s="26"/>
      <c r="Y95" s="26"/>
      <c r="Z95" s="26"/>
      <c r="AA95" s="26"/>
      <c r="AB95" s="26"/>
      <c r="AC95" s="26">
        <f t="shared" si="29"/>
        <v>8.26</v>
      </c>
      <c r="AD95" s="29"/>
    </row>
    <row r="96" spans="1:32">
      <c r="A96" s="3"/>
      <c r="B96" s="298">
        <v>46226</v>
      </c>
      <c r="C96" s="486" t="s">
        <v>305</v>
      </c>
      <c r="D96" s="5"/>
      <c r="E96" s="34">
        <f>365+90</f>
        <v>455</v>
      </c>
      <c r="F96" s="6">
        <f t="shared" si="36"/>
        <v>1763.125</v>
      </c>
      <c r="G96" s="95"/>
      <c r="H96" s="28">
        <f t="shared" si="34"/>
        <v>0</v>
      </c>
      <c r="I96" s="28">
        <f t="shared" si="35"/>
        <v>1763.125</v>
      </c>
      <c r="J96" s="26"/>
      <c r="K96" s="26">
        <v>2.2999999999999998</v>
      </c>
      <c r="L96" s="26">
        <v>2.8</v>
      </c>
      <c r="M96" s="26"/>
      <c r="N96" s="26"/>
      <c r="O96" s="26">
        <v>2.08</v>
      </c>
      <c r="P96" s="26"/>
      <c r="Q96" s="26"/>
      <c r="R96" s="26">
        <v>0.3</v>
      </c>
      <c r="S96" s="26"/>
      <c r="T96" s="26">
        <v>1.74</v>
      </c>
      <c r="U96" s="26"/>
      <c r="V96" s="26"/>
      <c r="W96" s="26"/>
      <c r="X96" s="26"/>
      <c r="Y96" s="26"/>
      <c r="Z96" s="26"/>
      <c r="AA96" s="26"/>
      <c r="AB96" s="26"/>
      <c r="AC96" s="26">
        <f t="shared" si="29"/>
        <v>9.2199999999999989</v>
      </c>
      <c r="AD96" s="29"/>
    </row>
    <row r="97" spans="1:30">
      <c r="A97" s="3"/>
      <c r="B97" s="298">
        <v>46226</v>
      </c>
      <c r="C97" s="486" t="s">
        <v>306</v>
      </c>
      <c r="D97" s="5"/>
      <c r="E97" s="34"/>
      <c r="F97" s="6">
        <f t="shared" si="36"/>
        <v>0</v>
      </c>
      <c r="G97" s="95"/>
      <c r="H97" s="28">
        <f t="shared" si="34"/>
        <v>0</v>
      </c>
      <c r="I97" s="28">
        <f t="shared" si="35"/>
        <v>0</v>
      </c>
      <c r="J97" s="26"/>
      <c r="K97" s="26">
        <v>0.8</v>
      </c>
      <c r="L97" s="26">
        <v>0.5</v>
      </c>
      <c r="M97" s="26"/>
      <c r="N97" s="26"/>
      <c r="O97" s="26">
        <v>0.18</v>
      </c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  <c r="AC97" s="26">
        <f t="shared" si="29"/>
        <v>1.48</v>
      </c>
      <c r="AD97" s="29"/>
    </row>
    <row r="98" spans="1:30">
      <c r="A98" s="333">
        <v>46231</v>
      </c>
      <c r="B98" s="298">
        <v>46226</v>
      </c>
      <c r="C98" s="486" t="s">
        <v>306</v>
      </c>
      <c r="D98" s="5"/>
      <c r="E98" s="34">
        <v>420</v>
      </c>
      <c r="F98" s="6">
        <f t="shared" si="36"/>
        <v>1627.5</v>
      </c>
      <c r="G98" s="95"/>
      <c r="H98" s="28">
        <f t="shared" si="34"/>
        <v>0</v>
      </c>
      <c r="I98" s="28">
        <f t="shared" si="35"/>
        <v>1627.5</v>
      </c>
      <c r="J98" s="26"/>
      <c r="K98" s="26">
        <v>4.8</v>
      </c>
      <c r="L98" s="26">
        <v>4.0999999999999996</v>
      </c>
      <c r="M98" s="26"/>
      <c r="N98" s="26"/>
      <c r="O98" s="26">
        <v>14</v>
      </c>
      <c r="P98" s="26">
        <v>0.38</v>
      </c>
      <c r="Q98" s="26"/>
      <c r="R98" s="26">
        <v>0.3</v>
      </c>
      <c r="S98" s="26"/>
      <c r="T98" s="26">
        <v>1.74</v>
      </c>
      <c r="U98" s="26"/>
      <c r="V98" s="26"/>
      <c r="W98" s="26"/>
      <c r="X98" s="26"/>
      <c r="Y98" s="26"/>
      <c r="Z98" s="26"/>
      <c r="AA98" s="26"/>
      <c r="AB98" s="26"/>
      <c r="AC98" s="26">
        <f t="shared" si="29"/>
        <v>25.319999999999997</v>
      </c>
      <c r="AD98" s="29"/>
    </row>
    <row r="99" spans="1:30">
      <c r="A99" s="3"/>
      <c r="B99" s="298">
        <v>46226</v>
      </c>
      <c r="C99" s="486" t="s">
        <v>307</v>
      </c>
      <c r="D99" s="5"/>
      <c r="E99" s="34">
        <v>436</v>
      </c>
      <c r="F99" s="6">
        <f t="shared" si="36"/>
        <v>1689.5</v>
      </c>
      <c r="G99" s="95"/>
      <c r="H99" s="28">
        <f t="shared" si="34"/>
        <v>0</v>
      </c>
      <c r="I99" s="28">
        <f t="shared" si="35"/>
        <v>1689.5</v>
      </c>
      <c r="J99" s="26"/>
      <c r="K99" s="26">
        <v>2</v>
      </c>
      <c r="L99" s="26">
        <v>3.74</v>
      </c>
      <c r="M99" s="26"/>
      <c r="N99" s="26"/>
      <c r="O99" s="26">
        <v>5.14</v>
      </c>
      <c r="P99" s="26"/>
      <c r="Q99" s="26"/>
      <c r="R99" s="26"/>
      <c r="S99" s="26"/>
      <c r="T99" s="26">
        <v>2.74</v>
      </c>
      <c r="U99" s="26"/>
      <c r="V99" s="26"/>
      <c r="W99" s="26"/>
      <c r="X99" s="26"/>
      <c r="Y99" s="26"/>
      <c r="Z99" s="26"/>
      <c r="AA99" s="26"/>
      <c r="AB99" s="26"/>
      <c r="AC99" s="26">
        <f t="shared" si="29"/>
        <v>13.62</v>
      </c>
      <c r="AD99" s="29"/>
    </row>
    <row r="100" spans="1:30">
      <c r="A100" s="333">
        <v>46232</v>
      </c>
      <c r="B100" s="298">
        <v>46226</v>
      </c>
      <c r="C100" s="486" t="s">
        <v>307</v>
      </c>
      <c r="D100" s="5"/>
      <c r="E100" s="34"/>
      <c r="F100" s="6">
        <f t="shared" si="36"/>
        <v>0</v>
      </c>
      <c r="G100" s="95"/>
      <c r="H100" s="28">
        <f t="shared" si="34"/>
        <v>0</v>
      </c>
      <c r="I100" s="28">
        <f t="shared" si="35"/>
        <v>0</v>
      </c>
      <c r="J100" s="26"/>
      <c r="K100" s="26">
        <v>0.34</v>
      </c>
      <c r="L100" s="26">
        <v>1.08</v>
      </c>
      <c r="M100" s="26"/>
      <c r="N100" s="26"/>
      <c r="O100" s="26">
        <v>0.48</v>
      </c>
      <c r="P100" s="26"/>
      <c r="Q100" s="26"/>
      <c r="R100" s="26"/>
      <c r="S100" s="26">
        <v>0.84</v>
      </c>
      <c r="T100" s="26">
        <v>0.74</v>
      </c>
      <c r="U100" s="26"/>
      <c r="V100" s="26"/>
      <c r="W100" s="26"/>
      <c r="X100" s="26"/>
      <c r="Y100" s="26"/>
      <c r="Z100" s="26"/>
      <c r="AA100" s="26"/>
      <c r="AB100" s="26"/>
      <c r="AC100" s="26">
        <f t="shared" si="29"/>
        <v>3.4800000000000004</v>
      </c>
      <c r="AD100" s="29"/>
    </row>
    <row r="101" spans="1:30">
      <c r="A101" s="3"/>
      <c r="B101" s="298">
        <v>46226</v>
      </c>
      <c r="C101" s="486" t="s">
        <v>308</v>
      </c>
      <c r="D101" s="5"/>
      <c r="E101" s="34">
        <v>452</v>
      </c>
      <c r="F101" s="6">
        <f t="shared" si="36"/>
        <v>1751.5</v>
      </c>
      <c r="G101" s="95"/>
      <c r="H101" s="28">
        <f t="shared" si="34"/>
        <v>0</v>
      </c>
      <c r="I101" s="28">
        <f t="shared" si="35"/>
        <v>1751.5</v>
      </c>
      <c r="J101" s="26"/>
      <c r="K101" s="26">
        <v>4.96</v>
      </c>
      <c r="L101" s="26">
        <v>3.68</v>
      </c>
      <c r="M101" s="26"/>
      <c r="N101" s="26"/>
      <c r="O101" s="26">
        <v>3.48</v>
      </c>
      <c r="P101" s="26">
        <v>0.08</v>
      </c>
      <c r="Q101" s="26"/>
      <c r="R101" s="26"/>
      <c r="S101" s="26"/>
      <c r="T101" s="26">
        <v>2.14</v>
      </c>
      <c r="U101" s="26"/>
      <c r="V101" s="26"/>
      <c r="W101" s="26"/>
      <c r="X101" s="26"/>
      <c r="Y101" s="26"/>
      <c r="Z101" s="26"/>
      <c r="AA101" s="26"/>
      <c r="AB101" s="26"/>
      <c r="AC101" s="26">
        <f t="shared" si="29"/>
        <v>14.340000000000002</v>
      </c>
      <c r="AD101" s="29"/>
    </row>
    <row r="102" spans="1:30">
      <c r="A102" s="3"/>
      <c r="B102" s="298">
        <v>46226</v>
      </c>
      <c r="C102" s="486" t="s">
        <v>309</v>
      </c>
      <c r="D102" s="5"/>
      <c r="E102" s="34">
        <v>252</v>
      </c>
      <c r="F102" s="6">
        <f t="shared" si="36"/>
        <v>976.5</v>
      </c>
      <c r="G102" s="95"/>
      <c r="H102" s="28">
        <f t="shared" si="34"/>
        <v>0</v>
      </c>
      <c r="I102" s="28">
        <f t="shared" si="35"/>
        <v>976.5</v>
      </c>
      <c r="J102" s="26"/>
      <c r="K102" s="26">
        <v>3.5</v>
      </c>
      <c r="L102" s="26">
        <v>2.8</v>
      </c>
      <c r="M102" s="26"/>
      <c r="N102" s="26"/>
      <c r="O102" s="26">
        <v>4.76</v>
      </c>
      <c r="P102" s="26">
        <v>0.18</v>
      </c>
      <c r="Q102" s="26"/>
      <c r="R102" s="26"/>
      <c r="S102" s="26"/>
      <c r="T102" s="26">
        <v>1.5</v>
      </c>
      <c r="U102" s="26"/>
      <c r="V102" s="26"/>
      <c r="W102" s="26"/>
      <c r="X102" s="26"/>
      <c r="Y102" s="26"/>
      <c r="Z102" s="26"/>
      <c r="AA102" s="26"/>
      <c r="AB102" s="26"/>
      <c r="AC102" s="26">
        <f t="shared" si="29"/>
        <v>12.739999999999998</v>
      </c>
      <c r="AD102" s="29"/>
    </row>
    <row r="103" spans="1:30">
      <c r="A103" s="333">
        <v>46233</v>
      </c>
      <c r="B103" s="298">
        <v>46226</v>
      </c>
      <c r="C103" s="486" t="s">
        <v>309</v>
      </c>
      <c r="D103" s="5"/>
      <c r="E103" s="34">
        <v>141</v>
      </c>
      <c r="F103" s="6">
        <f t="shared" si="36"/>
        <v>546.375</v>
      </c>
      <c r="G103" s="95"/>
      <c r="H103" s="28">
        <f t="shared" si="34"/>
        <v>0</v>
      </c>
      <c r="I103" s="28">
        <f t="shared" si="35"/>
        <v>546.375</v>
      </c>
      <c r="J103" s="26"/>
      <c r="K103" s="26">
        <v>0.18</v>
      </c>
      <c r="L103" s="26">
        <v>0.4</v>
      </c>
      <c r="M103" s="26"/>
      <c r="N103" s="26"/>
      <c r="O103" s="26">
        <v>0.8</v>
      </c>
      <c r="P103" s="26"/>
      <c r="Q103" s="26"/>
      <c r="R103" s="26">
        <v>0.14000000000000001</v>
      </c>
      <c r="S103" s="26"/>
      <c r="T103" s="26">
        <v>0.24</v>
      </c>
      <c r="U103" s="26"/>
      <c r="V103" s="26"/>
      <c r="W103" s="26"/>
      <c r="X103" s="26"/>
      <c r="Y103" s="26"/>
      <c r="Z103" s="26"/>
      <c r="AA103" s="26"/>
      <c r="AB103" s="26"/>
      <c r="AC103" s="26">
        <f t="shared" si="29"/>
        <v>1.76</v>
      </c>
      <c r="AD103" s="29"/>
    </row>
    <row r="104" spans="1:30">
      <c r="A104" s="3"/>
      <c r="B104" s="298">
        <v>46226</v>
      </c>
      <c r="C104" s="486" t="s">
        <v>310</v>
      </c>
      <c r="D104" s="5"/>
      <c r="E104" s="34">
        <v>152</v>
      </c>
      <c r="F104" s="6">
        <f t="shared" si="36"/>
        <v>589</v>
      </c>
      <c r="G104" s="95"/>
      <c r="H104" s="28">
        <f t="shared" si="34"/>
        <v>0</v>
      </c>
      <c r="I104" s="28">
        <f t="shared" si="35"/>
        <v>589</v>
      </c>
      <c r="J104" s="26"/>
      <c r="K104" s="26">
        <v>0.2</v>
      </c>
      <c r="L104" s="26">
        <v>1.56</v>
      </c>
      <c r="M104" s="26"/>
      <c r="N104" s="26"/>
      <c r="O104" s="26">
        <v>1.06</v>
      </c>
      <c r="P104" s="26"/>
      <c r="Q104" s="26"/>
      <c r="R104" s="26">
        <v>0.5</v>
      </c>
      <c r="S104" s="26"/>
      <c r="T104" s="26">
        <v>0.46</v>
      </c>
      <c r="U104" s="26"/>
      <c r="V104" s="26"/>
      <c r="W104" s="26"/>
      <c r="X104" s="26"/>
      <c r="Y104" s="26"/>
      <c r="Z104" s="26"/>
      <c r="AA104" s="26"/>
      <c r="AB104" s="26"/>
      <c r="AC104" s="26">
        <f t="shared" si="29"/>
        <v>3.7800000000000002</v>
      </c>
      <c r="AD104" s="29"/>
    </row>
    <row r="105" spans="1:30">
      <c r="A105" s="3"/>
      <c r="B105" s="298">
        <v>46226</v>
      </c>
      <c r="C105" s="486" t="s">
        <v>311</v>
      </c>
      <c r="D105" s="5"/>
      <c r="E105" s="34">
        <v>374</v>
      </c>
      <c r="F105" s="6">
        <f t="shared" si="36"/>
        <v>1449.25</v>
      </c>
      <c r="G105" s="95"/>
      <c r="H105" s="28">
        <f t="shared" si="34"/>
        <v>0</v>
      </c>
      <c r="I105" s="28">
        <f t="shared" si="35"/>
        <v>1449.25</v>
      </c>
      <c r="J105" s="26">
        <f>39*3.875</f>
        <v>151.125</v>
      </c>
      <c r="K105" s="26">
        <v>0.28000000000000003</v>
      </c>
      <c r="L105" s="26">
        <v>3.8</v>
      </c>
      <c r="M105" s="26"/>
      <c r="N105" s="26"/>
      <c r="O105" s="26">
        <v>9.8000000000000007</v>
      </c>
      <c r="P105" s="26"/>
      <c r="Q105" s="26"/>
      <c r="R105" s="26">
        <v>1.5</v>
      </c>
      <c r="S105" s="26"/>
      <c r="T105" s="26">
        <v>1.7</v>
      </c>
      <c r="U105" s="26"/>
      <c r="V105" s="26"/>
      <c r="W105" s="26"/>
      <c r="X105" s="26"/>
      <c r="Y105" s="26"/>
      <c r="Z105" s="26"/>
      <c r="AA105" s="26"/>
      <c r="AB105" s="26"/>
      <c r="AC105" s="26">
        <f t="shared" si="29"/>
        <v>17.080000000000002</v>
      </c>
      <c r="AD105" s="29"/>
    </row>
    <row r="106" spans="1:30">
      <c r="A106" s="3"/>
      <c r="B106" s="298">
        <v>46226</v>
      </c>
      <c r="C106" s="486" t="s">
        <v>307</v>
      </c>
      <c r="D106" s="5"/>
      <c r="E106" s="34">
        <v>7</v>
      </c>
      <c r="F106" s="6">
        <f t="shared" si="36"/>
        <v>27.125</v>
      </c>
      <c r="G106" s="95"/>
      <c r="H106" s="28">
        <f t="shared" si="34"/>
        <v>0</v>
      </c>
      <c r="I106" s="28">
        <f t="shared" si="35"/>
        <v>27.125</v>
      </c>
      <c r="J106" s="26"/>
      <c r="K106" s="26">
        <v>0.2</v>
      </c>
      <c r="L106" s="26">
        <v>0.3</v>
      </c>
      <c r="M106" s="26"/>
      <c r="N106" s="26"/>
      <c r="O106" s="26">
        <v>0.5</v>
      </c>
      <c r="P106" s="26"/>
      <c r="Q106" s="26"/>
      <c r="R106" s="26"/>
      <c r="S106" s="26"/>
      <c r="T106" s="26">
        <v>0.21</v>
      </c>
      <c r="U106" s="26"/>
      <c r="V106" s="26"/>
      <c r="W106" s="26"/>
      <c r="X106" s="26"/>
      <c r="Y106" s="26"/>
      <c r="Z106" s="26"/>
      <c r="AA106" s="26"/>
      <c r="AB106" s="26"/>
      <c r="AC106" s="26">
        <f t="shared" si="29"/>
        <v>1.21</v>
      </c>
      <c r="AD106" s="29"/>
    </row>
    <row r="107" spans="1:30">
      <c r="A107" s="333">
        <v>46234</v>
      </c>
      <c r="B107" s="298">
        <v>46227</v>
      </c>
      <c r="C107" s="486" t="s">
        <v>320</v>
      </c>
      <c r="D107" s="5">
        <f>+'HASIL PROD'!D267</f>
        <v>14705.625</v>
      </c>
      <c r="E107" s="34">
        <v>420</v>
      </c>
      <c r="F107" s="6">
        <f t="shared" si="36"/>
        <v>1627.5</v>
      </c>
      <c r="G107" s="95"/>
      <c r="H107" s="28">
        <f t="shared" si="34"/>
        <v>0</v>
      </c>
      <c r="I107" s="28">
        <f t="shared" si="35"/>
        <v>1627.5</v>
      </c>
      <c r="J107" s="26"/>
      <c r="K107" s="26">
        <v>0.88</v>
      </c>
      <c r="L107" s="26">
        <v>1.5</v>
      </c>
      <c r="M107" s="26"/>
      <c r="N107" s="26"/>
      <c r="O107" s="26">
        <v>2.08</v>
      </c>
      <c r="P107" s="26"/>
      <c r="Q107" s="26"/>
      <c r="R107" s="26"/>
      <c r="S107" s="26"/>
      <c r="T107" s="26">
        <v>1.36</v>
      </c>
      <c r="U107" s="26"/>
      <c r="V107" s="26"/>
      <c r="W107" s="26"/>
      <c r="X107" s="26"/>
      <c r="Y107" s="26"/>
      <c r="Z107" s="26"/>
      <c r="AA107" s="26"/>
      <c r="AB107" s="26"/>
      <c r="AC107" s="26">
        <f t="shared" si="29"/>
        <v>5.82</v>
      </c>
      <c r="AD107" s="29"/>
    </row>
    <row r="108" spans="1:30">
      <c r="A108" s="3"/>
      <c r="B108" s="298">
        <v>46227</v>
      </c>
      <c r="C108" s="486" t="s">
        <v>321</v>
      </c>
      <c r="D108" s="5"/>
      <c r="E108" s="34">
        <v>405</v>
      </c>
      <c r="F108" s="6">
        <f t="shared" si="36"/>
        <v>1569.375</v>
      </c>
      <c r="G108" s="95"/>
      <c r="H108" s="28">
        <f t="shared" si="34"/>
        <v>0</v>
      </c>
      <c r="I108" s="28">
        <f t="shared" si="35"/>
        <v>1569.375</v>
      </c>
      <c r="J108" s="26">
        <f>21*3.875</f>
        <v>81.375</v>
      </c>
      <c r="K108" s="26">
        <v>2.1</v>
      </c>
      <c r="L108" s="26">
        <v>2.8</v>
      </c>
      <c r="M108" s="26"/>
      <c r="N108" s="26"/>
      <c r="O108" s="26">
        <v>11.48</v>
      </c>
      <c r="P108" s="26"/>
      <c r="Q108" s="26"/>
      <c r="R108" s="26"/>
      <c r="S108" s="26"/>
      <c r="T108" s="26">
        <v>2.2000000000000002</v>
      </c>
      <c r="U108" s="26"/>
      <c r="V108" s="26"/>
      <c r="W108" s="26"/>
      <c r="X108" s="26"/>
      <c r="Y108" s="26"/>
      <c r="Z108" s="26"/>
      <c r="AA108" s="26"/>
      <c r="AB108" s="26"/>
      <c r="AC108" s="26">
        <f t="shared" si="29"/>
        <v>18.580000000000002</v>
      </c>
      <c r="AD108" s="29"/>
    </row>
    <row r="109" spans="1:30">
      <c r="A109" s="3"/>
      <c r="B109" s="298">
        <v>46227</v>
      </c>
      <c r="C109" s="486" t="s">
        <v>322</v>
      </c>
      <c r="D109" s="5"/>
      <c r="E109" s="34"/>
      <c r="F109" s="6">
        <f t="shared" si="36"/>
        <v>0</v>
      </c>
      <c r="G109" s="95"/>
      <c r="H109" s="28">
        <f t="shared" si="34"/>
        <v>0</v>
      </c>
      <c r="I109" s="28">
        <f t="shared" si="35"/>
        <v>0</v>
      </c>
      <c r="J109" s="26"/>
      <c r="K109" s="26">
        <v>1.2</v>
      </c>
      <c r="L109" s="26">
        <v>2.2000000000000002</v>
      </c>
      <c r="M109" s="26"/>
      <c r="N109" s="26"/>
      <c r="O109" s="26">
        <v>2.96</v>
      </c>
      <c r="P109" s="26"/>
      <c r="Q109" s="26"/>
      <c r="R109" s="26"/>
      <c r="S109" s="26"/>
      <c r="T109" s="26">
        <v>0.8</v>
      </c>
      <c r="U109" s="26"/>
      <c r="V109" s="26"/>
      <c r="W109" s="26"/>
      <c r="X109" s="26"/>
      <c r="Y109" s="26"/>
      <c r="Z109" s="26"/>
      <c r="AA109" s="26"/>
      <c r="AB109" s="26"/>
      <c r="AC109" s="26">
        <f t="shared" si="29"/>
        <v>7.16</v>
      </c>
      <c r="AD109" s="29"/>
    </row>
    <row r="110" spans="1:30">
      <c r="A110" s="333">
        <v>46235</v>
      </c>
      <c r="B110" s="298">
        <v>46227</v>
      </c>
      <c r="C110" s="486" t="s">
        <v>322</v>
      </c>
      <c r="D110" s="5"/>
      <c r="E110" s="34"/>
      <c r="F110" s="6">
        <f t="shared" si="36"/>
        <v>0</v>
      </c>
      <c r="G110" s="95"/>
      <c r="H110" s="28">
        <f t="shared" ref="H110:H172" si="39">+G110*4.5</f>
        <v>0</v>
      </c>
      <c r="I110" s="28">
        <f t="shared" ref="I110:I172" si="40">+F110+H110</f>
        <v>0</v>
      </c>
      <c r="J110" s="26"/>
      <c r="K110" s="26">
        <v>0.94</v>
      </c>
      <c r="L110" s="26">
        <v>5.0999999999999996</v>
      </c>
      <c r="M110" s="26"/>
      <c r="N110" s="26"/>
      <c r="O110" s="26">
        <v>1.88</v>
      </c>
      <c r="P110" s="26"/>
      <c r="Q110" s="26"/>
      <c r="R110" s="26"/>
      <c r="S110" s="26"/>
      <c r="T110" s="26">
        <v>1.98</v>
      </c>
      <c r="U110" s="26"/>
      <c r="V110" s="26"/>
      <c r="W110" s="26"/>
      <c r="X110" s="26"/>
      <c r="Y110" s="26"/>
      <c r="Z110" s="26"/>
      <c r="AA110" s="26"/>
      <c r="AB110" s="26"/>
      <c r="AC110" s="26">
        <f t="shared" si="29"/>
        <v>9.8999999999999986</v>
      </c>
      <c r="AD110" s="29"/>
    </row>
    <row r="111" spans="1:30">
      <c r="A111" s="3"/>
      <c r="B111" s="298">
        <v>46227</v>
      </c>
      <c r="C111" s="486" t="s">
        <v>323</v>
      </c>
      <c r="D111" s="5"/>
      <c r="E111" s="34"/>
      <c r="F111" s="6">
        <f t="shared" si="36"/>
        <v>0</v>
      </c>
      <c r="G111" s="95"/>
      <c r="H111" s="28">
        <f t="shared" si="39"/>
        <v>0</v>
      </c>
      <c r="I111" s="28">
        <f t="shared" si="40"/>
        <v>0</v>
      </c>
      <c r="J111" s="26"/>
      <c r="K111" s="26">
        <v>3.12</v>
      </c>
      <c r="L111" s="26">
        <v>5.7</v>
      </c>
      <c r="M111" s="26"/>
      <c r="N111" s="26"/>
      <c r="O111" s="26">
        <v>4.54</v>
      </c>
      <c r="P111" s="26"/>
      <c r="Q111" s="26"/>
      <c r="R111" s="26"/>
      <c r="S111" s="26"/>
      <c r="T111" s="26">
        <v>1.3</v>
      </c>
      <c r="U111" s="26"/>
      <c r="V111" s="26"/>
      <c r="W111" s="26"/>
      <c r="X111" s="26"/>
      <c r="Y111" s="26"/>
      <c r="Z111" s="26"/>
      <c r="AA111" s="26"/>
      <c r="AB111" s="26"/>
      <c r="AC111" s="26">
        <f t="shared" si="29"/>
        <v>14.66</v>
      </c>
      <c r="AD111" s="29"/>
    </row>
    <row r="112" spans="1:30">
      <c r="A112" s="3"/>
      <c r="B112" s="298">
        <v>46227</v>
      </c>
      <c r="C112" s="486" t="s">
        <v>324</v>
      </c>
      <c r="D112" s="5"/>
      <c r="E112" s="34"/>
      <c r="F112" s="6">
        <f t="shared" si="36"/>
        <v>0</v>
      </c>
      <c r="G112" s="95"/>
      <c r="H112" s="28">
        <f t="shared" si="39"/>
        <v>0</v>
      </c>
      <c r="I112" s="28">
        <f t="shared" si="40"/>
        <v>0</v>
      </c>
      <c r="J112" s="26"/>
      <c r="K112" s="26">
        <v>4.08</v>
      </c>
      <c r="L112" s="26">
        <v>2.68</v>
      </c>
      <c r="M112" s="26"/>
      <c r="N112" s="26"/>
      <c r="O112" s="26">
        <v>7.06</v>
      </c>
      <c r="P112" s="26"/>
      <c r="Q112" s="26"/>
      <c r="R112" s="26"/>
      <c r="S112" s="26"/>
      <c r="T112" s="26">
        <v>3.56</v>
      </c>
      <c r="U112" s="26"/>
      <c r="V112" s="26"/>
      <c r="W112" s="26"/>
      <c r="X112" s="26"/>
      <c r="Y112" s="26"/>
      <c r="Z112" s="26"/>
      <c r="AA112" s="26"/>
      <c r="AB112" s="26"/>
      <c r="AC112" s="26">
        <f t="shared" si="29"/>
        <v>17.38</v>
      </c>
      <c r="AD112" s="29"/>
    </row>
    <row r="113" spans="1:30">
      <c r="A113" s="3"/>
      <c r="B113" s="298">
        <v>46227</v>
      </c>
      <c r="C113" s="486" t="s">
        <v>325</v>
      </c>
      <c r="D113" s="5"/>
      <c r="E113" s="34"/>
      <c r="F113" s="6">
        <f t="shared" si="36"/>
        <v>0</v>
      </c>
      <c r="G113" s="95"/>
      <c r="H113" s="28">
        <f t="shared" si="39"/>
        <v>0</v>
      </c>
      <c r="I113" s="28">
        <f t="shared" si="40"/>
        <v>0</v>
      </c>
      <c r="J113" s="26"/>
      <c r="K113" s="26">
        <v>2.44</v>
      </c>
      <c r="L113" s="26">
        <v>1.45</v>
      </c>
      <c r="M113" s="26"/>
      <c r="N113" s="26"/>
      <c r="O113" s="26">
        <v>9.4600000000000009</v>
      </c>
      <c r="P113" s="26"/>
      <c r="Q113" s="26"/>
      <c r="R113" s="26"/>
      <c r="S113" s="26"/>
      <c r="T113" s="26">
        <v>0.94</v>
      </c>
      <c r="U113" s="26"/>
      <c r="V113" s="26"/>
      <c r="W113" s="26"/>
      <c r="X113" s="26"/>
      <c r="Y113" s="26"/>
      <c r="Z113" s="26"/>
      <c r="AA113" s="26"/>
      <c r="AB113" s="26"/>
      <c r="AC113" s="26">
        <f t="shared" si="29"/>
        <v>14.290000000000001</v>
      </c>
      <c r="AD113" s="29"/>
    </row>
    <row r="114" spans="1:30">
      <c r="A114" s="3"/>
      <c r="B114" s="298">
        <v>46227</v>
      </c>
      <c r="C114" s="486" t="s">
        <v>326</v>
      </c>
      <c r="D114" s="5"/>
      <c r="E114" s="34"/>
      <c r="F114" s="6">
        <f t="shared" si="36"/>
        <v>0</v>
      </c>
      <c r="G114" s="95"/>
      <c r="H114" s="28">
        <f t="shared" si="39"/>
        <v>0</v>
      </c>
      <c r="I114" s="28">
        <f t="shared" si="40"/>
        <v>0</v>
      </c>
      <c r="J114" s="26"/>
      <c r="K114" s="26">
        <v>4.66</v>
      </c>
      <c r="L114" s="26">
        <v>5.8</v>
      </c>
      <c r="M114" s="26"/>
      <c r="N114" s="26"/>
      <c r="O114" s="26">
        <v>7.6</v>
      </c>
      <c r="P114" s="26"/>
      <c r="Q114" s="26"/>
      <c r="R114" s="26">
        <v>0.8</v>
      </c>
      <c r="S114" s="26"/>
      <c r="T114" s="26">
        <v>1.36</v>
      </c>
      <c r="U114" s="26"/>
      <c r="V114" s="26"/>
      <c r="W114" s="26"/>
      <c r="X114" s="26"/>
      <c r="Y114" s="26"/>
      <c r="Z114" s="26"/>
      <c r="AA114" s="26"/>
      <c r="AB114" s="26"/>
      <c r="AC114" s="26">
        <f t="shared" si="29"/>
        <v>20.220000000000002</v>
      </c>
      <c r="AD114" s="29"/>
    </row>
    <row r="115" spans="1:30">
      <c r="A115" s="3"/>
      <c r="B115" s="298">
        <v>46227</v>
      </c>
      <c r="C115" s="486" t="s">
        <v>327</v>
      </c>
      <c r="D115" s="5"/>
      <c r="E115" s="34"/>
      <c r="F115" s="6">
        <f t="shared" si="36"/>
        <v>0</v>
      </c>
      <c r="G115" s="95"/>
      <c r="H115" s="28">
        <f t="shared" si="39"/>
        <v>0</v>
      </c>
      <c r="I115" s="28">
        <f t="shared" si="40"/>
        <v>0</v>
      </c>
      <c r="J115" s="26"/>
      <c r="K115" s="26">
        <v>2.7</v>
      </c>
      <c r="L115" s="26">
        <v>2.4</v>
      </c>
      <c r="M115" s="26">
        <v>0.1</v>
      </c>
      <c r="N115" s="26"/>
      <c r="O115" s="26">
        <v>2.2999999999999998</v>
      </c>
      <c r="P115" s="26"/>
      <c r="Q115" s="26"/>
      <c r="R115" s="26">
        <v>1.1399999999999999</v>
      </c>
      <c r="S115" s="26"/>
      <c r="T115" s="26">
        <v>2.5</v>
      </c>
      <c r="U115" s="26"/>
      <c r="V115" s="26"/>
      <c r="W115" s="26"/>
      <c r="X115" s="26"/>
      <c r="Y115" s="26"/>
      <c r="Z115" s="26"/>
      <c r="AA115" s="26"/>
      <c r="AB115" s="26"/>
      <c r="AC115" s="26">
        <f t="shared" si="29"/>
        <v>11.139999999999999</v>
      </c>
      <c r="AD115" s="29"/>
    </row>
    <row r="116" spans="1:30">
      <c r="A116" s="3"/>
      <c r="B116" s="298">
        <v>46227</v>
      </c>
      <c r="C116" s="486" t="s">
        <v>328</v>
      </c>
      <c r="D116" s="5"/>
      <c r="E116" s="34"/>
      <c r="F116" s="6">
        <f t="shared" si="36"/>
        <v>0</v>
      </c>
      <c r="G116" s="95"/>
      <c r="H116" s="28">
        <f t="shared" si="39"/>
        <v>0</v>
      </c>
      <c r="I116" s="28">
        <f t="shared" si="40"/>
        <v>0</v>
      </c>
      <c r="J116" s="26"/>
      <c r="K116" s="26">
        <v>1.77</v>
      </c>
      <c r="L116" s="26">
        <v>4.58</v>
      </c>
      <c r="M116" s="26"/>
      <c r="N116" s="26"/>
      <c r="O116" s="26">
        <v>6.6</v>
      </c>
      <c r="P116" s="26"/>
      <c r="Q116" s="26"/>
      <c r="R116" s="26">
        <v>3.24</v>
      </c>
      <c r="S116" s="26">
        <v>20.6</v>
      </c>
      <c r="T116" s="26">
        <v>2.4</v>
      </c>
      <c r="U116" s="26"/>
      <c r="V116" s="26"/>
      <c r="W116" s="26"/>
      <c r="X116" s="26"/>
      <c r="Y116" s="26"/>
      <c r="Z116" s="26"/>
      <c r="AA116" s="26"/>
      <c r="AB116" s="26"/>
      <c r="AC116" s="26">
        <f t="shared" si="29"/>
        <v>39.19</v>
      </c>
      <c r="AD116" s="29"/>
    </row>
    <row r="117" spans="1:30">
      <c r="A117" s="333">
        <v>46237</v>
      </c>
      <c r="B117" s="298">
        <v>46227</v>
      </c>
      <c r="C117" s="486" t="s">
        <v>322</v>
      </c>
      <c r="D117" s="5"/>
      <c r="E117" s="34">
        <v>431</v>
      </c>
      <c r="F117" s="6">
        <f t="shared" si="36"/>
        <v>1670.125</v>
      </c>
      <c r="G117" s="95"/>
      <c r="H117" s="28">
        <f t="shared" si="39"/>
        <v>0</v>
      </c>
      <c r="I117" s="28">
        <f t="shared" si="40"/>
        <v>1670.125</v>
      </c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  <c r="AA117" s="26"/>
      <c r="AB117" s="26"/>
      <c r="AC117" s="26">
        <f t="shared" si="29"/>
        <v>0</v>
      </c>
      <c r="AD117" s="29"/>
    </row>
    <row r="118" spans="1:30">
      <c r="A118" s="3"/>
      <c r="B118" s="298">
        <v>46227</v>
      </c>
      <c r="C118" s="486" t="s">
        <v>328</v>
      </c>
      <c r="D118" s="5"/>
      <c r="E118" s="34">
        <v>121</v>
      </c>
      <c r="F118" s="6">
        <f t="shared" si="36"/>
        <v>468.875</v>
      </c>
      <c r="G118" s="95"/>
      <c r="H118" s="28">
        <f t="shared" si="39"/>
        <v>0</v>
      </c>
      <c r="I118" s="28">
        <f t="shared" si="40"/>
        <v>468.875</v>
      </c>
      <c r="J118" s="26"/>
      <c r="K118" s="26">
        <v>0.9</v>
      </c>
      <c r="L118" s="26">
        <v>0.7</v>
      </c>
      <c r="M118" s="26"/>
      <c r="N118" s="26"/>
      <c r="O118" s="26">
        <v>3.2</v>
      </c>
      <c r="P118" s="26"/>
      <c r="Q118" s="26"/>
      <c r="R118" s="26">
        <v>0.56000000000000005</v>
      </c>
      <c r="S118" s="26">
        <v>0.3</v>
      </c>
      <c r="T118" s="26">
        <v>0.6</v>
      </c>
      <c r="U118" s="26"/>
      <c r="V118" s="26"/>
      <c r="W118" s="26"/>
      <c r="X118" s="26"/>
      <c r="Y118" s="26"/>
      <c r="Z118" s="26"/>
      <c r="AA118" s="26"/>
      <c r="AB118" s="26"/>
      <c r="AC118" s="26">
        <f t="shared" si="29"/>
        <v>6.2600000000000007</v>
      </c>
      <c r="AD118" s="29"/>
    </row>
    <row r="119" spans="1:30">
      <c r="A119" s="3"/>
      <c r="B119" s="298">
        <v>46228</v>
      </c>
      <c r="C119" s="486" t="s">
        <v>329</v>
      </c>
      <c r="D119" s="5">
        <f>+'HASIL PROD'!D278</f>
        <v>12741</v>
      </c>
      <c r="E119" s="34">
        <v>440</v>
      </c>
      <c r="F119" s="6">
        <f t="shared" si="36"/>
        <v>1705</v>
      </c>
      <c r="G119" s="95"/>
      <c r="H119" s="28">
        <f t="shared" si="39"/>
        <v>0</v>
      </c>
      <c r="I119" s="28">
        <f t="shared" si="40"/>
        <v>1705</v>
      </c>
      <c r="J119" s="26"/>
      <c r="K119" s="26">
        <v>0.22</v>
      </c>
      <c r="L119" s="26">
        <v>4.8</v>
      </c>
      <c r="M119" s="26"/>
      <c r="N119" s="26"/>
      <c r="O119" s="26">
        <v>11.5</v>
      </c>
      <c r="P119" s="26"/>
      <c r="Q119" s="26"/>
      <c r="R119" s="26">
        <v>0.38</v>
      </c>
      <c r="S119" s="26">
        <v>0.86</v>
      </c>
      <c r="T119" s="26">
        <v>1.1000000000000001</v>
      </c>
      <c r="U119" s="26"/>
      <c r="V119" s="26"/>
      <c r="W119" s="26"/>
      <c r="X119" s="26">
        <v>4.8</v>
      </c>
      <c r="Y119" s="26"/>
      <c r="Z119" s="26"/>
      <c r="AA119" s="26"/>
      <c r="AB119" s="26"/>
      <c r="AC119" s="26">
        <f t="shared" si="29"/>
        <v>23.66</v>
      </c>
      <c r="AD119" s="29"/>
    </row>
    <row r="120" spans="1:30">
      <c r="A120" s="3"/>
      <c r="B120" s="298">
        <v>46228</v>
      </c>
      <c r="C120" s="486" t="s">
        <v>330</v>
      </c>
      <c r="D120" s="5"/>
      <c r="E120" s="34">
        <f>55+165</f>
        <v>220</v>
      </c>
      <c r="F120" s="6">
        <f t="shared" si="36"/>
        <v>852.5</v>
      </c>
      <c r="G120" s="95"/>
      <c r="H120" s="28">
        <f t="shared" si="39"/>
        <v>0</v>
      </c>
      <c r="I120" s="28">
        <f t="shared" si="40"/>
        <v>852.5</v>
      </c>
      <c r="J120" s="26"/>
      <c r="K120" s="26">
        <v>0.6</v>
      </c>
      <c r="L120" s="26">
        <v>3.26</v>
      </c>
      <c r="M120" s="26"/>
      <c r="N120" s="26"/>
      <c r="O120" s="26">
        <v>2.86</v>
      </c>
      <c r="P120" s="26"/>
      <c r="Q120" s="26"/>
      <c r="R120" s="26"/>
      <c r="S120" s="26"/>
      <c r="T120" s="26">
        <v>1.2</v>
      </c>
      <c r="U120" s="26"/>
      <c r="V120" s="26"/>
      <c r="W120" s="26"/>
      <c r="X120" s="26"/>
      <c r="Y120" s="26"/>
      <c r="Z120" s="26"/>
      <c r="AA120" s="26"/>
      <c r="AB120" s="26"/>
      <c r="AC120" s="26">
        <f t="shared" ref="AC120:AC162" si="41">SUM(K120:AB120)</f>
        <v>7.92</v>
      </c>
      <c r="AD120" s="29"/>
    </row>
    <row r="121" spans="1:30">
      <c r="A121" s="3"/>
      <c r="B121" s="2"/>
      <c r="C121" s="487"/>
      <c r="D121" s="5"/>
      <c r="E121" s="34"/>
      <c r="F121" s="6">
        <f t="shared" si="36"/>
        <v>0</v>
      </c>
      <c r="G121" s="95"/>
      <c r="H121" s="28">
        <f t="shared" si="39"/>
        <v>0</v>
      </c>
      <c r="I121" s="28">
        <f t="shared" si="40"/>
        <v>0</v>
      </c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  <c r="AA121" s="26"/>
      <c r="AB121" s="26"/>
      <c r="AC121" s="26">
        <f t="shared" si="41"/>
        <v>0</v>
      </c>
      <c r="AD121" s="29"/>
    </row>
    <row r="122" spans="1:30">
      <c r="A122" s="3"/>
      <c r="B122" s="2"/>
      <c r="C122" s="487"/>
      <c r="D122" s="5"/>
      <c r="E122" s="34"/>
      <c r="F122" s="6">
        <f t="shared" si="36"/>
        <v>0</v>
      </c>
      <c r="G122" s="95"/>
      <c r="H122" s="28">
        <f t="shared" si="39"/>
        <v>0</v>
      </c>
      <c r="I122" s="28">
        <f t="shared" si="40"/>
        <v>0</v>
      </c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  <c r="AB122" s="26"/>
      <c r="AC122" s="26">
        <f t="shared" si="41"/>
        <v>0</v>
      </c>
      <c r="AD122" s="29"/>
    </row>
    <row r="123" spans="1:30">
      <c r="A123" s="3"/>
      <c r="B123" s="2"/>
      <c r="C123" s="487"/>
      <c r="D123" s="5"/>
      <c r="E123" s="34"/>
      <c r="F123" s="6">
        <f t="shared" si="36"/>
        <v>0</v>
      </c>
      <c r="G123" s="95"/>
      <c r="H123" s="28">
        <f t="shared" si="39"/>
        <v>0</v>
      </c>
      <c r="I123" s="28">
        <f t="shared" si="40"/>
        <v>0</v>
      </c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  <c r="AA123" s="26"/>
      <c r="AB123" s="26"/>
      <c r="AC123" s="26">
        <f t="shared" si="41"/>
        <v>0</v>
      </c>
      <c r="AD123" s="29"/>
    </row>
    <row r="124" spans="1:30">
      <c r="A124" s="3"/>
      <c r="B124" s="2"/>
      <c r="C124" s="487"/>
      <c r="D124" s="5"/>
      <c r="E124" s="34"/>
      <c r="F124" s="6">
        <f t="shared" si="36"/>
        <v>0</v>
      </c>
      <c r="G124" s="95"/>
      <c r="H124" s="28">
        <f t="shared" si="39"/>
        <v>0</v>
      </c>
      <c r="I124" s="28">
        <f t="shared" si="40"/>
        <v>0</v>
      </c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  <c r="AB124" s="26"/>
      <c r="AC124" s="26">
        <f t="shared" si="41"/>
        <v>0</v>
      </c>
      <c r="AD124" s="29"/>
    </row>
    <row r="125" spans="1:30">
      <c r="A125" s="3"/>
      <c r="B125" s="2"/>
      <c r="C125" s="487"/>
      <c r="D125" s="5"/>
      <c r="E125" s="34"/>
      <c r="F125" s="6">
        <f t="shared" si="36"/>
        <v>0</v>
      </c>
      <c r="G125" s="95"/>
      <c r="H125" s="28">
        <f t="shared" si="39"/>
        <v>0</v>
      </c>
      <c r="I125" s="28">
        <f t="shared" si="40"/>
        <v>0</v>
      </c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  <c r="AA125" s="26"/>
      <c r="AB125" s="26"/>
      <c r="AC125" s="26">
        <f t="shared" si="41"/>
        <v>0</v>
      </c>
      <c r="AD125" s="29"/>
    </row>
    <row r="126" spans="1:30">
      <c r="A126" s="3"/>
      <c r="B126" s="2"/>
      <c r="C126" s="487"/>
      <c r="D126" s="5"/>
      <c r="E126" s="34"/>
      <c r="F126" s="6">
        <f t="shared" si="36"/>
        <v>0</v>
      </c>
      <c r="G126" s="95"/>
      <c r="H126" s="28">
        <f t="shared" si="39"/>
        <v>0</v>
      </c>
      <c r="I126" s="28">
        <f t="shared" si="40"/>
        <v>0</v>
      </c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  <c r="AA126" s="26"/>
      <c r="AB126" s="26"/>
      <c r="AC126" s="26">
        <f t="shared" si="41"/>
        <v>0</v>
      </c>
      <c r="AD126" s="29"/>
    </row>
    <row r="127" spans="1:30">
      <c r="A127" s="3"/>
      <c r="B127" s="2"/>
      <c r="C127" s="487"/>
      <c r="D127" s="5"/>
      <c r="E127" s="34"/>
      <c r="F127" s="6">
        <f t="shared" si="36"/>
        <v>0</v>
      </c>
      <c r="G127" s="95"/>
      <c r="H127" s="28">
        <f t="shared" si="39"/>
        <v>0</v>
      </c>
      <c r="I127" s="28">
        <f t="shared" si="40"/>
        <v>0</v>
      </c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  <c r="AB127" s="26"/>
      <c r="AC127" s="26">
        <f t="shared" si="41"/>
        <v>0</v>
      </c>
      <c r="AD127" s="29"/>
    </row>
    <row r="128" spans="1:30">
      <c r="A128" s="3"/>
      <c r="B128" s="2"/>
      <c r="C128" s="487"/>
      <c r="D128" s="5"/>
      <c r="E128" s="34"/>
      <c r="F128" s="6">
        <f t="shared" si="36"/>
        <v>0</v>
      </c>
      <c r="G128" s="95"/>
      <c r="H128" s="28">
        <f t="shared" si="39"/>
        <v>0</v>
      </c>
      <c r="I128" s="28">
        <f t="shared" si="40"/>
        <v>0</v>
      </c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  <c r="AB128" s="26"/>
      <c r="AC128" s="26">
        <f t="shared" si="41"/>
        <v>0</v>
      </c>
      <c r="AD128" s="29"/>
    </row>
    <row r="129" spans="1:30">
      <c r="A129" s="3"/>
      <c r="B129" s="2"/>
      <c r="C129" s="487"/>
      <c r="D129" s="5"/>
      <c r="E129" s="34"/>
      <c r="F129" s="6">
        <f t="shared" si="36"/>
        <v>0</v>
      </c>
      <c r="G129" s="95"/>
      <c r="H129" s="28">
        <f t="shared" si="39"/>
        <v>0</v>
      </c>
      <c r="I129" s="28">
        <f t="shared" si="40"/>
        <v>0</v>
      </c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  <c r="AA129" s="26"/>
      <c r="AB129" s="26"/>
      <c r="AC129" s="26">
        <f t="shared" si="41"/>
        <v>0</v>
      </c>
      <c r="AD129" s="29"/>
    </row>
    <row r="130" spans="1:30">
      <c r="A130" s="3"/>
      <c r="B130" s="2"/>
      <c r="C130" s="487"/>
      <c r="D130" s="5"/>
      <c r="E130" s="34"/>
      <c r="F130" s="6">
        <f t="shared" si="36"/>
        <v>0</v>
      </c>
      <c r="G130" s="95"/>
      <c r="H130" s="28">
        <f t="shared" si="39"/>
        <v>0</v>
      </c>
      <c r="I130" s="28">
        <f t="shared" si="40"/>
        <v>0</v>
      </c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  <c r="AC130" s="26">
        <f t="shared" si="41"/>
        <v>0</v>
      </c>
      <c r="AD130" s="29"/>
    </row>
    <row r="131" spans="1:30">
      <c r="A131" s="3"/>
      <c r="B131" s="2"/>
      <c r="C131" s="487"/>
      <c r="D131" s="5"/>
      <c r="E131" s="34"/>
      <c r="F131" s="6">
        <f t="shared" si="36"/>
        <v>0</v>
      </c>
      <c r="G131" s="95"/>
      <c r="H131" s="28">
        <f t="shared" si="39"/>
        <v>0</v>
      </c>
      <c r="I131" s="28">
        <f t="shared" si="40"/>
        <v>0</v>
      </c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  <c r="AA131" s="26"/>
      <c r="AB131" s="26"/>
      <c r="AC131" s="26">
        <f t="shared" si="41"/>
        <v>0</v>
      </c>
      <c r="AD131" s="29"/>
    </row>
    <row r="132" spans="1:30">
      <c r="A132" s="3"/>
      <c r="B132" s="2"/>
      <c r="C132" s="487"/>
      <c r="D132" s="5"/>
      <c r="E132" s="34"/>
      <c r="F132" s="6">
        <f t="shared" si="36"/>
        <v>0</v>
      </c>
      <c r="G132" s="95"/>
      <c r="H132" s="28">
        <f t="shared" si="39"/>
        <v>0</v>
      </c>
      <c r="I132" s="28">
        <f t="shared" si="40"/>
        <v>0</v>
      </c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  <c r="AA132" s="26"/>
      <c r="AB132" s="26"/>
      <c r="AC132" s="26">
        <f t="shared" si="41"/>
        <v>0</v>
      </c>
      <c r="AD132" s="29"/>
    </row>
    <row r="133" spans="1:30">
      <c r="A133" s="3"/>
      <c r="B133" s="2"/>
      <c r="C133" s="487"/>
      <c r="D133" s="5"/>
      <c r="E133" s="34"/>
      <c r="F133" s="6">
        <f t="shared" si="36"/>
        <v>0</v>
      </c>
      <c r="G133" s="95"/>
      <c r="H133" s="28">
        <f t="shared" si="39"/>
        <v>0</v>
      </c>
      <c r="I133" s="28">
        <f t="shared" si="40"/>
        <v>0</v>
      </c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  <c r="AA133" s="26"/>
      <c r="AB133" s="26"/>
      <c r="AC133" s="26">
        <f t="shared" si="41"/>
        <v>0</v>
      </c>
      <c r="AD133" s="29"/>
    </row>
    <row r="134" spans="1:30">
      <c r="A134" s="3"/>
      <c r="B134" s="2"/>
      <c r="C134" s="487"/>
      <c r="D134" s="5"/>
      <c r="E134" s="34"/>
      <c r="F134" s="6">
        <f t="shared" si="36"/>
        <v>0</v>
      </c>
      <c r="G134" s="95"/>
      <c r="H134" s="28">
        <f t="shared" si="39"/>
        <v>0</v>
      </c>
      <c r="I134" s="28">
        <f t="shared" si="40"/>
        <v>0</v>
      </c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  <c r="AA134" s="26"/>
      <c r="AB134" s="26"/>
      <c r="AC134" s="26">
        <f t="shared" si="41"/>
        <v>0</v>
      </c>
      <c r="AD134" s="29"/>
    </row>
    <row r="135" spans="1:30">
      <c r="A135" s="3"/>
      <c r="B135" s="2"/>
      <c r="C135" s="487"/>
      <c r="D135" s="5"/>
      <c r="E135" s="34"/>
      <c r="F135" s="6">
        <f t="shared" si="36"/>
        <v>0</v>
      </c>
      <c r="G135" s="95"/>
      <c r="H135" s="28">
        <f t="shared" si="39"/>
        <v>0</v>
      </c>
      <c r="I135" s="28">
        <f t="shared" si="40"/>
        <v>0</v>
      </c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  <c r="AA135" s="26"/>
      <c r="AB135" s="26"/>
      <c r="AC135" s="26">
        <f t="shared" si="41"/>
        <v>0</v>
      </c>
      <c r="AD135" s="29"/>
    </row>
    <row r="136" spans="1:30">
      <c r="A136" s="3"/>
      <c r="B136" s="2"/>
      <c r="C136" s="487"/>
      <c r="D136" s="5"/>
      <c r="E136" s="34"/>
      <c r="F136" s="6">
        <f t="shared" si="36"/>
        <v>0</v>
      </c>
      <c r="G136" s="95"/>
      <c r="H136" s="28">
        <f t="shared" si="39"/>
        <v>0</v>
      </c>
      <c r="I136" s="28">
        <f t="shared" si="40"/>
        <v>0</v>
      </c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  <c r="AA136" s="26"/>
      <c r="AB136" s="26"/>
      <c r="AC136" s="26">
        <f t="shared" si="41"/>
        <v>0</v>
      </c>
      <c r="AD136" s="29"/>
    </row>
    <row r="137" spans="1:30">
      <c r="A137" s="3"/>
      <c r="B137" s="2"/>
      <c r="C137" s="487"/>
      <c r="D137" s="5"/>
      <c r="E137" s="34"/>
      <c r="F137" s="6">
        <f t="shared" si="36"/>
        <v>0</v>
      </c>
      <c r="G137" s="95"/>
      <c r="H137" s="28">
        <f t="shared" si="39"/>
        <v>0</v>
      </c>
      <c r="I137" s="28">
        <f t="shared" si="40"/>
        <v>0</v>
      </c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  <c r="AA137" s="26"/>
      <c r="AB137" s="26"/>
      <c r="AC137" s="26">
        <f t="shared" si="41"/>
        <v>0</v>
      </c>
      <c r="AD137" s="29"/>
    </row>
    <row r="138" spans="1:30">
      <c r="A138" s="3"/>
      <c r="B138" s="2"/>
      <c r="C138" s="487"/>
      <c r="D138" s="5"/>
      <c r="E138" s="34"/>
      <c r="F138" s="6">
        <f t="shared" si="36"/>
        <v>0</v>
      </c>
      <c r="G138" s="95"/>
      <c r="H138" s="28">
        <f t="shared" si="39"/>
        <v>0</v>
      </c>
      <c r="I138" s="28">
        <f t="shared" si="40"/>
        <v>0</v>
      </c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  <c r="AA138" s="26"/>
      <c r="AB138" s="26"/>
      <c r="AC138" s="26">
        <f t="shared" si="41"/>
        <v>0</v>
      </c>
      <c r="AD138" s="29"/>
    </row>
    <row r="139" spans="1:30">
      <c r="A139" s="3"/>
      <c r="B139" s="2"/>
      <c r="C139" s="487"/>
      <c r="D139" s="5"/>
      <c r="E139" s="34"/>
      <c r="F139" s="6">
        <f t="shared" si="36"/>
        <v>0</v>
      </c>
      <c r="G139" s="95"/>
      <c r="H139" s="28">
        <f t="shared" si="39"/>
        <v>0</v>
      </c>
      <c r="I139" s="28">
        <f t="shared" si="40"/>
        <v>0</v>
      </c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  <c r="AA139" s="26"/>
      <c r="AB139" s="26"/>
      <c r="AC139" s="26">
        <f t="shared" si="41"/>
        <v>0</v>
      </c>
      <c r="AD139" s="29"/>
    </row>
    <row r="140" spans="1:30">
      <c r="A140" s="3"/>
      <c r="B140" s="2"/>
      <c r="C140" s="487"/>
      <c r="D140" s="5"/>
      <c r="E140" s="34"/>
      <c r="F140" s="6">
        <f t="shared" si="36"/>
        <v>0</v>
      </c>
      <c r="G140" s="95"/>
      <c r="H140" s="28">
        <f t="shared" si="39"/>
        <v>0</v>
      </c>
      <c r="I140" s="28">
        <f t="shared" si="40"/>
        <v>0</v>
      </c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  <c r="AA140" s="26"/>
      <c r="AB140" s="26"/>
      <c r="AC140" s="26">
        <f t="shared" si="41"/>
        <v>0</v>
      </c>
      <c r="AD140" s="29"/>
    </row>
    <row r="141" spans="1:30">
      <c r="A141" s="3"/>
      <c r="B141" s="2"/>
      <c r="C141" s="487"/>
      <c r="D141" s="5"/>
      <c r="E141" s="34"/>
      <c r="F141" s="6">
        <f t="shared" si="36"/>
        <v>0</v>
      </c>
      <c r="G141" s="95"/>
      <c r="H141" s="28">
        <f t="shared" si="39"/>
        <v>0</v>
      </c>
      <c r="I141" s="28">
        <f t="shared" si="40"/>
        <v>0</v>
      </c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  <c r="AA141" s="26"/>
      <c r="AB141" s="26"/>
      <c r="AC141" s="26">
        <f t="shared" si="41"/>
        <v>0</v>
      </c>
      <c r="AD141" s="29"/>
    </row>
    <row r="142" spans="1:30">
      <c r="A142" s="3"/>
      <c r="B142" s="2"/>
      <c r="C142" s="487"/>
      <c r="D142" s="5"/>
      <c r="E142" s="34"/>
      <c r="F142" s="6">
        <f t="shared" si="36"/>
        <v>0</v>
      </c>
      <c r="G142" s="95"/>
      <c r="H142" s="28">
        <f t="shared" si="39"/>
        <v>0</v>
      </c>
      <c r="I142" s="28">
        <f t="shared" si="40"/>
        <v>0</v>
      </c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  <c r="AA142" s="26"/>
      <c r="AB142" s="26"/>
      <c r="AC142" s="26">
        <f t="shared" si="41"/>
        <v>0</v>
      </c>
      <c r="AD142" s="29"/>
    </row>
    <row r="143" spans="1:30">
      <c r="A143" s="3"/>
      <c r="B143" s="2"/>
      <c r="C143" s="487"/>
      <c r="D143" s="5"/>
      <c r="E143" s="34"/>
      <c r="F143" s="6">
        <f t="shared" si="36"/>
        <v>0</v>
      </c>
      <c r="G143" s="95"/>
      <c r="H143" s="28">
        <f t="shared" si="39"/>
        <v>0</v>
      </c>
      <c r="I143" s="28">
        <f t="shared" si="40"/>
        <v>0</v>
      </c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6"/>
      <c r="Z143" s="26"/>
      <c r="AA143" s="26"/>
      <c r="AB143" s="26"/>
      <c r="AC143" s="26">
        <f t="shared" si="41"/>
        <v>0</v>
      </c>
      <c r="AD143" s="29"/>
    </row>
    <row r="144" spans="1:30">
      <c r="A144" s="3"/>
      <c r="B144" s="2"/>
      <c r="C144" s="487"/>
      <c r="D144" s="5"/>
      <c r="E144" s="34"/>
      <c r="F144" s="6">
        <f t="shared" si="36"/>
        <v>0</v>
      </c>
      <c r="G144" s="95"/>
      <c r="H144" s="28">
        <f t="shared" si="39"/>
        <v>0</v>
      </c>
      <c r="I144" s="28">
        <f t="shared" si="40"/>
        <v>0</v>
      </c>
      <c r="J144" s="26"/>
      <c r="K144" s="26"/>
      <c r="L144" s="26"/>
      <c r="M144" s="26"/>
      <c r="N144" s="26"/>
      <c r="O144" s="26"/>
      <c r="P144" s="26"/>
      <c r="Q144" s="26"/>
      <c r="R144" s="26"/>
      <c r="S144" s="26"/>
      <c r="T144" s="26"/>
      <c r="U144" s="26"/>
      <c r="V144" s="26"/>
      <c r="W144" s="26"/>
      <c r="X144" s="26"/>
      <c r="Y144" s="26"/>
      <c r="Z144" s="26"/>
      <c r="AA144" s="26"/>
      <c r="AB144" s="26"/>
      <c r="AC144" s="26">
        <f t="shared" si="41"/>
        <v>0</v>
      </c>
      <c r="AD144" s="29"/>
    </row>
    <row r="145" spans="1:30">
      <c r="A145" s="3"/>
      <c r="B145" s="2"/>
      <c r="C145" s="487"/>
      <c r="D145" s="5"/>
      <c r="E145" s="34"/>
      <c r="F145" s="6">
        <f t="shared" si="36"/>
        <v>0</v>
      </c>
      <c r="G145" s="95"/>
      <c r="H145" s="28">
        <f t="shared" si="39"/>
        <v>0</v>
      </c>
      <c r="I145" s="28">
        <f t="shared" si="40"/>
        <v>0</v>
      </c>
      <c r="J145" s="26"/>
      <c r="K145" s="26"/>
      <c r="L145" s="26"/>
      <c r="M145" s="26"/>
      <c r="N145" s="26"/>
      <c r="O145" s="26"/>
      <c r="P145" s="26"/>
      <c r="Q145" s="26"/>
      <c r="R145" s="26"/>
      <c r="S145" s="26"/>
      <c r="T145" s="26"/>
      <c r="U145" s="26"/>
      <c r="V145" s="26"/>
      <c r="W145" s="26"/>
      <c r="X145" s="26"/>
      <c r="Y145" s="26"/>
      <c r="Z145" s="26"/>
      <c r="AA145" s="26"/>
      <c r="AB145" s="26"/>
      <c r="AC145" s="26">
        <f t="shared" si="41"/>
        <v>0</v>
      </c>
      <c r="AD145" s="29"/>
    </row>
    <row r="146" spans="1:30">
      <c r="A146" s="3"/>
      <c r="B146" s="2"/>
      <c r="C146" s="487"/>
      <c r="D146" s="5"/>
      <c r="E146" s="34"/>
      <c r="F146" s="6">
        <f t="shared" si="36"/>
        <v>0</v>
      </c>
      <c r="G146" s="95"/>
      <c r="H146" s="28">
        <f t="shared" si="39"/>
        <v>0</v>
      </c>
      <c r="I146" s="28">
        <f t="shared" si="40"/>
        <v>0</v>
      </c>
      <c r="J146" s="26"/>
      <c r="K146" s="26"/>
      <c r="L146" s="26"/>
      <c r="M146" s="26"/>
      <c r="N146" s="26"/>
      <c r="O146" s="26"/>
      <c r="P146" s="26"/>
      <c r="Q146" s="26"/>
      <c r="R146" s="26"/>
      <c r="S146" s="26"/>
      <c r="T146" s="26"/>
      <c r="U146" s="26"/>
      <c r="V146" s="26"/>
      <c r="W146" s="26"/>
      <c r="X146" s="26"/>
      <c r="Y146" s="26"/>
      <c r="Z146" s="26"/>
      <c r="AA146" s="26"/>
      <c r="AB146" s="26"/>
      <c r="AC146" s="26">
        <f t="shared" si="41"/>
        <v>0</v>
      </c>
      <c r="AD146" s="29"/>
    </row>
    <row r="147" spans="1:30">
      <c r="A147" s="3"/>
      <c r="B147" s="2"/>
      <c r="C147" s="487"/>
      <c r="D147" s="5"/>
      <c r="E147" s="34"/>
      <c r="F147" s="6">
        <f t="shared" si="36"/>
        <v>0</v>
      </c>
      <c r="G147" s="95"/>
      <c r="H147" s="28">
        <f t="shared" si="39"/>
        <v>0</v>
      </c>
      <c r="I147" s="28">
        <f t="shared" si="40"/>
        <v>0</v>
      </c>
      <c r="J147" s="26"/>
      <c r="K147" s="26"/>
      <c r="L147" s="26"/>
      <c r="M147" s="26"/>
      <c r="N147" s="26"/>
      <c r="O147" s="26"/>
      <c r="P147" s="26"/>
      <c r="Q147" s="26"/>
      <c r="R147" s="26"/>
      <c r="S147" s="26"/>
      <c r="T147" s="26"/>
      <c r="U147" s="26"/>
      <c r="V147" s="26"/>
      <c r="W147" s="26"/>
      <c r="X147" s="26"/>
      <c r="Y147" s="26"/>
      <c r="Z147" s="26"/>
      <c r="AA147" s="26"/>
      <c r="AB147" s="26"/>
      <c r="AC147" s="26">
        <f t="shared" si="41"/>
        <v>0</v>
      </c>
      <c r="AD147" s="29"/>
    </row>
    <row r="148" spans="1:30">
      <c r="A148" s="3"/>
      <c r="B148" s="2"/>
      <c r="C148" s="487"/>
      <c r="D148" s="5"/>
      <c r="E148" s="34"/>
      <c r="F148" s="6">
        <f t="shared" si="36"/>
        <v>0</v>
      </c>
      <c r="G148" s="95"/>
      <c r="H148" s="28">
        <f t="shared" si="39"/>
        <v>0</v>
      </c>
      <c r="I148" s="28">
        <f t="shared" si="40"/>
        <v>0</v>
      </c>
      <c r="J148" s="26"/>
      <c r="K148" s="26"/>
      <c r="L148" s="26"/>
      <c r="M148" s="26"/>
      <c r="N148" s="26"/>
      <c r="O148" s="26"/>
      <c r="P148" s="26"/>
      <c r="Q148" s="26"/>
      <c r="R148" s="26"/>
      <c r="S148" s="26"/>
      <c r="T148" s="26"/>
      <c r="U148" s="26"/>
      <c r="V148" s="26"/>
      <c r="W148" s="26"/>
      <c r="X148" s="26"/>
      <c r="Y148" s="26"/>
      <c r="Z148" s="26"/>
      <c r="AA148" s="26"/>
      <c r="AB148" s="26"/>
      <c r="AC148" s="26">
        <f t="shared" si="41"/>
        <v>0</v>
      </c>
      <c r="AD148" s="29"/>
    </row>
    <row r="149" spans="1:30">
      <c r="A149" s="3"/>
      <c r="B149" s="2"/>
      <c r="C149" s="487"/>
      <c r="D149" s="5"/>
      <c r="E149" s="34"/>
      <c r="F149" s="6">
        <f t="shared" si="36"/>
        <v>0</v>
      </c>
      <c r="G149" s="95"/>
      <c r="H149" s="28">
        <f t="shared" si="39"/>
        <v>0</v>
      </c>
      <c r="I149" s="28">
        <f t="shared" si="40"/>
        <v>0</v>
      </c>
      <c r="J149" s="26"/>
      <c r="K149" s="26"/>
      <c r="L149" s="26"/>
      <c r="M149" s="26"/>
      <c r="N149" s="26"/>
      <c r="O149" s="26"/>
      <c r="P149" s="26"/>
      <c r="Q149" s="26"/>
      <c r="R149" s="26"/>
      <c r="S149" s="26"/>
      <c r="T149" s="26"/>
      <c r="U149" s="26"/>
      <c r="V149" s="26"/>
      <c r="W149" s="26"/>
      <c r="X149" s="26"/>
      <c r="Y149" s="26"/>
      <c r="Z149" s="26"/>
      <c r="AA149" s="26"/>
      <c r="AB149" s="26"/>
      <c r="AC149" s="26">
        <f t="shared" si="41"/>
        <v>0</v>
      </c>
      <c r="AD149" s="29"/>
    </row>
    <row r="150" spans="1:30">
      <c r="A150" s="3"/>
      <c r="B150" s="2"/>
      <c r="C150" s="487"/>
      <c r="D150" s="5"/>
      <c r="E150" s="34"/>
      <c r="F150" s="6">
        <f t="shared" si="36"/>
        <v>0</v>
      </c>
      <c r="G150" s="95"/>
      <c r="H150" s="28">
        <f t="shared" si="39"/>
        <v>0</v>
      </c>
      <c r="I150" s="28">
        <f t="shared" si="40"/>
        <v>0</v>
      </c>
      <c r="J150" s="26"/>
      <c r="K150" s="26"/>
      <c r="L150" s="26"/>
      <c r="M150" s="26"/>
      <c r="N150" s="26"/>
      <c r="O150" s="26"/>
      <c r="P150" s="26"/>
      <c r="Q150" s="26"/>
      <c r="R150" s="26"/>
      <c r="S150" s="26"/>
      <c r="T150" s="26"/>
      <c r="U150" s="26"/>
      <c r="V150" s="26"/>
      <c r="W150" s="26"/>
      <c r="X150" s="26"/>
      <c r="Y150" s="26"/>
      <c r="Z150" s="26"/>
      <c r="AA150" s="26"/>
      <c r="AB150" s="26"/>
      <c r="AC150" s="26">
        <f t="shared" si="41"/>
        <v>0</v>
      </c>
      <c r="AD150" s="29"/>
    </row>
    <row r="151" spans="1:30">
      <c r="A151" s="3"/>
      <c r="B151" s="2"/>
      <c r="C151" s="487"/>
      <c r="D151" s="5"/>
      <c r="E151" s="34"/>
      <c r="F151" s="6">
        <f t="shared" si="36"/>
        <v>0</v>
      </c>
      <c r="G151" s="95"/>
      <c r="H151" s="28">
        <f t="shared" si="39"/>
        <v>0</v>
      </c>
      <c r="I151" s="28">
        <f t="shared" si="40"/>
        <v>0</v>
      </c>
      <c r="J151" s="26"/>
      <c r="K151" s="26"/>
      <c r="L151" s="26"/>
      <c r="M151" s="26"/>
      <c r="N151" s="26"/>
      <c r="O151" s="26"/>
      <c r="P151" s="26"/>
      <c r="Q151" s="26"/>
      <c r="R151" s="26"/>
      <c r="S151" s="26"/>
      <c r="T151" s="26"/>
      <c r="U151" s="26"/>
      <c r="V151" s="26"/>
      <c r="W151" s="26"/>
      <c r="X151" s="26"/>
      <c r="Y151" s="26"/>
      <c r="Z151" s="26"/>
      <c r="AA151" s="26"/>
      <c r="AB151" s="26"/>
      <c r="AC151" s="26">
        <f t="shared" si="41"/>
        <v>0</v>
      </c>
      <c r="AD151" s="29"/>
    </row>
    <row r="152" spans="1:30">
      <c r="A152" s="3"/>
      <c r="B152" s="2"/>
      <c r="C152" s="487"/>
      <c r="D152" s="5"/>
      <c r="E152" s="34"/>
      <c r="F152" s="6">
        <f t="shared" si="36"/>
        <v>0</v>
      </c>
      <c r="G152" s="95"/>
      <c r="H152" s="28">
        <f t="shared" si="39"/>
        <v>0</v>
      </c>
      <c r="I152" s="28">
        <f t="shared" si="40"/>
        <v>0</v>
      </c>
      <c r="J152" s="26"/>
      <c r="K152" s="26"/>
      <c r="L152" s="26"/>
      <c r="M152" s="26"/>
      <c r="N152" s="26"/>
      <c r="O152" s="26"/>
      <c r="P152" s="26"/>
      <c r="Q152" s="26"/>
      <c r="R152" s="26"/>
      <c r="S152" s="26"/>
      <c r="T152" s="26"/>
      <c r="U152" s="26"/>
      <c r="V152" s="26"/>
      <c r="W152" s="26"/>
      <c r="X152" s="26"/>
      <c r="Y152" s="26"/>
      <c r="Z152" s="26"/>
      <c r="AA152" s="26"/>
      <c r="AB152" s="26"/>
      <c r="AC152" s="26">
        <f t="shared" si="41"/>
        <v>0</v>
      </c>
      <c r="AD152" s="29"/>
    </row>
    <row r="153" spans="1:30">
      <c r="A153" s="3"/>
      <c r="B153" s="2"/>
      <c r="C153" s="487"/>
      <c r="D153" s="5"/>
      <c r="E153" s="34"/>
      <c r="F153" s="6">
        <f t="shared" si="36"/>
        <v>0</v>
      </c>
      <c r="G153" s="95"/>
      <c r="H153" s="28">
        <f t="shared" si="39"/>
        <v>0</v>
      </c>
      <c r="I153" s="28">
        <f t="shared" si="40"/>
        <v>0</v>
      </c>
      <c r="J153" s="26"/>
      <c r="K153" s="26"/>
      <c r="L153" s="26"/>
      <c r="M153" s="26"/>
      <c r="N153" s="26"/>
      <c r="O153" s="26"/>
      <c r="P153" s="26"/>
      <c r="Q153" s="26"/>
      <c r="R153" s="26"/>
      <c r="S153" s="26"/>
      <c r="T153" s="26"/>
      <c r="U153" s="26"/>
      <c r="V153" s="26"/>
      <c r="W153" s="26"/>
      <c r="X153" s="26"/>
      <c r="Y153" s="26"/>
      <c r="Z153" s="26"/>
      <c r="AA153" s="26"/>
      <c r="AB153" s="26"/>
      <c r="AC153" s="26">
        <f t="shared" si="41"/>
        <v>0</v>
      </c>
      <c r="AD153" s="29"/>
    </row>
    <row r="154" spans="1:30">
      <c r="A154" s="3"/>
      <c r="B154" s="2"/>
      <c r="C154" s="487"/>
      <c r="D154" s="5"/>
      <c r="E154" s="34"/>
      <c r="F154" s="6">
        <f t="shared" si="36"/>
        <v>0</v>
      </c>
      <c r="G154" s="95"/>
      <c r="H154" s="28">
        <f t="shared" si="39"/>
        <v>0</v>
      </c>
      <c r="I154" s="28">
        <f t="shared" si="40"/>
        <v>0</v>
      </c>
      <c r="J154" s="26"/>
      <c r="K154" s="26"/>
      <c r="L154" s="26"/>
      <c r="M154" s="26"/>
      <c r="N154" s="26"/>
      <c r="O154" s="26"/>
      <c r="P154" s="26"/>
      <c r="Q154" s="26"/>
      <c r="R154" s="26"/>
      <c r="S154" s="26"/>
      <c r="T154" s="26"/>
      <c r="U154" s="26"/>
      <c r="V154" s="26"/>
      <c r="W154" s="26"/>
      <c r="X154" s="26"/>
      <c r="Y154" s="26"/>
      <c r="Z154" s="26"/>
      <c r="AA154" s="26"/>
      <c r="AB154" s="26"/>
      <c r="AC154" s="26">
        <f t="shared" si="41"/>
        <v>0</v>
      </c>
      <c r="AD154" s="29"/>
    </row>
    <row r="155" spans="1:30">
      <c r="A155" s="3"/>
      <c r="B155" s="2"/>
      <c r="C155" s="487"/>
      <c r="D155" s="5"/>
      <c r="E155" s="34"/>
      <c r="F155" s="6">
        <f t="shared" si="36"/>
        <v>0</v>
      </c>
      <c r="G155" s="95"/>
      <c r="H155" s="28">
        <f t="shared" si="39"/>
        <v>0</v>
      </c>
      <c r="I155" s="28">
        <f t="shared" si="40"/>
        <v>0</v>
      </c>
      <c r="J155" s="26"/>
      <c r="K155" s="26"/>
      <c r="L155" s="26"/>
      <c r="M155" s="26"/>
      <c r="N155" s="26"/>
      <c r="O155" s="26"/>
      <c r="P155" s="26"/>
      <c r="Q155" s="26"/>
      <c r="R155" s="26"/>
      <c r="S155" s="26"/>
      <c r="T155" s="26"/>
      <c r="U155" s="26"/>
      <c r="V155" s="26"/>
      <c r="W155" s="26"/>
      <c r="X155" s="26"/>
      <c r="Y155" s="26"/>
      <c r="Z155" s="26"/>
      <c r="AA155" s="26"/>
      <c r="AB155" s="26"/>
      <c r="AC155" s="26">
        <f t="shared" si="41"/>
        <v>0</v>
      </c>
      <c r="AD155" s="29"/>
    </row>
    <row r="156" spans="1:30">
      <c r="A156" s="3"/>
      <c r="B156" s="2"/>
      <c r="C156" s="487"/>
      <c r="D156" s="5"/>
      <c r="E156" s="34"/>
      <c r="F156" s="6">
        <f t="shared" si="36"/>
        <v>0</v>
      </c>
      <c r="G156" s="95"/>
      <c r="H156" s="28">
        <f t="shared" si="39"/>
        <v>0</v>
      </c>
      <c r="I156" s="28">
        <f t="shared" si="40"/>
        <v>0</v>
      </c>
      <c r="J156" s="26"/>
      <c r="K156" s="26"/>
      <c r="L156" s="26"/>
      <c r="M156" s="26"/>
      <c r="N156" s="26"/>
      <c r="O156" s="26"/>
      <c r="P156" s="26"/>
      <c r="Q156" s="26"/>
      <c r="R156" s="26"/>
      <c r="S156" s="26"/>
      <c r="T156" s="26"/>
      <c r="U156" s="26"/>
      <c r="V156" s="26"/>
      <c r="W156" s="26"/>
      <c r="X156" s="26"/>
      <c r="Y156" s="26"/>
      <c r="Z156" s="26"/>
      <c r="AA156" s="26"/>
      <c r="AB156" s="26"/>
      <c r="AC156" s="26">
        <f t="shared" si="41"/>
        <v>0</v>
      </c>
      <c r="AD156" s="29"/>
    </row>
    <row r="157" spans="1:30">
      <c r="A157" s="3"/>
      <c r="B157" s="2"/>
      <c r="C157" s="487"/>
      <c r="D157" s="5"/>
      <c r="E157" s="34"/>
      <c r="F157" s="6">
        <f t="shared" ref="F157:F172" si="42">+E157*3.875</f>
        <v>0</v>
      </c>
      <c r="G157" s="95"/>
      <c r="H157" s="28">
        <f t="shared" si="39"/>
        <v>0</v>
      </c>
      <c r="I157" s="28">
        <f t="shared" si="40"/>
        <v>0</v>
      </c>
      <c r="J157" s="26"/>
      <c r="K157" s="26"/>
      <c r="L157" s="26"/>
      <c r="M157" s="26"/>
      <c r="N157" s="26"/>
      <c r="O157" s="26"/>
      <c r="P157" s="26"/>
      <c r="Q157" s="26"/>
      <c r="R157" s="26"/>
      <c r="S157" s="26"/>
      <c r="T157" s="26"/>
      <c r="U157" s="26"/>
      <c r="V157" s="26"/>
      <c r="W157" s="26"/>
      <c r="X157" s="26"/>
      <c r="Y157" s="26"/>
      <c r="Z157" s="26"/>
      <c r="AA157" s="26"/>
      <c r="AB157" s="26"/>
      <c r="AC157" s="26">
        <f t="shared" si="41"/>
        <v>0</v>
      </c>
      <c r="AD157" s="29"/>
    </row>
    <row r="158" spans="1:30">
      <c r="A158" s="3"/>
      <c r="B158" s="2"/>
      <c r="C158" s="487"/>
      <c r="D158" s="5"/>
      <c r="E158" s="34"/>
      <c r="F158" s="6">
        <f t="shared" si="42"/>
        <v>0</v>
      </c>
      <c r="G158" s="95"/>
      <c r="H158" s="28">
        <f t="shared" si="39"/>
        <v>0</v>
      </c>
      <c r="I158" s="28">
        <f t="shared" si="40"/>
        <v>0</v>
      </c>
      <c r="J158" s="26"/>
      <c r="K158" s="26"/>
      <c r="L158" s="26"/>
      <c r="M158" s="26"/>
      <c r="N158" s="26"/>
      <c r="O158" s="26"/>
      <c r="P158" s="26"/>
      <c r="Q158" s="26"/>
      <c r="R158" s="26"/>
      <c r="S158" s="26"/>
      <c r="T158" s="26"/>
      <c r="U158" s="26"/>
      <c r="V158" s="26"/>
      <c r="W158" s="26"/>
      <c r="X158" s="26"/>
      <c r="Y158" s="26"/>
      <c r="Z158" s="26"/>
      <c r="AA158" s="26"/>
      <c r="AB158" s="26"/>
      <c r="AC158" s="26">
        <f t="shared" si="41"/>
        <v>0</v>
      </c>
      <c r="AD158" s="29"/>
    </row>
    <row r="159" spans="1:30">
      <c r="A159" s="3"/>
      <c r="B159" s="2"/>
      <c r="C159" s="487"/>
      <c r="D159" s="5"/>
      <c r="E159" s="34"/>
      <c r="F159" s="6">
        <f t="shared" si="42"/>
        <v>0</v>
      </c>
      <c r="G159" s="95"/>
      <c r="H159" s="28">
        <f t="shared" si="39"/>
        <v>0</v>
      </c>
      <c r="I159" s="28">
        <f t="shared" si="40"/>
        <v>0</v>
      </c>
      <c r="J159" s="26"/>
      <c r="K159" s="26"/>
      <c r="L159" s="26"/>
      <c r="M159" s="26"/>
      <c r="N159" s="26"/>
      <c r="O159" s="26"/>
      <c r="P159" s="26"/>
      <c r="Q159" s="26"/>
      <c r="R159" s="26"/>
      <c r="S159" s="26"/>
      <c r="T159" s="26"/>
      <c r="U159" s="26"/>
      <c r="V159" s="26"/>
      <c r="W159" s="26"/>
      <c r="X159" s="26"/>
      <c r="Y159" s="26"/>
      <c r="Z159" s="26"/>
      <c r="AA159" s="26"/>
      <c r="AB159" s="26"/>
      <c r="AC159" s="26">
        <f t="shared" si="41"/>
        <v>0</v>
      </c>
      <c r="AD159" s="29"/>
    </row>
    <row r="160" spans="1:30">
      <c r="A160" s="3"/>
      <c r="B160" s="2"/>
      <c r="C160" s="487"/>
      <c r="D160" s="5"/>
      <c r="E160" s="34"/>
      <c r="F160" s="6">
        <f t="shared" si="42"/>
        <v>0</v>
      </c>
      <c r="G160" s="95"/>
      <c r="H160" s="28">
        <f t="shared" si="39"/>
        <v>0</v>
      </c>
      <c r="I160" s="28">
        <f t="shared" si="40"/>
        <v>0</v>
      </c>
      <c r="J160" s="26"/>
      <c r="K160" s="26"/>
      <c r="L160" s="26"/>
      <c r="M160" s="26"/>
      <c r="N160" s="26"/>
      <c r="O160" s="26"/>
      <c r="P160" s="26"/>
      <c r="Q160" s="26"/>
      <c r="R160" s="26"/>
      <c r="S160" s="26"/>
      <c r="T160" s="26"/>
      <c r="U160" s="26"/>
      <c r="V160" s="26"/>
      <c r="W160" s="26"/>
      <c r="X160" s="26"/>
      <c r="Y160" s="26"/>
      <c r="Z160" s="26"/>
      <c r="AA160" s="26"/>
      <c r="AB160" s="26"/>
      <c r="AC160" s="26">
        <f t="shared" si="41"/>
        <v>0</v>
      </c>
      <c r="AD160" s="29"/>
    </row>
    <row r="161" spans="1:30">
      <c r="A161" s="3"/>
      <c r="B161" s="2"/>
      <c r="C161" s="487"/>
      <c r="D161" s="5"/>
      <c r="E161" s="34"/>
      <c r="F161" s="6">
        <f t="shared" si="42"/>
        <v>0</v>
      </c>
      <c r="G161" s="95"/>
      <c r="H161" s="28">
        <f t="shared" si="39"/>
        <v>0</v>
      </c>
      <c r="I161" s="28">
        <f t="shared" si="40"/>
        <v>0</v>
      </c>
      <c r="J161" s="26"/>
      <c r="K161" s="26"/>
      <c r="L161" s="26"/>
      <c r="M161" s="26"/>
      <c r="N161" s="26"/>
      <c r="O161" s="26"/>
      <c r="P161" s="26"/>
      <c r="Q161" s="26"/>
      <c r="R161" s="26"/>
      <c r="S161" s="26"/>
      <c r="T161" s="26"/>
      <c r="U161" s="26"/>
      <c r="V161" s="26"/>
      <c r="W161" s="26"/>
      <c r="X161" s="26"/>
      <c r="Y161" s="26"/>
      <c r="Z161" s="26"/>
      <c r="AA161" s="26"/>
      <c r="AB161" s="26"/>
      <c r="AC161" s="26">
        <f t="shared" si="41"/>
        <v>0</v>
      </c>
      <c r="AD161" s="29"/>
    </row>
    <row r="162" spans="1:30">
      <c r="A162" s="3"/>
      <c r="B162" s="2"/>
      <c r="C162" s="487"/>
      <c r="D162" s="5"/>
      <c r="E162" s="34"/>
      <c r="F162" s="6">
        <f t="shared" si="42"/>
        <v>0</v>
      </c>
      <c r="G162" s="95"/>
      <c r="H162" s="28">
        <f t="shared" si="39"/>
        <v>0</v>
      </c>
      <c r="I162" s="28">
        <f t="shared" si="40"/>
        <v>0</v>
      </c>
      <c r="J162" s="26"/>
      <c r="K162" s="26"/>
      <c r="L162" s="26"/>
      <c r="M162" s="26"/>
      <c r="N162" s="26"/>
      <c r="O162" s="26"/>
      <c r="P162" s="26"/>
      <c r="Q162" s="26"/>
      <c r="R162" s="26"/>
      <c r="S162" s="26"/>
      <c r="T162" s="26"/>
      <c r="U162" s="26"/>
      <c r="V162" s="26"/>
      <c r="W162" s="26"/>
      <c r="X162" s="26"/>
      <c r="Y162" s="26"/>
      <c r="Z162" s="26"/>
      <c r="AA162" s="26"/>
      <c r="AB162" s="26"/>
      <c r="AC162" s="26">
        <f t="shared" si="41"/>
        <v>0</v>
      </c>
      <c r="AD162" s="29"/>
    </row>
    <row r="163" spans="1:30">
      <c r="A163" s="3"/>
      <c r="B163" s="2"/>
      <c r="C163" s="487"/>
      <c r="D163" s="5"/>
      <c r="E163" s="34"/>
      <c r="F163" s="6">
        <f t="shared" si="42"/>
        <v>0</v>
      </c>
      <c r="G163" s="95"/>
      <c r="H163" s="28">
        <f t="shared" si="39"/>
        <v>0</v>
      </c>
      <c r="I163" s="28">
        <f t="shared" si="40"/>
        <v>0</v>
      </c>
      <c r="J163" s="26"/>
      <c r="K163" s="26"/>
      <c r="L163" s="26"/>
      <c r="M163" s="26"/>
      <c r="N163" s="26"/>
      <c r="O163" s="26"/>
      <c r="P163" s="26"/>
      <c r="Q163" s="26"/>
      <c r="R163" s="26"/>
      <c r="S163" s="26"/>
      <c r="T163" s="26"/>
      <c r="U163" s="26"/>
      <c r="V163" s="26"/>
      <c r="W163" s="26"/>
      <c r="X163" s="26"/>
      <c r="Y163" s="26"/>
      <c r="Z163" s="26"/>
      <c r="AA163" s="26"/>
      <c r="AB163" s="26"/>
      <c r="AC163" s="26">
        <f>SUM(K163:AB163)</f>
        <v>0</v>
      </c>
      <c r="AD163" s="29"/>
    </row>
    <row r="164" spans="1:30">
      <c r="A164" s="3"/>
      <c r="B164" s="2"/>
      <c r="C164" s="487"/>
      <c r="D164" s="5"/>
      <c r="E164" s="34"/>
      <c r="F164" s="6">
        <f t="shared" si="42"/>
        <v>0</v>
      </c>
      <c r="G164" s="95"/>
      <c r="H164" s="28">
        <f t="shared" si="39"/>
        <v>0</v>
      </c>
      <c r="I164" s="28">
        <f t="shared" si="40"/>
        <v>0</v>
      </c>
      <c r="J164" s="26"/>
      <c r="K164" s="26"/>
      <c r="L164" s="26"/>
      <c r="M164" s="26"/>
      <c r="N164" s="26"/>
      <c r="O164" s="26"/>
      <c r="P164" s="26"/>
      <c r="Q164" s="26"/>
      <c r="R164" s="26"/>
      <c r="S164" s="26"/>
      <c r="T164" s="26"/>
      <c r="U164" s="26"/>
      <c r="V164" s="26"/>
      <c r="W164" s="26"/>
      <c r="X164" s="26"/>
      <c r="Y164" s="26"/>
      <c r="Z164" s="26"/>
      <c r="AA164" s="26"/>
      <c r="AB164" s="26"/>
      <c r="AC164" s="26">
        <f t="shared" ref="AC164:AC170" si="43">SUM(K164:AB164)</f>
        <v>0</v>
      </c>
      <c r="AD164" s="29"/>
    </row>
    <row r="165" spans="1:30">
      <c r="A165" s="3"/>
      <c r="B165" s="2"/>
      <c r="C165" s="487"/>
      <c r="D165" s="5"/>
      <c r="E165" s="34"/>
      <c r="F165" s="6">
        <f t="shared" si="42"/>
        <v>0</v>
      </c>
      <c r="G165" s="95"/>
      <c r="H165" s="28">
        <f t="shared" si="39"/>
        <v>0</v>
      </c>
      <c r="I165" s="28">
        <f t="shared" si="40"/>
        <v>0</v>
      </c>
      <c r="J165" s="26"/>
      <c r="K165" s="26"/>
      <c r="L165" s="26"/>
      <c r="M165" s="26"/>
      <c r="N165" s="26"/>
      <c r="O165" s="26"/>
      <c r="P165" s="26"/>
      <c r="Q165" s="26"/>
      <c r="R165" s="26"/>
      <c r="S165" s="26"/>
      <c r="T165" s="26"/>
      <c r="U165" s="26"/>
      <c r="V165" s="26"/>
      <c r="W165" s="26"/>
      <c r="X165" s="26"/>
      <c r="Y165" s="26"/>
      <c r="Z165" s="26"/>
      <c r="AA165" s="26"/>
      <c r="AB165" s="26"/>
      <c r="AC165" s="26">
        <f t="shared" si="43"/>
        <v>0</v>
      </c>
      <c r="AD165" s="29"/>
    </row>
    <row r="166" spans="1:30">
      <c r="A166" s="3"/>
      <c r="B166" s="2"/>
      <c r="C166" s="487"/>
      <c r="D166" s="5"/>
      <c r="E166" s="34"/>
      <c r="F166" s="6">
        <f t="shared" si="42"/>
        <v>0</v>
      </c>
      <c r="G166" s="95"/>
      <c r="H166" s="28">
        <f t="shared" si="39"/>
        <v>0</v>
      </c>
      <c r="I166" s="28">
        <f t="shared" si="40"/>
        <v>0</v>
      </c>
      <c r="J166" s="26"/>
      <c r="K166" s="26"/>
      <c r="L166" s="26"/>
      <c r="M166" s="26"/>
      <c r="N166" s="26"/>
      <c r="O166" s="26"/>
      <c r="P166" s="26"/>
      <c r="Q166" s="26"/>
      <c r="R166" s="26"/>
      <c r="S166" s="26"/>
      <c r="T166" s="26"/>
      <c r="U166" s="26"/>
      <c r="V166" s="26"/>
      <c r="W166" s="26"/>
      <c r="X166" s="26"/>
      <c r="Y166" s="26"/>
      <c r="Z166" s="26"/>
      <c r="AA166" s="26"/>
      <c r="AB166" s="26"/>
      <c r="AC166" s="26">
        <f t="shared" si="43"/>
        <v>0</v>
      </c>
      <c r="AD166" s="29"/>
    </row>
    <row r="167" spans="1:30">
      <c r="A167" s="3"/>
      <c r="B167" s="2"/>
      <c r="C167" s="487"/>
      <c r="D167" s="5"/>
      <c r="E167" s="34"/>
      <c r="F167" s="6">
        <f t="shared" si="42"/>
        <v>0</v>
      </c>
      <c r="G167" s="95"/>
      <c r="H167" s="28">
        <f t="shared" si="39"/>
        <v>0</v>
      </c>
      <c r="I167" s="28">
        <f t="shared" si="40"/>
        <v>0</v>
      </c>
      <c r="J167" s="26"/>
      <c r="K167" s="26"/>
      <c r="L167" s="26"/>
      <c r="M167" s="26"/>
      <c r="N167" s="26"/>
      <c r="O167" s="26"/>
      <c r="P167" s="26"/>
      <c r="Q167" s="26"/>
      <c r="R167" s="26"/>
      <c r="S167" s="26"/>
      <c r="T167" s="26"/>
      <c r="U167" s="26"/>
      <c r="V167" s="26"/>
      <c r="W167" s="26"/>
      <c r="X167" s="26"/>
      <c r="Y167" s="26"/>
      <c r="Z167" s="26"/>
      <c r="AA167" s="26"/>
      <c r="AB167" s="26"/>
      <c r="AC167" s="26">
        <f t="shared" si="43"/>
        <v>0</v>
      </c>
      <c r="AD167" s="29"/>
    </row>
    <row r="168" spans="1:30">
      <c r="A168" s="3"/>
      <c r="B168" s="2"/>
      <c r="C168" s="487"/>
      <c r="D168" s="5"/>
      <c r="E168" s="34"/>
      <c r="F168" s="6">
        <f t="shared" si="42"/>
        <v>0</v>
      </c>
      <c r="G168" s="95"/>
      <c r="H168" s="28">
        <f t="shared" si="39"/>
        <v>0</v>
      </c>
      <c r="I168" s="28">
        <f t="shared" si="40"/>
        <v>0</v>
      </c>
      <c r="J168" s="26"/>
      <c r="K168" s="26"/>
      <c r="L168" s="26"/>
      <c r="M168" s="26"/>
      <c r="N168" s="26"/>
      <c r="O168" s="26"/>
      <c r="P168" s="26"/>
      <c r="Q168" s="26"/>
      <c r="R168" s="26"/>
      <c r="S168" s="26"/>
      <c r="T168" s="26"/>
      <c r="U168" s="26"/>
      <c r="V168" s="26"/>
      <c r="W168" s="26"/>
      <c r="X168" s="26"/>
      <c r="Y168" s="26"/>
      <c r="Z168" s="26"/>
      <c r="AA168" s="26"/>
      <c r="AB168" s="26"/>
      <c r="AC168" s="26">
        <f t="shared" si="43"/>
        <v>0</v>
      </c>
      <c r="AD168" s="29"/>
    </row>
    <row r="169" spans="1:30">
      <c r="A169" s="3"/>
      <c r="B169" s="2"/>
      <c r="C169" s="487"/>
      <c r="D169" s="5"/>
      <c r="E169" s="34"/>
      <c r="F169" s="6">
        <f t="shared" si="42"/>
        <v>0</v>
      </c>
      <c r="G169" s="95"/>
      <c r="H169" s="28">
        <f t="shared" si="39"/>
        <v>0</v>
      </c>
      <c r="I169" s="28">
        <f t="shared" si="40"/>
        <v>0</v>
      </c>
      <c r="J169" s="26"/>
      <c r="K169" s="26"/>
      <c r="L169" s="26"/>
      <c r="M169" s="26"/>
      <c r="N169" s="26"/>
      <c r="O169" s="26"/>
      <c r="P169" s="26"/>
      <c r="Q169" s="26"/>
      <c r="R169" s="26"/>
      <c r="S169" s="26"/>
      <c r="T169" s="26"/>
      <c r="U169" s="26"/>
      <c r="V169" s="26"/>
      <c r="W169" s="26"/>
      <c r="X169" s="26"/>
      <c r="Y169" s="26"/>
      <c r="Z169" s="26"/>
      <c r="AA169" s="26"/>
      <c r="AB169" s="26"/>
      <c r="AC169" s="26">
        <f t="shared" si="43"/>
        <v>0</v>
      </c>
      <c r="AD169" s="29"/>
    </row>
    <row r="170" spans="1:30">
      <c r="A170" s="3"/>
      <c r="B170" s="2"/>
      <c r="C170" s="487"/>
      <c r="D170" s="5"/>
      <c r="E170" s="34"/>
      <c r="F170" s="6">
        <f t="shared" si="42"/>
        <v>0</v>
      </c>
      <c r="G170" s="95"/>
      <c r="H170" s="28">
        <f t="shared" si="39"/>
        <v>0</v>
      </c>
      <c r="I170" s="28">
        <f t="shared" si="40"/>
        <v>0</v>
      </c>
      <c r="J170" s="26"/>
      <c r="K170" s="26"/>
      <c r="L170" s="26"/>
      <c r="M170" s="26"/>
      <c r="N170" s="26"/>
      <c r="O170" s="26"/>
      <c r="P170" s="26"/>
      <c r="Q170" s="26"/>
      <c r="R170" s="26"/>
      <c r="S170" s="26"/>
      <c r="T170" s="26"/>
      <c r="U170" s="26"/>
      <c r="V170" s="26"/>
      <c r="W170" s="26"/>
      <c r="X170" s="26"/>
      <c r="Y170" s="26"/>
      <c r="Z170" s="26"/>
      <c r="AA170" s="26"/>
      <c r="AB170" s="26"/>
      <c r="AC170" s="26">
        <f t="shared" si="43"/>
        <v>0</v>
      </c>
      <c r="AD170" s="29"/>
    </row>
    <row r="171" spans="1:30">
      <c r="A171" s="3"/>
      <c r="B171" s="2"/>
      <c r="C171" s="487"/>
      <c r="D171" s="5"/>
      <c r="E171" s="34"/>
      <c r="F171" s="6">
        <f t="shared" si="42"/>
        <v>0</v>
      </c>
      <c r="G171" s="95"/>
      <c r="H171" s="28">
        <f t="shared" si="39"/>
        <v>0</v>
      </c>
      <c r="I171" s="28">
        <f t="shared" si="40"/>
        <v>0</v>
      </c>
      <c r="J171" s="26"/>
      <c r="K171" s="26"/>
      <c r="L171" s="26"/>
      <c r="M171" s="26"/>
      <c r="N171" s="26"/>
      <c r="O171" s="26"/>
      <c r="P171" s="26"/>
      <c r="Q171" s="26"/>
      <c r="R171" s="26"/>
      <c r="S171" s="26"/>
      <c r="T171" s="26"/>
      <c r="U171" s="26"/>
      <c r="V171" s="26"/>
      <c r="W171" s="26"/>
      <c r="X171" s="26"/>
      <c r="Y171" s="26"/>
      <c r="Z171" s="26"/>
      <c r="AA171" s="26"/>
      <c r="AB171" s="26"/>
      <c r="AC171" s="26">
        <f>SUM(K171:AB171)</f>
        <v>0</v>
      </c>
      <c r="AD171" s="29"/>
    </row>
    <row r="172" spans="1:30">
      <c r="A172" s="3"/>
      <c r="B172" s="39"/>
      <c r="C172" s="488"/>
      <c r="D172" s="26"/>
      <c r="E172" s="52"/>
      <c r="F172" s="6">
        <f t="shared" si="42"/>
        <v>0</v>
      </c>
      <c r="G172" s="35"/>
      <c r="H172" s="28">
        <f t="shared" si="39"/>
        <v>0</v>
      </c>
      <c r="I172" s="28">
        <f t="shared" si="40"/>
        <v>0</v>
      </c>
      <c r="J172" s="26"/>
      <c r="K172" s="26"/>
      <c r="L172" s="26"/>
      <c r="M172" s="26"/>
      <c r="N172" s="26"/>
      <c r="O172" s="26"/>
      <c r="P172" s="26"/>
      <c r="Q172" s="26"/>
      <c r="R172" s="26"/>
      <c r="S172" s="26"/>
      <c r="T172" s="26"/>
      <c r="U172" s="26"/>
      <c r="V172" s="26"/>
      <c r="W172" s="26"/>
      <c r="X172" s="26"/>
      <c r="Y172" s="28"/>
      <c r="Z172" s="26"/>
      <c r="AA172" s="26"/>
      <c r="AB172" s="26"/>
      <c r="AC172" s="26">
        <f>SUM(K172:AB172)</f>
        <v>0</v>
      </c>
      <c r="AD172" s="29"/>
    </row>
    <row r="173" spans="1:30" ht="15.75" thickBot="1">
      <c r="A173" s="53"/>
      <c r="B173" s="55"/>
      <c r="C173" s="489"/>
      <c r="D173" s="54">
        <f t="shared" ref="D173:W173" si="44">SUM(D20:D172)</f>
        <v>139062.125</v>
      </c>
      <c r="E173" s="57">
        <f>SUM(E20:E172)</f>
        <v>29548</v>
      </c>
      <c r="F173" s="54">
        <f>SUM(F20:F172)</f>
        <v>114498.5</v>
      </c>
      <c r="G173" s="56">
        <f t="shared" si="44"/>
        <v>0</v>
      </c>
      <c r="H173" s="54">
        <f t="shared" si="44"/>
        <v>0</v>
      </c>
      <c r="I173" s="54">
        <f t="shared" si="44"/>
        <v>114498.5</v>
      </c>
      <c r="J173" s="54">
        <f t="shared" si="44"/>
        <v>972.625</v>
      </c>
      <c r="K173" s="54">
        <f t="shared" si="44"/>
        <v>162.37</v>
      </c>
      <c r="L173" s="54">
        <f t="shared" si="44"/>
        <v>294.53000000000003</v>
      </c>
      <c r="M173" s="54">
        <f t="shared" si="44"/>
        <v>9.24</v>
      </c>
      <c r="N173" s="54">
        <f t="shared" si="44"/>
        <v>6.8400000000000007</v>
      </c>
      <c r="O173" s="54">
        <f t="shared" si="44"/>
        <v>532.8900000000001</v>
      </c>
      <c r="P173" s="54">
        <f t="shared" si="44"/>
        <v>30.999999999999993</v>
      </c>
      <c r="Q173" s="54">
        <f t="shared" si="44"/>
        <v>0</v>
      </c>
      <c r="R173" s="54">
        <f t="shared" si="44"/>
        <v>64.12</v>
      </c>
      <c r="S173" s="54">
        <f t="shared" si="44"/>
        <v>29.130000000000003</v>
      </c>
      <c r="T173" s="54">
        <f t="shared" si="44"/>
        <v>131.46999999999997</v>
      </c>
      <c r="U173" s="54">
        <f t="shared" si="44"/>
        <v>1.5</v>
      </c>
      <c r="V173" s="54">
        <f t="shared" si="44"/>
        <v>0.4</v>
      </c>
      <c r="W173" s="54">
        <f t="shared" si="44"/>
        <v>0</v>
      </c>
      <c r="X173" s="54"/>
      <c r="Y173" s="54"/>
      <c r="Z173" s="54">
        <f>SUM(Z20:Z172)</f>
        <v>0</v>
      </c>
      <c r="AA173" s="54">
        <f>SUM(AA20:AA172)</f>
        <v>0</v>
      </c>
      <c r="AB173" s="54">
        <f>SUM(AB20:AB172)</f>
        <v>0</v>
      </c>
      <c r="AC173" s="54">
        <f>SUM(AC20:AC172)</f>
        <v>1268.2900000000006</v>
      </c>
      <c r="AD173" s="44"/>
    </row>
    <row r="174" spans="1:30" ht="15.75" thickTop="1">
      <c r="D174" s="10">
        <f>+D173-'HASIL PROD'!D346</f>
        <v>-11706.375</v>
      </c>
      <c r="F174" s="10">
        <f>+F173-'[4]DAILY OKEY AYAM'!$K$21</f>
        <v>114497.60000000001</v>
      </c>
      <c r="I174" s="10"/>
      <c r="AC174" s="10"/>
    </row>
    <row r="175" spans="1:30">
      <c r="E175" s="58">
        <f>E140+E141+E142+E143+E144+E145+E146</f>
        <v>0</v>
      </c>
      <c r="F175" s="10">
        <f>SUM(E140:E146)</f>
        <v>0</v>
      </c>
    </row>
    <row r="176" spans="1:30">
      <c r="E176" s="58"/>
      <c r="F176" s="10"/>
    </row>
    <row r="177" spans="5:6">
      <c r="E177" s="58"/>
      <c r="F177" s="10"/>
    </row>
    <row r="178" spans="5:6">
      <c r="E178" s="58"/>
      <c r="F178" s="10"/>
    </row>
    <row r="179" spans="5:6">
      <c r="E179" s="58"/>
      <c r="F179" s="10"/>
    </row>
    <row r="180" spans="5:6">
      <c r="E180" s="58"/>
      <c r="F180" s="10"/>
    </row>
    <row r="181" spans="5:6">
      <c r="E181" s="58"/>
      <c r="F181" s="10"/>
    </row>
    <row r="182" spans="5:6">
      <c r="E182" s="58"/>
      <c r="F182" s="10"/>
    </row>
    <row r="183" spans="5:6">
      <c r="E183" s="58"/>
      <c r="F183" s="10"/>
    </row>
    <row r="184" spans="5:6">
      <c r="E184" s="58"/>
      <c r="F184" s="10"/>
    </row>
    <row r="185" spans="5:6">
      <c r="E185" s="58"/>
      <c r="F185" s="10"/>
    </row>
    <row r="186" spans="5:6">
      <c r="E186" s="58"/>
      <c r="F186" s="10"/>
    </row>
    <row r="187" spans="5:6">
      <c r="E187" s="58"/>
      <c r="F187" s="10"/>
    </row>
    <row r="188" spans="5:6">
      <c r="E188" s="58"/>
      <c r="F188" s="10"/>
    </row>
    <row r="189" spans="5:6">
      <c r="E189" s="58"/>
      <c r="F189" s="10"/>
    </row>
    <row r="190" spans="5:6">
      <c r="E190" s="58"/>
      <c r="F190" s="10"/>
    </row>
    <row r="191" spans="5:6">
      <c r="E191" s="58"/>
      <c r="F191" s="10"/>
    </row>
    <row r="192" spans="5:6">
      <c r="E192" s="58"/>
      <c r="F192" s="10"/>
    </row>
    <row r="193" spans="5:6">
      <c r="E193" s="58"/>
      <c r="F193" s="10"/>
    </row>
    <row r="194" spans="5:6">
      <c r="E194" s="58"/>
      <c r="F194" s="10"/>
    </row>
    <row r="195" spans="5:6">
      <c r="E195" s="58"/>
      <c r="F195" s="10"/>
    </row>
    <row r="196" spans="5:6">
      <c r="E196" s="58"/>
      <c r="F196" s="10"/>
    </row>
    <row r="197" spans="5:6">
      <c r="E197" s="58"/>
      <c r="F197" s="10"/>
    </row>
    <row r="198" spans="5:6">
      <c r="E198" s="58"/>
      <c r="F198" s="10"/>
    </row>
    <row r="199" spans="5:6">
      <c r="E199" s="58"/>
      <c r="F199" s="10"/>
    </row>
    <row r="200" spans="5:6">
      <c r="E200" s="58"/>
      <c r="F200" s="10"/>
    </row>
    <row r="201" spans="5:6">
      <c r="E201" s="58"/>
      <c r="F201" s="10"/>
    </row>
    <row r="202" spans="5:6">
      <c r="E202" s="58"/>
      <c r="F202" s="10"/>
    </row>
  </sheetData>
  <mergeCells count="16">
    <mergeCell ref="A1:AD1"/>
    <mergeCell ref="A2:AD2"/>
    <mergeCell ref="A3:AD3"/>
    <mergeCell ref="A5:A8"/>
    <mergeCell ref="B5:B8"/>
    <mergeCell ref="D5:D7"/>
    <mergeCell ref="E5:AC5"/>
    <mergeCell ref="AD5:AD8"/>
    <mergeCell ref="E6:H6"/>
    <mergeCell ref="I6:I8"/>
    <mergeCell ref="J6:J7"/>
    <mergeCell ref="K6:AB6"/>
    <mergeCell ref="AC6:AC8"/>
    <mergeCell ref="E7:F7"/>
    <mergeCell ref="G7:H7"/>
    <mergeCell ref="C5:C8"/>
  </mergeCells>
  <pageMargins left="0.70866141732283472" right="0.70866141732283472" top="0.74803149606299213" bottom="0.74803149606299213" header="0.31496062992125984" footer="0.31496062992125984"/>
  <pageSetup paperSize="9" scale="25" orientation="landscape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>
  <sheetPr codeName="Sheet9">
    <tabColor rgb="FFFF0000"/>
    <pageSetUpPr fitToPage="1"/>
  </sheetPr>
  <dimension ref="A1:AF173"/>
  <sheetViews>
    <sheetView zoomScale="80" zoomScaleNormal="80" workbookViewId="0">
      <pane xSplit="3" ySplit="8" topLeftCell="D51" activePane="bottomRight" state="frozen"/>
      <selection pane="topRight" activeCell="D1" sqref="D1"/>
      <selection pane="bottomLeft" activeCell="A9" sqref="A9"/>
      <selection pane="bottomRight" activeCell="D78" sqref="D78"/>
    </sheetView>
  </sheetViews>
  <sheetFormatPr defaultRowHeight="15"/>
  <cols>
    <col min="1" max="1" width="11.7109375" customWidth="1"/>
    <col min="2" max="2" width="13" customWidth="1"/>
    <col min="3" max="3" width="13" style="490" customWidth="1"/>
    <col min="4" max="4" width="14.28515625" customWidth="1"/>
    <col min="5" max="6" width="14.85546875" customWidth="1"/>
    <col min="7" max="8" width="14.28515625" customWidth="1"/>
    <col min="9" max="10" width="13.42578125" customWidth="1"/>
    <col min="11" max="28" width="13.28515625" customWidth="1"/>
    <col min="29" max="29" width="12.5703125" customWidth="1"/>
    <col min="30" max="30" width="17.42578125" customWidth="1"/>
    <col min="31" max="31" width="9.140625" customWidth="1"/>
    <col min="32" max="32" width="11.140625" customWidth="1"/>
  </cols>
  <sheetData>
    <row r="1" spans="1:32" ht="18.75">
      <c r="A1" s="675" t="s">
        <v>25</v>
      </c>
      <c r="B1" s="675"/>
      <c r="C1" s="675"/>
      <c r="D1" s="675"/>
      <c r="E1" s="675"/>
      <c r="F1" s="675"/>
      <c r="G1" s="675"/>
      <c r="H1" s="675"/>
      <c r="I1" s="675"/>
      <c r="J1" s="675"/>
      <c r="K1" s="675"/>
      <c r="L1" s="675"/>
      <c r="M1" s="675"/>
      <c r="N1" s="675"/>
      <c r="O1" s="675"/>
      <c r="P1" s="675"/>
      <c r="Q1" s="675"/>
      <c r="R1" s="675"/>
      <c r="S1" s="675"/>
      <c r="T1" s="675"/>
      <c r="U1" s="675"/>
      <c r="V1" s="675"/>
      <c r="W1" s="675"/>
      <c r="X1" s="675"/>
      <c r="Y1" s="675"/>
      <c r="Z1" s="675"/>
      <c r="AA1" s="675"/>
      <c r="AB1" s="675"/>
      <c r="AC1" s="675"/>
      <c r="AD1" s="675"/>
    </row>
    <row r="2" spans="1:32" ht="15.75">
      <c r="A2" s="676"/>
      <c r="B2" s="676"/>
      <c r="C2" s="676"/>
      <c r="D2" s="676"/>
      <c r="E2" s="676"/>
      <c r="F2" s="676"/>
      <c r="G2" s="676"/>
      <c r="H2" s="676"/>
      <c r="I2" s="676"/>
      <c r="J2" s="676"/>
      <c r="K2" s="676"/>
      <c r="L2" s="676"/>
      <c r="M2" s="676"/>
      <c r="N2" s="676"/>
      <c r="O2" s="676"/>
      <c r="P2" s="676"/>
      <c r="Q2" s="676"/>
      <c r="R2" s="676"/>
      <c r="S2" s="676"/>
      <c r="T2" s="676"/>
      <c r="U2" s="676"/>
      <c r="V2" s="676"/>
      <c r="W2" s="676"/>
      <c r="X2" s="676"/>
      <c r="Y2" s="676"/>
      <c r="Z2" s="676"/>
      <c r="AA2" s="676"/>
      <c r="AB2" s="676"/>
      <c r="AC2" s="676"/>
      <c r="AD2" s="676"/>
    </row>
    <row r="3" spans="1:32" ht="15.75">
      <c r="A3" s="676" t="s">
        <v>164</v>
      </c>
      <c r="B3" s="676"/>
      <c r="C3" s="676"/>
      <c r="D3" s="676"/>
      <c r="E3" s="676"/>
      <c r="F3" s="676"/>
      <c r="G3" s="676"/>
      <c r="H3" s="676"/>
      <c r="I3" s="676"/>
      <c r="J3" s="676"/>
      <c r="K3" s="676"/>
      <c r="L3" s="676"/>
      <c r="M3" s="676"/>
      <c r="N3" s="676"/>
      <c r="O3" s="676"/>
      <c r="P3" s="676"/>
      <c r="Q3" s="676"/>
      <c r="R3" s="676"/>
      <c r="S3" s="676"/>
      <c r="T3" s="676"/>
      <c r="U3" s="676"/>
      <c r="V3" s="676"/>
      <c r="W3" s="676"/>
      <c r="X3" s="676"/>
      <c r="Y3" s="676"/>
      <c r="Z3" s="676"/>
      <c r="AA3" s="676"/>
      <c r="AB3" s="676"/>
      <c r="AC3" s="676"/>
      <c r="AD3" s="676"/>
    </row>
    <row r="4" spans="1:32" ht="15.75" thickBot="1">
      <c r="A4" s="13"/>
      <c r="B4" s="13"/>
      <c r="C4" s="483"/>
      <c r="D4" s="13"/>
      <c r="E4" s="13"/>
      <c r="F4" s="13"/>
      <c r="G4" s="13"/>
      <c r="H4" s="13"/>
      <c r="I4" s="14">
        <f>+I145</f>
        <v>0</v>
      </c>
      <c r="J4" s="14"/>
      <c r="K4" s="13"/>
      <c r="L4" s="13"/>
      <c r="M4" s="13"/>
      <c r="N4" s="13"/>
      <c r="O4" s="13"/>
      <c r="P4" s="13"/>
      <c r="Q4" s="13"/>
      <c r="R4" s="354"/>
      <c r="S4" s="13"/>
      <c r="T4" s="13"/>
      <c r="U4" s="13"/>
      <c r="V4" s="13"/>
      <c r="W4" s="13"/>
      <c r="X4" s="13"/>
      <c r="Y4" s="13"/>
      <c r="Z4" s="13"/>
      <c r="AA4" s="13"/>
      <c r="AB4" s="13"/>
      <c r="AC4" s="14">
        <f>+AC145</f>
        <v>0</v>
      </c>
      <c r="AD4" s="13"/>
    </row>
    <row r="5" spans="1:32" ht="15.75" customHeight="1" thickTop="1">
      <c r="A5" s="677" t="s">
        <v>11</v>
      </c>
      <c r="B5" s="680" t="s">
        <v>0</v>
      </c>
      <c r="C5" s="701" t="s">
        <v>37</v>
      </c>
      <c r="D5" s="683" t="s">
        <v>12</v>
      </c>
      <c r="E5" s="686" t="s">
        <v>1</v>
      </c>
      <c r="F5" s="687"/>
      <c r="G5" s="687"/>
      <c r="H5" s="687"/>
      <c r="I5" s="687"/>
      <c r="J5" s="687"/>
      <c r="K5" s="687"/>
      <c r="L5" s="687"/>
      <c r="M5" s="687"/>
      <c r="N5" s="687"/>
      <c r="O5" s="687"/>
      <c r="P5" s="687"/>
      <c r="Q5" s="687"/>
      <c r="R5" s="687"/>
      <c r="S5" s="687"/>
      <c r="T5" s="687"/>
      <c r="U5" s="687"/>
      <c r="V5" s="687"/>
      <c r="W5" s="687"/>
      <c r="X5" s="687"/>
      <c r="Y5" s="687"/>
      <c r="Z5" s="687"/>
      <c r="AA5" s="687"/>
      <c r="AB5" s="687"/>
      <c r="AC5" s="688"/>
      <c r="AD5" s="689" t="s">
        <v>2</v>
      </c>
    </row>
    <row r="6" spans="1:32" ht="15" customHeight="1">
      <c r="A6" s="678"/>
      <c r="B6" s="681"/>
      <c r="C6" s="702"/>
      <c r="D6" s="684"/>
      <c r="E6" s="692" t="s">
        <v>5</v>
      </c>
      <c r="F6" s="693"/>
      <c r="G6" s="693"/>
      <c r="H6" s="694"/>
      <c r="I6" s="695" t="s">
        <v>6</v>
      </c>
      <c r="J6" s="696" t="s">
        <v>13</v>
      </c>
      <c r="K6" s="698" t="s">
        <v>14</v>
      </c>
      <c r="L6" s="698"/>
      <c r="M6" s="698"/>
      <c r="N6" s="698"/>
      <c r="O6" s="698"/>
      <c r="P6" s="698"/>
      <c r="Q6" s="698"/>
      <c r="R6" s="698"/>
      <c r="S6" s="698"/>
      <c r="T6" s="698"/>
      <c r="U6" s="698"/>
      <c r="V6" s="698"/>
      <c r="W6" s="698"/>
      <c r="X6" s="698"/>
      <c r="Y6" s="698"/>
      <c r="Z6" s="698"/>
      <c r="AA6" s="698"/>
      <c r="AB6" s="698"/>
      <c r="AC6" s="695" t="s">
        <v>15</v>
      </c>
      <c r="AD6" s="690"/>
    </row>
    <row r="7" spans="1:32" ht="25.5" customHeight="1">
      <c r="A7" s="678"/>
      <c r="B7" s="681"/>
      <c r="C7" s="702"/>
      <c r="D7" s="685"/>
      <c r="E7" s="699" t="s">
        <v>51</v>
      </c>
      <c r="F7" s="700"/>
      <c r="G7" s="699" t="s">
        <v>35</v>
      </c>
      <c r="H7" s="700"/>
      <c r="I7" s="681"/>
      <c r="J7" s="697"/>
      <c r="K7" s="17" t="s">
        <v>16</v>
      </c>
      <c r="L7" s="90" t="s">
        <v>17</v>
      </c>
      <c r="M7" s="90" t="s">
        <v>58</v>
      </c>
      <c r="N7" s="90" t="s">
        <v>59</v>
      </c>
      <c r="O7" s="90" t="s">
        <v>18</v>
      </c>
      <c r="P7" s="90" t="s">
        <v>60</v>
      </c>
      <c r="Q7" s="90" t="s">
        <v>19</v>
      </c>
      <c r="R7" s="90" t="s">
        <v>55</v>
      </c>
      <c r="S7" s="90" t="s">
        <v>61</v>
      </c>
      <c r="T7" s="90" t="s">
        <v>62</v>
      </c>
      <c r="U7" s="90" t="s">
        <v>63</v>
      </c>
      <c r="V7" s="90" t="s">
        <v>56</v>
      </c>
      <c r="W7" s="17" t="s">
        <v>20</v>
      </c>
      <c r="X7" s="90" t="s">
        <v>57</v>
      </c>
      <c r="Y7" s="271" t="s">
        <v>154</v>
      </c>
      <c r="Z7" s="17" t="s">
        <v>21</v>
      </c>
      <c r="AA7" s="292" t="s">
        <v>155</v>
      </c>
      <c r="AB7" s="17" t="s">
        <v>22</v>
      </c>
      <c r="AC7" s="681"/>
      <c r="AD7" s="690"/>
    </row>
    <row r="8" spans="1:32" ht="15.75" thickBot="1">
      <c r="A8" s="679"/>
      <c r="B8" s="682"/>
      <c r="C8" s="484"/>
      <c r="D8" s="18" t="s">
        <v>4</v>
      </c>
      <c r="E8" s="19" t="s">
        <v>3</v>
      </c>
      <c r="F8" s="20" t="s">
        <v>4</v>
      </c>
      <c r="G8" s="19" t="s">
        <v>3</v>
      </c>
      <c r="H8" s="20" t="s">
        <v>4</v>
      </c>
      <c r="I8" s="682"/>
      <c r="J8" s="21" t="s">
        <v>4</v>
      </c>
      <c r="K8" s="20" t="s">
        <v>4</v>
      </c>
      <c r="L8" s="20" t="s">
        <v>4</v>
      </c>
      <c r="M8" s="20" t="s">
        <v>4</v>
      </c>
      <c r="N8" s="20" t="s">
        <v>4</v>
      </c>
      <c r="O8" s="20" t="s">
        <v>4</v>
      </c>
      <c r="P8" s="20" t="s">
        <v>4</v>
      </c>
      <c r="Q8" s="20" t="s">
        <v>4</v>
      </c>
      <c r="R8" s="20" t="s">
        <v>4</v>
      </c>
      <c r="S8" s="20" t="s">
        <v>4</v>
      </c>
      <c r="T8" s="20" t="s">
        <v>4</v>
      </c>
      <c r="U8" s="20" t="s">
        <v>4</v>
      </c>
      <c r="V8" s="20" t="s">
        <v>4</v>
      </c>
      <c r="W8" s="20" t="s">
        <v>4</v>
      </c>
      <c r="X8" s="20" t="s">
        <v>4</v>
      </c>
      <c r="Y8" s="20" t="s">
        <v>4</v>
      </c>
      <c r="Z8" s="20" t="s">
        <v>4</v>
      </c>
      <c r="AA8" s="20" t="s">
        <v>4</v>
      </c>
      <c r="AB8" s="20" t="s">
        <v>4</v>
      </c>
      <c r="AC8" s="682"/>
      <c r="AD8" s="691"/>
    </row>
    <row r="9" spans="1:32" ht="18" customHeight="1" thickTop="1">
      <c r="A9" s="23"/>
      <c r="B9" s="25"/>
      <c r="C9" s="485"/>
      <c r="D9" s="24"/>
      <c r="E9" s="34"/>
      <c r="F9" s="24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7"/>
    </row>
    <row r="10" spans="1:32">
      <c r="A10" s="333">
        <v>46209</v>
      </c>
      <c r="B10" s="298">
        <v>46204</v>
      </c>
      <c r="C10" s="486" t="s">
        <v>181</v>
      </c>
      <c r="D10" s="5">
        <f>+'Actual VS SAP'!H6</f>
        <v>1516.788</v>
      </c>
      <c r="E10" s="34">
        <v>442</v>
      </c>
      <c r="F10" s="6">
        <f t="shared" ref="F10" si="0">+E10*3.276</f>
        <v>1447.992</v>
      </c>
      <c r="G10" s="1"/>
      <c r="H10" s="28">
        <f t="shared" ref="H10" si="1">+G10*3.588</f>
        <v>0</v>
      </c>
      <c r="I10" s="28">
        <f t="shared" ref="I10" si="2">+F10+H10</f>
        <v>1447.992</v>
      </c>
      <c r="J10" s="26"/>
      <c r="K10" s="26">
        <v>3.75</v>
      </c>
      <c r="L10" s="26">
        <v>6.45</v>
      </c>
      <c r="M10" s="26"/>
      <c r="N10" s="26"/>
      <c r="O10" s="26">
        <v>10.45</v>
      </c>
      <c r="P10" s="26">
        <v>1.1000000000000001</v>
      </c>
      <c r="Q10" s="26"/>
      <c r="R10" s="26"/>
      <c r="S10" s="26">
        <v>7.85</v>
      </c>
      <c r="T10" s="26">
        <v>1.4</v>
      </c>
      <c r="U10" s="26"/>
      <c r="V10" s="26"/>
      <c r="W10" s="26"/>
      <c r="X10" s="26"/>
      <c r="Y10" s="26"/>
      <c r="Z10" s="26"/>
      <c r="AA10" s="26"/>
      <c r="AB10" s="26"/>
      <c r="AC10" s="26">
        <f>SUM(K10:AB10)</f>
        <v>31</v>
      </c>
      <c r="AD10" s="27"/>
      <c r="AF10" s="10"/>
    </row>
    <row r="11" spans="1:32">
      <c r="A11" s="333"/>
      <c r="B11" s="298">
        <v>46205</v>
      </c>
      <c r="C11" s="486" t="s">
        <v>188</v>
      </c>
      <c r="D11" s="5">
        <f>+'Actual VS SAP'!H7</f>
        <v>14447.16</v>
      </c>
      <c r="E11" s="34">
        <v>455</v>
      </c>
      <c r="F11" s="6">
        <f t="shared" ref="F11" si="3">+E11*3.276</f>
        <v>1490.58</v>
      </c>
      <c r="G11" s="1"/>
      <c r="H11" s="28">
        <f t="shared" ref="H11" si="4">+G11*3.588</f>
        <v>0</v>
      </c>
      <c r="I11" s="28">
        <f t="shared" ref="I11" si="5">+F11+H11</f>
        <v>1490.58</v>
      </c>
      <c r="J11" s="26"/>
      <c r="K11" s="26">
        <v>3.9</v>
      </c>
      <c r="L11" s="26">
        <v>7.5</v>
      </c>
      <c r="M11" s="26"/>
      <c r="N11" s="26"/>
      <c r="O11" s="26">
        <v>7.63</v>
      </c>
      <c r="P11" s="26">
        <v>0.8</v>
      </c>
      <c r="Q11" s="26"/>
      <c r="R11" s="26"/>
      <c r="S11" s="26">
        <v>2.5</v>
      </c>
      <c r="T11" s="26">
        <v>1.28</v>
      </c>
      <c r="U11" s="26"/>
      <c r="V11" s="26"/>
      <c r="W11" s="26"/>
      <c r="X11" s="26"/>
      <c r="Y11" s="26"/>
      <c r="Z11" s="26"/>
      <c r="AA11" s="26"/>
      <c r="AB11" s="26"/>
      <c r="AC11" s="26">
        <f t="shared" ref="AC11:AC90" si="6">SUM(K11:AB11)</f>
        <v>23.610000000000003</v>
      </c>
      <c r="AD11" s="29"/>
      <c r="AF11" s="10"/>
    </row>
    <row r="12" spans="1:32">
      <c r="A12" s="333"/>
      <c r="B12" s="298">
        <v>46205</v>
      </c>
      <c r="C12" s="486" t="s">
        <v>189</v>
      </c>
      <c r="D12" s="321"/>
      <c r="E12" s="4">
        <v>468</v>
      </c>
      <c r="F12" s="6">
        <f t="shared" ref="F12:F79" si="7">+E12*3.276</f>
        <v>1533.1679999999999</v>
      </c>
      <c r="G12" s="1"/>
      <c r="H12" s="28">
        <f>+G12*3.588</f>
        <v>0</v>
      </c>
      <c r="I12" s="28">
        <f>+F12+H12</f>
        <v>1533.1679999999999</v>
      </c>
      <c r="J12" s="26"/>
      <c r="K12" s="26">
        <v>4.5</v>
      </c>
      <c r="L12" s="26">
        <v>6.45</v>
      </c>
      <c r="M12" s="26"/>
      <c r="N12" s="26"/>
      <c r="O12" s="26">
        <v>13.75</v>
      </c>
      <c r="P12" s="26">
        <v>0.75</v>
      </c>
      <c r="Q12" s="26"/>
      <c r="R12" s="26"/>
      <c r="S12" s="26">
        <v>3.75</v>
      </c>
      <c r="T12" s="26">
        <v>0.98</v>
      </c>
      <c r="U12" s="26"/>
      <c r="V12" s="26"/>
      <c r="W12" s="26"/>
      <c r="X12" s="26"/>
      <c r="Y12" s="26"/>
      <c r="Z12" s="26"/>
      <c r="AA12" s="26"/>
      <c r="AB12" s="26"/>
      <c r="AC12" s="26">
        <f t="shared" si="6"/>
        <v>30.18</v>
      </c>
      <c r="AD12" s="29"/>
      <c r="AF12" s="10"/>
    </row>
    <row r="13" spans="1:32">
      <c r="A13" s="333"/>
      <c r="B13" s="298">
        <v>46205</v>
      </c>
      <c r="C13" s="486" t="s">
        <v>190</v>
      </c>
      <c r="D13" s="5"/>
      <c r="E13" s="4">
        <v>488</v>
      </c>
      <c r="F13" s="6">
        <f t="shared" ref="F13" si="8">+E13*3.276</f>
        <v>1598.6879999999999</v>
      </c>
      <c r="G13" s="1"/>
      <c r="H13" s="28">
        <f t="shared" ref="H13" si="9">+G13*3.588</f>
        <v>0</v>
      </c>
      <c r="I13" s="28">
        <f t="shared" ref="I13" si="10">+F13+H13</f>
        <v>1598.6879999999999</v>
      </c>
      <c r="J13" s="26"/>
      <c r="K13" s="26">
        <v>2.6</v>
      </c>
      <c r="L13" s="26">
        <v>5.38</v>
      </c>
      <c r="M13" s="26"/>
      <c r="N13" s="26"/>
      <c r="O13" s="26">
        <v>8.9499999999999993</v>
      </c>
      <c r="P13" s="26">
        <v>0.5</v>
      </c>
      <c r="Q13" s="26"/>
      <c r="R13" s="26"/>
      <c r="S13" s="26"/>
      <c r="T13" s="26">
        <v>0.62</v>
      </c>
      <c r="U13" s="26"/>
      <c r="V13" s="26"/>
      <c r="W13" s="26"/>
      <c r="X13" s="26"/>
      <c r="Y13" s="26"/>
      <c r="Z13" s="26"/>
      <c r="AA13" s="26"/>
      <c r="AB13" s="26"/>
      <c r="AC13" s="26">
        <f t="shared" si="6"/>
        <v>18.05</v>
      </c>
      <c r="AD13" s="29"/>
      <c r="AF13" s="10"/>
    </row>
    <row r="14" spans="1:32">
      <c r="A14" s="333"/>
      <c r="B14" s="298">
        <v>46205</v>
      </c>
      <c r="C14" s="486" t="s">
        <v>191</v>
      </c>
      <c r="D14" s="5"/>
      <c r="E14" s="34">
        <v>329</v>
      </c>
      <c r="F14" s="6">
        <f>+E14*3.276</f>
        <v>1077.8039999999999</v>
      </c>
      <c r="G14" s="1"/>
      <c r="H14" s="28">
        <f t="shared" ref="H14" si="11">+G14*3.588</f>
        <v>0</v>
      </c>
      <c r="I14" s="28">
        <f t="shared" ref="I14:I31" si="12">+F14+H14</f>
        <v>1077.8039999999999</v>
      </c>
      <c r="J14" s="26">
        <f>(109+2+29+26)*3.276</f>
        <v>543.81599999999992</v>
      </c>
      <c r="K14" s="26">
        <v>4.16</v>
      </c>
      <c r="L14" s="26">
        <v>5.3</v>
      </c>
      <c r="M14" s="26"/>
      <c r="N14" s="26"/>
      <c r="O14" s="26">
        <v>7.66</v>
      </c>
      <c r="P14" s="26">
        <v>0.08</v>
      </c>
      <c r="Q14" s="26"/>
      <c r="R14" s="26"/>
      <c r="S14" s="26">
        <v>0.1</v>
      </c>
      <c r="T14" s="26">
        <v>0.4</v>
      </c>
      <c r="U14" s="26"/>
      <c r="V14" s="26"/>
      <c r="W14" s="26"/>
      <c r="X14" s="26"/>
      <c r="Y14" s="26"/>
      <c r="Z14" s="26"/>
      <c r="AA14" s="26"/>
      <c r="AB14" s="26"/>
      <c r="AC14" s="26">
        <f t="shared" si="6"/>
        <v>17.7</v>
      </c>
      <c r="AD14" s="29"/>
      <c r="AF14" s="10"/>
    </row>
    <row r="15" spans="1:32">
      <c r="A15" s="333"/>
      <c r="B15" s="298">
        <v>46205</v>
      </c>
      <c r="C15" s="486" t="s">
        <v>192</v>
      </c>
      <c r="D15" s="5"/>
      <c r="E15" s="34">
        <v>504</v>
      </c>
      <c r="F15" s="6">
        <f>+E15*3.276</f>
        <v>1651.1039999999998</v>
      </c>
      <c r="G15" s="1"/>
      <c r="H15" s="28">
        <f t="shared" ref="H15" si="13">+G15*3.588</f>
        <v>0</v>
      </c>
      <c r="I15" s="28">
        <f t="shared" si="12"/>
        <v>1651.1039999999998</v>
      </c>
      <c r="J15" s="26"/>
      <c r="K15" s="26">
        <v>4.08</v>
      </c>
      <c r="L15" s="26">
        <v>5.16</v>
      </c>
      <c r="M15" s="26"/>
      <c r="N15" s="26"/>
      <c r="O15" s="26">
        <v>3.76</v>
      </c>
      <c r="P15" s="26">
        <v>0.06</v>
      </c>
      <c r="Q15" s="26"/>
      <c r="R15" s="26"/>
      <c r="S15" s="26">
        <v>0.42</v>
      </c>
      <c r="T15" s="26">
        <v>0.74</v>
      </c>
      <c r="U15" s="26"/>
      <c r="V15" s="26"/>
      <c r="W15" s="26"/>
      <c r="X15" s="26"/>
      <c r="Y15" s="26"/>
      <c r="Z15" s="26"/>
      <c r="AA15" s="26"/>
      <c r="AB15" s="26"/>
      <c r="AC15" s="26">
        <f t="shared" si="6"/>
        <v>14.22</v>
      </c>
      <c r="AD15" s="29"/>
      <c r="AF15" s="10"/>
    </row>
    <row r="16" spans="1:32">
      <c r="A16" s="333"/>
      <c r="B16" s="298">
        <v>46205</v>
      </c>
      <c r="C16" s="486" t="s">
        <v>193</v>
      </c>
      <c r="D16" s="5"/>
      <c r="E16" s="34">
        <v>483</v>
      </c>
      <c r="F16" s="6">
        <f t="shared" ref="F16" si="14">+E16*3.276</f>
        <v>1582.308</v>
      </c>
      <c r="G16" s="1"/>
      <c r="H16" s="28">
        <f t="shared" ref="H16" si="15">+G16*3.588</f>
        <v>0</v>
      </c>
      <c r="I16" s="28">
        <f t="shared" ref="I16" si="16">+F16+H16</f>
        <v>1582.308</v>
      </c>
      <c r="J16" s="26"/>
      <c r="K16" s="26">
        <v>3.78</v>
      </c>
      <c r="L16" s="26">
        <v>1.4</v>
      </c>
      <c r="M16" s="26"/>
      <c r="N16" s="26"/>
      <c r="O16" s="26">
        <v>5.12</v>
      </c>
      <c r="P16" s="26">
        <v>0.08</v>
      </c>
      <c r="Q16" s="26"/>
      <c r="R16" s="26"/>
      <c r="S16" s="26">
        <v>1.54</v>
      </c>
      <c r="T16" s="26">
        <v>1.26</v>
      </c>
      <c r="U16" s="26"/>
      <c r="V16" s="26"/>
      <c r="W16" s="26"/>
      <c r="X16" s="26"/>
      <c r="Y16" s="26"/>
      <c r="Z16" s="26"/>
      <c r="AA16" s="26"/>
      <c r="AB16" s="26"/>
      <c r="AC16" s="26">
        <f t="shared" si="6"/>
        <v>13.180000000000001</v>
      </c>
      <c r="AD16" s="29"/>
      <c r="AF16" s="10"/>
    </row>
    <row r="17" spans="1:32">
      <c r="A17" s="333"/>
      <c r="B17" s="298">
        <v>46205</v>
      </c>
      <c r="C17" s="486" t="s">
        <v>194</v>
      </c>
      <c r="D17" s="5"/>
      <c r="E17" s="34">
        <v>153</v>
      </c>
      <c r="F17" s="6">
        <f t="shared" ref="F17:F18" si="17">+E17*3.276</f>
        <v>501.22799999999995</v>
      </c>
      <c r="G17" s="1"/>
      <c r="H17" s="28">
        <f t="shared" ref="H17:H31" si="18">+G17*3.588</f>
        <v>0</v>
      </c>
      <c r="I17" s="28">
        <f t="shared" ref="I17:I18" si="19">+F17+H17</f>
        <v>501.22799999999995</v>
      </c>
      <c r="J17" s="26"/>
      <c r="K17" s="26">
        <v>1.7</v>
      </c>
      <c r="L17" s="26"/>
      <c r="M17" s="26"/>
      <c r="N17" s="26"/>
      <c r="O17" s="26">
        <v>1.1399999999999999</v>
      </c>
      <c r="P17" s="26">
        <v>1.46</v>
      </c>
      <c r="Q17" s="26"/>
      <c r="R17" s="26"/>
      <c r="S17" s="26"/>
      <c r="T17" s="26">
        <v>0.7</v>
      </c>
      <c r="U17" s="26"/>
      <c r="V17" s="26"/>
      <c r="W17" s="26"/>
      <c r="X17" s="26"/>
      <c r="Y17" s="26"/>
      <c r="Z17" s="26"/>
      <c r="AA17" s="26"/>
      <c r="AB17" s="26"/>
      <c r="AC17" s="26">
        <f t="shared" si="6"/>
        <v>5</v>
      </c>
      <c r="AD17" s="29"/>
      <c r="AF17" s="10"/>
    </row>
    <row r="18" spans="1:32">
      <c r="A18" s="333">
        <v>46210</v>
      </c>
      <c r="B18" s="298">
        <v>46205</v>
      </c>
      <c r="C18" s="486" t="s">
        <v>194</v>
      </c>
      <c r="D18" s="5"/>
      <c r="E18" s="34">
        <f>349+43</f>
        <v>392</v>
      </c>
      <c r="F18" s="6">
        <f t="shared" si="17"/>
        <v>1284.192</v>
      </c>
      <c r="G18" s="1"/>
      <c r="H18" s="28">
        <f t="shared" si="18"/>
        <v>0</v>
      </c>
      <c r="I18" s="28">
        <f t="shared" si="19"/>
        <v>1284.192</v>
      </c>
      <c r="J18" s="26"/>
      <c r="K18" s="26">
        <v>0.9</v>
      </c>
      <c r="L18" s="26">
        <v>1.25</v>
      </c>
      <c r="M18" s="26"/>
      <c r="N18" s="26"/>
      <c r="O18" s="26">
        <v>2.5</v>
      </c>
      <c r="P18" s="26">
        <v>0.5</v>
      </c>
      <c r="Q18" s="26"/>
      <c r="R18" s="26"/>
      <c r="S18" s="26"/>
      <c r="T18" s="26">
        <v>0.85</v>
      </c>
      <c r="U18" s="26"/>
      <c r="V18" s="26"/>
      <c r="W18" s="26"/>
      <c r="X18" s="26"/>
      <c r="Y18" s="26"/>
      <c r="Z18" s="26"/>
      <c r="AA18" s="26"/>
      <c r="AB18" s="26"/>
      <c r="AC18" s="26">
        <f t="shared" si="6"/>
        <v>6</v>
      </c>
      <c r="AD18" s="29"/>
      <c r="AF18" s="10"/>
    </row>
    <row r="19" spans="1:32">
      <c r="A19" s="333"/>
      <c r="B19" s="298">
        <v>46205</v>
      </c>
      <c r="C19" s="486" t="s">
        <v>195</v>
      </c>
      <c r="D19" s="5"/>
      <c r="E19" s="34">
        <v>574</v>
      </c>
      <c r="F19" s="6">
        <f t="shared" si="7"/>
        <v>1880.424</v>
      </c>
      <c r="G19" s="1"/>
      <c r="H19" s="28">
        <f t="shared" si="18"/>
        <v>0</v>
      </c>
      <c r="I19" s="28">
        <f t="shared" si="12"/>
        <v>1880.424</v>
      </c>
      <c r="J19" s="26"/>
      <c r="K19" s="26">
        <v>0.75</v>
      </c>
      <c r="L19" s="26">
        <v>1.33</v>
      </c>
      <c r="M19" s="26"/>
      <c r="N19" s="26"/>
      <c r="O19" s="26">
        <v>5.45</v>
      </c>
      <c r="P19" s="26">
        <v>0.45</v>
      </c>
      <c r="Q19" s="26"/>
      <c r="R19" s="26">
        <v>2.7</v>
      </c>
      <c r="S19" s="26"/>
      <c r="T19" s="26">
        <v>1.5</v>
      </c>
      <c r="U19" s="26"/>
      <c r="V19" s="26"/>
      <c r="W19" s="26"/>
      <c r="X19" s="26"/>
      <c r="Y19" s="26"/>
      <c r="Z19" s="26"/>
      <c r="AA19" s="26"/>
      <c r="AB19" s="26"/>
      <c r="AC19" s="26">
        <f t="shared" si="6"/>
        <v>12.18</v>
      </c>
      <c r="AD19" s="29"/>
      <c r="AF19" s="10"/>
    </row>
    <row r="20" spans="1:32">
      <c r="A20" s="333"/>
      <c r="B20" s="298">
        <v>46205</v>
      </c>
      <c r="C20" s="486" t="s">
        <v>196</v>
      </c>
      <c r="D20" s="5"/>
      <c r="E20" s="34">
        <v>350</v>
      </c>
      <c r="F20" s="6">
        <f t="shared" si="7"/>
        <v>1146.5999999999999</v>
      </c>
      <c r="G20" s="1"/>
      <c r="H20" s="28">
        <f t="shared" si="18"/>
        <v>0</v>
      </c>
      <c r="I20" s="28">
        <f t="shared" si="12"/>
        <v>1146.5999999999999</v>
      </c>
      <c r="J20" s="26">
        <f>(15)*3.276</f>
        <v>49.14</v>
      </c>
      <c r="K20" s="26">
        <v>5.0999999999999996</v>
      </c>
      <c r="L20" s="26">
        <v>6.2</v>
      </c>
      <c r="M20" s="26"/>
      <c r="N20" s="26">
        <v>1.4</v>
      </c>
      <c r="O20" s="26">
        <v>5.25</v>
      </c>
      <c r="P20" s="26"/>
      <c r="Q20" s="26"/>
      <c r="R20" s="26">
        <v>0.21</v>
      </c>
      <c r="S20" s="26">
        <v>5</v>
      </c>
      <c r="T20" s="26">
        <v>2.2999999999999998</v>
      </c>
      <c r="U20" s="26"/>
      <c r="V20" s="26"/>
      <c r="W20" s="26"/>
      <c r="X20" s="26"/>
      <c r="Y20" s="26"/>
      <c r="Z20" s="26"/>
      <c r="AA20" s="26"/>
      <c r="AB20" s="26"/>
      <c r="AC20" s="26">
        <f t="shared" si="6"/>
        <v>25.460000000000004</v>
      </c>
      <c r="AD20" s="29"/>
      <c r="AF20" s="10"/>
    </row>
    <row r="21" spans="1:32">
      <c r="A21" s="333"/>
      <c r="B21" s="298">
        <v>46206</v>
      </c>
      <c r="C21" s="486" t="s">
        <v>197</v>
      </c>
      <c r="D21" s="5">
        <f>+'Actual VS SAP'!H8</f>
        <v>14155.596</v>
      </c>
      <c r="E21" s="34">
        <v>497</v>
      </c>
      <c r="F21" s="6">
        <f t="shared" ref="F21" si="20">+E21*3.276</f>
        <v>1628.1719999999998</v>
      </c>
      <c r="G21" s="1"/>
      <c r="H21" s="28">
        <f t="shared" si="18"/>
        <v>0</v>
      </c>
      <c r="I21" s="28">
        <f t="shared" ref="I21" si="21">+F21+H21</f>
        <v>1628.1719999999998</v>
      </c>
      <c r="J21" s="26"/>
      <c r="K21" s="26">
        <v>8.5</v>
      </c>
      <c r="L21" s="26">
        <v>10</v>
      </c>
      <c r="M21" s="26"/>
      <c r="N21" s="26">
        <v>14.5</v>
      </c>
      <c r="O21" s="26">
        <v>14.8</v>
      </c>
      <c r="P21" s="26">
        <v>0.4</v>
      </c>
      <c r="Q21" s="26"/>
      <c r="R21" s="26">
        <v>0.3</v>
      </c>
      <c r="S21" s="26">
        <v>0.8</v>
      </c>
      <c r="T21" s="26">
        <v>1.1000000000000001</v>
      </c>
      <c r="U21" s="26"/>
      <c r="V21" s="26"/>
      <c r="W21" s="26"/>
      <c r="X21" s="26"/>
      <c r="Y21" s="26"/>
      <c r="Z21" s="26"/>
      <c r="AA21" s="26"/>
      <c r="AB21" s="26"/>
      <c r="AC21" s="26">
        <f t="shared" si="6"/>
        <v>50.399999999999991</v>
      </c>
      <c r="AD21" s="29"/>
      <c r="AF21" s="10"/>
    </row>
    <row r="22" spans="1:32">
      <c r="A22" s="333"/>
      <c r="B22" s="298">
        <v>46206</v>
      </c>
      <c r="C22" s="486" t="s">
        <v>198</v>
      </c>
      <c r="D22" s="5"/>
      <c r="E22" s="34">
        <v>499</v>
      </c>
      <c r="F22" s="6">
        <f t="shared" ref="F22:F25" si="22">+E22*3.276</f>
        <v>1634.7239999999999</v>
      </c>
      <c r="G22" s="1"/>
      <c r="H22" s="28">
        <f t="shared" ref="H22:H23" si="23">+G22*3.588</f>
        <v>0</v>
      </c>
      <c r="I22" s="28">
        <f t="shared" ref="I22:I25" si="24">+F22+H22</f>
        <v>1634.7239999999999</v>
      </c>
      <c r="J22" s="26"/>
      <c r="K22" s="26">
        <v>6.75</v>
      </c>
      <c r="L22" s="26">
        <v>10.45</v>
      </c>
      <c r="M22" s="26"/>
      <c r="N22" s="26">
        <v>9.35</v>
      </c>
      <c r="O22" s="26">
        <v>10.45</v>
      </c>
      <c r="P22" s="26">
        <v>0.35</v>
      </c>
      <c r="Q22" s="26"/>
      <c r="R22" s="26"/>
      <c r="S22" s="26"/>
      <c r="T22" s="26">
        <v>2.4500000000000002</v>
      </c>
      <c r="U22" s="26"/>
      <c r="V22" s="26"/>
      <c r="W22" s="26"/>
      <c r="X22" s="26"/>
      <c r="Y22" s="26"/>
      <c r="Z22" s="26"/>
      <c r="AA22" s="26"/>
      <c r="AB22" s="26"/>
      <c r="AC22" s="26">
        <f t="shared" si="6"/>
        <v>39.800000000000004</v>
      </c>
      <c r="AD22" s="29"/>
      <c r="AF22" s="10"/>
    </row>
    <row r="23" spans="1:32">
      <c r="A23" s="333"/>
      <c r="B23" s="298">
        <v>46206</v>
      </c>
      <c r="C23" s="486" t="s">
        <v>199</v>
      </c>
      <c r="D23" s="5"/>
      <c r="E23" s="34">
        <v>264</v>
      </c>
      <c r="F23" s="6">
        <f t="shared" si="22"/>
        <v>864.86399999999992</v>
      </c>
      <c r="G23" s="1"/>
      <c r="H23" s="28">
        <f t="shared" si="23"/>
        <v>0</v>
      </c>
      <c r="I23" s="28">
        <f t="shared" si="24"/>
        <v>864.86399999999992</v>
      </c>
      <c r="J23" s="338"/>
      <c r="K23" s="26">
        <v>5.35</v>
      </c>
      <c r="L23" s="26">
        <v>8.85</v>
      </c>
      <c r="M23" s="26"/>
      <c r="N23" s="26">
        <v>1.2</v>
      </c>
      <c r="O23" s="26">
        <v>8.4499999999999993</v>
      </c>
      <c r="P23" s="26">
        <v>0.4</v>
      </c>
      <c r="Q23" s="26"/>
      <c r="R23" s="26"/>
      <c r="S23" s="26">
        <v>0.6</v>
      </c>
      <c r="T23" s="26">
        <v>0.8</v>
      </c>
      <c r="U23" s="26"/>
      <c r="V23" s="26"/>
      <c r="W23" s="26"/>
      <c r="X23" s="26"/>
      <c r="Y23" s="26"/>
      <c r="Z23" s="26"/>
      <c r="AA23" s="26"/>
      <c r="AB23" s="26"/>
      <c r="AC23" s="26">
        <f t="shared" si="6"/>
        <v>25.65</v>
      </c>
      <c r="AD23" s="29"/>
      <c r="AF23" s="10"/>
    </row>
    <row r="24" spans="1:32">
      <c r="A24" s="333">
        <v>46211</v>
      </c>
      <c r="B24" s="298">
        <v>46206</v>
      </c>
      <c r="C24" s="486" t="s">
        <v>199</v>
      </c>
      <c r="D24" s="5"/>
      <c r="E24" s="34">
        <v>200</v>
      </c>
      <c r="F24" s="6">
        <f t="shared" ref="F24" si="25">+E24*3.276</f>
        <v>655.19999999999993</v>
      </c>
      <c r="G24" s="1"/>
      <c r="H24" s="28">
        <f t="shared" ref="H24" si="26">+G24*3.588</f>
        <v>0</v>
      </c>
      <c r="I24" s="28">
        <f t="shared" ref="I24" si="27">+F24+H24</f>
        <v>655.19999999999993</v>
      </c>
      <c r="J24" s="338"/>
      <c r="K24" s="26">
        <v>5</v>
      </c>
      <c r="L24" s="26">
        <v>5.2</v>
      </c>
      <c r="M24" s="26"/>
      <c r="N24" s="26"/>
      <c r="O24" s="26">
        <v>5</v>
      </c>
      <c r="P24" s="26"/>
      <c r="Q24" s="26"/>
      <c r="R24" s="26"/>
      <c r="S24" s="26"/>
      <c r="T24" s="26">
        <v>0.2</v>
      </c>
      <c r="U24" s="26"/>
      <c r="V24" s="26"/>
      <c r="W24" s="26"/>
      <c r="X24" s="26"/>
      <c r="Y24" s="26"/>
      <c r="Z24" s="26"/>
      <c r="AA24" s="26"/>
      <c r="AB24" s="26"/>
      <c r="AC24" s="26">
        <f t="shared" si="6"/>
        <v>15.399999999999999</v>
      </c>
      <c r="AD24" s="29"/>
    </row>
    <row r="25" spans="1:32">
      <c r="A25" s="333"/>
      <c r="B25" s="298">
        <v>46206</v>
      </c>
      <c r="C25" s="486" t="s">
        <v>200</v>
      </c>
      <c r="D25" s="321"/>
      <c r="E25" s="34">
        <v>516</v>
      </c>
      <c r="F25" s="6">
        <f t="shared" si="22"/>
        <v>1690.4159999999999</v>
      </c>
      <c r="G25" s="1"/>
      <c r="H25" s="28">
        <f t="shared" si="18"/>
        <v>0</v>
      </c>
      <c r="I25" s="28">
        <f t="shared" si="24"/>
        <v>1690.4159999999999</v>
      </c>
      <c r="J25" s="26"/>
      <c r="K25" s="26">
        <v>8.25</v>
      </c>
      <c r="L25" s="26">
        <v>9.85</v>
      </c>
      <c r="M25" s="26"/>
      <c r="N25" s="26">
        <v>0.3</v>
      </c>
      <c r="O25" s="26">
        <v>8.4499999999999993</v>
      </c>
      <c r="P25" s="26">
        <v>0.5</v>
      </c>
      <c r="Q25" s="26"/>
      <c r="R25" s="26"/>
      <c r="S25" s="26">
        <v>0.45</v>
      </c>
      <c r="T25" s="26">
        <v>0.57999999999999996</v>
      </c>
      <c r="U25" s="26"/>
      <c r="V25" s="26"/>
      <c r="W25" s="26"/>
      <c r="X25" s="26"/>
      <c r="Y25" s="26"/>
      <c r="Z25" s="26"/>
      <c r="AA25" s="26"/>
      <c r="AB25" s="26"/>
      <c r="AC25" s="26">
        <f t="shared" si="6"/>
        <v>28.38</v>
      </c>
      <c r="AD25" s="29"/>
    </row>
    <row r="26" spans="1:32">
      <c r="A26" s="3"/>
      <c r="B26" s="298">
        <v>46206</v>
      </c>
      <c r="C26" s="486" t="s">
        <v>201</v>
      </c>
      <c r="D26" s="5"/>
      <c r="E26" s="34">
        <v>567</v>
      </c>
      <c r="F26" s="6">
        <f t="shared" si="7"/>
        <v>1857.492</v>
      </c>
      <c r="G26" s="1"/>
      <c r="H26" s="28">
        <f t="shared" si="18"/>
        <v>0</v>
      </c>
      <c r="I26" s="28">
        <f t="shared" si="12"/>
        <v>1857.492</v>
      </c>
      <c r="J26" s="26"/>
      <c r="K26" s="26">
        <v>5.35</v>
      </c>
      <c r="L26" s="26">
        <v>7.85</v>
      </c>
      <c r="M26" s="26"/>
      <c r="N26" s="26">
        <v>3.25</v>
      </c>
      <c r="O26" s="26">
        <v>10.35</v>
      </c>
      <c r="P26" s="26">
        <v>0.4</v>
      </c>
      <c r="Q26" s="26"/>
      <c r="R26" s="26"/>
      <c r="S26" s="26"/>
      <c r="T26" s="26">
        <v>1.4</v>
      </c>
      <c r="U26" s="26"/>
      <c r="V26" s="26"/>
      <c r="W26" s="26"/>
      <c r="X26" s="26"/>
      <c r="Y26" s="26"/>
      <c r="Z26" s="26"/>
      <c r="AA26" s="26"/>
      <c r="AB26" s="26"/>
      <c r="AC26" s="26">
        <f t="shared" si="6"/>
        <v>28.599999999999994</v>
      </c>
      <c r="AD26" s="29"/>
    </row>
    <row r="27" spans="1:32">
      <c r="A27" s="333"/>
      <c r="B27" s="298">
        <v>46206</v>
      </c>
      <c r="C27" s="486" t="s">
        <v>202</v>
      </c>
      <c r="D27" s="5"/>
      <c r="E27" s="34">
        <v>495</v>
      </c>
      <c r="F27" s="6">
        <f t="shared" si="7"/>
        <v>1621.62</v>
      </c>
      <c r="G27" s="1"/>
      <c r="H27" s="28">
        <f t="shared" si="18"/>
        <v>0</v>
      </c>
      <c r="I27" s="28">
        <f t="shared" si="12"/>
        <v>1621.62</v>
      </c>
      <c r="J27" s="26"/>
      <c r="K27" s="26">
        <v>10.24</v>
      </c>
      <c r="L27" s="26">
        <v>10.35</v>
      </c>
      <c r="M27" s="26"/>
      <c r="N27" s="26">
        <v>0.7</v>
      </c>
      <c r="O27" s="26">
        <v>4.54</v>
      </c>
      <c r="P27" s="26">
        <v>0.54</v>
      </c>
      <c r="Q27" s="26"/>
      <c r="R27" s="26"/>
      <c r="S27" s="26"/>
      <c r="T27" s="26">
        <v>0.9</v>
      </c>
      <c r="U27" s="26"/>
      <c r="V27" s="26"/>
      <c r="W27" s="26"/>
      <c r="X27" s="26"/>
      <c r="Y27" s="26"/>
      <c r="Z27" s="26"/>
      <c r="AA27" s="26"/>
      <c r="AB27" s="26"/>
      <c r="AC27" s="26">
        <f t="shared" si="6"/>
        <v>27.269999999999996</v>
      </c>
      <c r="AD27" s="29"/>
    </row>
    <row r="28" spans="1:32">
      <c r="A28" s="3"/>
      <c r="B28" s="298">
        <v>46206</v>
      </c>
      <c r="C28" s="486" t="s">
        <v>203</v>
      </c>
      <c r="D28" s="5"/>
      <c r="E28" s="34">
        <v>674</v>
      </c>
      <c r="F28" s="6">
        <f t="shared" si="7"/>
        <v>2208.0239999999999</v>
      </c>
      <c r="G28" s="1"/>
      <c r="H28" s="28">
        <f t="shared" si="18"/>
        <v>0</v>
      </c>
      <c r="I28" s="28">
        <f t="shared" si="12"/>
        <v>2208.0239999999999</v>
      </c>
      <c r="J28" s="26"/>
      <c r="K28" s="26">
        <v>6.7</v>
      </c>
      <c r="L28" s="26">
        <v>6.5</v>
      </c>
      <c r="M28" s="26"/>
      <c r="N28" s="26"/>
      <c r="O28" s="26">
        <v>4.7</v>
      </c>
      <c r="P28" s="26"/>
      <c r="Q28" s="26"/>
      <c r="R28" s="26"/>
      <c r="S28" s="26"/>
      <c r="T28" s="26">
        <v>1.45</v>
      </c>
      <c r="U28" s="26"/>
      <c r="V28" s="26"/>
      <c r="W28" s="26"/>
      <c r="X28" s="26"/>
      <c r="Y28" s="26"/>
      <c r="Z28" s="26"/>
      <c r="AA28" s="26"/>
      <c r="AB28" s="26"/>
      <c r="AC28" s="26">
        <f t="shared" si="6"/>
        <v>19.349999999999998</v>
      </c>
      <c r="AD28" s="29"/>
    </row>
    <row r="29" spans="1:32">
      <c r="A29" s="333"/>
      <c r="B29" s="298">
        <v>46206</v>
      </c>
      <c r="C29" s="486" t="s">
        <v>204</v>
      </c>
      <c r="D29" s="5"/>
      <c r="E29" s="34">
        <v>453</v>
      </c>
      <c r="F29" s="6">
        <f t="shared" si="7"/>
        <v>1484.028</v>
      </c>
      <c r="G29" s="1"/>
      <c r="H29" s="28">
        <f t="shared" si="18"/>
        <v>0</v>
      </c>
      <c r="I29" s="28">
        <f t="shared" si="12"/>
        <v>1484.028</v>
      </c>
      <c r="J29" s="26"/>
      <c r="K29" s="26">
        <v>4.3</v>
      </c>
      <c r="L29" s="26">
        <v>8</v>
      </c>
      <c r="M29" s="26"/>
      <c r="N29" s="26"/>
      <c r="O29" s="26">
        <v>4.46</v>
      </c>
      <c r="P29" s="26">
        <v>0.3</v>
      </c>
      <c r="Q29" s="26"/>
      <c r="R29" s="26">
        <v>0.8</v>
      </c>
      <c r="S29" s="26"/>
      <c r="T29" s="26">
        <v>1.22</v>
      </c>
      <c r="U29" s="26"/>
      <c r="V29" s="26"/>
      <c r="W29" s="26"/>
      <c r="X29" s="26"/>
      <c r="Y29" s="26"/>
      <c r="Z29" s="26"/>
      <c r="AA29" s="26"/>
      <c r="AB29" s="26"/>
      <c r="AC29" s="26">
        <f t="shared" si="6"/>
        <v>19.080000000000002</v>
      </c>
      <c r="AD29" s="29"/>
    </row>
    <row r="30" spans="1:32">
      <c r="A30" s="333">
        <v>46219</v>
      </c>
      <c r="B30" s="298">
        <v>46216</v>
      </c>
      <c r="C30" s="486" t="s">
        <v>250</v>
      </c>
      <c r="D30" s="5">
        <f>+'HASIL PROD'!I146</f>
        <v>1434.8879999999999</v>
      </c>
      <c r="E30" s="34">
        <v>426</v>
      </c>
      <c r="F30" s="6">
        <f t="shared" si="7"/>
        <v>1395.576</v>
      </c>
      <c r="G30" s="1"/>
      <c r="H30" s="28">
        <f t="shared" si="18"/>
        <v>0</v>
      </c>
      <c r="I30" s="28">
        <f t="shared" si="12"/>
        <v>1395.576</v>
      </c>
      <c r="J30" s="26"/>
      <c r="K30" s="26">
        <v>4.2</v>
      </c>
      <c r="L30" s="26">
        <v>13.37</v>
      </c>
      <c r="M30" s="26">
        <v>17.5</v>
      </c>
      <c r="N30" s="26"/>
      <c r="O30" s="26">
        <v>4.5</v>
      </c>
      <c r="P30" s="26">
        <v>0.6</v>
      </c>
      <c r="Q30" s="26"/>
      <c r="R30" s="26">
        <v>1.95</v>
      </c>
      <c r="S30" s="26"/>
      <c r="T30" s="26">
        <v>0.49</v>
      </c>
      <c r="U30" s="26"/>
      <c r="V30" s="26"/>
      <c r="W30" s="26"/>
      <c r="X30" s="26"/>
      <c r="Y30" s="26"/>
      <c r="Z30" s="26"/>
      <c r="AA30" s="26"/>
      <c r="AB30" s="26"/>
      <c r="AC30" s="26">
        <f t="shared" si="6"/>
        <v>42.610000000000007</v>
      </c>
      <c r="AD30" s="29"/>
    </row>
    <row r="31" spans="1:32">
      <c r="A31" s="3"/>
      <c r="B31" s="298">
        <v>46217</v>
      </c>
      <c r="C31" s="486" t="s">
        <v>251</v>
      </c>
      <c r="D31" s="5">
        <f>+'HASIL PROD'!I157</f>
        <v>15452.892</v>
      </c>
      <c r="E31" s="34">
        <v>626</v>
      </c>
      <c r="F31" s="6">
        <f t="shared" si="7"/>
        <v>2050.7759999999998</v>
      </c>
      <c r="G31" s="1"/>
      <c r="H31" s="28">
        <f t="shared" si="18"/>
        <v>0</v>
      </c>
      <c r="I31" s="28">
        <f t="shared" si="12"/>
        <v>2050.7759999999998</v>
      </c>
      <c r="J31" s="26"/>
      <c r="K31" s="26">
        <v>6.1</v>
      </c>
      <c r="L31" s="26">
        <v>21.48</v>
      </c>
      <c r="M31" s="26">
        <v>3.2</v>
      </c>
      <c r="N31" s="26"/>
      <c r="O31" s="26">
        <v>10.85</v>
      </c>
      <c r="P31" s="26">
        <v>0.5</v>
      </c>
      <c r="Q31" s="26"/>
      <c r="R31" s="26">
        <v>2.4</v>
      </c>
      <c r="S31" s="26"/>
      <c r="T31" s="26">
        <v>3</v>
      </c>
      <c r="U31" s="26"/>
      <c r="V31" s="26"/>
      <c r="W31" s="26"/>
      <c r="X31" s="26"/>
      <c r="Y31" s="26"/>
      <c r="Z31" s="26"/>
      <c r="AA31" s="26"/>
      <c r="AB31" s="26"/>
      <c r="AC31" s="26">
        <f t="shared" si="6"/>
        <v>47.529999999999994</v>
      </c>
      <c r="AD31" s="29"/>
    </row>
    <row r="32" spans="1:32">
      <c r="A32" s="3"/>
      <c r="B32" s="298">
        <v>46217</v>
      </c>
      <c r="C32" s="486" t="s">
        <v>252</v>
      </c>
      <c r="D32" s="5"/>
      <c r="E32" s="34">
        <v>427</v>
      </c>
      <c r="F32" s="6">
        <f t="shared" si="7"/>
        <v>1398.8519999999999</v>
      </c>
      <c r="G32" s="1"/>
      <c r="H32" s="28">
        <f t="shared" ref="H32:H42" si="28">+G32*3.588</f>
        <v>0</v>
      </c>
      <c r="I32" s="28">
        <f t="shared" ref="I32:I42" si="29">+F32+H32</f>
        <v>1398.8519999999999</v>
      </c>
      <c r="J32" s="26"/>
      <c r="K32" s="26">
        <v>4.42</v>
      </c>
      <c r="L32" s="26">
        <v>9.98</v>
      </c>
      <c r="M32" s="26">
        <v>1</v>
      </c>
      <c r="N32" s="26"/>
      <c r="O32" s="26">
        <v>9.25</v>
      </c>
      <c r="P32" s="26">
        <v>0.48</v>
      </c>
      <c r="Q32" s="26"/>
      <c r="R32" s="26"/>
      <c r="S32" s="26">
        <v>0.54</v>
      </c>
      <c r="T32" s="26">
        <v>1.1000000000000001</v>
      </c>
      <c r="U32" s="26"/>
      <c r="V32" s="26"/>
      <c r="W32" s="26"/>
      <c r="X32" s="26"/>
      <c r="Y32" s="26"/>
      <c r="Z32" s="26"/>
      <c r="AA32" s="26"/>
      <c r="AB32" s="26"/>
      <c r="AC32" s="26">
        <f t="shared" si="6"/>
        <v>26.77</v>
      </c>
      <c r="AD32" s="29"/>
    </row>
    <row r="33" spans="1:30">
      <c r="A33" s="333"/>
      <c r="B33" s="298">
        <v>46217</v>
      </c>
      <c r="C33" s="486" t="s">
        <v>253</v>
      </c>
      <c r="D33" s="5"/>
      <c r="E33" s="34">
        <v>430</v>
      </c>
      <c r="F33" s="6">
        <f t="shared" si="7"/>
        <v>1408.6799999999998</v>
      </c>
      <c r="G33" s="1"/>
      <c r="H33" s="28">
        <f t="shared" si="28"/>
        <v>0</v>
      </c>
      <c r="I33" s="28">
        <f t="shared" si="29"/>
        <v>1408.6799999999998</v>
      </c>
      <c r="J33" s="26"/>
      <c r="K33" s="26">
        <v>1.2</v>
      </c>
      <c r="L33" s="26">
        <v>8.1</v>
      </c>
      <c r="M33" s="26"/>
      <c r="N33" s="26"/>
      <c r="O33" s="26">
        <v>17</v>
      </c>
      <c r="P33" s="26"/>
      <c r="Q33" s="26"/>
      <c r="R33" s="26">
        <v>1.7</v>
      </c>
      <c r="S33" s="26">
        <v>0.6</v>
      </c>
      <c r="T33" s="26">
        <v>0.6</v>
      </c>
      <c r="U33" s="26"/>
      <c r="V33" s="26"/>
      <c r="W33" s="26"/>
      <c r="X33" s="26"/>
      <c r="Y33" s="26"/>
      <c r="Z33" s="26"/>
      <c r="AA33" s="26"/>
      <c r="AB33" s="26"/>
      <c r="AC33" s="26">
        <f t="shared" si="6"/>
        <v>29.2</v>
      </c>
      <c r="AD33" s="29"/>
    </row>
    <row r="34" spans="1:30">
      <c r="A34" s="3"/>
      <c r="B34" s="298">
        <v>46217</v>
      </c>
      <c r="C34" s="486" t="s">
        <v>254</v>
      </c>
      <c r="D34" s="5"/>
      <c r="E34" s="34">
        <v>575</v>
      </c>
      <c r="F34" s="6">
        <f t="shared" si="7"/>
        <v>1883.6999999999998</v>
      </c>
      <c r="G34" s="1"/>
      <c r="H34" s="28">
        <f t="shared" si="28"/>
        <v>0</v>
      </c>
      <c r="I34" s="28">
        <f t="shared" si="29"/>
        <v>1883.6999999999998</v>
      </c>
      <c r="J34" s="26"/>
      <c r="K34" s="26">
        <v>9.3000000000000007</v>
      </c>
      <c r="L34" s="26">
        <v>10.199999999999999</v>
      </c>
      <c r="M34" s="26"/>
      <c r="N34" s="26"/>
      <c r="O34" s="26">
        <v>8</v>
      </c>
      <c r="P34" s="26"/>
      <c r="Q34" s="26"/>
      <c r="R34" s="26"/>
      <c r="S34" s="26">
        <v>0.31</v>
      </c>
      <c r="T34" s="26">
        <v>0.97</v>
      </c>
      <c r="U34" s="26"/>
      <c r="V34" s="26"/>
      <c r="W34" s="26"/>
      <c r="X34" s="26"/>
      <c r="Y34" s="26"/>
      <c r="Z34" s="26"/>
      <c r="AA34" s="26"/>
      <c r="AB34" s="26"/>
      <c r="AC34" s="26">
        <f t="shared" si="6"/>
        <v>28.779999999999998</v>
      </c>
      <c r="AD34" s="29"/>
    </row>
    <row r="35" spans="1:30">
      <c r="A35" s="3"/>
      <c r="B35" s="298">
        <v>46217</v>
      </c>
      <c r="C35" s="486" t="s">
        <v>255</v>
      </c>
      <c r="D35" s="5"/>
      <c r="E35" s="34">
        <v>462</v>
      </c>
      <c r="F35" s="6">
        <f t="shared" si="7"/>
        <v>1513.5119999999999</v>
      </c>
      <c r="G35" s="1"/>
      <c r="H35" s="28">
        <f t="shared" si="28"/>
        <v>0</v>
      </c>
      <c r="I35" s="28">
        <f t="shared" si="29"/>
        <v>1513.5119999999999</v>
      </c>
      <c r="J35" s="26"/>
      <c r="K35" s="26">
        <v>7.27</v>
      </c>
      <c r="L35" s="26">
        <v>10</v>
      </c>
      <c r="M35" s="26">
        <v>1.2</v>
      </c>
      <c r="N35" s="26"/>
      <c r="O35" s="26">
        <v>17.88</v>
      </c>
      <c r="P35" s="26">
        <v>0.57999999999999996</v>
      </c>
      <c r="Q35" s="26"/>
      <c r="R35" s="26"/>
      <c r="S35" s="26">
        <v>0.45</v>
      </c>
      <c r="T35" s="26">
        <v>1.2</v>
      </c>
      <c r="U35" s="26"/>
      <c r="V35" s="26"/>
      <c r="W35" s="26"/>
      <c r="X35" s="26"/>
      <c r="Y35" s="26"/>
      <c r="Z35" s="26"/>
      <c r="AA35" s="26"/>
      <c r="AB35" s="26"/>
      <c r="AC35" s="26">
        <f t="shared" si="6"/>
        <v>38.58</v>
      </c>
      <c r="AD35" s="29"/>
    </row>
    <row r="36" spans="1:30">
      <c r="A36" s="3"/>
      <c r="B36" s="298">
        <v>46217</v>
      </c>
      <c r="C36" s="486" t="s">
        <v>256</v>
      </c>
      <c r="D36" s="5"/>
      <c r="E36" s="34"/>
      <c r="F36" s="6">
        <f t="shared" si="7"/>
        <v>0</v>
      </c>
      <c r="G36" s="1"/>
      <c r="H36" s="28">
        <f t="shared" si="28"/>
        <v>0</v>
      </c>
      <c r="I36" s="28">
        <f t="shared" si="29"/>
        <v>0</v>
      </c>
      <c r="J36" s="26"/>
      <c r="K36" s="26">
        <v>5.3</v>
      </c>
      <c r="L36" s="26">
        <v>9.75</v>
      </c>
      <c r="M36" s="26"/>
      <c r="N36" s="26"/>
      <c r="O36" s="26">
        <v>21.1</v>
      </c>
      <c r="P36" s="26">
        <v>0.6</v>
      </c>
      <c r="Q36" s="26"/>
      <c r="R36" s="26">
        <v>3.2</v>
      </c>
      <c r="S36" s="26"/>
      <c r="T36" s="26">
        <v>1.4</v>
      </c>
      <c r="U36" s="26"/>
      <c r="V36" s="26"/>
      <c r="W36" s="26"/>
      <c r="X36" s="26"/>
      <c r="Y36" s="26"/>
      <c r="Z36" s="26"/>
      <c r="AA36" s="26"/>
      <c r="AB36" s="26"/>
      <c r="AC36" s="26">
        <f t="shared" si="6"/>
        <v>41.350000000000009</v>
      </c>
      <c r="AD36" s="29"/>
    </row>
    <row r="37" spans="1:30">
      <c r="A37" s="333">
        <v>46220</v>
      </c>
      <c r="B37" s="298">
        <v>46217</v>
      </c>
      <c r="C37" s="486" t="s">
        <v>255</v>
      </c>
      <c r="D37" s="5"/>
      <c r="E37" s="34">
        <v>99</v>
      </c>
      <c r="F37" s="6">
        <f t="shared" si="7"/>
        <v>324.32399999999996</v>
      </c>
      <c r="G37" s="1"/>
      <c r="H37" s="28">
        <f t="shared" si="28"/>
        <v>0</v>
      </c>
      <c r="I37" s="28">
        <f t="shared" si="29"/>
        <v>324.32399999999996</v>
      </c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6"/>
      <c r="Z37" s="26"/>
      <c r="AA37" s="26"/>
      <c r="AB37" s="26"/>
      <c r="AC37" s="26">
        <f t="shared" si="6"/>
        <v>0</v>
      </c>
      <c r="AD37" s="29"/>
    </row>
    <row r="38" spans="1:30">
      <c r="A38" s="3"/>
      <c r="B38" s="298">
        <v>46217</v>
      </c>
      <c r="C38" s="486" t="s">
        <v>256</v>
      </c>
      <c r="D38" s="5"/>
      <c r="E38" s="34">
        <v>501</v>
      </c>
      <c r="F38" s="6">
        <f t="shared" si="7"/>
        <v>1641.2759999999998</v>
      </c>
      <c r="G38" s="1"/>
      <c r="H38" s="28">
        <f t="shared" si="28"/>
        <v>0</v>
      </c>
      <c r="I38" s="28">
        <f t="shared" si="29"/>
        <v>1641.2759999999998</v>
      </c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6"/>
      <c r="Z38" s="26"/>
      <c r="AA38" s="26"/>
      <c r="AB38" s="26"/>
      <c r="AC38" s="26">
        <f t="shared" si="6"/>
        <v>0</v>
      </c>
      <c r="AD38" s="29"/>
    </row>
    <row r="39" spans="1:30">
      <c r="A39" s="3"/>
      <c r="B39" s="298">
        <v>46217</v>
      </c>
      <c r="C39" s="486" t="s">
        <v>257</v>
      </c>
      <c r="D39" s="5"/>
      <c r="E39" s="34">
        <v>614</v>
      </c>
      <c r="F39" s="6">
        <f t="shared" si="7"/>
        <v>2011.4639999999999</v>
      </c>
      <c r="G39" s="1"/>
      <c r="H39" s="28">
        <f t="shared" si="28"/>
        <v>0</v>
      </c>
      <c r="I39" s="28">
        <f t="shared" si="29"/>
        <v>2011.4639999999999</v>
      </c>
      <c r="J39" s="26"/>
      <c r="K39" s="26">
        <v>7.85</v>
      </c>
      <c r="L39" s="26">
        <v>12.4</v>
      </c>
      <c r="M39" s="26"/>
      <c r="N39" s="26"/>
      <c r="O39" s="26">
        <v>22.5</v>
      </c>
      <c r="P39" s="26">
        <v>0.45</v>
      </c>
      <c r="Q39" s="26"/>
      <c r="R39" s="26">
        <v>1.2</v>
      </c>
      <c r="S39" s="26"/>
      <c r="T39" s="26">
        <v>1.3</v>
      </c>
      <c r="U39" s="26"/>
      <c r="V39" s="26"/>
      <c r="W39" s="26"/>
      <c r="X39" s="26"/>
      <c r="Y39" s="26"/>
      <c r="Z39" s="26"/>
      <c r="AA39" s="26"/>
      <c r="AB39" s="26"/>
      <c r="AC39" s="26">
        <f t="shared" si="6"/>
        <v>45.7</v>
      </c>
      <c r="AD39" s="29"/>
    </row>
    <row r="40" spans="1:30">
      <c r="A40" s="3"/>
      <c r="B40" s="298">
        <v>46217</v>
      </c>
      <c r="C40" s="486" t="s">
        <v>258</v>
      </c>
      <c r="D40" s="5"/>
      <c r="E40" s="34">
        <v>46</v>
      </c>
      <c r="F40" s="6">
        <f t="shared" si="7"/>
        <v>150.696</v>
      </c>
      <c r="G40" s="1"/>
      <c r="H40" s="28">
        <f t="shared" si="28"/>
        <v>0</v>
      </c>
      <c r="I40" s="28">
        <f t="shared" si="29"/>
        <v>150.696</v>
      </c>
      <c r="J40" s="26"/>
      <c r="K40" s="26">
        <v>6.35</v>
      </c>
      <c r="L40" s="26">
        <v>10.3</v>
      </c>
      <c r="M40" s="26">
        <v>3.4</v>
      </c>
      <c r="N40" s="26"/>
      <c r="O40" s="26">
        <v>17.399999999999999</v>
      </c>
      <c r="P40" s="26">
        <v>0.5</v>
      </c>
      <c r="Q40" s="26"/>
      <c r="R40" s="26">
        <v>2.1</v>
      </c>
      <c r="S40" s="26">
        <v>3.4</v>
      </c>
      <c r="T40" s="26">
        <v>1.9</v>
      </c>
      <c r="U40" s="26"/>
      <c r="V40" s="26"/>
      <c r="W40" s="26"/>
      <c r="X40" s="26"/>
      <c r="Y40" s="26"/>
      <c r="Z40" s="26"/>
      <c r="AA40" s="26"/>
      <c r="AB40" s="26"/>
      <c r="AC40" s="26">
        <f t="shared" si="6"/>
        <v>45.349999999999994</v>
      </c>
      <c r="AD40" s="29"/>
    </row>
    <row r="41" spans="1:30">
      <c r="A41" s="3"/>
      <c r="B41" s="298">
        <v>46217</v>
      </c>
      <c r="C41" s="486" t="s">
        <v>259</v>
      </c>
      <c r="D41" s="5"/>
      <c r="E41" s="34"/>
      <c r="F41" s="6">
        <f t="shared" si="7"/>
        <v>0</v>
      </c>
      <c r="G41" s="1"/>
      <c r="H41" s="28">
        <f t="shared" si="28"/>
        <v>0</v>
      </c>
      <c r="I41" s="28">
        <f t="shared" si="29"/>
        <v>0</v>
      </c>
      <c r="J41" s="26"/>
      <c r="K41" s="26">
        <v>4.12</v>
      </c>
      <c r="L41" s="26">
        <v>8.77</v>
      </c>
      <c r="M41" s="26"/>
      <c r="N41" s="26"/>
      <c r="O41" s="26">
        <v>3.15</v>
      </c>
      <c r="P41" s="26">
        <v>0.3</v>
      </c>
      <c r="Q41" s="26"/>
      <c r="R41" s="26">
        <v>0.35</v>
      </c>
      <c r="S41" s="26"/>
      <c r="T41" s="26">
        <v>1.3</v>
      </c>
      <c r="U41" s="26"/>
      <c r="V41" s="26"/>
      <c r="W41" s="26"/>
      <c r="X41" s="26"/>
      <c r="Y41" s="26"/>
      <c r="Z41" s="26"/>
      <c r="AA41" s="26"/>
      <c r="AB41" s="26"/>
      <c r="AC41" s="26">
        <f t="shared" si="6"/>
        <v>17.990000000000002</v>
      </c>
      <c r="AD41" s="29"/>
    </row>
    <row r="42" spans="1:30">
      <c r="A42" s="3"/>
      <c r="B42" s="298">
        <v>46218</v>
      </c>
      <c r="C42" s="486" t="s">
        <v>260</v>
      </c>
      <c r="D42" s="5">
        <f>+'HASIL PROD'!I168</f>
        <v>15135.119999999999</v>
      </c>
      <c r="E42" s="34">
        <v>477</v>
      </c>
      <c r="F42" s="6">
        <f t="shared" si="7"/>
        <v>1562.6519999999998</v>
      </c>
      <c r="G42" s="1"/>
      <c r="H42" s="28">
        <f t="shared" si="28"/>
        <v>0</v>
      </c>
      <c r="I42" s="28">
        <f t="shared" si="29"/>
        <v>1562.6519999999998</v>
      </c>
      <c r="J42" s="26"/>
      <c r="K42" s="26">
        <v>4.2</v>
      </c>
      <c r="L42" s="26">
        <v>8.5500000000000007</v>
      </c>
      <c r="M42" s="26"/>
      <c r="N42" s="26"/>
      <c r="O42" s="26">
        <v>8.15</v>
      </c>
      <c r="P42" s="26">
        <v>0.3</v>
      </c>
      <c r="Q42" s="26"/>
      <c r="R42" s="26"/>
      <c r="S42" s="26"/>
      <c r="T42" s="26">
        <v>1.4</v>
      </c>
      <c r="U42" s="26"/>
      <c r="V42" s="26"/>
      <c r="W42" s="26"/>
      <c r="X42" s="26"/>
      <c r="Y42" s="26"/>
      <c r="Z42" s="26"/>
      <c r="AA42" s="26"/>
      <c r="AB42" s="26"/>
      <c r="AC42" s="26">
        <f t="shared" si="6"/>
        <v>22.599999999999998</v>
      </c>
      <c r="AD42" s="29"/>
    </row>
    <row r="43" spans="1:30">
      <c r="A43" s="3"/>
      <c r="B43" s="298">
        <v>46218</v>
      </c>
      <c r="C43" s="486" t="s">
        <v>261</v>
      </c>
      <c r="D43" s="5"/>
      <c r="E43" s="34">
        <v>472</v>
      </c>
      <c r="F43" s="6">
        <f t="shared" si="7"/>
        <v>1546.2719999999999</v>
      </c>
      <c r="G43" s="1"/>
      <c r="H43" s="28">
        <f t="shared" ref="H43:H80" si="30">+G43*3.588</f>
        <v>0</v>
      </c>
      <c r="I43" s="28">
        <f t="shared" ref="I43:I80" si="31">+F43+H43</f>
        <v>1546.2719999999999</v>
      </c>
      <c r="J43" s="26"/>
      <c r="K43" s="26">
        <v>5.55</v>
      </c>
      <c r="L43" s="26">
        <v>10.28</v>
      </c>
      <c r="M43" s="26">
        <v>1.7</v>
      </c>
      <c r="N43" s="26"/>
      <c r="O43" s="26">
        <v>24.35</v>
      </c>
      <c r="P43" s="26">
        <v>0.7</v>
      </c>
      <c r="Q43" s="26"/>
      <c r="R43" s="26">
        <v>0.4</v>
      </c>
      <c r="S43" s="26"/>
      <c r="T43" s="26">
        <v>2.2999999999999998</v>
      </c>
      <c r="U43" s="26"/>
      <c r="V43" s="26"/>
      <c r="W43" s="26"/>
      <c r="X43" s="26"/>
      <c r="Y43" s="26"/>
      <c r="Z43" s="26"/>
      <c r="AA43" s="26"/>
      <c r="AB43" s="26"/>
      <c r="AC43" s="26">
        <f t="shared" si="6"/>
        <v>45.279999999999994</v>
      </c>
      <c r="AD43" s="29"/>
    </row>
    <row r="44" spans="1:30">
      <c r="A44" s="3"/>
      <c r="B44" s="298">
        <v>46218</v>
      </c>
      <c r="C44" s="486" t="s">
        <v>262</v>
      </c>
      <c r="D44" s="5"/>
      <c r="E44" s="34">
        <v>493</v>
      </c>
      <c r="F44" s="6">
        <f t="shared" si="7"/>
        <v>1615.068</v>
      </c>
      <c r="G44" s="1"/>
      <c r="H44" s="28">
        <f t="shared" si="30"/>
        <v>0</v>
      </c>
      <c r="I44" s="28">
        <f t="shared" si="31"/>
        <v>1615.068</v>
      </c>
      <c r="J44" s="26"/>
      <c r="K44" s="26">
        <v>7.6</v>
      </c>
      <c r="L44" s="26">
        <v>11.45</v>
      </c>
      <c r="M44" s="26"/>
      <c r="N44" s="26"/>
      <c r="O44" s="26">
        <v>22.32</v>
      </c>
      <c r="P44" s="26">
        <v>0.38</v>
      </c>
      <c r="Q44" s="26"/>
      <c r="R44" s="26"/>
      <c r="S44" s="26"/>
      <c r="T44" s="26">
        <v>1.1000000000000001</v>
      </c>
      <c r="U44" s="26"/>
      <c r="V44" s="26"/>
      <c r="W44" s="26"/>
      <c r="X44" s="26"/>
      <c r="Y44" s="26"/>
      <c r="Z44" s="26"/>
      <c r="AA44" s="26"/>
      <c r="AB44" s="26"/>
      <c r="AC44" s="26">
        <f t="shared" si="6"/>
        <v>42.85</v>
      </c>
      <c r="AD44" s="29"/>
    </row>
    <row r="45" spans="1:30">
      <c r="A45" s="3"/>
      <c r="B45" s="298">
        <v>46218</v>
      </c>
      <c r="C45" s="486" t="s">
        <v>263</v>
      </c>
      <c r="D45" s="5"/>
      <c r="E45" s="34">
        <v>358</v>
      </c>
      <c r="F45" s="6">
        <f t="shared" si="7"/>
        <v>1172.808</v>
      </c>
      <c r="G45" s="1"/>
      <c r="H45" s="28">
        <f t="shared" si="30"/>
        <v>0</v>
      </c>
      <c r="I45" s="28">
        <f t="shared" si="31"/>
        <v>1172.808</v>
      </c>
      <c r="J45" s="26"/>
      <c r="K45" s="26">
        <v>6.4</v>
      </c>
      <c r="L45" s="26">
        <v>9.1</v>
      </c>
      <c r="M45" s="26"/>
      <c r="N45" s="26"/>
      <c r="O45" s="26">
        <v>7.85</v>
      </c>
      <c r="P45" s="26">
        <v>0.7</v>
      </c>
      <c r="Q45" s="26"/>
      <c r="R45" s="26">
        <v>1.1000000000000001</v>
      </c>
      <c r="S45" s="26">
        <v>0.4</v>
      </c>
      <c r="T45" s="26">
        <v>1.38</v>
      </c>
      <c r="U45" s="26"/>
      <c r="V45" s="26"/>
      <c r="W45" s="26"/>
      <c r="X45" s="26"/>
      <c r="Y45" s="26"/>
      <c r="Z45" s="26"/>
      <c r="AA45" s="26"/>
      <c r="AB45" s="26"/>
      <c r="AC45" s="26">
        <f t="shared" si="6"/>
        <v>26.93</v>
      </c>
      <c r="AD45" s="29"/>
    </row>
    <row r="46" spans="1:30">
      <c r="A46" s="3"/>
      <c r="B46" s="298">
        <v>46218</v>
      </c>
      <c r="C46" s="486" t="s">
        <v>264</v>
      </c>
      <c r="D46" s="5"/>
      <c r="E46" s="34"/>
      <c r="F46" s="6">
        <f t="shared" si="7"/>
        <v>0</v>
      </c>
      <c r="G46" s="1"/>
      <c r="H46" s="28">
        <f t="shared" si="30"/>
        <v>0</v>
      </c>
      <c r="I46" s="28">
        <f t="shared" si="31"/>
        <v>0</v>
      </c>
      <c r="J46" s="26"/>
      <c r="K46" s="26">
        <v>3.45</v>
      </c>
      <c r="L46" s="26">
        <v>8.75</v>
      </c>
      <c r="M46" s="26"/>
      <c r="N46" s="26"/>
      <c r="O46" s="26">
        <v>15.48</v>
      </c>
      <c r="P46" s="26">
        <v>0.5</v>
      </c>
      <c r="Q46" s="26"/>
      <c r="R46" s="26">
        <v>0.35</v>
      </c>
      <c r="S46" s="26"/>
      <c r="T46" s="26">
        <v>1.2</v>
      </c>
      <c r="U46" s="26"/>
      <c r="V46" s="26"/>
      <c r="W46" s="26"/>
      <c r="X46" s="26"/>
      <c r="Y46" s="26"/>
      <c r="Z46" s="26"/>
      <c r="AA46" s="26"/>
      <c r="AB46" s="26"/>
      <c r="AC46" s="26">
        <f t="shared" si="6"/>
        <v>29.73</v>
      </c>
      <c r="AD46" s="29"/>
    </row>
    <row r="47" spans="1:30">
      <c r="A47" s="3"/>
      <c r="B47" s="298">
        <v>46218</v>
      </c>
      <c r="C47" s="486" t="s">
        <v>265</v>
      </c>
      <c r="D47" s="5"/>
      <c r="E47" s="34"/>
      <c r="F47" s="6">
        <f t="shared" si="7"/>
        <v>0</v>
      </c>
      <c r="G47" s="1"/>
      <c r="H47" s="28">
        <f t="shared" si="30"/>
        <v>0</v>
      </c>
      <c r="I47" s="28">
        <f t="shared" si="31"/>
        <v>0</v>
      </c>
      <c r="J47" s="26"/>
      <c r="K47" s="26">
        <v>3.24</v>
      </c>
      <c r="L47" s="26">
        <v>4.45</v>
      </c>
      <c r="M47" s="26"/>
      <c r="N47" s="26"/>
      <c r="O47" s="26">
        <v>7.25</v>
      </c>
      <c r="P47" s="26"/>
      <c r="Q47" s="26"/>
      <c r="R47" s="26">
        <v>0.2</v>
      </c>
      <c r="S47" s="26"/>
      <c r="T47" s="26">
        <v>0.67</v>
      </c>
      <c r="U47" s="26"/>
      <c r="V47" s="26"/>
      <c r="W47" s="26"/>
      <c r="X47" s="26"/>
      <c r="Y47" s="26"/>
      <c r="Z47" s="26"/>
      <c r="AA47" s="26"/>
      <c r="AB47" s="26"/>
      <c r="AC47" s="26">
        <f t="shared" si="6"/>
        <v>15.81</v>
      </c>
      <c r="AD47" s="29"/>
    </row>
    <row r="48" spans="1:30">
      <c r="A48" s="333">
        <v>46221</v>
      </c>
      <c r="B48" s="298">
        <v>46217</v>
      </c>
      <c r="C48" s="486" t="s">
        <v>258</v>
      </c>
      <c r="D48" s="5"/>
      <c r="E48" s="34">
        <v>397</v>
      </c>
      <c r="F48" s="6">
        <f t="shared" si="7"/>
        <v>1300.5719999999999</v>
      </c>
      <c r="G48" s="1"/>
      <c r="H48" s="28">
        <f t="shared" si="30"/>
        <v>0</v>
      </c>
      <c r="I48" s="28">
        <f t="shared" si="31"/>
        <v>1300.5719999999999</v>
      </c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>
        <f t="shared" si="6"/>
        <v>0</v>
      </c>
      <c r="AD48" s="29"/>
    </row>
    <row r="49" spans="1:32">
      <c r="A49" s="3"/>
      <c r="B49" s="298">
        <v>46217</v>
      </c>
      <c r="C49" s="486" t="s">
        <v>259</v>
      </c>
      <c r="D49" s="5"/>
      <c r="E49" s="34">
        <v>442</v>
      </c>
      <c r="F49" s="6">
        <f t="shared" si="7"/>
        <v>1447.992</v>
      </c>
      <c r="G49" s="1"/>
      <c r="H49" s="28">
        <f t="shared" si="30"/>
        <v>0</v>
      </c>
      <c r="I49" s="28">
        <f t="shared" si="31"/>
        <v>1447.992</v>
      </c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6"/>
      <c r="Z49" s="26"/>
      <c r="AA49" s="26"/>
      <c r="AB49" s="26"/>
      <c r="AC49" s="26">
        <f t="shared" si="6"/>
        <v>0</v>
      </c>
      <c r="AD49" s="29"/>
    </row>
    <row r="50" spans="1:32">
      <c r="A50" s="3"/>
      <c r="B50" s="298">
        <v>46218</v>
      </c>
      <c r="C50" s="486" t="s">
        <v>263</v>
      </c>
      <c r="D50" s="5"/>
      <c r="E50" s="34">
        <v>72</v>
      </c>
      <c r="F50" s="6">
        <f t="shared" si="7"/>
        <v>235.87199999999999</v>
      </c>
      <c r="G50" s="1"/>
      <c r="H50" s="28">
        <f t="shared" si="30"/>
        <v>0</v>
      </c>
      <c r="I50" s="28">
        <f t="shared" si="31"/>
        <v>235.87199999999999</v>
      </c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6"/>
      <c r="Z50" s="26"/>
      <c r="AA50" s="26"/>
      <c r="AB50" s="26"/>
      <c r="AC50" s="26">
        <f t="shared" si="6"/>
        <v>0</v>
      </c>
      <c r="AD50" s="29"/>
    </row>
    <row r="51" spans="1:32">
      <c r="A51" s="3"/>
      <c r="B51" s="298">
        <v>46218</v>
      </c>
      <c r="C51" s="486" t="s">
        <v>264</v>
      </c>
      <c r="D51" s="5"/>
      <c r="E51" s="34">
        <v>551</v>
      </c>
      <c r="F51" s="6">
        <f t="shared" si="7"/>
        <v>1805.0759999999998</v>
      </c>
      <c r="G51" s="1"/>
      <c r="H51" s="28">
        <f t="shared" si="30"/>
        <v>0</v>
      </c>
      <c r="I51" s="28">
        <f t="shared" si="31"/>
        <v>1805.0759999999998</v>
      </c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6"/>
      <c r="Z51" s="26"/>
      <c r="AA51" s="26"/>
      <c r="AB51" s="26"/>
      <c r="AC51" s="26">
        <f t="shared" si="6"/>
        <v>0</v>
      </c>
      <c r="AD51" s="29"/>
    </row>
    <row r="52" spans="1:32">
      <c r="A52" s="3"/>
      <c r="B52" s="298">
        <v>46218</v>
      </c>
      <c r="C52" s="486" t="s">
        <v>265</v>
      </c>
      <c r="D52" s="5"/>
      <c r="E52" s="34">
        <v>554</v>
      </c>
      <c r="F52" s="6">
        <f t="shared" si="7"/>
        <v>1814.904</v>
      </c>
      <c r="G52" s="1"/>
      <c r="H52" s="28">
        <f t="shared" si="30"/>
        <v>0</v>
      </c>
      <c r="I52" s="28">
        <f t="shared" si="31"/>
        <v>1814.904</v>
      </c>
      <c r="J52" s="26"/>
      <c r="K52" s="26">
        <v>4.34</v>
      </c>
      <c r="L52" s="26">
        <v>4.18</v>
      </c>
      <c r="M52" s="26"/>
      <c r="N52" s="26"/>
      <c r="O52" s="26">
        <v>9.44</v>
      </c>
      <c r="P52" s="26">
        <v>4.2000000000000003E-2</v>
      </c>
      <c r="Q52" s="26"/>
      <c r="R52" s="26">
        <v>0.14000000000000001</v>
      </c>
      <c r="S52" s="26">
        <v>1.1000000000000001</v>
      </c>
      <c r="T52" s="26">
        <v>1.44</v>
      </c>
      <c r="U52" s="26"/>
      <c r="V52" s="26"/>
      <c r="W52" s="26"/>
      <c r="X52" s="26"/>
      <c r="Y52" s="26"/>
      <c r="Z52" s="26"/>
      <c r="AA52" s="26"/>
      <c r="AB52" s="26"/>
      <c r="AC52" s="26">
        <f t="shared" si="6"/>
        <v>20.682000000000006</v>
      </c>
      <c r="AD52" s="29"/>
    </row>
    <row r="53" spans="1:32">
      <c r="A53" s="3"/>
      <c r="B53" s="298">
        <v>46218</v>
      </c>
      <c r="C53" s="486" t="s">
        <v>266</v>
      </c>
      <c r="D53" s="5"/>
      <c r="E53" s="34">
        <v>530</v>
      </c>
      <c r="F53" s="6">
        <f t="shared" si="7"/>
        <v>1736.28</v>
      </c>
      <c r="G53" s="1"/>
      <c r="H53" s="28">
        <f t="shared" si="30"/>
        <v>0</v>
      </c>
      <c r="I53" s="28">
        <f t="shared" si="31"/>
        <v>1736.28</v>
      </c>
      <c r="J53" s="26"/>
      <c r="K53" s="26">
        <v>4.2</v>
      </c>
      <c r="L53" s="26">
        <v>9.66</v>
      </c>
      <c r="M53" s="26"/>
      <c r="N53" s="26"/>
      <c r="O53" s="26">
        <v>23</v>
      </c>
      <c r="P53" s="26">
        <v>0.3</v>
      </c>
      <c r="Q53" s="26"/>
      <c r="R53" s="26"/>
      <c r="S53" s="26">
        <v>0.28000000000000003</v>
      </c>
      <c r="T53" s="26">
        <v>2.58</v>
      </c>
      <c r="U53" s="26"/>
      <c r="V53" s="26"/>
      <c r="W53" s="26"/>
      <c r="X53" s="26"/>
      <c r="Y53" s="26"/>
      <c r="Z53" s="26"/>
      <c r="AA53" s="26"/>
      <c r="AB53" s="26"/>
      <c r="AC53" s="26">
        <f t="shared" si="6"/>
        <v>40.019999999999996</v>
      </c>
      <c r="AD53" s="29"/>
    </row>
    <row r="54" spans="1:32">
      <c r="A54" s="3"/>
      <c r="B54" s="298">
        <v>46218</v>
      </c>
      <c r="C54" s="486" t="s">
        <v>267</v>
      </c>
      <c r="D54" s="5"/>
      <c r="E54" s="34">
        <v>93</v>
      </c>
      <c r="F54" s="6">
        <f t="shared" si="7"/>
        <v>304.66800000000001</v>
      </c>
      <c r="G54" s="1"/>
      <c r="H54" s="28">
        <f t="shared" si="30"/>
        <v>0</v>
      </c>
      <c r="I54" s="28">
        <f t="shared" si="31"/>
        <v>304.66800000000001</v>
      </c>
      <c r="J54" s="26"/>
      <c r="K54" s="26">
        <v>8.42</v>
      </c>
      <c r="L54" s="26">
        <v>10.44</v>
      </c>
      <c r="M54" s="26">
        <v>0.1</v>
      </c>
      <c r="N54" s="26"/>
      <c r="O54" s="26">
        <v>17.78</v>
      </c>
      <c r="P54" s="26">
        <v>0.28000000000000003</v>
      </c>
      <c r="Q54" s="26"/>
      <c r="R54" s="26">
        <v>0.72</v>
      </c>
      <c r="S54" s="26">
        <v>3.46</v>
      </c>
      <c r="T54" s="26">
        <v>2.2599999999999998</v>
      </c>
      <c r="U54" s="26"/>
      <c r="V54" s="26"/>
      <c r="W54" s="26"/>
      <c r="X54" s="26"/>
      <c r="Y54" s="26"/>
      <c r="Z54" s="26"/>
      <c r="AA54" s="26"/>
      <c r="AB54" s="26"/>
      <c r="AC54" s="26">
        <f t="shared" si="6"/>
        <v>43.46</v>
      </c>
      <c r="AD54" s="29"/>
    </row>
    <row r="55" spans="1:32">
      <c r="A55" s="3"/>
      <c r="B55" s="298">
        <v>46218</v>
      </c>
      <c r="C55" s="486" t="s">
        <v>267</v>
      </c>
      <c r="D55" s="5"/>
      <c r="E55" s="34">
        <v>516</v>
      </c>
      <c r="F55" s="6">
        <f t="shared" si="7"/>
        <v>1690.4159999999999</v>
      </c>
      <c r="G55" s="1"/>
      <c r="H55" s="28">
        <f t="shared" si="30"/>
        <v>0</v>
      </c>
      <c r="I55" s="28">
        <f t="shared" si="31"/>
        <v>1690.4159999999999</v>
      </c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6"/>
      <c r="Z55" s="26"/>
      <c r="AA55" s="26"/>
      <c r="AB55" s="26"/>
      <c r="AC55" s="26">
        <f t="shared" si="6"/>
        <v>0</v>
      </c>
      <c r="AD55" s="29"/>
    </row>
    <row r="56" spans="1:32">
      <c r="A56" s="3"/>
      <c r="B56" s="298">
        <v>46218</v>
      </c>
      <c r="C56" s="486" t="s">
        <v>268</v>
      </c>
      <c r="D56" s="5"/>
      <c r="E56" s="34">
        <v>420</v>
      </c>
      <c r="F56" s="6">
        <f t="shared" si="7"/>
        <v>1375.9199999999998</v>
      </c>
      <c r="G56" s="1"/>
      <c r="H56" s="28">
        <f t="shared" si="30"/>
        <v>0</v>
      </c>
      <c r="I56" s="28">
        <f t="shared" si="31"/>
        <v>1375.9199999999998</v>
      </c>
      <c r="J56" s="26"/>
      <c r="K56" s="26">
        <v>2.08</v>
      </c>
      <c r="L56" s="26">
        <v>6.7</v>
      </c>
      <c r="M56" s="26"/>
      <c r="N56" s="26"/>
      <c r="O56" s="26">
        <v>6.9</v>
      </c>
      <c r="P56" s="26">
        <v>0.18</v>
      </c>
      <c r="Q56" s="26"/>
      <c r="R56" s="26">
        <v>1.3</v>
      </c>
      <c r="S56" s="26">
        <v>2.16</v>
      </c>
      <c r="T56" s="26">
        <v>1.22</v>
      </c>
      <c r="U56" s="26"/>
      <c r="V56" s="26"/>
      <c r="W56" s="26"/>
      <c r="X56" s="26"/>
      <c r="Y56" s="26"/>
      <c r="Z56" s="26"/>
      <c r="AA56" s="26"/>
      <c r="AB56" s="26"/>
      <c r="AC56" s="26">
        <f t="shared" si="6"/>
        <v>20.54</v>
      </c>
      <c r="AD56" s="29"/>
      <c r="AF56" s="10"/>
    </row>
    <row r="57" spans="1:32">
      <c r="A57" s="3"/>
      <c r="B57" s="298">
        <v>46219</v>
      </c>
      <c r="C57" s="486" t="s">
        <v>270</v>
      </c>
      <c r="D57" s="5">
        <f>+'HASIL PROD'!I179</f>
        <v>1513.5119999999999</v>
      </c>
      <c r="E57" s="34">
        <v>448</v>
      </c>
      <c r="F57" s="6">
        <f t="shared" si="7"/>
        <v>1467.6479999999999</v>
      </c>
      <c r="G57" s="1"/>
      <c r="H57" s="28">
        <f t="shared" si="30"/>
        <v>0</v>
      </c>
      <c r="I57" s="28">
        <f t="shared" si="31"/>
        <v>1467.6479999999999</v>
      </c>
      <c r="J57" s="26"/>
      <c r="K57" s="26">
        <v>1.6</v>
      </c>
      <c r="L57" s="26">
        <v>3.45</v>
      </c>
      <c r="M57" s="26">
        <v>3.7</v>
      </c>
      <c r="N57" s="26"/>
      <c r="O57" s="26">
        <v>2.72</v>
      </c>
      <c r="P57" s="26">
        <v>0.6</v>
      </c>
      <c r="Q57" s="26"/>
      <c r="R57" s="26">
        <v>1.38</v>
      </c>
      <c r="S57" s="26"/>
      <c r="T57" s="26">
        <v>1.9</v>
      </c>
      <c r="U57" s="26"/>
      <c r="V57" s="26"/>
      <c r="W57" s="26"/>
      <c r="X57" s="26"/>
      <c r="Y57" s="26"/>
      <c r="Z57" s="26"/>
      <c r="AA57" s="26"/>
      <c r="AB57" s="26"/>
      <c r="AC57" s="26">
        <f t="shared" si="6"/>
        <v>15.35</v>
      </c>
      <c r="AD57" s="29"/>
    </row>
    <row r="58" spans="1:32">
      <c r="A58" s="3"/>
      <c r="B58" s="298">
        <v>46220</v>
      </c>
      <c r="C58" s="486" t="s">
        <v>279</v>
      </c>
      <c r="D58" s="5">
        <f>+'HASIL PROD'!I190</f>
        <v>3397.212</v>
      </c>
      <c r="E58" s="34">
        <v>558</v>
      </c>
      <c r="F58" s="6">
        <f t="shared" si="7"/>
        <v>1828.0079999999998</v>
      </c>
      <c r="G58" s="1"/>
      <c r="H58" s="28">
        <f t="shared" si="30"/>
        <v>0</v>
      </c>
      <c r="I58" s="28">
        <f t="shared" si="31"/>
        <v>1828.0079999999998</v>
      </c>
      <c r="J58" s="26"/>
      <c r="K58" s="26">
        <v>2.8</v>
      </c>
      <c r="L58" s="26">
        <v>6.45</v>
      </c>
      <c r="M58" s="26">
        <v>2.27</v>
      </c>
      <c r="N58" s="26"/>
      <c r="O58" s="26">
        <v>5.6</v>
      </c>
      <c r="P58" s="26">
        <v>0.6</v>
      </c>
      <c r="Q58" s="26"/>
      <c r="R58" s="26">
        <v>2.2999999999999998</v>
      </c>
      <c r="S58" s="26">
        <v>1.55</v>
      </c>
      <c r="T58" s="26">
        <v>1.18</v>
      </c>
      <c r="U58" s="26"/>
      <c r="V58" s="26"/>
      <c r="W58" s="26"/>
      <c r="X58" s="26"/>
      <c r="Y58" s="26"/>
      <c r="Z58" s="26"/>
      <c r="AA58" s="26"/>
      <c r="AB58" s="26"/>
      <c r="AC58" s="26">
        <f t="shared" si="6"/>
        <v>22.75</v>
      </c>
      <c r="AD58" s="29"/>
    </row>
    <row r="59" spans="1:32">
      <c r="A59" s="3"/>
      <c r="B59" s="298">
        <v>46220</v>
      </c>
      <c r="C59" s="486" t="s">
        <v>280</v>
      </c>
      <c r="D59" s="5"/>
      <c r="E59" s="34">
        <v>457</v>
      </c>
      <c r="F59" s="6">
        <f t="shared" si="7"/>
        <v>1497.1319999999998</v>
      </c>
      <c r="G59" s="1"/>
      <c r="H59" s="28">
        <f t="shared" si="30"/>
        <v>0</v>
      </c>
      <c r="I59" s="28">
        <f t="shared" si="31"/>
        <v>1497.1319999999998</v>
      </c>
      <c r="J59" s="26"/>
      <c r="K59" s="26">
        <v>3.1</v>
      </c>
      <c r="L59" s="26">
        <v>8.1999999999999993</v>
      </c>
      <c r="M59" s="26"/>
      <c r="N59" s="26"/>
      <c r="O59" s="26">
        <v>4.3499999999999996</v>
      </c>
      <c r="P59" s="26"/>
      <c r="Q59" s="26"/>
      <c r="R59" s="26">
        <v>0.88</v>
      </c>
      <c r="S59" s="26">
        <v>0.4</v>
      </c>
      <c r="T59" s="26">
        <v>0.78</v>
      </c>
      <c r="U59" s="26"/>
      <c r="V59" s="26"/>
      <c r="W59" s="26"/>
      <c r="X59" s="26"/>
      <c r="Y59" s="26"/>
      <c r="Z59" s="26"/>
      <c r="AA59" s="26"/>
      <c r="AB59" s="26"/>
      <c r="AC59" s="26">
        <f t="shared" si="6"/>
        <v>17.709999999999997</v>
      </c>
      <c r="AD59" s="29"/>
    </row>
    <row r="60" spans="1:32">
      <c r="A60" s="333"/>
      <c r="B60" s="2"/>
      <c r="C60" s="487"/>
      <c r="D60" s="5"/>
      <c r="E60" s="34"/>
      <c r="F60" s="6">
        <f t="shared" si="7"/>
        <v>0</v>
      </c>
      <c r="G60" s="1"/>
      <c r="H60" s="28">
        <f t="shared" si="30"/>
        <v>0</v>
      </c>
      <c r="I60" s="28">
        <f t="shared" si="31"/>
        <v>0</v>
      </c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6"/>
      <c r="Z60" s="26"/>
      <c r="AA60" s="26"/>
      <c r="AB60" s="26"/>
      <c r="AC60" s="26">
        <f t="shared" si="6"/>
        <v>0</v>
      </c>
      <c r="AD60" s="29"/>
    </row>
    <row r="61" spans="1:32">
      <c r="A61" s="3"/>
      <c r="B61" s="2"/>
      <c r="C61" s="487"/>
      <c r="D61" s="5"/>
      <c r="E61" s="34"/>
      <c r="F61" s="6">
        <f t="shared" si="7"/>
        <v>0</v>
      </c>
      <c r="G61" s="1"/>
      <c r="H61" s="28">
        <f t="shared" si="30"/>
        <v>0</v>
      </c>
      <c r="I61" s="28">
        <f t="shared" si="31"/>
        <v>0</v>
      </c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6"/>
      <c r="Z61" s="26"/>
      <c r="AA61" s="26"/>
      <c r="AB61" s="26"/>
      <c r="AC61" s="26">
        <f t="shared" si="6"/>
        <v>0</v>
      </c>
      <c r="AD61" s="29"/>
    </row>
    <row r="62" spans="1:32">
      <c r="A62" s="3"/>
      <c r="B62" s="2"/>
      <c r="C62" s="487"/>
      <c r="D62" s="5"/>
      <c r="E62" s="34"/>
      <c r="F62" s="6">
        <f t="shared" si="7"/>
        <v>0</v>
      </c>
      <c r="G62" s="1"/>
      <c r="H62" s="28">
        <f t="shared" si="30"/>
        <v>0</v>
      </c>
      <c r="I62" s="28">
        <f t="shared" si="31"/>
        <v>0</v>
      </c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6"/>
      <c r="Z62" s="26"/>
      <c r="AA62" s="26"/>
      <c r="AB62" s="26"/>
      <c r="AC62" s="26">
        <f t="shared" si="6"/>
        <v>0</v>
      </c>
      <c r="AD62" s="29"/>
    </row>
    <row r="63" spans="1:32">
      <c r="A63" s="3"/>
      <c r="B63" s="2"/>
      <c r="C63" s="487"/>
      <c r="D63" s="5"/>
      <c r="E63" s="34"/>
      <c r="F63" s="6">
        <f t="shared" si="7"/>
        <v>0</v>
      </c>
      <c r="G63" s="1"/>
      <c r="H63" s="28">
        <f t="shared" si="30"/>
        <v>0</v>
      </c>
      <c r="I63" s="28">
        <f t="shared" si="31"/>
        <v>0</v>
      </c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6"/>
      <c r="Z63" s="26"/>
      <c r="AA63" s="26"/>
      <c r="AB63" s="26"/>
      <c r="AC63" s="26">
        <f t="shared" si="6"/>
        <v>0</v>
      </c>
      <c r="AD63" s="29"/>
    </row>
    <row r="64" spans="1:32">
      <c r="A64" s="3"/>
      <c r="B64" s="2"/>
      <c r="C64" s="487"/>
      <c r="D64" s="5"/>
      <c r="E64" s="34"/>
      <c r="F64" s="6">
        <f t="shared" si="7"/>
        <v>0</v>
      </c>
      <c r="G64" s="1"/>
      <c r="H64" s="28">
        <f t="shared" si="30"/>
        <v>0</v>
      </c>
      <c r="I64" s="28">
        <f t="shared" si="31"/>
        <v>0</v>
      </c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6"/>
      <c r="Z64" s="26"/>
      <c r="AA64" s="26"/>
      <c r="AB64" s="26"/>
      <c r="AC64" s="26">
        <f t="shared" si="6"/>
        <v>0</v>
      </c>
      <c r="AD64" s="29"/>
    </row>
    <row r="65" spans="1:30">
      <c r="A65" s="3"/>
      <c r="B65" s="2"/>
      <c r="C65" s="487"/>
      <c r="D65" s="5"/>
      <c r="E65" s="34"/>
      <c r="F65" s="6">
        <f t="shared" si="7"/>
        <v>0</v>
      </c>
      <c r="G65" s="1"/>
      <c r="H65" s="28">
        <f t="shared" si="30"/>
        <v>0</v>
      </c>
      <c r="I65" s="28">
        <f t="shared" si="31"/>
        <v>0</v>
      </c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6"/>
      <c r="Z65" s="26"/>
      <c r="AA65" s="26"/>
      <c r="AB65" s="26"/>
      <c r="AC65" s="26">
        <f t="shared" si="6"/>
        <v>0</v>
      </c>
      <c r="AD65" s="29"/>
    </row>
    <row r="66" spans="1:30">
      <c r="A66" s="3"/>
      <c r="B66" s="2"/>
      <c r="C66" s="487"/>
      <c r="D66" s="5"/>
      <c r="E66" s="34"/>
      <c r="F66" s="6">
        <f t="shared" si="7"/>
        <v>0</v>
      </c>
      <c r="G66" s="1"/>
      <c r="H66" s="28">
        <f t="shared" si="30"/>
        <v>0</v>
      </c>
      <c r="I66" s="28">
        <f t="shared" si="31"/>
        <v>0</v>
      </c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6"/>
      <c r="Z66" s="26"/>
      <c r="AA66" s="26"/>
      <c r="AB66" s="26"/>
      <c r="AC66" s="26">
        <f t="shared" si="6"/>
        <v>0</v>
      </c>
      <c r="AD66" s="29"/>
    </row>
    <row r="67" spans="1:30">
      <c r="A67" s="3"/>
      <c r="B67" s="2"/>
      <c r="C67" s="487"/>
      <c r="D67" s="5"/>
      <c r="E67" s="34"/>
      <c r="F67" s="6">
        <f t="shared" si="7"/>
        <v>0</v>
      </c>
      <c r="G67" s="1"/>
      <c r="H67" s="28">
        <f t="shared" si="30"/>
        <v>0</v>
      </c>
      <c r="I67" s="28">
        <f t="shared" si="31"/>
        <v>0</v>
      </c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6"/>
      <c r="AB67" s="26"/>
      <c r="AC67" s="26">
        <f t="shared" si="6"/>
        <v>0</v>
      </c>
      <c r="AD67" s="29"/>
    </row>
    <row r="68" spans="1:30">
      <c r="A68" s="3"/>
      <c r="B68" s="2"/>
      <c r="C68" s="487"/>
      <c r="D68" s="5"/>
      <c r="E68" s="34"/>
      <c r="F68" s="6">
        <f t="shared" si="7"/>
        <v>0</v>
      </c>
      <c r="G68" s="1"/>
      <c r="H68" s="28">
        <f t="shared" si="30"/>
        <v>0</v>
      </c>
      <c r="I68" s="28">
        <f t="shared" si="31"/>
        <v>0</v>
      </c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6"/>
      <c r="Z68" s="26"/>
      <c r="AA68" s="26"/>
      <c r="AB68" s="26"/>
      <c r="AC68" s="26">
        <f t="shared" si="6"/>
        <v>0</v>
      </c>
      <c r="AD68" s="29"/>
    </row>
    <row r="69" spans="1:30">
      <c r="A69" s="3"/>
      <c r="B69" s="2"/>
      <c r="C69" s="487"/>
      <c r="D69" s="5"/>
      <c r="E69" s="34"/>
      <c r="F69" s="6">
        <f t="shared" si="7"/>
        <v>0</v>
      </c>
      <c r="G69" s="1"/>
      <c r="H69" s="28">
        <f t="shared" si="30"/>
        <v>0</v>
      </c>
      <c r="I69" s="28">
        <f t="shared" si="31"/>
        <v>0</v>
      </c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6"/>
      <c r="Z69" s="26"/>
      <c r="AA69" s="26"/>
      <c r="AB69" s="26"/>
      <c r="AC69" s="26">
        <f t="shared" si="6"/>
        <v>0</v>
      </c>
      <c r="AD69" s="29"/>
    </row>
    <row r="70" spans="1:30">
      <c r="A70" s="3"/>
      <c r="B70" s="2"/>
      <c r="C70" s="487"/>
      <c r="D70" s="5"/>
      <c r="E70" s="34"/>
      <c r="F70" s="6">
        <f t="shared" si="7"/>
        <v>0</v>
      </c>
      <c r="G70" s="1"/>
      <c r="H70" s="28">
        <f t="shared" si="30"/>
        <v>0</v>
      </c>
      <c r="I70" s="28">
        <f t="shared" si="31"/>
        <v>0</v>
      </c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6"/>
      <c r="Z70" s="26"/>
      <c r="AA70" s="26"/>
      <c r="AB70" s="26"/>
      <c r="AC70" s="26">
        <f t="shared" si="6"/>
        <v>0</v>
      </c>
      <c r="AD70" s="29"/>
    </row>
    <row r="71" spans="1:30">
      <c r="A71" s="3"/>
      <c r="B71" s="2"/>
      <c r="C71" s="487"/>
      <c r="D71" s="5"/>
      <c r="E71" s="34"/>
      <c r="F71" s="6">
        <f t="shared" si="7"/>
        <v>0</v>
      </c>
      <c r="G71" s="1"/>
      <c r="H71" s="28">
        <f t="shared" si="30"/>
        <v>0</v>
      </c>
      <c r="I71" s="28">
        <f t="shared" si="31"/>
        <v>0</v>
      </c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6"/>
      <c r="Z71" s="26"/>
      <c r="AA71" s="26"/>
      <c r="AB71" s="26"/>
      <c r="AC71" s="26">
        <f t="shared" si="6"/>
        <v>0</v>
      </c>
      <c r="AD71" s="29"/>
    </row>
    <row r="72" spans="1:30">
      <c r="A72" s="3"/>
      <c r="B72" s="2"/>
      <c r="C72" s="487"/>
      <c r="D72" s="5"/>
      <c r="E72" s="34"/>
      <c r="F72" s="6">
        <f t="shared" si="7"/>
        <v>0</v>
      </c>
      <c r="G72" s="1"/>
      <c r="H72" s="28">
        <f t="shared" si="30"/>
        <v>0</v>
      </c>
      <c r="I72" s="28">
        <f t="shared" si="31"/>
        <v>0</v>
      </c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6"/>
      <c r="Z72" s="26"/>
      <c r="AA72" s="26"/>
      <c r="AB72" s="26"/>
      <c r="AC72" s="26">
        <f t="shared" si="6"/>
        <v>0</v>
      </c>
      <c r="AD72" s="29"/>
    </row>
    <row r="73" spans="1:30">
      <c r="A73" s="3"/>
      <c r="B73" s="2"/>
      <c r="C73" s="487"/>
      <c r="D73" s="5"/>
      <c r="E73" s="34"/>
      <c r="F73" s="6">
        <f t="shared" si="7"/>
        <v>0</v>
      </c>
      <c r="G73" s="1"/>
      <c r="H73" s="28">
        <f t="shared" si="30"/>
        <v>0</v>
      </c>
      <c r="I73" s="28">
        <f t="shared" si="31"/>
        <v>0</v>
      </c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6"/>
      <c r="Z73" s="26"/>
      <c r="AA73" s="26"/>
      <c r="AB73" s="26"/>
      <c r="AC73" s="26">
        <f t="shared" si="6"/>
        <v>0</v>
      </c>
      <c r="AD73" s="29"/>
    </row>
    <row r="74" spans="1:30">
      <c r="A74" s="3"/>
      <c r="B74" s="2"/>
      <c r="C74" s="487"/>
      <c r="D74" s="5"/>
      <c r="E74" s="34"/>
      <c r="F74" s="6">
        <f t="shared" si="7"/>
        <v>0</v>
      </c>
      <c r="G74" s="1"/>
      <c r="H74" s="28">
        <f t="shared" si="30"/>
        <v>0</v>
      </c>
      <c r="I74" s="28">
        <f t="shared" si="31"/>
        <v>0</v>
      </c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6"/>
      <c r="Z74" s="26"/>
      <c r="AA74" s="26"/>
      <c r="AB74" s="26"/>
      <c r="AC74" s="26">
        <f t="shared" si="6"/>
        <v>0</v>
      </c>
      <c r="AD74" s="29"/>
    </row>
    <row r="75" spans="1:30">
      <c r="A75" s="3"/>
      <c r="B75" s="2"/>
      <c r="C75" s="487"/>
      <c r="D75" s="5"/>
      <c r="E75" s="34"/>
      <c r="F75" s="6">
        <f t="shared" si="7"/>
        <v>0</v>
      </c>
      <c r="G75" s="1"/>
      <c r="H75" s="28">
        <f t="shared" si="30"/>
        <v>0</v>
      </c>
      <c r="I75" s="28">
        <f t="shared" si="31"/>
        <v>0</v>
      </c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6"/>
      <c r="Z75" s="26"/>
      <c r="AA75" s="26"/>
      <c r="AB75" s="26"/>
      <c r="AC75" s="26">
        <f t="shared" si="6"/>
        <v>0</v>
      </c>
      <c r="AD75" s="29"/>
    </row>
    <row r="76" spans="1:30">
      <c r="A76" s="3"/>
      <c r="B76" s="2"/>
      <c r="C76" s="487"/>
      <c r="D76" s="5"/>
      <c r="E76" s="34"/>
      <c r="F76" s="6">
        <f t="shared" si="7"/>
        <v>0</v>
      </c>
      <c r="G76" s="1"/>
      <c r="H76" s="28">
        <f t="shared" si="30"/>
        <v>0</v>
      </c>
      <c r="I76" s="28">
        <f t="shared" si="31"/>
        <v>0</v>
      </c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6"/>
      <c r="Z76" s="26"/>
      <c r="AA76" s="26"/>
      <c r="AB76" s="26"/>
      <c r="AC76" s="26">
        <f t="shared" si="6"/>
        <v>0</v>
      </c>
      <c r="AD76" s="29"/>
    </row>
    <row r="77" spans="1:30">
      <c r="A77" s="3"/>
      <c r="B77" s="2"/>
      <c r="C77" s="487"/>
      <c r="D77" s="5"/>
      <c r="E77" s="34"/>
      <c r="F77" s="6">
        <f t="shared" si="7"/>
        <v>0</v>
      </c>
      <c r="G77" s="1"/>
      <c r="H77" s="28">
        <f t="shared" si="30"/>
        <v>0</v>
      </c>
      <c r="I77" s="28">
        <f t="shared" si="31"/>
        <v>0</v>
      </c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6"/>
      <c r="Z77" s="26"/>
      <c r="AA77" s="26"/>
      <c r="AB77" s="26"/>
      <c r="AC77" s="26">
        <f t="shared" si="6"/>
        <v>0</v>
      </c>
      <c r="AD77" s="29"/>
    </row>
    <row r="78" spans="1:30">
      <c r="A78" s="3"/>
      <c r="B78" s="2"/>
      <c r="C78" s="487"/>
      <c r="D78" s="5"/>
      <c r="E78" s="34"/>
      <c r="F78" s="6">
        <f t="shared" si="7"/>
        <v>0</v>
      </c>
      <c r="G78" s="1"/>
      <c r="H78" s="28">
        <f t="shared" si="30"/>
        <v>0</v>
      </c>
      <c r="I78" s="28">
        <f t="shared" si="31"/>
        <v>0</v>
      </c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6"/>
      <c r="Z78" s="26"/>
      <c r="AA78" s="26"/>
      <c r="AB78" s="26"/>
      <c r="AC78" s="26">
        <f t="shared" si="6"/>
        <v>0</v>
      </c>
      <c r="AD78" s="29"/>
    </row>
    <row r="79" spans="1:30">
      <c r="A79" s="3"/>
      <c r="B79" s="2"/>
      <c r="C79" s="487"/>
      <c r="D79" s="5"/>
      <c r="E79" s="34"/>
      <c r="F79" s="6">
        <f t="shared" si="7"/>
        <v>0</v>
      </c>
      <c r="G79" s="1"/>
      <c r="H79" s="28">
        <f t="shared" si="30"/>
        <v>0</v>
      </c>
      <c r="I79" s="28">
        <f t="shared" si="31"/>
        <v>0</v>
      </c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  <c r="AC79" s="26">
        <f t="shared" si="6"/>
        <v>0</v>
      </c>
      <c r="AD79" s="29"/>
    </row>
    <row r="80" spans="1:30">
      <c r="A80" s="3"/>
      <c r="B80" s="2"/>
      <c r="C80" s="487"/>
      <c r="D80" s="5"/>
      <c r="E80" s="34"/>
      <c r="F80" s="6">
        <f t="shared" ref="F80:F143" si="32">+E80*3.276</f>
        <v>0</v>
      </c>
      <c r="G80" s="1"/>
      <c r="H80" s="28">
        <f t="shared" si="30"/>
        <v>0</v>
      </c>
      <c r="I80" s="28">
        <f t="shared" si="31"/>
        <v>0</v>
      </c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  <c r="AC80" s="26">
        <f t="shared" si="6"/>
        <v>0</v>
      </c>
      <c r="AD80" s="29"/>
    </row>
    <row r="81" spans="1:30">
      <c r="A81" s="3"/>
      <c r="B81" s="2"/>
      <c r="C81" s="487"/>
      <c r="D81" s="5"/>
      <c r="E81" s="34"/>
      <c r="F81" s="6">
        <f t="shared" si="32"/>
        <v>0</v>
      </c>
      <c r="G81" s="1"/>
      <c r="H81" s="28">
        <f t="shared" ref="H81:H143" si="33">+G81*3.588</f>
        <v>0</v>
      </c>
      <c r="I81" s="28">
        <f t="shared" ref="I81:I143" si="34">+F81+H81</f>
        <v>0</v>
      </c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  <c r="AC81" s="26">
        <f t="shared" si="6"/>
        <v>0</v>
      </c>
      <c r="AD81" s="29"/>
    </row>
    <row r="82" spans="1:30">
      <c r="A82" s="3"/>
      <c r="B82" s="2"/>
      <c r="C82" s="487"/>
      <c r="D82" s="5"/>
      <c r="E82" s="34"/>
      <c r="F82" s="6">
        <f t="shared" si="32"/>
        <v>0</v>
      </c>
      <c r="G82" s="1"/>
      <c r="H82" s="28">
        <f t="shared" si="33"/>
        <v>0</v>
      </c>
      <c r="I82" s="28">
        <f t="shared" si="34"/>
        <v>0</v>
      </c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6"/>
      <c r="AC82" s="26">
        <f t="shared" si="6"/>
        <v>0</v>
      </c>
      <c r="AD82" s="29"/>
    </row>
    <row r="83" spans="1:30">
      <c r="A83" s="3"/>
      <c r="B83" s="2"/>
      <c r="C83" s="487"/>
      <c r="D83" s="5"/>
      <c r="E83" s="34"/>
      <c r="F83" s="6">
        <f t="shared" si="32"/>
        <v>0</v>
      </c>
      <c r="G83" s="1"/>
      <c r="H83" s="28">
        <f t="shared" si="33"/>
        <v>0</v>
      </c>
      <c r="I83" s="28">
        <f t="shared" si="34"/>
        <v>0</v>
      </c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26">
        <f t="shared" si="6"/>
        <v>0</v>
      </c>
      <c r="AD83" s="29"/>
    </row>
    <row r="84" spans="1:30">
      <c r="A84" s="3"/>
      <c r="B84" s="2"/>
      <c r="C84" s="487"/>
      <c r="D84" s="5"/>
      <c r="E84" s="34"/>
      <c r="F84" s="6">
        <f t="shared" si="32"/>
        <v>0</v>
      </c>
      <c r="G84" s="1"/>
      <c r="H84" s="28">
        <f t="shared" si="33"/>
        <v>0</v>
      </c>
      <c r="I84" s="28">
        <f t="shared" si="34"/>
        <v>0</v>
      </c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6"/>
      <c r="Z84" s="26"/>
      <c r="AA84" s="26"/>
      <c r="AB84" s="26"/>
      <c r="AC84" s="26">
        <f t="shared" si="6"/>
        <v>0</v>
      </c>
      <c r="AD84" s="29"/>
    </row>
    <row r="85" spans="1:30">
      <c r="A85" s="3"/>
      <c r="B85" s="2"/>
      <c r="C85" s="487"/>
      <c r="D85" s="5"/>
      <c r="E85" s="34"/>
      <c r="F85" s="6">
        <f t="shared" si="32"/>
        <v>0</v>
      </c>
      <c r="G85" s="1"/>
      <c r="H85" s="28">
        <f t="shared" si="33"/>
        <v>0</v>
      </c>
      <c r="I85" s="28">
        <f t="shared" si="34"/>
        <v>0</v>
      </c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6"/>
      <c r="Z85" s="26"/>
      <c r="AA85" s="26"/>
      <c r="AB85" s="26"/>
      <c r="AC85" s="26">
        <f t="shared" si="6"/>
        <v>0</v>
      </c>
      <c r="AD85" s="29"/>
    </row>
    <row r="86" spans="1:30">
      <c r="A86" s="3"/>
      <c r="B86" s="2"/>
      <c r="C86" s="487"/>
      <c r="D86" s="5"/>
      <c r="E86" s="34"/>
      <c r="F86" s="6">
        <f t="shared" si="32"/>
        <v>0</v>
      </c>
      <c r="G86" s="1"/>
      <c r="H86" s="28">
        <f t="shared" si="33"/>
        <v>0</v>
      </c>
      <c r="I86" s="28">
        <f t="shared" si="34"/>
        <v>0</v>
      </c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  <c r="AC86" s="26">
        <f t="shared" si="6"/>
        <v>0</v>
      </c>
      <c r="AD86" s="29"/>
    </row>
    <row r="87" spans="1:30">
      <c r="A87" s="3"/>
      <c r="B87" s="2"/>
      <c r="C87" s="487"/>
      <c r="D87" s="5"/>
      <c r="E87" s="34"/>
      <c r="F87" s="6">
        <f t="shared" si="32"/>
        <v>0</v>
      </c>
      <c r="G87" s="1"/>
      <c r="H87" s="28">
        <f t="shared" si="33"/>
        <v>0</v>
      </c>
      <c r="I87" s="28">
        <f t="shared" si="34"/>
        <v>0</v>
      </c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26">
        <f t="shared" si="6"/>
        <v>0</v>
      </c>
      <c r="AD87" s="29"/>
    </row>
    <row r="88" spans="1:30">
      <c r="A88" s="3"/>
      <c r="B88" s="2"/>
      <c r="C88" s="487"/>
      <c r="D88" s="5"/>
      <c r="E88" s="34"/>
      <c r="F88" s="6">
        <f t="shared" si="32"/>
        <v>0</v>
      </c>
      <c r="G88" s="1"/>
      <c r="H88" s="28">
        <f t="shared" si="33"/>
        <v>0</v>
      </c>
      <c r="I88" s="28">
        <f t="shared" si="34"/>
        <v>0</v>
      </c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  <c r="AC88" s="26">
        <f t="shared" si="6"/>
        <v>0</v>
      </c>
      <c r="AD88" s="29"/>
    </row>
    <row r="89" spans="1:30">
      <c r="A89" s="3"/>
      <c r="B89" s="2"/>
      <c r="C89" s="487"/>
      <c r="D89" s="5"/>
      <c r="E89" s="34"/>
      <c r="F89" s="6">
        <f t="shared" si="32"/>
        <v>0</v>
      </c>
      <c r="G89" s="1"/>
      <c r="H89" s="28">
        <f t="shared" si="33"/>
        <v>0</v>
      </c>
      <c r="I89" s="28">
        <f t="shared" si="34"/>
        <v>0</v>
      </c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>
        <f t="shared" si="6"/>
        <v>0</v>
      </c>
      <c r="AD89" s="29"/>
    </row>
    <row r="90" spans="1:30">
      <c r="A90" s="3"/>
      <c r="B90" s="2"/>
      <c r="C90" s="487"/>
      <c r="D90" s="5"/>
      <c r="E90" s="34"/>
      <c r="F90" s="6">
        <f t="shared" si="32"/>
        <v>0</v>
      </c>
      <c r="G90" s="1"/>
      <c r="H90" s="28">
        <f t="shared" si="33"/>
        <v>0</v>
      </c>
      <c r="I90" s="28">
        <f t="shared" si="34"/>
        <v>0</v>
      </c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>
        <f t="shared" si="6"/>
        <v>0</v>
      </c>
      <c r="AD90" s="29"/>
    </row>
    <row r="91" spans="1:30">
      <c r="A91" s="3"/>
      <c r="B91" s="2"/>
      <c r="C91" s="487"/>
      <c r="D91" s="5"/>
      <c r="E91" s="34"/>
      <c r="F91" s="6">
        <f t="shared" si="32"/>
        <v>0</v>
      </c>
      <c r="G91" s="1"/>
      <c r="H91" s="28">
        <f t="shared" si="33"/>
        <v>0</v>
      </c>
      <c r="I91" s="28">
        <f t="shared" si="34"/>
        <v>0</v>
      </c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6"/>
      <c r="Z91" s="26"/>
      <c r="AA91" s="26"/>
      <c r="AB91" s="26"/>
      <c r="AC91" s="26">
        <f t="shared" ref="AC91:AC133" si="35">SUM(K91:AB91)</f>
        <v>0</v>
      </c>
      <c r="AD91" s="29"/>
    </row>
    <row r="92" spans="1:30">
      <c r="A92" s="3"/>
      <c r="B92" s="2"/>
      <c r="C92" s="487"/>
      <c r="D92" s="5"/>
      <c r="E92" s="34"/>
      <c r="F92" s="6">
        <f t="shared" si="32"/>
        <v>0</v>
      </c>
      <c r="G92" s="1"/>
      <c r="H92" s="28">
        <f t="shared" si="33"/>
        <v>0</v>
      </c>
      <c r="I92" s="28">
        <f t="shared" si="34"/>
        <v>0</v>
      </c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6"/>
      <c r="Z92" s="26"/>
      <c r="AA92" s="26"/>
      <c r="AB92" s="26"/>
      <c r="AC92" s="26">
        <f t="shared" si="35"/>
        <v>0</v>
      </c>
      <c r="AD92" s="29"/>
    </row>
    <row r="93" spans="1:30">
      <c r="A93" s="3"/>
      <c r="B93" s="2"/>
      <c r="C93" s="487"/>
      <c r="D93" s="5"/>
      <c r="E93" s="34"/>
      <c r="F93" s="6">
        <f t="shared" si="32"/>
        <v>0</v>
      </c>
      <c r="G93" s="1"/>
      <c r="H93" s="28">
        <f t="shared" si="33"/>
        <v>0</v>
      </c>
      <c r="I93" s="28">
        <f t="shared" si="34"/>
        <v>0</v>
      </c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>
        <f t="shared" si="35"/>
        <v>0</v>
      </c>
      <c r="AD93" s="29"/>
    </row>
    <row r="94" spans="1:30">
      <c r="A94" s="3"/>
      <c r="B94" s="2"/>
      <c r="C94" s="487"/>
      <c r="D94" s="5"/>
      <c r="E94" s="34"/>
      <c r="F94" s="6">
        <f t="shared" si="32"/>
        <v>0</v>
      </c>
      <c r="G94" s="1"/>
      <c r="H94" s="28">
        <f t="shared" si="33"/>
        <v>0</v>
      </c>
      <c r="I94" s="28">
        <f t="shared" si="34"/>
        <v>0</v>
      </c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>
        <f t="shared" si="35"/>
        <v>0</v>
      </c>
      <c r="AD94" s="29"/>
    </row>
    <row r="95" spans="1:30">
      <c r="A95" s="3"/>
      <c r="B95" s="2"/>
      <c r="C95" s="487"/>
      <c r="D95" s="5"/>
      <c r="E95" s="34"/>
      <c r="F95" s="6">
        <f t="shared" si="32"/>
        <v>0</v>
      </c>
      <c r="G95" s="1"/>
      <c r="H95" s="28">
        <f t="shared" si="33"/>
        <v>0</v>
      </c>
      <c r="I95" s="28">
        <f t="shared" si="34"/>
        <v>0</v>
      </c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26">
        <f t="shared" si="35"/>
        <v>0</v>
      </c>
      <c r="AD95" s="29"/>
    </row>
    <row r="96" spans="1:30">
      <c r="A96" s="3"/>
      <c r="B96" s="2"/>
      <c r="C96" s="487"/>
      <c r="D96" s="5"/>
      <c r="E96" s="34"/>
      <c r="F96" s="6">
        <f t="shared" si="32"/>
        <v>0</v>
      </c>
      <c r="G96" s="1"/>
      <c r="H96" s="28">
        <f t="shared" si="33"/>
        <v>0</v>
      </c>
      <c r="I96" s="28">
        <f t="shared" si="34"/>
        <v>0</v>
      </c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  <c r="AB96" s="26"/>
      <c r="AC96" s="26">
        <f t="shared" si="35"/>
        <v>0</v>
      </c>
      <c r="AD96" s="29"/>
    </row>
    <row r="97" spans="1:30">
      <c r="A97" s="3"/>
      <c r="B97" s="2"/>
      <c r="C97" s="487"/>
      <c r="D97" s="5"/>
      <c r="E97" s="34"/>
      <c r="F97" s="6">
        <f t="shared" si="32"/>
        <v>0</v>
      </c>
      <c r="G97" s="1"/>
      <c r="H97" s="28">
        <f t="shared" si="33"/>
        <v>0</v>
      </c>
      <c r="I97" s="28">
        <f t="shared" si="34"/>
        <v>0</v>
      </c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  <c r="AC97" s="26">
        <f t="shared" si="35"/>
        <v>0</v>
      </c>
      <c r="AD97" s="29"/>
    </row>
    <row r="98" spans="1:30">
      <c r="A98" s="3"/>
      <c r="B98" s="2"/>
      <c r="C98" s="487"/>
      <c r="D98" s="5"/>
      <c r="E98" s="34"/>
      <c r="F98" s="6">
        <f t="shared" si="32"/>
        <v>0</v>
      </c>
      <c r="G98" s="1"/>
      <c r="H98" s="28">
        <f t="shared" si="33"/>
        <v>0</v>
      </c>
      <c r="I98" s="28">
        <f t="shared" si="34"/>
        <v>0</v>
      </c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6"/>
      <c r="Z98" s="26"/>
      <c r="AA98" s="26"/>
      <c r="AB98" s="26"/>
      <c r="AC98" s="26">
        <f t="shared" si="35"/>
        <v>0</v>
      </c>
      <c r="AD98" s="29"/>
    </row>
    <row r="99" spans="1:30">
      <c r="A99" s="3"/>
      <c r="B99" s="2"/>
      <c r="C99" s="487"/>
      <c r="D99" s="5"/>
      <c r="E99" s="34"/>
      <c r="F99" s="6">
        <f t="shared" si="32"/>
        <v>0</v>
      </c>
      <c r="G99" s="1"/>
      <c r="H99" s="28">
        <f t="shared" si="33"/>
        <v>0</v>
      </c>
      <c r="I99" s="28">
        <f t="shared" si="34"/>
        <v>0</v>
      </c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6"/>
      <c r="Z99" s="26"/>
      <c r="AA99" s="26"/>
      <c r="AB99" s="26"/>
      <c r="AC99" s="26">
        <f t="shared" si="35"/>
        <v>0</v>
      </c>
      <c r="AD99" s="29"/>
    </row>
    <row r="100" spans="1:30">
      <c r="A100" s="3"/>
      <c r="B100" s="2"/>
      <c r="C100" s="487"/>
      <c r="D100" s="5"/>
      <c r="E100" s="34"/>
      <c r="F100" s="6">
        <f t="shared" si="32"/>
        <v>0</v>
      </c>
      <c r="G100" s="1"/>
      <c r="H100" s="28">
        <f t="shared" si="33"/>
        <v>0</v>
      </c>
      <c r="I100" s="28">
        <f t="shared" si="34"/>
        <v>0</v>
      </c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  <c r="AC100" s="26">
        <f t="shared" si="35"/>
        <v>0</v>
      </c>
      <c r="AD100" s="29"/>
    </row>
    <row r="101" spans="1:30">
      <c r="A101" s="3"/>
      <c r="B101" s="2"/>
      <c r="C101" s="487"/>
      <c r="D101" s="5"/>
      <c r="E101" s="34"/>
      <c r="F101" s="6">
        <f t="shared" si="32"/>
        <v>0</v>
      </c>
      <c r="G101" s="1"/>
      <c r="H101" s="28">
        <f t="shared" si="33"/>
        <v>0</v>
      </c>
      <c r="I101" s="28">
        <f t="shared" si="34"/>
        <v>0</v>
      </c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  <c r="AC101" s="26">
        <f t="shared" si="35"/>
        <v>0</v>
      </c>
      <c r="AD101" s="29"/>
    </row>
    <row r="102" spans="1:30">
      <c r="A102" s="3"/>
      <c r="B102" s="2"/>
      <c r="C102" s="487"/>
      <c r="D102" s="5"/>
      <c r="E102" s="34"/>
      <c r="F102" s="6">
        <f t="shared" si="32"/>
        <v>0</v>
      </c>
      <c r="G102" s="1"/>
      <c r="H102" s="28">
        <f t="shared" si="33"/>
        <v>0</v>
      </c>
      <c r="I102" s="28">
        <f t="shared" si="34"/>
        <v>0</v>
      </c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  <c r="AC102" s="26">
        <f t="shared" si="35"/>
        <v>0</v>
      </c>
      <c r="AD102" s="29"/>
    </row>
    <row r="103" spans="1:30">
      <c r="A103" s="3"/>
      <c r="B103" s="2"/>
      <c r="C103" s="487"/>
      <c r="D103" s="5"/>
      <c r="E103" s="34"/>
      <c r="F103" s="6">
        <f t="shared" si="32"/>
        <v>0</v>
      </c>
      <c r="G103" s="1"/>
      <c r="H103" s="28">
        <f t="shared" si="33"/>
        <v>0</v>
      </c>
      <c r="I103" s="28">
        <f t="shared" si="34"/>
        <v>0</v>
      </c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  <c r="AA103" s="26"/>
      <c r="AB103" s="26"/>
      <c r="AC103" s="26">
        <f t="shared" si="35"/>
        <v>0</v>
      </c>
      <c r="AD103" s="29"/>
    </row>
    <row r="104" spans="1:30">
      <c r="A104" s="3"/>
      <c r="B104" s="2"/>
      <c r="C104" s="487"/>
      <c r="D104" s="5"/>
      <c r="E104" s="34"/>
      <c r="F104" s="6">
        <f t="shared" si="32"/>
        <v>0</v>
      </c>
      <c r="G104" s="1"/>
      <c r="H104" s="28">
        <f t="shared" si="33"/>
        <v>0</v>
      </c>
      <c r="I104" s="28">
        <f t="shared" si="34"/>
        <v>0</v>
      </c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  <c r="AC104" s="26">
        <f t="shared" si="35"/>
        <v>0</v>
      </c>
      <c r="AD104" s="29"/>
    </row>
    <row r="105" spans="1:30">
      <c r="A105" s="3"/>
      <c r="B105" s="2"/>
      <c r="C105" s="487"/>
      <c r="D105" s="5"/>
      <c r="E105" s="34"/>
      <c r="F105" s="6">
        <f t="shared" si="32"/>
        <v>0</v>
      </c>
      <c r="G105" s="1"/>
      <c r="H105" s="28">
        <f t="shared" si="33"/>
        <v>0</v>
      </c>
      <c r="I105" s="28">
        <f t="shared" si="34"/>
        <v>0</v>
      </c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6"/>
      <c r="Z105" s="26"/>
      <c r="AA105" s="26"/>
      <c r="AB105" s="26"/>
      <c r="AC105" s="26">
        <f t="shared" si="35"/>
        <v>0</v>
      </c>
      <c r="AD105" s="29"/>
    </row>
    <row r="106" spans="1:30">
      <c r="A106" s="3"/>
      <c r="B106" s="2"/>
      <c r="C106" s="487"/>
      <c r="D106" s="5"/>
      <c r="E106" s="34"/>
      <c r="F106" s="6">
        <f t="shared" si="32"/>
        <v>0</v>
      </c>
      <c r="G106" s="1"/>
      <c r="H106" s="28">
        <f t="shared" si="33"/>
        <v>0</v>
      </c>
      <c r="I106" s="28">
        <f t="shared" si="34"/>
        <v>0</v>
      </c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6"/>
      <c r="Z106" s="26"/>
      <c r="AA106" s="26"/>
      <c r="AB106" s="26"/>
      <c r="AC106" s="26">
        <f t="shared" si="35"/>
        <v>0</v>
      </c>
      <c r="AD106" s="29"/>
    </row>
    <row r="107" spans="1:30">
      <c r="A107" s="3"/>
      <c r="B107" s="2"/>
      <c r="C107" s="487"/>
      <c r="D107" s="5"/>
      <c r="E107" s="34"/>
      <c r="F107" s="6">
        <f t="shared" si="32"/>
        <v>0</v>
      </c>
      <c r="G107" s="1"/>
      <c r="H107" s="28">
        <f t="shared" si="33"/>
        <v>0</v>
      </c>
      <c r="I107" s="28">
        <f t="shared" si="34"/>
        <v>0</v>
      </c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26">
        <f t="shared" si="35"/>
        <v>0</v>
      </c>
      <c r="AD107" s="29"/>
    </row>
    <row r="108" spans="1:30">
      <c r="A108" s="3"/>
      <c r="B108" s="2"/>
      <c r="C108" s="487"/>
      <c r="D108" s="5"/>
      <c r="E108" s="34"/>
      <c r="F108" s="6">
        <f t="shared" si="32"/>
        <v>0</v>
      </c>
      <c r="G108" s="1"/>
      <c r="H108" s="28">
        <f t="shared" si="33"/>
        <v>0</v>
      </c>
      <c r="I108" s="28">
        <f t="shared" si="34"/>
        <v>0</v>
      </c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  <c r="AC108" s="26">
        <f t="shared" si="35"/>
        <v>0</v>
      </c>
      <c r="AD108" s="29"/>
    </row>
    <row r="109" spans="1:30">
      <c r="A109" s="3"/>
      <c r="B109" s="2"/>
      <c r="C109" s="487"/>
      <c r="D109" s="5"/>
      <c r="E109" s="34"/>
      <c r="F109" s="6">
        <f t="shared" si="32"/>
        <v>0</v>
      </c>
      <c r="G109" s="1"/>
      <c r="H109" s="28">
        <f t="shared" si="33"/>
        <v>0</v>
      </c>
      <c r="I109" s="28">
        <f t="shared" si="34"/>
        <v>0</v>
      </c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  <c r="AC109" s="26">
        <f t="shared" si="35"/>
        <v>0</v>
      </c>
      <c r="AD109" s="29"/>
    </row>
    <row r="110" spans="1:30">
      <c r="A110" s="3"/>
      <c r="B110" s="2"/>
      <c r="C110" s="487"/>
      <c r="D110" s="5"/>
      <c r="E110" s="34"/>
      <c r="F110" s="6">
        <f t="shared" si="32"/>
        <v>0</v>
      </c>
      <c r="G110" s="1"/>
      <c r="H110" s="28">
        <f t="shared" si="33"/>
        <v>0</v>
      </c>
      <c r="I110" s="28">
        <f t="shared" si="34"/>
        <v>0</v>
      </c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26">
        <f t="shared" si="35"/>
        <v>0</v>
      </c>
      <c r="AD110" s="29"/>
    </row>
    <row r="111" spans="1:30">
      <c r="A111" s="3"/>
      <c r="B111" s="2"/>
      <c r="C111" s="487"/>
      <c r="D111" s="5"/>
      <c r="E111" s="34"/>
      <c r="F111" s="6">
        <f t="shared" si="32"/>
        <v>0</v>
      </c>
      <c r="G111" s="1"/>
      <c r="H111" s="28">
        <f t="shared" si="33"/>
        <v>0</v>
      </c>
      <c r="I111" s="28">
        <f t="shared" si="34"/>
        <v>0</v>
      </c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  <c r="AC111" s="26">
        <f t="shared" si="35"/>
        <v>0</v>
      </c>
      <c r="AD111" s="29"/>
    </row>
    <row r="112" spans="1:30">
      <c r="A112" s="3"/>
      <c r="B112" s="2"/>
      <c r="C112" s="487"/>
      <c r="D112" s="5"/>
      <c r="E112" s="34"/>
      <c r="F112" s="6">
        <f t="shared" si="32"/>
        <v>0</v>
      </c>
      <c r="G112" s="1"/>
      <c r="H112" s="28">
        <f t="shared" si="33"/>
        <v>0</v>
      </c>
      <c r="I112" s="28">
        <f t="shared" si="34"/>
        <v>0</v>
      </c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6"/>
      <c r="Z112" s="26"/>
      <c r="AA112" s="26"/>
      <c r="AB112" s="26"/>
      <c r="AC112" s="26">
        <f t="shared" si="35"/>
        <v>0</v>
      </c>
      <c r="AD112" s="29"/>
    </row>
    <row r="113" spans="1:30">
      <c r="A113" s="3"/>
      <c r="B113" s="2"/>
      <c r="C113" s="487"/>
      <c r="D113" s="5"/>
      <c r="E113" s="34"/>
      <c r="F113" s="6">
        <f t="shared" si="32"/>
        <v>0</v>
      </c>
      <c r="G113" s="1"/>
      <c r="H113" s="28">
        <f t="shared" si="33"/>
        <v>0</v>
      </c>
      <c r="I113" s="28">
        <f t="shared" si="34"/>
        <v>0</v>
      </c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6"/>
      <c r="Z113" s="26"/>
      <c r="AA113" s="26"/>
      <c r="AB113" s="26"/>
      <c r="AC113" s="26">
        <f t="shared" si="35"/>
        <v>0</v>
      </c>
      <c r="AD113" s="29"/>
    </row>
    <row r="114" spans="1:30">
      <c r="A114" s="3"/>
      <c r="B114" s="2"/>
      <c r="C114" s="487"/>
      <c r="D114" s="5"/>
      <c r="E114" s="34"/>
      <c r="F114" s="6">
        <f t="shared" si="32"/>
        <v>0</v>
      </c>
      <c r="G114" s="1"/>
      <c r="H114" s="28">
        <f t="shared" si="33"/>
        <v>0</v>
      </c>
      <c r="I114" s="28">
        <f t="shared" si="34"/>
        <v>0</v>
      </c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  <c r="AC114" s="26">
        <f t="shared" si="35"/>
        <v>0</v>
      </c>
      <c r="AD114" s="29"/>
    </row>
    <row r="115" spans="1:30">
      <c r="A115" s="3"/>
      <c r="B115" s="2"/>
      <c r="C115" s="487"/>
      <c r="D115" s="5"/>
      <c r="E115" s="34"/>
      <c r="F115" s="6">
        <f t="shared" si="32"/>
        <v>0</v>
      </c>
      <c r="G115" s="1"/>
      <c r="H115" s="28">
        <f t="shared" si="33"/>
        <v>0</v>
      </c>
      <c r="I115" s="28">
        <f t="shared" si="34"/>
        <v>0</v>
      </c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  <c r="AA115" s="26"/>
      <c r="AB115" s="26"/>
      <c r="AC115" s="26">
        <f t="shared" si="35"/>
        <v>0</v>
      </c>
      <c r="AD115" s="29"/>
    </row>
    <row r="116" spans="1:30">
      <c r="A116" s="3"/>
      <c r="B116" s="2"/>
      <c r="C116" s="487"/>
      <c r="D116" s="5"/>
      <c r="E116" s="34"/>
      <c r="F116" s="6">
        <f t="shared" si="32"/>
        <v>0</v>
      </c>
      <c r="G116" s="1"/>
      <c r="H116" s="28">
        <f t="shared" si="33"/>
        <v>0</v>
      </c>
      <c r="I116" s="28">
        <f t="shared" si="34"/>
        <v>0</v>
      </c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  <c r="AA116" s="26"/>
      <c r="AB116" s="26"/>
      <c r="AC116" s="26">
        <f t="shared" si="35"/>
        <v>0</v>
      </c>
      <c r="AD116" s="29"/>
    </row>
    <row r="117" spans="1:30">
      <c r="A117" s="3"/>
      <c r="B117" s="2"/>
      <c r="C117" s="487"/>
      <c r="D117" s="5"/>
      <c r="E117" s="34"/>
      <c r="F117" s="6">
        <f t="shared" si="32"/>
        <v>0</v>
      </c>
      <c r="G117" s="1"/>
      <c r="H117" s="28">
        <f t="shared" si="33"/>
        <v>0</v>
      </c>
      <c r="I117" s="28">
        <f t="shared" si="34"/>
        <v>0</v>
      </c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  <c r="AA117" s="26"/>
      <c r="AB117" s="26"/>
      <c r="AC117" s="26">
        <f t="shared" si="35"/>
        <v>0</v>
      </c>
      <c r="AD117" s="29"/>
    </row>
    <row r="118" spans="1:30">
      <c r="A118" s="3"/>
      <c r="B118" s="2"/>
      <c r="C118" s="487"/>
      <c r="D118" s="5"/>
      <c r="E118" s="34"/>
      <c r="F118" s="6">
        <f t="shared" si="32"/>
        <v>0</v>
      </c>
      <c r="G118" s="1"/>
      <c r="H118" s="28">
        <f t="shared" si="33"/>
        <v>0</v>
      </c>
      <c r="I118" s="28">
        <f t="shared" si="34"/>
        <v>0</v>
      </c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  <c r="AA118" s="26"/>
      <c r="AB118" s="26"/>
      <c r="AC118" s="26">
        <f t="shared" si="35"/>
        <v>0</v>
      </c>
      <c r="AD118" s="29"/>
    </row>
    <row r="119" spans="1:30">
      <c r="A119" s="3"/>
      <c r="B119" s="2"/>
      <c r="C119" s="487"/>
      <c r="D119" s="5"/>
      <c r="E119" s="34"/>
      <c r="F119" s="6">
        <f t="shared" si="32"/>
        <v>0</v>
      </c>
      <c r="G119" s="1"/>
      <c r="H119" s="28">
        <f t="shared" si="33"/>
        <v>0</v>
      </c>
      <c r="I119" s="28">
        <f t="shared" si="34"/>
        <v>0</v>
      </c>
      <c r="J119" s="26"/>
      <c r="K119" s="26"/>
      <c r="L119" s="26"/>
      <c r="M119" s="26"/>
      <c r="N119" s="26"/>
      <c r="O119" s="26"/>
      <c r="P119" s="26"/>
      <c r="Q119" s="26"/>
      <c r="R119" s="26"/>
      <c r="S119" s="26"/>
      <c r="T119" s="26"/>
      <c r="U119" s="26"/>
      <c r="V119" s="26"/>
      <c r="W119" s="26"/>
      <c r="X119" s="26"/>
      <c r="Y119" s="26"/>
      <c r="Z119" s="26"/>
      <c r="AA119" s="26"/>
      <c r="AB119" s="26"/>
      <c r="AC119" s="26">
        <f t="shared" si="35"/>
        <v>0</v>
      </c>
      <c r="AD119" s="29"/>
    </row>
    <row r="120" spans="1:30">
      <c r="A120" s="3"/>
      <c r="B120" s="2"/>
      <c r="C120" s="487"/>
      <c r="D120" s="5"/>
      <c r="E120" s="34"/>
      <c r="F120" s="6">
        <f t="shared" si="32"/>
        <v>0</v>
      </c>
      <c r="G120" s="1"/>
      <c r="H120" s="28">
        <f t="shared" si="33"/>
        <v>0</v>
      </c>
      <c r="I120" s="28">
        <f t="shared" si="34"/>
        <v>0</v>
      </c>
      <c r="J120" s="26"/>
      <c r="K120" s="26"/>
      <c r="L120" s="26"/>
      <c r="M120" s="26"/>
      <c r="N120" s="26"/>
      <c r="O120" s="26"/>
      <c r="P120" s="26"/>
      <c r="Q120" s="26"/>
      <c r="R120" s="26"/>
      <c r="S120" s="26"/>
      <c r="T120" s="26"/>
      <c r="U120" s="26"/>
      <c r="V120" s="26"/>
      <c r="W120" s="26"/>
      <c r="X120" s="26"/>
      <c r="Y120" s="26"/>
      <c r="Z120" s="26"/>
      <c r="AA120" s="26"/>
      <c r="AB120" s="26"/>
      <c r="AC120" s="26">
        <f t="shared" si="35"/>
        <v>0</v>
      </c>
      <c r="AD120" s="29"/>
    </row>
    <row r="121" spans="1:30">
      <c r="A121" s="3"/>
      <c r="B121" s="2"/>
      <c r="C121" s="487"/>
      <c r="D121" s="5"/>
      <c r="E121" s="34"/>
      <c r="F121" s="6">
        <f t="shared" si="32"/>
        <v>0</v>
      </c>
      <c r="G121" s="1"/>
      <c r="H121" s="28">
        <f t="shared" si="33"/>
        <v>0</v>
      </c>
      <c r="I121" s="28">
        <f t="shared" si="34"/>
        <v>0</v>
      </c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  <c r="AA121" s="26"/>
      <c r="AB121" s="26"/>
      <c r="AC121" s="26">
        <f t="shared" si="35"/>
        <v>0</v>
      </c>
      <c r="AD121" s="29"/>
    </row>
    <row r="122" spans="1:30">
      <c r="A122" s="3"/>
      <c r="B122" s="2"/>
      <c r="C122" s="487"/>
      <c r="D122" s="5"/>
      <c r="E122" s="34"/>
      <c r="F122" s="6">
        <f t="shared" si="32"/>
        <v>0</v>
      </c>
      <c r="G122" s="1"/>
      <c r="H122" s="28">
        <f t="shared" si="33"/>
        <v>0</v>
      </c>
      <c r="I122" s="28">
        <f t="shared" si="34"/>
        <v>0</v>
      </c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  <c r="AB122" s="26"/>
      <c r="AC122" s="26">
        <f t="shared" si="35"/>
        <v>0</v>
      </c>
      <c r="AD122" s="29"/>
    </row>
    <row r="123" spans="1:30">
      <c r="A123" s="3"/>
      <c r="B123" s="2"/>
      <c r="C123" s="487"/>
      <c r="D123" s="5"/>
      <c r="E123" s="34"/>
      <c r="F123" s="6">
        <f t="shared" si="32"/>
        <v>0</v>
      </c>
      <c r="G123" s="1"/>
      <c r="H123" s="28">
        <f t="shared" si="33"/>
        <v>0</v>
      </c>
      <c r="I123" s="28">
        <f t="shared" si="34"/>
        <v>0</v>
      </c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  <c r="AA123" s="26"/>
      <c r="AB123" s="26"/>
      <c r="AC123" s="26">
        <f t="shared" si="35"/>
        <v>0</v>
      </c>
      <c r="AD123" s="29"/>
    </row>
    <row r="124" spans="1:30">
      <c r="A124" s="3"/>
      <c r="B124" s="2"/>
      <c r="C124" s="487"/>
      <c r="D124" s="5"/>
      <c r="E124" s="34"/>
      <c r="F124" s="6">
        <f t="shared" si="32"/>
        <v>0</v>
      </c>
      <c r="G124" s="1"/>
      <c r="H124" s="28">
        <f t="shared" si="33"/>
        <v>0</v>
      </c>
      <c r="I124" s="28">
        <f t="shared" si="34"/>
        <v>0</v>
      </c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  <c r="AB124" s="26"/>
      <c r="AC124" s="26">
        <f t="shared" si="35"/>
        <v>0</v>
      </c>
      <c r="AD124" s="29"/>
    </row>
    <row r="125" spans="1:30">
      <c r="A125" s="3"/>
      <c r="B125" s="2"/>
      <c r="C125" s="487"/>
      <c r="D125" s="5"/>
      <c r="E125" s="34"/>
      <c r="F125" s="6">
        <f t="shared" si="32"/>
        <v>0</v>
      </c>
      <c r="G125" s="1"/>
      <c r="H125" s="28">
        <f t="shared" si="33"/>
        <v>0</v>
      </c>
      <c r="I125" s="28">
        <f t="shared" si="34"/>
        <v>0</v>
      </c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  <c r="AA125" s="26"/>
      <c r="AB125" s="26"/>
      <c r="AC125" s="26">
        <f t="shared" si="35"/>
        <v>0</v>
      </c>
      <c r="AD125" s="29"/>
    </row>
    <row r="126" spans="1:30">
      <c r="A126" s="3"/>
      <c r="B126" s="2"/>
      <c r="C126" s="487"/>
      <c r="D126" s="5"/>
      <c r="E126" s="34"/>
      <c r="F126" s="6">
        <f t="shared" si="32"/>
        <v>0</v>
      </c>
      <c r="G126" s="1"/>
      <c r="H126" s="28">
        <f t="shared" si="33"/>
        <v>0</v>
      </c>
      <c r="I126" s="28">
        <f t="shared" si="34"/>
        <v>0</v>
      </c>
      <c r="J126" s="26"/>
      <c r="K126" s="26"/>
      <c r="L126" s="26"/>
      <c r="M126" s="26"/>
      <c r="N126" s="26"/>
      <c r="O126" s="26"/>
      <c r="P126" s="26"/>
      <c r="Q126" s="26"/>
      <c r="R126" s="26"/>
      <c r="S126" s="26"/>
      <c r="T126" s="26"/>
      <c r="U126" s="26"/>
      <c r="V126" s="26"/>
      <c r="W126" s="26"/>
      <c r="X126" s="26"/>
      <c r="Y126" s="26"/>
      <c r="Z126" s="26"/>
      <c r="AA126" s="26"/>
      <c r="AB126" s="26"/>
      <c r="AC126" s="26">
        <f t="shared" si="35"/>
        <v>0</v>
      </c>
      <c r="AD126" s="29"/>
    </row>
    <row r="127" spans="1:30">
      <c r="A127" s="3"/>
      <c r="B127" s="2"/>
      <c r="C127" s="487"/>
      <c r="D127" s="5"/>
      <c r="E127" s="34"/>
      <c r="F127" s="6">
        <f t="shared" si="32"/>
        <v>0</v>
      </c>
      <c r="G127" s="1"/>
      <c r="H127" s="28">
        <f t="shared" si="33"/>
        <v>0</v>
      </c>
      <c r="I127" s="28">
        <f t="shared" si="34"/>
        <v>0</v>
      </c>
      <c r="J127" s="26"/>
      <c r="K127" s="26"/>
      <c r="L127" s="26"/>
      <c r="M127" s="26"/>
      <c r="N127" s="26"/>
      <c r="O127" s="26"/>
      <c r="P127" s="26"/>
      <c r="Q127" s="26"/>
      <c r="R127" s="26"/>
      <c r="S127" s="26"/>
      <c r="T127" s="26"/>
      <c r="U127" s="26"/>
      <c r="V127" s="26"/>
      <c r="W127" s="26"/>
      <c r="X127" s="26"/>
      <c r="Y127" s="26"/>
      <c r="Z127" s="26"/>
      <c r="AA127" s="26"/>
      <c r="AB127" s="26"/>
      <c r="AC127" s="26">
        <f t="shared" si="35"/>
        <v>0</v>
      </c>
      <c r="AD127" s="29"/>
    </row>
    <row r="128" spans="1:30">
      <c r="A128" s="3"/>
      <c r="B128" s="2"/>
      <c r="C128" s="487"/>
      <c r="D128" s="5"/>
      <c r="E128" s="34"/>
      <c r="F128" s="6">
        <f t="shared" si="32"/>
        <v>0</v>
      </c>
      <c r="G128" s="1"/>
      <c r="H128" s="28">
        <f t="shared" si="33"/>
        <v>0</v>
      </c>
      <c r="I128" s="28">
        <f t="shared" si="34"/>
        <v>0</v>
      </c>
      <c r="J128" s="26"/>
      <c r="K128" s="26"/>
      <c r="L128" s="26"/>
      <c r="M128" s="26"/>
      <c r="N128" s="26"/>
      <c r="O128" s="26"/>
      <c r="P128" s="26"/>
      <c r="Q128" s="26"/>
      <c r="R128" s="26"/>
      <c r="S128" s="26"/>
      <c r="T128" s="26"/>
      <c r="U128" s="26"/>
      <c r="V128" s="26"/>
      <c r="W128" s="26"/>
      <c r="X128" s="26"/>
      <c r="Y128" s="26"/>
      <c r="Z128" s="26"/>
      <c r="AA128" s="26"/>
      <c r="AB128" s="26"/>
      <c r="AC128" s="26">
        <f t="shared" si="35"/>
        <v>0</v>
      </c>
      <c r="AD128" s="29"/>
    </row>
    <row r="129" spans="1:30">
      <c r="A129" s="3"/>
      <c r="B129" s="2"/>
      <c r="C129" s="487"/>
      <c r="D129" s="5"/>
      <c r="E129" s="34"/>
      <c r="F129" s="6">
        <f t="shared" si="32"/>
        <v>0</v>
      </c>
      <c r="G129" s="1"/>
      <c r="H129" s="28">
        <f t="shared" si="33"/>
        <v>0</v>
      </c>
      <c r="I129" s="28">
        <f t="shared" si="34"/>
        <v>0</v>
      </c>
      <c r="J129" s="26"/>
      <c r="K129" s="26"/>
      <c r="L129" s="26"/>
      <c r="M129" s="26"/>
      <c r="N129" s="26"/>
      <c r="O129" s="26"/>
      <c r="P129" s="26"/>
      <c r="Q129" s="26"/>
      <c r="R129" s="26"/>
      <c r="S129" s="26"/>
      <c r="T129" s="26"/>
      <c r="U129" s="26"/>
      <c r="V129" s="26"/>
      <c r="W129" s="26"/>
      <c r="X129" s="26"/>
      <c r="Y129" s="26"/>
      <c r="Z129" s="26"/>
      <c r="AA129" s="26"/>
      <c r="AB129" s="26"/>
      <c r="AC129" s="26">
        <f t="shared" si="35"/>
        <v>0</v>
      </c>
      <c r="AD129" s="29"/>
    </row>
    <row r="130" spans="1:30">
      <c r="A130" s="3"/>
      <c r="B130" s="2"/>
      <c r="C130" s="487"/>
      <c r="D130" s="5"/>
      <c r="E130" s="34"/>
      <c r="F130" s="6">
        <f t="shared" si="32"/>
        <v>0</v>
      </c>
      <c r="G130" s="1"/>
      <c r="H130" s="28">
        <f t="shared" si="33"/>
        <v>0</v>
      </c>
      <c r="I130" s="28">
        <f t="shared" si="34"/>
        <v>0</v>
      </c>
      <c r="J130" s="26"/>
      <c r="K130" s="26"/>
      <c r="L130" s="26"/>
      <c r="M130" s="26"/>
      <c r="N130" s="26"/>
      <c r="O130" s="26"/>
      <c r="P130" s="26"/>
      <c r="Q130" s="26"/>
      <c r="R130" s="26"/>
      <c r="S130" s="26"/>
      <c r="T130" s="26"/>
      <c r="U130" s="26"/>
      <c r="V130" s="26"/>
      <c r="W130" s="26"/>
      <c r="X130" s="26"/>
      <c r="Y130" s="26"/>
      <c r="Z130" s="26"/>
      <c r="AA130" s="26"/>
      <c r="AB130" s="26"/>
      <c r="AC130" s="26">
        <f t="shared" si="35"/>
        <v>0</v>
      </c>
      <c r="AD130" s="29"/>
    </row>
    <row r="131" spans="1:30">
      <c r="A131" s="3"/>
      <c r="B131" s="2"/>
      <c r="C131" s="487"/>
      <c r="D131" s="5"/>
      <c r="E131" s="34"/>
      <c r="F131" s="6">
        <f t="shared" si="32"/>
        <v>0</v>
      </c>
      <c r="G131" s="1"/>
      <c r="H131" s="28">
        <f t="shared" si="33"/>
        <v>0</v>
      </c>
      <c r="I131" s="28">
        <f t="shared" si="34"/>
        <v>0</v>
      </c>
      <c r="J131" s="26"/>
      <c r="K131" s="26"/>
      <c r="L131" s="26"/>
      <c r="M131" s="26"/>
      <c r="N131" s="26"/>
      <c r="O131" s="26"/>
      <c r="P131" s="26"/>
      <c r="Q131" s="26"/>
      <c r="R131" s="26"/>
      <c r="S131" s="26"/>
      <c r="T131" s="26"/>
      <c r="U131" s="26"/>
      <c r="V131" s="26"/>
      <c r="W131" s="26"/>
      <c r="X131" s="26"/>
      <c r="Y131" s="26"/>
      <c r="Z131" s="26"/>
      <c r="AA131" s="26"/>
      <c r="AB131" s="26"/>
      <c r="AC131" s="26">
        <f t="shared" si="35"/>
        <v>0</v>
      </c>
      <c r="AD131" s="29"/>
    </row>
    <row r="132" spans="1:30">
      <c r="A132" s="3"/>
      <c r="B132" s="2"/>
      <c r="C132" s="487"/>
      <c r="D132" s="5"/>
      <c r="E132" s="34"/>
      <c r="F132" s="6">
        <f t="shared" si="32"/>
        <v>0</v>
      </c>
      <c r="G132" s="1"/>
      <c r="H132" s="28">
        <f t="shared" si="33"/>
        <v>0</v>
      </c>
      <c r="I132" s="28">
        <f t="shared" si="34"/>
        <v>0</v>
      </c>
      <c r="J132" s="26"/>
      <c r="K132" s="26"/>
      <c r="L132" s="26"/>
      <c r="M132" s="26"/>
      <c r="N132" s="26"/>
      <c r="O132" s="26"/>
      <c r="P132" s="26"/>
      <c r="Q132" s="26"/>
      <c r="R132" s="26"/>
      <c r="S132" s="26"/>
      <c r="T132" s="26"/>
      <c r="U132" s="26"/>
      <c r="V132" s="26"/>
      <c r="W132" s="26"/>
      <c r="X132" s="26"/>
      <c r="Y132" s="26"/>
      <c r="Z132" s="26"/>
      <c r="AA132" s="26"/>
      <c r="AB132" s="26"/>
      <c r="AC132" s="26">
        <f t="shared" si="35"/>
        <v>0</v>
      </c>
      <c r="AD132" s="29"/>
    </row>
    <row r="133" spans="1:30">
      <c r="A133" s="3"/>
      <c r="B133" s="2"/>
      <c r="C133" s="487"/>
      <c r="D133" s="5"/>
      <c r="E133" s="34"/>
      <c r="F133" s="6">
        <f t="shared" si="32"/>
        <v>0</v>
      </c>
      <c r="G133" s="1"/>
      <c r="H133" s="28">
        <f t="shared" si="33"/>
        <v>0</v>
      </c>
      <c r="I133" s="28">
        <f t="shared" si="34"/>
        <v>0</v>
      </c>
      <c r="J133" s="26"/>
      <c r="K133" s="26"/>
      <c r="L133" s="26"/>
      <c r="M133" s="26"/>
      <c r="N133" s="26"/>
      <c r="O133" s="26"/>
      <c r="P133" s="26"/>
      <c r="Q133" s="26"/>
      <c r="R133" s="26"/>
      <c r="S133" s="26"/>
      <c r="T133" s="26"/>
      <c r="U133" s="26"/>
      <c r="V133" s="26"/>
      <c r="W133" s="26"/>
      <c r="X133" s="26"/>
      <c r="Y133" s="26"/>
      <c r="Z133" s="26"/>
      <c r="AA133" s="26"/>
      <c r="AB133" s="26"/>
      <c r="AC133" s="26">
        <f t="shared" si="35"/>
        <v>0</v>
      </c>
      <c r="AD133" s="29"/>
    </row>
    <row r="134" spans="1:30">
      <c r="A134" s="3"/>
      <c r="B134" s="2"/>
      <c r="C134" s="487"/>
      <c r="D134" s="5"/>
      <c r="E134" s="34"/>
      <c r="F134" s="6">
        <f t="shared" si="32"/>
        <v>0</v>
      </c>
      <c r="G134" s="1"/>
      <c r="H134" s="28">
        <f t="shared" si="33"/>
        <v>0</v>
      </c>
      <c r="I134" s="28">
        <f t="shared" si="34"/>
        <v>0</v>
      </c>
      <c r="J134" s="26"/>
      <c r="K134" s="26"/>
      <c r="L134" s="26"/>
      <c r="M134" s="26"/>
      <c r="N134" s="26"/>
      <c r="O134" s="26"/>
      <c r="P134" s="26"/>
      <c r="Q134" s="26"/>
      <c r="R134" s="26"/>
      <c r="S134" s="26"/>
      <c r="T134" s="26"/>
      <c r="U134" s="26"/>
      <c r="V134" s="26"/>
      <c r="W134" s="26"/>
      <c r="X134" s="26"/>
      <c r="Y134" s="26"/>
      <c r="Z134" s="26"/>
      <c r="AA134" s="26"/>
      <c r="AB134" s="26"/>
      <c r="AC134" s="26">
        <f>SUM(K134:AB134)</f>
        <v>0</v>
      </c>
      <c r="AD134" s="29"/>
    </row>
    <row r="135" spans="1:30">
      <c r="A135" s="3"/>
      <c r="B135" s="2"/>
      <c r="C135" s="487"/>
      <c r="D135" s="5"/>
      <c r="E135" s="34"/>
      <c r="F135" s="6">
        <f t="shared" si="32"/>
        <v>0</v>
      </c>
      <c r="G135" s="1"/>
      <c r="H135" s="28">
        <f t="shared" si="33"/>
        <v>0</v>
      </c>
      <c r="I135" s="28">
        <f t="shared" si="34"/>
        <v>0</v>
      </c>
      <c r="J135" s="26"/>
      <c r="K135" s="26"/>
      <c r="L135" s="26"/>
      <c r="M135" s="26"/>
      <c r="N135" s="26"/>
      <c r="O135" s="26"/>
      <c r="P135" s="26"/>
      <c r="Q135" s="26"/>
      <c r="R135" s="26"/>
      <c r="S135" s="26"/>
      <c r="T135" s="26"/>
      <c r="U135" s="26"/>
      <c r="V135" s="26"/>
      <c r="W135" s="26"/>
      <c r="X135" s="26"/>
      <c r="Y135" s="26"/>
      <c r="Z135" s="26"/>
      <c r="AA135" s="26"/>
      <c r="AB135" s="26"/>
      <c r="AC135" s="26">
        <f t="shared" ref="AC135:AC141" si="36">SUM(K135:AB135)</f>
        <v>0</v>
      </c>
      <c r="AD135" s="29"/>
    </row>
    <row r="136" spans="1:30">
      <c r="A136" s="3"/>
      <c r="B136" s="2"/>
      <c r="C136" s="487"/>
      <c r="D136" s="5"/>
      <c r="E136" s="34"/>
      <c r="F136" s="6">
        <f t="shared" si="32"/>
        <v>0</v>
      </c>
      <c r="G136" s="1"/>
      <c r="H136" s="28">
        <f t="shared" si="33"/>
        <v>0</v>
      </c>
      <c r="I136" s="28">
        <f t="shared" si="34"/>
        <v>0</v>
      </c>
      <c r="J136" s="26"/>
      <c r="K136" s="26"/>
      <c r="L136" s="26"/>
      <c r="M136" s="26"/>
      <c r="N136" s="26"/>
      <c r="O136" s="26"/>
      <c r="P136" s="26"/>
      <c r="Q136" s="26"/>
      <c r="R136" s="26"/>
      <c r="S136" s="26"/>
      <c r="T136" s="26"/>
      <c r="U136" s="26"/>
      <c r="V136" s="26"/>
      <c r="W136" s="26"/>
      <c r="X136" s="26"/>
      <c r="Y136" s="26"/>
      <c r="Z136" s="26"/>
      <c r="AA136" s="26"/>
      <c r="AB136" s="26"/>
      <c r="AC136" s="26">
        <f t="shared" si="36"/>
        <v>0</v>
      </c>
      <c r="AD136" s="29"/>
    </row>
    <row r="137" spans="1:30">
      <c r="A137" s="3"/>
      <c r="B137" s="2"/>
      <c r="C137" s="487"/>
      <c r="D137" s="5"/>
      <c r="E137" s="34"/>
      <c r="F137" s="6">
        <f t="shared" si="32"/>
        <v>0</v>
      </c>
      <c r="G137" s="1"/>
      <c r="H137" s="28">
        <f t="shared" si="33"/>
        <v>0</v>
      </c>
      <c r="I137" s="28">
        <f t="shared" si="34"/>
        <v>0</v>
      </c>
      <c r="J137" s="26"/>
      <c r="K137" s="26"/>
      <c r="L137" s="26"/>
      <c r="M137" s="26"/>
      <c r="N137" s="26"/>
      <c r="O137" s="26"/>
      <c r="P137" s="26"/>
      <c r="Q137" s="26"/>
      <c r="R137" s="26"/>
      <c r="S137" s="26"/>
      <c r="T137" s="26"/>
      <c r="U137" s="26"/>
      <c r="V137" s="26"/>
      <c r="W137" s="26"/>
      <c r="X137" s="26"/>
      <c r="Y137" s="26"/>
      <c r="Z137" s="26"/>
      <c r="AA137" s="26"/>
      <c r="AB137" s="26"/>
      <c r="AC137" s="26">
        <f t="shared" si="36"/>
        <v>0</v>
      </c>
      <c r="AD137" s="29"/>
    </row>
    <row r="138" spans="1:30">
      <c r="A138" s="3"/>
      <c r="B138" s="2"/>
      <c r="C138" s="487"/>
      <c r="D138" s="5"/>
      <c r="E138" s="34"/>
      <c r="F138" s="6">
        <f t="shared" si="32"/>
        <v>0</v>
      </c>
      <c r="G138" s="1"/>
      <c r="H138" s="28">
        <f t="shared" si="33"/>
        <v>0</v>
      </c>
      <c r="I138" s="28">
        <f t="shared" si="34"/>
        <v>0</v>
      </c>
      <c r="J138" s="26"/>
      <c r="K138" s="26"/>
      <c r="L138" s="26"/>
      <c r="M138" s="26"/>
      <c r="N138" s="26"/>
      <c r="O138" s="26"/>
      <c r="P138" s="26"/>
      <c r="Q138" s="26"/>
      <c r="R138" s="26"/>
      <c r="S138" s="26"/>
      <c r="T138" s="26"/>
      <c r="U138" s="26"/>
      <c r="V138" s="26"/>
      <c r="W138" s="26"/>
      <c r="X138" s="26"/>
      <c r="Y138" s="26"/>
      <c r="Z138" s="26"/>
      <c r="AA138" s="26"/>
      <c r="AB138" s="26"/>
      <c r="AC138" s="26">
        <f t="shared" si="36"/>
        <v>0</v>
      </c>
      <c r="AD138" s="29"/>
    </row>
    <row r="139" spans="1:30">
      <c r="A139" s="3"/>
      <c r="B139" s="2"/>
      <c r="C139" s="487"/>
      <c r="D139" s="5"/>
      <c r="E139" s="34"/>
      <c r="F139" s="6">
        <f t="shared" si="32"/>
        <v>0</v>
      </c>
      <c r="G139" s="1"/>
      <c r="H139" s="28">
        <f t="shared" si="33"/>
        <v>0</v>
      </c>
      <c r="I139" s="28">
        <f t="shared" si="34"/>
        <v>0</v>
      </c>
      <c r="J139" s="26"/>
      <c r="K139" s="26"/>
      <c r="L139" s="26"/>
      <c r="M139" s="26"/>
      <c r="N139" s="26"/>
      <c r="O139" s="26"/>
      <c r="P139" s="26"/>
      <c r="Q139" s="26"/>
      <c r="R139" s="26"/>
      <c r="S139" s="26"/>
      <c r="T139" s="26"/>
      <c r="U139" s="26"/>
      <c r="V139" s="26"/>
      <c r="W139" s="26"/>
      <c r="X139" s="26"/>
      <c r="Y139" s="26"/>
      <c r="Z139" s="26"/>
      <c r="AA139" s="26"/>
      <c r="AB139" s="26"/>
      <c r="AC139" s="26">
        <f t="shared" si="36"/>
        <v>0</v>
      </c>
      <c r="AD139" s="29"/>
    </row>
    <row r="140" spans="1:30">
      <c r="A140" s="3"/>
      <c r="B140" s="2"/>
      <c r="C140" s="487"/>
      <c r="D140" s="5"/>
      <c r="E140" s="34"/>
      <c r="F140" s="6">
        <f t="shared" si="32"/>
        <v>0</v>
      </c>
      <c r="G140" s="1"/>
      <c r="H140" s="28">
        <f t="shared" si="33"/>
        <v>0</v>
      </c>
      <c r="I140" s="28">
        <f t="shared" si="34"/>
        <v>0</v>
      </c>
      <c r="J140" s="26"/>
      <c r="K140" s="26"/>
      <c r="L140" s="26"/>
      <c r="M140" s="26"/>
      <c r="N140" s="26"/>
      <c r="O140" s="26"/>
      <c r="P140" s="26"/>
      <c r="Q140" s="26"/>
      <c r="R140" s="26"/>
      <c r="S140" s="26"/>
      <c r="T140" s="26"/>
      <c r="U140" s="26"/>
      <c r="V140" s="26"/>
      <c r="W140" s="26"/>
      <c r="X140" s="26"/>
      <c r="Y140" s="26"/>
      <c r="Z140" s="26"/>
      <c r="AA140" s="26"/>
      <c r="AB140" s="26"/>
      <c r="AC140" s="26">
        <f t="shared" si="36"/>
        <v>0</v>
      </c>
      <c r="AD140" s="29"/>
    </row>
    <row r="141" spans="1:30">
      <c r="A141" s="3"/>
      <c r="B141" s="2"/>
      <c r="C141" s="487"/>
      <c r="D141" s="5"/>
      <c r="E141" s="34"/>
      <c r="F141" s="6">
        <f t="shared" si="32"/>
        <v>0</v>
      </c>
      <c r="G141" s="1"/>
      <c r="H141" s="28">
        <f t="shared" si="33"/>
        <v>0</v>
      </c>
      <c r="I141" s="28">
        <f t="shared" si="34"/>
        <v>0</v>
      </c>
      <c r="J141" s="26"/>
      <c r="K141" s="26"/>
      <c r="L141" s="26"/>
      <c r="M141" s="26"/>
      <c r="N141" s="26"/>
      <c r="O141" s="26"/>
      <c r="P141" s="26"/>
      <c r="Q141" s="26"/>
      <c r="R141" s="26"/>
      <c r="S141" s="26"/>
      <c r="T141" s="26"/>
      <c r="U141" s="26"/>
      <c r="V141" s="26"/>
      <c r="W141" s="26"/>
      <c r="X141" s="26"/>
      <c r="Y141" s="26"/>
      <c r="Z141" s="26"/>
      <c r="AA141" s="26"/>
      <c r="AB141" s="26"/>
      <c r="AC141" s="26">
        <f t="shared" si="36"/>
        <v>0</v>
      </c>
      <c r="AD141" s="29"/>
    </row>
    <row r="142" spans="1:30">
      <c r="A142" s="3"/>
      <c r="B142" s="2"/>
      <c r="C142" s="487"/>
      <c r="D142" s="5"/>
      <c r="E142" s="34"/>
      <c r="F142" s="6">
        <f t="shared" si="32"/>
        <v>0</v>
      </c>
      <c r="G142" s="1"/>
      <c r="H142" s="28">
        <f t="shared" si="33"/>
        <v>0</v>
      </c>
      <c r="I142" s="28">
        <f t="shared" si="34"/>
        <v>0</v>
      </c>
      <c r="J142" s="26"/>
      <c r="K142" s="26"/>
      <c r="L142" s="26"/>
      <c r="M142" s="26"/>
      <c r="N142" s="26"/>
      <c r="O142" s="26"/>
      <c r="P142" s="26"/>
      <c r="Q142" s="26"/>
      <c r="R142" s="26"/>
      <c r="S142" s="26"/>
      <c r="T142" s="26"/>
      <c r="U142" s="26"/>
      <c r="V142" s="26"/>
      <c r="W142" s="26"/>
      <c r="X142" s="26"/>
      <c r="Y142" s="26"/>
      <c r="Z142" s="26"/>
      <c r="AA142" s="26"/>
      <c r="AB142" s="26"/>
      <c r="AC142" s="26">
        <f>SUM(K142:AB142)</f>
        <v>0</v>
      </c>
      <c r="AD142" s="29"/>
    </row>
    <row r="143" spans="1:30">
      <c r="A143" s="3"/>
      <c r="B143" s="39"/>
      <c r="C143" s="488"/>
      <c r="D143" s="26"/>
      <c r="E143" s="52"/>
      <c r="F143" s="6">
        <f t="shared" si="32"/>
        <v>0</v>
      </c>
      <c r="G143" s="35"/>
      <c r="H143" s="28">
        <f t="shared" si="33"/>
        <v>0</v>
      </c>
      <c r="I143" s="28">
        <f t="shared" si="34"/>
        <v>0</v>
      </c>
      <c r="J143" s="26"/>
      <c r="K143" s="26"/>
      <c r="L143" s="26"/>
      <c r="M143" s="26"/>
      <c r="N143" s="26"/>
      <c r="O143" s="26"/>
      <c r="P143" s="26"/>
      <c r="Q143" s="26"/>
      <c r="R143" s="26"/>
      <c r="S143" s="26"/>
      <c r="T143" s="26"/>
      <c r="U143" s="26"/>
      <c r="V143" s="26"/>
      <c r="W143" s="26"/>
      <c r="X143" s="26"/>
      <c r="Y143" s="28"/>
      <c r="Z143" s="26"/>
      <c r="AA143" s="26"/>
      <c r="AB143" s="26"/>
      <c r="AC143" s="26">
        <f>SUM(K143:AB143)</f>
        <v>0</v>
      </c>
      <c r="AD143" s="29"/>
    </row>
    <row r="144" spans="1:30" ht="15.75" thickBot="1">
      <c r="A144" s="53"/>
      <c r="B144" s="55"/>
      <c r="C144" s="489"/>
      <c r="D144" s="54">
        <f t="shared" ref="D144:W144" si="37">SUM(D10:D143)</f>
        <v>67053.168000000005</v>
      </c>
      <c r="E144" s="57">
        <f>SUM(E10:E143)</f>
        <v>19847</v>
      </c>
      <c r="F144" s="54">
        <f>SUM(F10:F143)</f>
        <v>65018.77199999999</v>
      </c>
      <c r="G144" s="56">
        <f t="shared" si="37"/>
        <v>0</v>
      </c>
      <c r="H144" s="54">
        <f t="shared" si="37"/>
        <v>0</v>
      </c>
      <c r="I144" s="54">
        <f t="shared" si="37"/>
        <v>65018.77199999999</v>
      </c>
      <c r="J144" s="54">
        <f t="shared" si="37"/>
        <v>592.9559999999999</v>
      </c>
      <c r="K144" s="54">
        <f t="shared" si="37"/>
        <v>208.74999999999997</v>
      </c>
      <c r="L144" s="54">
        <f t="shared" si="37"/>
        <v>339.47999999999996</v>
      </c>
      <c r="M144" s="54">
        <f t="shared" si="37"/>
        <v>34.07</v>
      </c>
      <c r="N144" s="54">
        <f t="shared" si="37"/>
        <v>30.7</v>
      </c>
      <c r="O144" s="54">
        <f t="shared" si="37"/>
        <v>429.68000000000006</v>
      </c>
      <c r="P144" s="54">
        <f t="shared" si="37"/>
        <v>17.262000000000004</v>
      </c>
      <c r="Q144" s="54">
        <f t="shared" si="37"/>
        <v>0</v>
      </c>
      <c r="R144" s="54">
        <f t="shared" si="37"/>
        <v>25.68</v>
      </c>
      <c r="S144" s="54">
        <f t="shared" si="37"/>
        <v>37.659999999999989</v>
      </c>
      <c r="T144" s="54">
        <f t="shared" si="37"/>
        <v>54.799999999999983</v>
      </c>
      <c r="U144" s="54">
        <f t="shared" si="37"/>
        <v>0</v>
      </c>
      <c r="V144" s="54">
        <f t="shared" si="37"/>
        <v>0</v>
      </c>
      <c r="W144" s="54">
        <f t="shared" si="37"/>
        <v>0</v>
      </c>
      <c r="X144" s="54"/>
      <c r="Y144" s="54"/>
      <c r="Z144" s="54">
        <f>SUM(Z10:Z143)</f>
        <v>0</v>
      </c>
      <c r="AA144" s="54">
        <f>SUM(AA10:AA143)</f>
        <v>0</v>
      </c>
      <c r="AB144" s="54">
        <f>SUM(AB10:AB143)</f>
        <v>0</v>
      </c>
      <c r="AC144" s="54">
        <f>SUM(AC10:AC143)</f>
        <v>1178.0820000000001</v>
      </c>
      <c r="AD144" s="44"/>
    </row>
    <row r="145" spans="4:29" ht="15.75" thickTop="1">
      <c r="D145" s="10">
        <f>+D144-'HASIL PROD'!I346</f>
        <v>0</v>
      </c>
      <c r="F145" s="10">
        <f>+F144-'[4]DAILY OKEY AYAM'!$K$21</f>
        <v>65017.871999999988</v>
      </c>
      <c r="I145" s="10"/>
      <c r="AC145" s="10"/>
    </row>
    <row r="146" spans="4:29">
      <c r="E146" s="58">
        <f>E111+E112+E113+E114+E115+E116+E117</f>
        <v>0</v>
      </c>
      <c r="F146" s="10">
        <f>SUM(E111:E117)</f>
        <v>0</v>
      </c>
    </row>
    <row r="147" spans="4:29">
      <c r="E147" s="58"/>
      <c r="F147" s="10"/>
    </row>
    <row r="148" spans="4:29">
      <c r="E148" s="58"/>
      <c r="F148" s="290"/>
    </row>
    <row r="149" spans="4:29">
      <c r="E149" s="58"/>
      <c r="F149" s="290"/>
    </row>
    <row r="150" spans="4:29">
      <c r="E150" s="58"/>
      <c r="F150" s="290"/>
      <c r="H150" s="130"/>
    </row>
    <row r="151" spans="4:29">
      <c r="E151" s="58"/>
      <c r="F151" s="290"/>
      <c r="H151" s="130"/>
    </row>
    <row r="152" spans="4:29">
      <c r="E152" s="58"/>
      <c r="F152" s="290"/>
      <c r="H152" s="130"/>
    </row>
    <row r="153" spans="4:29">
      <c r="E153" s="58"/>
      <c r="F153" s="290"/>
      <c r="H153" s="130"/>
    </row>
    <row r="154" spans="4:29">
      <c r="E154" s="58"/>
      <c r="F154" s="290"/>
      <c r="H154" s="130"/>
    </row>
    <row r="155" spans="4:29">
      <c r="E155" s="58"/>
      <c r="F155" s="290"/>
      <c r="H155" s="130"/>
    </row>
    <row r="156" spans="4:29">
      <c r="E156" s="58"/>
      <c r="F156" s="290"/>
      <c r="H156" s="130"/>
    </row>
    <row r="157" spans="4:29">
      <c r="E157" s="58"/>
      <c r="F157" s="290"/>
      <c r="H157" s="130"/>
    </row>
    <row r="158" spans="4:29">
      <c r="E158" s="58"/>
      <c r="F158" s="290"/>
      <c r="H158" s="130"/>
    </row>
    <row r="159" spans="4:29">
      <c r="E159" s="58"/>
      <c r="F159" s="290"/>
      <c r="H159" s="130"/>
    </row>
    <row r="160" spans="4:29">
      <c r="E160" s="58"/>
      <c r="F160" s="290"/>
      <c r="H160" s="130"/>
    </row>
    <row r="161" spans="5:8">
      <c r="E161" s="58"/>
      <c r="F161" s="290"/>
      <c r="H161" s="130"/>
    </row>
    <row r="162" spans="5:8">
      <c r="E162" s="58"/>
      <c r="F162" s="290"/>
      <c r="H162" s="130"/>
    </row>
    <row r="163" spans="5:8">
      <c r="E163" s="58"/>
      <c r="F163" s="290"/>
      <c r="H163" s="130"/>
    </row>
    <row r="164" spans="5:8">
      <c r="E164" s="58"/>
      <c r="F164" s="290"/>
      <c r="H164" s="130"/>
    </row>
    <row r="165" spans="5:8">
      <c r="E165" s="58"/>
      <c r="F165" s="290"/>
    </row>
    <row r="166" spans="5:8">
      <c r="E166" s="58"/>
      <c r="F166" s="10"/>
      <c r="G166" s="10"/>
      <c r="H166" s="10"/>
    </row>
    <row r="167" spans="5:8">
      <c r="E167" s="58"/>
      <c r="F167" s="10"/>
    </row>
    <row r="168" spans="5:8">
      <c r="E168" s="58"/>
      <c r="F168" s="10"/>
    </row>
    <row r="169" spans="5:8">
      <c r="E169" s="58"/>
      <c r="F169" s="10"/>
    </row>
    <row r="170" spans="5:8">
      <c r="E170" s="58"/>
      <c r="F170" s="10"/>
    </row>
    <row r="171" spans="5:8">
      <c r="E171" s="58"/>
      <c r="F171" s="10"/>
    </row>
    <row r="172" spans="5:8">
      <c r="E172" s="58"/>
      <c r="F172" s="10"/>
    </row>
    <row r="173" spans="5:8">
      <c r="E173" s="58"/>
      <c r="F173" s="10"/>
    </row>
  </sheetData>
  <mergeCells count="16">
    <mergeCell ref="AD5:AD8"/>
    <mergeCell ref="E6:H6"/>
    <mergeCell ref="A1:AD1"/>
    <mergeCell ref="A2:AD2"/>
    <mergeCell ref="A3:AD3"/>
    <mergeCell ref="A5:A8"/>
    <mergeCell ref="B5:B8"/>
    <mergeCell ref="D5:D7"/>
    <mergeCell ref="E7:F7"/>
    <mergeCell ref="G7:H7"/>
    <mergeCell ref="E5:AC5"/>
    <mergeCell ref="I6:I8"/>
    <mergeCell ref="J6:J7"/>
    <mergeCell ref="K6:AB6"/>
    <mergeCell ref="AC6:AC8"/>
    <mergeCell ref="C5:C7"/>
  </mergeCells>
  <pageMargins left="0.70866141732283472" right="0.70866141732283472" top="0.74803149606299213" bottom="0.74803149606299213" header="0.31496062992125984" footer="0.31496062992125984"/>
  <pageSetup paperSize="9" scale="33" orientation="landscape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>
  <sheetPr codeName="Sheet11">
    <tabColor rgb="FFFF0000"/>
    <pageSetUpPr fitToPage="1"/>
  </sheetPr>
  <dimension ref="A1:AM130"/>
  <sheetViews>
    <sheetView zoomScale="80" zoomScaleNormal="80" workbookViewId="0">
      <pane ySplit="8" topLeftCell="A9" activePane="bottomLeft" state="frozen"/>
      <selection pane="bottomLeft" activeCell="F11" sqref="F11"/>
    </sheetView>
  </sheetViews>
  <sheetFormatPr defaultRowHeight="15"/>
  <cols>
    <col min="1" max="1" width="11.7109375" customWidth="1"/>
    <col min="2" max="3" width="13.42578125" customWidth="1"/>
    <col min="4" max="4" width="13" customWidth="1"/>
    <col min="5" max="8" width="14.85546875" customWidth="1"/>
    <col min="9" max="10" width="13.42578125" customWidth="1"/>
    <col min="11" max="11" width="14.140625" customWidth="1"/>
    <col min="12" max="28" width="12.7109375" customWidth="1"/>
    <col min="29" max="29" width="13" customWidth="1"/>
    <col min="30" max="30" width="17.42578125" customWidth="1"/>
  </cols>
  <sheetData>
    <row r="1" spans="1:31" ht="18.75">
      <c r="A1" s="675" t="s">
        <v>73</v>
      </c>
      <c r="B1" s="675"/>
      <c r="C1" s="675"/>
      <c r="D1" s="675"/>
      <c r="E1" s="675"/>
      <c r="F1" s="675"/>
      <c r="G1" s="675"/>
      <c r="H1" s="675"/>
      <c r="I1" s="675"/>
      <c r="J1" s="675"/>
      <c r="K1" s="675"/>
      <c r="L1" s="675"/>
      <c r="M1" s="675"/>
      <c r="N1" s="675"/>
      <c r="O1" s="675"/>
      <c r="P1" s="675"/>
      <c r="Q1" s="675"/>
      <c r="R1" s="675"/>
      <c r="S1" s="675"/>
      <c r="T1" s="675"/>
      <c r="U1" s="675"/>
      <c r="V1" s="675"/>
      <c r="W1" s="675"/>
      <c r="X1" s="675"/>
      <c r="Y1" s="675"/>
      <c r="Z1" s="675"/>
      <c r="AA1" s="675"/>
      <c r="AB1" s="675"/>
      <c r="AC1" s="675"/>
      <c r="AD1" s="675"/>
    </row>
    <row r="2" spans="1:31" ht="15.75">
      <c r="A2" s="676"/>
      <c r="B2" s="676"/>
      <c r="C2" s="676"/>
      <c r="D2" s="676"/>
      <c r="E2" s="676"/>
      <c r="F2" s="676"/>
      <c r="G2" s="676"/>
      <c r="H2" s="676"/>
      <c r="I2" s="676"/>
      <c r="J2" s="676"/>
      <c r="K2" s="676"/>
      <c r="L2" s="676"/>
      <c r="M2" s="676"/>
      <c r="N2" s="676"/>
      <c r="O2" s="676"/>
      <c r="P2" s="676"/>
      <c r="Q2" s="676"/>
      <c r="R2" s="676"/>
      <c r="S2" s="676"/>
      <c r="T2" s="676"/>
      <c r="U2" s="676"/>
      <c r="V2" s="676"/>
      <c r="W2" s="676"/>
      <c r="X2" s="676"/>
      <c r="Y2" s="676"/>
      <c r="Z2" s="676"/>
      <c r="AA2" s="676"/>
      <c r="AB2" s="676"/>
      <c r="AC2" s="676"/>
      <c r="AD2" s="676"/>
    </row>
    <row r="3" spans="1:31" ht="15.75">
      <c r="A3" s="676" t="str">
        <f>+'DAILY CHAMP AYAM'!A3:AD3</f>
        <v>JULI'26</v>
      </c>
      <c r="B3" s="676"/>
      <c r="C3" s="676"/>
      <c r="D3" s="676"/>
      <c r="E3" s="676"/>
      <c r="F3" s="676"/>
      <c r="G3" s="676"/>
      <c r="H3" s="676"/>
      <c r="I3" s="676"/>
      <c r="J3" s="676"/>
      <c r="K3" s="676"/>
      <c r="L3" s="676"/>
      <c r="M3" s="676"/>
      <c r="N3" s="676"/>
      <c r="O3" s="676"/>
      <c r="P3" s="676"/>
      <c r="Q3" s="676"/>
      <c r="R3" s="676"/>
      <c r="S3" s="676"/>
      <c r="T3" s="676"/>
      <c r="U3" s="676"/>
      <c r="V3" s="676"/>
      <c r="W3" s="676"/>
      <c r="X3" s="676"/>
      <c r="Y3" s="676"/>
      <c r="Z3" s="676"/>
      <c r="AA3" s="676"/>
      <c r="AB3" s="676"/>
      <c r="AC3" s="676"/>
      <c r="AD3" s="676"/>
    </row>
    <row r="4" spans="1:31" ht="15.75" thickBot="1">
      <c r="A4" s="13"/>
      <c r="B4" s="13"/>
      <c r="C4" s="13"/>
      <c r="D4" s="13"/>
      <c r="E4" s="13"/>
      <c r="F4" s="13"/>
      <c r="G4" s="13"/>
      <c r="H4" s="13"/>
      <c r="I4" s="14">
        <f>+I118</f>
        <v>16766.567999999999</v>
      </c>
      <c r="J4" s="14"/>
      <c r="K4" s="13"/>
      <c r="L4" s="15"/>
      <c r="M4" s="13"/>
      <c r="N4" s="13"/>
      <c r="O4" s="13"/>
      <c r="P4" s="13"/>
      <c r="Q4" s="13"/>
      <c r="R4" s="13"/>
      <c r="S4" s="13"/>
      <c r="T4" s="16"/>
      <c r="U4" s="13"/>
      <c r="V4" s="13"/>
      <c r="W4" s="13"/>
      <c r="X4" s="13"/>
      <c r="Y4" s="13"/>
      <c r="Z4" s="13"/>
      <c r="AA4" s="13"/>
      <c r="AB4" s="13"/>
      <c r="AC4" s="14" t="e">
        <f>+#REF!</f>
        <v>#REF!</v>
      </c>
      <c r="AD4" s="13"/>
    </row>
    <row r="5" spans="1:31" ht="15.75" customHeight="1" thickTop="1">
      <c r="A5" s="677" t="s">
        <v>11</v>
      </c>
      <c r="B5" s="680" t="s">
        <v>0</v>
      </c>
      <c r="C5" s="513"/>
      <c r="D5" s="683" t="s">
        <v>12</v>
      </c>
      <c r="E5" s="686" t="s">
        <v>1</v>
      </c>
      <c r="F5" s="687"/>
      <c r="G5" s="687"/>
      <c r="H5" s="687"/>
      <c r="I5" s="687"/>
      <c r="J5" s="687"/>
      <c r="K5" s="687"/>
      <c r="L5" s="687"/>
      <c r="M5" s="687"/>
      <c r="N5" s="687"/>
      <c r="O5" s="687"/>
      <c r="P5" s="687"/>
      <c r="Q5" s="687"/>
      <c r="R5" s="687"/>
      <c r="S5" s="687"/>
      <c r="T5" s="687"/>
      <c r="U5" s="687"/>
      <c r="V5" s="687"/>
      <c r="W5" s="687"/>
      <c r="X5" s="687"/>
      <c r="Y5" s="687"/>
      <c r="Z5" s="687"/>
      <c r="AA5" s="687"/>
      <c r="AB5" s="687"/>
      <c r="AC5" s="688"/>
      <c r="AD5" s="689" t="s">
        <v>2</v>
      </c>
    </row>
    <row r="6" spans="1:31" ht="15" customHeight="1">
      <c r="A6" s="678"/>
      <c r="B6" s="681"/>
      <c r="C6" s="514"/>
      <c r="D6" s="684"/>
      <c r="E6" s="706" t="s">
        <v>5</v>
      </c>
      <c r="F6" s="707"/>
      <c r="G6" s="707"/>
      <c r="H6" s="708"/>
      <c r="I6" s="695" t="s">
        <v>6</v>
      </c>
      <c r="J6" s="696" t="s">
        <v>13</v>
      </c>
      <c r="K6" s="709" t="s">
        <v>14</v>
      </c>
      <c r="L6" s="709"/>
      <c r="M6" s="709"/>
      <c r="N6" s="709"/>
      <c r="O6" s="709"/>
      <c r="P6" s="709"/>
      <c r="Q6" s="709"/>
      <c r="R6" s="709"/>
      <c r="S6" s="709"/>
      <c r="T6" s="709"/>
      <c r="U6" s="709"/>
      <c r="V6" s="709"/>
      <c r="W6" s="709"/>
      <c r="X6" s="709"/>
      <c r="Y6" s="709"/>
      <c r="Z6" s="709"/>
      <c r="AA6" s="709"/>
      <c r="AB6" s="709"/>
      <c r="AC6" s="695" t="s">
        <v>15</v>
      </c>
      <c r="AD6" s="690"/>
    </row>
    <row r="7" spans="1:31" ht="25.5" customHeight="1">
      <c r="A7" s="678"/>
      <c r="B7" s="681"/>
      <c r="C7" s="514"/>
      <c r="D7" s="685"/>
      <c r="E7" s="704" t="s">
        <v>52</v>
      </c>
      <c r="F7" s="705"/>
      <c r="G7" s="704" t="s">
        <v>53</v>
      </c>
      <c r="H7" s="705"/>
      <c r="I7" s="681"/>
      <c r="J7" s="697"/>
      <c r="K7" s="90" t="s">
        <v>16</v>
      </c>
      <c r="L7" s="90" t="s">
        <v>17</v>
      </c>
      <c r="M7" s="90" t="s">
        <v>58</v>
      </c>
      <c r="N7" s="90" t="s">
        <v>59</v>
      </c>
      <c r="O7" s="90" t="s">
        <v>18</v>
      </c>
      <c r="P7" s="90" t="s">
        <v>60</v>
      </c>
      <c r="Q7" s="90" t="s">
        <v>19</v>
      </c>
      <c r="R7" s="90" t="s">
        <v>55</v>
      </c>
      <c r="S7" s="90" t="s">
        <v>61</v>
      </c>
      <c r="T7" s="90" t="s">
        <v>62</v>
      </c>
      <c r="U7" s="90" t="s">
        <v>63</v>
      </c>
      <c r="V7" s="90" t="s">
        <v>56</v>
      </c>
      <c r="W7" s="90" t="s">
        <v>20</v>
      </c>
      <c r="X7" s="90" t="s">
        <v>57</v>
      </c>
      <c r="Y7" s="271" t="s">
        <v>154</v>
      </c>
      <c r="Z7" s="90" t="s">
        <v>21</v>
      </c>
      <c r="AA7" s="292" t="s">
        <v>155</v>
      </c>
      <c r="AB7" s="90" t="s">
        <v>22</v>
      </c>
      <c r="AC7" s="681"/>
      <c r="AD7" s="690"/>
    </row>
    <row r="8" spans="1:31" ht="15.75" thickBot="1">
      <c r="A8" s="679"/>
      <c r="B8" s="682"/>
      <c r="C8" s="515"/>
      <c r="D8" s="18" t="s">
        <v>4</v>
      </c>
      <c r="E8" s="19" t="s">
        <v>3</v>
      </c>
      <c r="F8" s="20" t="s">
        <v>4</v>
      </c>
      <c r="G8" s="19" t="s">
        <v>3</v>
      </c>
      <c r="H8" s="20" t="s">
        <v>4</v>
      </c>
      <c r="I8" s="682"/>
      <c r="J8" s="21" t="s">
        <v>4</v>
      </c>
      <c r="K8" s="20" t="s">
        <v>4</v>
      </c>
      <c r="L8" s="20" t="s">
        <v>4</v>
      </c>
      <c r="M8" s="20" t="s">
        <v>4</v>
      </c>
      <c r="N8" s="20" t="s">
        <v>4</v>
      </c>
      <c r="O8" s="20" t="s">
        <v>4</v>
      </c>
      <c r="P8" s="20" t="s">
        <v>4</v>
      </c>
      <c r="Q8" s="20" t="s">
        <v>4</v>
      </c>
      <c r="R8" s="20" t="s">
        <v>4</v>
      </c>
      <c r="S8" s="20" t="s">
        <v>4</v>
      </c>
      <c r="T8" s="20" t="s">
        <v>4</v>
      </c>
      <c r="U8" s="20" t="s">
        <v>4</v>
      </c>
      <c r="V8" s="20"/>
      <c r="W8" s="20" t="s">
        <v>4</v>
      </c>
      <c r="X8" s="20" t="s">
        <v>4</v>
      </c>
      <c r="Y8" s="20" t="s">
        <v>4</v>
      </c>
      <c r="Z8" s="20" t="s">
        <v>4</v>
      </c>
      <c r="AA8" s="20" t="s">
        <v>4</v>
      </c>
      <c r="AB8" s="20" t="s">
        <v>4</v>
      </c>
      <c r="AC8" s="682"/>
      <c r="AD8" s="691"/>
    </row>
    <row r="9" spans="1:31" ht="16.5" customHeight="1" thickTop="1">
      <c r="A9" s="23"/>
      <c r="B9" s="25"/>
      <c r="C9" s="25"/>
      <c r="D9" s="24"/>
      <c r="E9" s="24"/>
      <c r="F9" s="24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4"/>
      <c r="AD9" s="27"/>
    </row>
    <row r="10" spans="1:31">
      <c r="A10" s="333">
        <v>46221</v>
      </c>
      <c r="B10" s="298">
        <v>46218</v>
      </c>
      <c r="C10" s="486" t="s">
        <v>260</v>
      </c>
      <c r="D10" s="523">
        <f>+'HASIL PROD'!N158</f>
        <v>1470.924</v>
      </c>
      <c r="E10" s="4"/>
      <c r="F10" s="28">
        <f>+E10*3.276</f>
        <v>0</v>
      </c>
      <c r="G10" s="35"/>
      <c r="H10" s="28">
        <f>+G10*3.588</f>
        <v>0</v>
      </c>
      <c r="I10" s="28">
        <f>+F10+H10</f>
        <v>0</v>
      </c>
      <c r="J10" s="26"/>
      <c r="K10" s="28">
        <v>6.3</v>
      </c>
      <c r="L10" s="28">
        <v>7.2</v>
      </c>
      <c r="M10" s="26">
        <v>0.2</v>
      </c>
      <c r="N10" s="26"/>
      <c r="O10" s="26">
        <v>9.9</v>
      </c>
      <c r="P10" s="26"/>
      <c r="Q10" s="26"/>
      <c r="R10" s="26">
        <v>1</v>
      </c>
      <c r="S10" s="26">
        <v>9.1999999999999993</v>
      </c>
      <c r="T10" s="26">
        <v>3.02</v>
      </c>
      <c r="U10" s="26"/>
      <c r="V10" s="26"/>
      <c r="W10" s="26"/>
      <c r="X10" s="26"/>
      <c r="Y10" s="28"/>
      <c r="Z10" s="26"/>
      <c r="AA10" s="26"/>
      <c r="AB10" s="26"/>
      <c r="AC10" s="26">
        <f>SUM(K10:AB10)</f>
        <v>36.82</v>
      </c>
      <c r="AD10" s="27"/>
    </row>
    <row r="11" spans="1:31">
      <c r="A11" s="333"/>
      <c r="B11" s="298">
        <v>46219</v>
      </c>
      <c r="C11" s="486" t="s">
        <v>270</v>
      </c>
      <c r="D11" s="523"/>
      <c r="E11" s="34"/>
      <c r="F11" s="28">
        <f t="shared" ref="F11:F75" si="0">+E11*3.276</f>
        <v>0</v>
      </c>
      <c r="G11" s="35"/>
      <c r="H11" s="28">
        <f t="shared" ref="H11:H75" si="1">+G11*3.588</f>
        <v>0</v>
      </c>
      <c r="I11" s="28">
        <f t="shared" ref="I11:I75" si="2">+F11+H11</f>
        <v>0</v>
      </c>
      <c r="J11" s="26"/>
      <c r="K11" s="26">
        <v>0.78</v>
      </c>
      <c r="L11" s="26">
        <v>1.6</v>
      </c>
      <c r="M11" s="26"/>
      <c r="N11" s="26"/>
      <c r="O11" s="26">
        <v>0.9</v>
      </c>
      <c r="P11" s="26">
        <v>0.34</v>
      </c>
      <c r="Q11" s="26"/>
      <c r="R11" s="26"/>
      <c r="S11" s="26"/>
      <c r="T11" s="26">
        <v>0.2</v>
      </c>
      <c r="U11" s="26"/>
      <c r="V11" s="26"/>
      <c r="W11" s="26"/>
      <c r="X11" s="26"/>
      <c r="Y11" s="26"/>
      <c r="Z11" s="26"/>
      <c r="AA11" s="26"/>
      <c r="AB11" s="26"/>
      <c r="AC11" s="26">
        <f t="shared" ref="AC11:AC41" si="3">SUM(K11:AB11)</f>
        <v>3.82</v>
      </c>
      <c r="AD11" s="29"/>
      <c r="AE11" s="30"/>
    </row>
    <row r="12" spans="1:31">
      <c r="A12" s="333">
        <v>46223</v>
      </c>
      <c r="B12" s="298">
        <v>46218</v>
      </c>
      <c r="C12" s="486" t="s">
        <v>260</v>
      </c>
      <c r="D12" s="523"/>
      <c r="E12" s="34">
        <v>421</v>
      </c>
      <c r="F12" s="28">
        <f t="shared" si="0"/>
        <v>1379.1959999999999</v>
      </c>
      <c r="G12" s="35"/>
      <c r="H12" s="28">
        <f t="shared" si="1"/>
        <v>0</v>
      </c>
      <c r="I12" s="28">
        <f t="shared" si="2"/>
        <v>1379.1959999999999</v>
      </c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6"/>
      <c r="Y12" s="28"/>
      <c r="Z12" s="26"/>
      <c r="AA12" s="26"/>
      <c r="AB12" s="26"/>
      <c r="AC12" s="26">
        <f t="shared" si="3"/>
        <v>0</v>
      </c>
      <c r="AD12" s="29"/>
      <c r="AE12" s="30"/>
    </row>
    <row r="13" spans="1:31">
      <c r="A13" s="333"/>
      <c r="B13" s="298">
        <v>46219</v>
      </c>
      <c r="C13" s="486" t="s">
        <v>270</v>
      </c>
      <c r="D13" s="523">
        <f>+'HASIL PROD'!N179</f>
        <v>16209.647999999999</v>
      </c>
      <c r="E13" s="34">
        <v>510</v>
      </c>
      <c r="F13" s="28">
        <f t="shared" si="0"/>
        <v>1670.76</v>
      </c>
      <c r="G13" s="35"/>
      <c r="H13" s="28">
        <f t="shared" si="1"/>
        <v>0</v>
      </c>
      <c r="I13" s="28">
        <f t="shared" si="2"/>
        <v>1670.76</v>
      </c>
      <c r="J13" s="26"/>
      <c r="K13" s="26">
        <v>3.33</v>
      </c>
      <c r="L13" s="26">
        <v>7.24</v>
      </c>
      <c r="M13" s="26"/>
      <c r="N13" s="26"/>
      <c r="O13" s="26">
        <v>3.9</v>
      </c>
      <c r="P13" s="26">
        <v>0.2</v>
      </c>
      <c r="Q13" s="26"/>
      <c r="R13" s="26">
        <v>0.9</v>
      </c>
      <c r="S13" s="26"/>
      <c r="T13" s="26">
        <v>4</v>
      </c>
      <c r="U13" s="26"/>
      <c r="V13" s="26"/>
      <c r="W13" s="26"/>
      <c r="X13" s="26"/>
      <c r="Y13" s="28"/>
      <c r="Z13" s="26"/>
      <c r="AA13" s="26"/>
      <c r="AB13" s="26"/>
      <c r="AC13" s="26">
        <f t="shared" si="3"/>
        <v>19.57</v>
      </c>
      <c r="AD13" s="29"/>
      <c r="AE13" s="30"/>
    </row>
    <row r="14" spans="1:31">
      <c r="A14" s="333"/>
      <c r="B14" s="298">
        <v>46219</v>
      </c>
      <c r="C14" s="486" t="s">
        <v>271</v>
      </c>
      <c r="D14" s="523"/>
      <c r="E14" s="34">
        <v>485</v>
      </c>
      <c r="F14" s="28">
        <f t="shared" ref="F14" si="4">+E14*3.276</f>
        <v>1588.86</v>
      </c>
      <c r="G14" s="35"/>
      <c r="H14" s="28">
        <f t="shared" ref="H14" si="5">+G14*3.588</f>
        <v>0</v>
      </c>
      <c r="I14" s="28">
        <f t="shared" ref="I14" si="6">+F14+H14</f>
        <v>1588.86</v>
      </c>
      <c r="J14" s="26">
        <f>(2+4)*3.276</f>
        <v>19.655999999999999</v>
      </c>
      <c r="K14" s="26">
        <v>3.25</v>
      </c>
      <c r="L14" s="26">
        <v>7.12</v>
      </c>
      <c r="M14" s="26"/>
      <c r="N14" s="26"/>
      <c r="O14" s="26">
        <v>7.78</v>
      </c>
      <c r="P14" s="26">
        <v>0.7</v>
      </c>
      <c r="Q14" s="26"/>
      <c r="R14" s="26">
        <v>0.74</v>
      </c>
      <c r="S14" s="26"/>
      <c r="T14" s="26">
        <v>2.2400000000000002</v>
      </c>
      <c r="U14" s="26"/>
      <c r="V14" s="26"/>
      <c r="W14" s="26"/>
      <c r="X14" s="26"/>
      <c r="Y14" s="28"/>
      <c r="Z14" s="26"/>
      <c r="AA14" s="26"/>
      <c r="AB14" s="26"/>
      <c r="AC14" s="26">
        <f t="shared" si="3"/>
        <v>21.83</v>
      </c>
      <c r="AD14" s="29"/>
      <c r="AE14" s="30"/>
    </row>
    <row r="15" spans="1:31">
      <c r="A15" s="333"/>
      <c r="B15" s="298">
        <v>46219</v>
      </c>
      <c r="C15" s="486" t="s">
        <v>272</v>
      </c>
      <c r="D15" s="523"/>
      <c r="E15" s="4">
        <v>445</v>
      </c>
      <c r="F15" s="28">
        <f t="shared" si="0"/>
        <v>1457.82</v>
      </c>
      <c r="G15" s="35"/>
      <c r="H15" s="28">
        <f t="shared" si="1"/>
        <v>0</v>
      </c>
      <c r="I15" s="28">
        <f t="shared" si="2"/>
        <v>1457.82</v>
      </c>
      <c r="J15" s="26"/>
      <c r="K15" s="26">
        <v>2.38</v>
      </c>
      <c r="L15" s="26">
        <v>6.4</v>
      </c>
      <c r="M15" s="26">
        <v>0.9</v>
      </c>
      <c r="N15" s="26"/>
      <c r="O15" s="26">
        <v>13.18</v>
      </c>
      <c r="P15" s="26">
        <v>0.38</v>
      </c>
      <c r="Q15" s="26"/>
      <c r="R15" s="26">
        <v>0.84</v>
      </c>
      <c r="S15" s="26"/>
      <c r="T15" s="26">
        <v>3.68</v>
      </c>
      <c r="U15" s="26">
        <v>0.4</v>
      </c>
      <c r="V15" s="26"/>
      <c r="W15" s="26"/>
      <c r="X15" s="26"/>
      <c r="Y15" s="28"/>
      <c r="Z15" s="26"/>
      <c r="AA15" s="26"/>
      <c r="AB15" s="26"/>
      <c r="AC15" s="26">
        <f t="shared" si="3"/>
        <v>28.159999999999997</v>
      </c>
      <c r="AD15" s="31"/>
      <c r="AE15" s="32"/>
    </row>
    <row r="16" spans="1:31">
      <c r="A16" s="333"/>
      <c r="B16" s="298">
        <v>46219</v>
      </c>
      <c r="C16" s="486" t="s">
        <v>273</v>
      </c>
      <c r="D16" s="523"/>
      <c r="E16" s="4">
        <v>450</v>
      </c>
      <c r="F16" s="28">
        <f t="shared" si="0"/>
        <v>1474.1999999999998</v>
      </c>
      <c r="G16" s="35"/>
      <c r="H16" s="28">
        <f t="shared" si="1"/>
        <v>0</v>
      </c>
      <c r="I16" s="28">
        <f t="shared" si="2"/>
        <v>1474.1999999999998</v>
      </c>
      <c r="J16" s="26"/>
      <c r="K16" s="26">
        <v>2.58</v>
      </c>
      <c r="L16" s="26">
        <v>3.98</v>
      </c>
      <c r="M16" s="26"/>
      <c r="N16" s="26"/>
      <c r="O16" s="26">
        <v>8.9600000000000009</v>
      </c>
      <c r="P16" s="26">
        <v>0.4</v>
      </c>
      <c r="Q16" s="26"/>
      <c r="R16" s="26">
        <v>1.1399999999999999</v>
      </c>
      <c r="S16" s="26"/>
      <c r="T16" s="26">
        <v>3.42</v>
      </c>
      <c r="U16" s="26"/>
      <c r="V16" s="26"/>
      <c r="W16" s="26"/>
      <c r="X16" s="26"/>
      <c r="Y16" s="28"/>
      <c r="Z16" s="26"/>
      <c r="AA16" s="26"/>
      <c r="AB16" s="26"/>
      <c r="AC16" s="26">
        <f t="shared" si="3"/>
        <v>20.480000000000004</v>
      </c>
      <c r="AD16" s="29"/>
      <c r="AE16" s="30"/>
    </row>
    <row r="17" spans="1:31">
      <c r="A17" s="333"/>
      <c r="B17" s="298">
        <v>46219</v>
      </c>
      <c r="C17" s="486" t="s">
        <v>274</v>
      </c>
      <c r="D17" s="523"/>
      <c r="E17" s="4">
        <v>550</v>
      </c>
      <c r="F17" s="28">
        <f t="shared" si="0"/>
        <v>1801.8</v>
      </c>
      <c r="G17" s="35"/>
      <c r="H17" s="28">
        <f t="shared" si="1"/>
        <v>0</v>
      </c>
      <c r="I17" s="28">
        <f t="shared" si="2"/>
        <v>1801.8</v>
      </c>
      <c r="J17" s="26"/>
      <c r="K17" s="26">
        <v>7.5</v>
      </c>
      <c r="L17" s="26">
        <v>10.8</v>
      </c>
      <c r="M17" s="26"/>
      <c r="N17" s="26"/>
      <c r="O17" s="26">
        <v>7.22</v>
      </c>
      <c r="P17" s="26"/>
      <c r="Q17" s="26"/>
      <c r="R17" s="26"/>
      <c r="S17" s="26">
        <v>1.1000000000000001</v>
      </c>
      <c r="T17" s="26">
        <v>3.2</v>
      </c>
      <c r="U17" s="26">
        <v>0.38</v>
      </c>
      <c r="V17" s="26"/>
      <c r="W17" s="26"/>
      <c r="X17" s="26"/>
      <c r="Y17" s="28"/>
      <c r="Z17" s="26"/>
      <c r="AA17" s="26"/>
      <c r="AB17" s="26"/>
      <c r="AC17" s="26">
        <f t="shared" si="3"/>
        <v>30.2</v>
      </c>
      <c r="AD17" s="29"/>
      <c r="AE17" s="30"/>
    </row>
    <row r="18" spans="1:31">
      <c r="A18" s="333"/>
      <c r="B18" s="298">
        <v>46219</v>
      </c>
      <c r="C18" s="486" t="s">
        <v>275</v>
      </c>
      <c r="D18" s="523"/>
      <c r="E18" s="4">
        <v>580</v>
      </c>
      <c r="F18" s="28">
        <f t="shared" si="0"/>
        <v>1900.08</v>
      </c>
      <c r="G18" s="35"/>
      <c r="H18" s="28">
        <f t="shared" si="1"/>
        <v>0</v>
      </c>
      <c r="I18" s="28">
        <f t="shared" si="2"/>
        <v>1900.08</v>
      </c>
      <c r="J18" s="26"/>
      <c r="K18" s="26">
        <v>12.7</v>
      </c>
      <c r="L18" s="26">
        <v>9</v>
      </c>
      <c r="M18" s="26"/>
      <c r="N18" s="26"/>
      <c r="O18" s="26">
        <v>10.8</v>
      </c>
      <c r="P18" s="26">
        <v>0.5</v>
      </c>
      <c r="Q18" s="26"/>
      <c r="R18" s="26"/>
      <c r="S18" s="26">
        <v>0.26</v>
      </c>
      <c r="T18" s="26">
        <v>3.46</v>
      </c>
      <c r="U18" s="26"/>
      <c r="V18" s="26"/>
      <c r="W18" s="26"/>
      <c r="X18" s="26"/>
      <c r="Y18" s="28"/>
      <c r="Z18" s="26"/>
      <c r="AA18" s="26"/>
      <c r="AB18" s="26"/>
      <c r="AC18" s="26">
        <f t="shared" si="3"/>
        <v>36.72</v>
      </c>
      <c r="AD18" s="29"/>
      <c r="AE18" s="30"/>
    </row>
    <row r="19" spans="1:31">
      <c r="A19" s="333"/>
      <c r="B19" s="298">
        <v>46219</v>
      </c>
      <c r="C19" s="486" t="s">
        <v>276</v>
      </c>
      <c r="D19" s="523"/>
      <c r="E19" s="4">
        <v>553</v>
      </c>
      <c r="F19" s="28">
        <f t="shared" si="0"/>
        <v>1811.6279999999999</v>
      </c>
      <c r="G19" s="35"/>
      <c r="H19" s="28">
        <f t="shared" si="1"/>
        <v>0</v>
      </c>
      <c r="I19" s="28">
        <f t="shared" si="2"/>
        <v>1811.6279999999999</v>
      </c>
      <c r="J19" s="26"/>
      <c r="K19" s="26">
        <v>6.2</v>
      </c>
      <c r="L19" s="26">
        <v>12.48</v>
      </c>
      <c r="M19" s="26"/>
      <c r="N19" s="26"/>
      <c r="O19" s="26">
        <v>6</v>
      </c>
      <c r="P19" s="26"/>
      <c r="Q19" s="26"/>
      <c r="R19" s="26"/>
      <c r="S19" s="26">
        <v>0.52</v>
      </c>
      <c r="T19" s="26">
        <v>3.8</v>
      </c>
      <c r="U19" s="26"/>
      <c r="V19" s="26"/>
      <c r="W19" s="26"/>
      <c r="X19" s="26"/>
      <c r="Y19" s="28"/>
      <c r="Z19" s="26"/>
      <c r="AA19" s="26"/>
      <c r="AB19" s="26"/>
      <c r="AC19" s="26">
        <f t="shared" si="3"/>
        <v>29</v>
      </c>
      <c r="AD19" s="29"/>
      <c r="AE19" s="30"/>
    </row>
    <row r="20" spans="1:31">
      <c r="A20" s="333">
        <v>46225</v>
      </c>
      <c r="B20" s="298">
        <v>46219</v>
      </c>
      <c r="C20" s="486" t="s">
        <v>276</v>
      </c>
      <c r="D20" s="523"/>
      <c r="E20" s="4">
        <v>560</v>
      </c>
      <c r="F20" s="28">
        <f t="shared" si="0"/>
        <v>1834.56</v>
      </c>
      <c r="G20" s="35"/>
      <c r="H20" s="28">
        <f t="shared" si="1"/>
        <v>0</v>
      </c>
      <c r="I20" s="28">
        <f t="shared" si="2"/>
        <v>1834.56</v>
      </c>
      <c r="J20" s="26"/>
      <c r="K20" s="26">
        <v>4.7</v>
      </c>
      <c r="L20" s="26">
        <v>10.44</v>
      </c>
      <c r="M20" s="26"/>
      <c r="N20" s="26"/>
      <c r="O20" s="26">
        <v>7.7</v>
      </c>
      <c r="P20" s="26">
        <v>0.5</v>
      </c>
      <c r="Q20" s="26"/>
      <c r="R20" s="26">
        <v>1.25</v>
      </c>
      <c r="S20" s="26"/>
      <c r="T20" s="26">
        <v>4.3</v>
      </c>
      <c r="U20" s="26"/>
      <c r="V20" s="26"/>
      <c r="W20" s="26"/>
      <c r="X20" s="26"/>
      <c r="Y20" s="28"/>
      <c r="Z20" s="26"/>
      <c r="AA20" s="26"/>
      <c r="AB20" s="26"/>
      <c r="AC20" s="26">
        <f t="shared" si="3"/>
        <v>28.89</v>
      </c>
      <c r="AD20" s="29"/>
      <c r="AE20" s="30"/>
    </row>
    <row r="21" spans="1:31">
      <c r="A21" s="333"/>
      <c r="B21" s="298">
        <v>46219</v>
      </c>
      <c r="C21" s="486" t="s">
        <v>277</v>
      </c>
      <c r="D21" s="523"/>
      <c r="E21" s="4">
        <v>564</v>
      </c>
      <c r="F21" s="28">
        <f t="shared" si="0"/>
        <v>1847.664</v>
      </c>
      <c r="G21" s="35"/>
      <c r="H21" s="28">
        <f t="shared" si="1"/>
        <v>0</v>
      </c>
      <c r="I21" s="28">
        <f t="shared" si="2"/>
        <v>1847.664</v>
      </c>
      <c r="J21" s="26"/>
      <c r="K21" s="26">
        <v>4.4000000000000004</v>
      </c>
      <c r="L21" s="26">
        <v>7.85</v>
      </c>
      <c r="M21" s="26"/>
      <c r="N21" s="26"/>
      <c r="O21" s="26">
        <v>6.2</v>
      </c>
      <c r="P21" s="26">
        <v>0.45</v>
      </c>
      <c r="Q21" s="26"/>
      <c r="R21" s="26">
        <v>0.6</v>
      </c>
      <c r="S21" s="26">
        <v>0.7</v>
      </c>
      <c r="T21" s="26">
        <v>4</v>
      </c>
      <c r="U21" s="26"/>
      <c r="V21" s="26"/>
      <c r="W21" s="26"/>
      <c r="X21" s="26"/>
      <c r="Y21" s="28"/>
      <c r="Z21" s="26"/>
      <c r="AA21" s="26"/>
      <c r="AB21" s="26"/>
      <c r="AC21" s="26">
        <f t="shared" si="3"/>
        <v>24.2</v>
      </c>
      <c r="AD21" s="29"/>
      <c r="AE21" s="30"/>
    </row>
    <row r="22" spans="1:31">
      <c r="A22" s="333"/>
      <c r="B22" s="11"/>
      <c r="C22" s="518"/>
      <c r="D22" s="520"/>
      <c r="E22" s="4"/>
      <c r="F22" s="28">
        <f t="shared" si="0"/>
        <v>0</v>
      </c>
      <c r="G22" s="35"/>
      <c r="H22" s="28">
        <f t="shared" si="1"/>
        <v>0</v>
      </c>
      <c r="I22" s="28">
        <f t="shared" si="2"/>
        <v>0</v>
      </c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8"/>
      <c r="Z22" s="26"/>
      <c r="AA22" s="26"/>
      <c r="AB22" s="26"/>
      <c r="AC22" s="26">
        <f t="shared" si="3"/>
        <v>0</v>
      </c>
      <c r="AD22" s="29"/>
      <c r="AE22" s="30"/>
    </row>
    <row r="23" spans="1:31">
      <c r="A23" s="333"/>
      <c r="B23" s="11"/>
      <c r="C23" s="518"/>
      <c r="D23" s="520"/>
      <c r="E23" s="4"/>
      <c r="F23" s="28">
        <f t="shared" si="0"/>
        <v>0</v>
      </c>
      <c r="G23" s="35"/>
      <c r="H23" s="28">
        <f t="shared" si="1"/>
        <v>0</v>
      </c>
      <c r="I23" s="28">
        <f t="shared" si="2"/>
        <v>0</v>
      </c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8"/>
      <c r="Z23" s="26"/>
      <c r="AA23" s="26"/>
      <c r="AB23" s="26"/>
      <c r="AC23" s="26">
        <f t="shared" si="3"/>
        <v>0</v>
      </c>
      <c r="AD23" s="29"/>
      <c r="AE23" s="30"/>
    </row>
    <row r="24" spans="1:31">
      <c r="A24" s="333"/>
      <c r="B24" s="11"/>
      <c r="C24" s="518"/>
      <c r="D24" s="520"/>
      <c r="E24" s="4"/>
      <c r="F24" s="28">
        <f t="shared" si="0"/>
        <v>0</v>
      </c>
      <c r="G24" s="35"/>
      <c r="H24" s="28">
        <f>+G24*3.588</f>
        <v>0</v>
      </c>
      <c r="I24" s="28">
        <f t="shared" si="2"/>
        <v>0</v>
      </c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6"/>
      <c r="Y24" s="28"/>
      <c r="Z24" s="26"/>
      <c r="AA24" s="26"/>
      <c r="AB24" s="26"/>
      <c r="AC24" s="26">
        <f t="shared" si="3"/>
        <v>0</v>
      </c>
      <c r="AD24" s="29"/>
      <c r="AE24" s="30"/>
    </row>
    <row r="25" spans="1:31">
      <c r="A25" s="333"/>
      <c r="B25" s="11"/>
      <c r="C25" s="518"/>
      <c r="D25" s="520"/>
      <c r="E25" s="4"/>
      <c r="F25" s="28">
        <f t="shared" si="0"/>
        <v>0</v>
      </c>
      <c r="G25" s="35"/>
      <c r="H25" s="28">
        <f>+G25*3.588</f>
        <v>0</v>
      </c>
      <c r="I25" s="28">
        <f t="shared" si="2"/>
        <v>0</v>
      </c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6"/>
      <c r="Y25" s="28"/>
      <c r="Z25" s="26"/>
      <c r="AA25" s="26"/>
      <c r="AB25" s="26"/>
      <c r="AC25" s="26">
        <f t="shared" si="3"/>
        <v>0</v>
      </c>
      <c r="AD25" s="29"/>
      <c r="AE25" s="30"/>
    </row>
    <row r="26" spans="1:31">
      <c r="A26" s="333"/>
      <c r="B26" s="11"/>
      <c r="C26" s="518"/>
      <c r="D26" s="520"/>
      <c r="E26" s="4"/>
      <c r="F26" s="28">
        <f t="shared" si="0"/>
        <v>0</v>
      </c>
      <c r="G26" s="35"/>
      <c r="H26" s="28">
        <f>+G26*3.588</f>
        <v>0</v>
      </c>
      <c r="I26" s="28">
        <f t="shared" si="2"/>
        <v>0</v>
      </c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6"/>
      <c r="Y26" s="28"/>
      <c r="Z26" s="26"/>
      <c r="AA26" s="26"/>
      <c r="AB26" s="26"/>
      <c r="AC26" s="26">
        <f t="shared" si="3"/>
        <v>0</v>
      </c>
      <c r="AD26" s="29"/>
      <c r="AE26" s="30"/>
    </row>
    <row r="27" spans="1:31">
      <c r="A27" s="3"/>
      <c r="B27" s="11"/>
      <c r="C27" s="518"/>
      <c r="D27" s="520"/>
      <c r="E27" s="4"/>
      <c r="F27" s="28">
        <f t="shared" si="0"/>
        <v>0</v>
      </c>
      <c r="G27" s="28"/>
      <c r="H27" s="28">
        <f>+G27*3.588</f>
        <v>0</v>
      </c>
      <c r="I27" s="28">
        <f t="shared" si="2"/>
        <v>0</v>
      </c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8"/>
      <c r="Z27" s="26"/>
      <c r="AA27" s="26"/>
      <c r="AB27" s="26"/>
      <c r="AC27" s="26">
        <f t="shared" si="3"/>
        <v>0</v>
      </c>
      <c r="AD27" s="29"/>
      <c r="AE27" s="30"/>
    </row>
    <row r="28" spans="1:31">
      <c r="A28" s="3"/>
      <c r="B28" s="11"/>
      <c r="C28" s="518"/>
      <c r="D28" s="520"/>
      <c r="E28" s="4"/>
      <c r="F28" s="28">
        <f t="shared" si="0"/>
        <v>0</v>
      </c>
      <c r="G28" s="35"/>
      <c r="H28" s="28">
        <f t="shared" si="1"/>
        <v>0</v>
      </c>
      <c r="I28" s="28">
        <f t="shared" si="2"/>
        <v>0</v>
      </c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6"/>
      <c r="Y28" s="28"/>
      <c r="Z28" s="26"/>
      <c r="AA28" s="26"/>
      <c r="AB28" s="26"/>
      <c r="AC28" s="26">
        <f t="shared" si="3"/>
        <v>0</v>
      </c>
      <c r="AD28" s="29"/>
    </row>
    <row r="29" spans="1:31">
      <c r="A29" s="3"/>
      <c r="B29" s="11"/>
      <c r="C29" s="11"/>
      <c r="D29" s="521"/>
      <c r="E29" s="4"/>
      <c r="F29" s="28">
        <f t="shared" si="0"/>
        <v>0</v>
      </c>
      <c r="G29" s="35"/>
      <c r="H29" s="28">
        <f t="shared" si="1"/>
        <v>0</v>
      </c>
      <c r="I29" s="28">
        <f t="shared" si="2"/>
        <v>0</v>
      </c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6"/>
      <c r="Y29" s="28"/>
      <c r="Z29" s="26"/>
      <c r="AA29" s="26"/>
      <c r="AB29" s="26"/>
      <c r="AC29" s="26">
        <f t="shared" si="3"/>
        <v>0</v>
      </c>
      <c r="AD29" s="29"/>
    </row>
    <row r="30" spans="1:31">
      <c r="A30" s="3"/>
      <c r="B30" s="11"/>
      <c r="C30" s="518"/>
      <c r="D30" s="520"/>
      <c r="E30" s="4"/>
      <c r="F30" s="28">
        <f t="shared" si="0"/>
        <v>0</v>
      </c>
      <c r="G30" s="35"/>
      <c r="H30" s="28">
        <f t="shared" si="1"/>
        <v>0</v>
      </c>
      <c r="I30" s="28">
        <f t="shared" si="2"/>
        <v>0</v>
      </c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6"/>
      <c r="Y30" s="28"/>
      <c r="Z30" s="26"/>
      <c r="AA30" s="26"/>
      <c r="AB30" s="26"/>
      <c r="AC30" s="26">
        <f t="shared" si="3"/>
        <v>0</v>
      </c>
      <c r="AD30" s="29"/>
    </row>
    <row r="31" spans="1:31">
      <c r="A31" s="3"/>
      <c r="B31" s="11"/>
      <c r="C31" s="11"/>
      <c r="D31" s="521"/>
      <c r="E31" s="4"/>
      <c r="F31" s="28">
        <f t="shared" si="0"/>
        <v>0</v>
      </c>
      <c r="G31" s="35"/>
      <c r="H31" s="28">
        <f t="shared" si="1"/>
        <v>0</v>
      </c>
      <c r="I31" s="28">
        <f t="shared" si="2"/>
        <v>0</v>
      </c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6"/>
      <c r="Y31" s="28"/>
      <c r="Z31" s="26"/>
      <c r="AA31" s="26"/>
      <c r="AB31" s="26"/>
      <c r="AC31" s="26">
        <f t="shared" si="3"/>
        <v>0</v>
      </c>
      <c r="AD31" s="29"/>
    </row>
    <row r="32" spans="1:31">
      <c r="A32" s="3"/>
      <c r="B32" s="11"/>
      <c r="C32" s="518"/>
      <c r="D32" s="520"/>
      <c r="E32" s="4"/>
      <c r="F32" s="28">
        <f t="shared" si="0"/>
        <v>0</v>
      </c>
      <c r="G32" s="35"/>
      <c r="H32" s="28">
        <f t="shared" si="1"/>
        <v>0</v>
      </c>
      <c r="I32" s="28">
        <f t="shared" si="2"/>
        <v>0</v>
      </c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6"/>
      <c r="Y32" s="28"/>
      <c r="Z32" s="26"/>
      <c r="AA32" s="26"/>
      <c r="AB32" s="26"/>
      <c r="AC32" s="26">
        <f t="shared" si="3"/>
        <v>0</v>
      </c>
      <c r="AD32" s="29"/>
    </row>
    <row r="33" spans="1:39">
      <c r="A33" s="3"/>
      <c r="B33" s="11"/>
      <c r="C33" s="518"/>
      <c r="D33" s="520"/>
      <c r="E33" s="4"/>
      <c r="F33" s="28">
        <f t="shared" si="0"/>
        <v>0</v>
      </c>
      <c r="G33" s="35"/>
      <c r="H33" s="28">
        <f t="shared" si="1"/>
        <v>0</v>
      </c>
      <c r="I33" s="28">
        <f t="shared" si="2"/>
        <v>0</v>
      </c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6"/>
      <c r="Y33" s="28"/>
      <c r="Z33" s="26"/>
      <c r="AA33" s="26"/>
      <c r="AB33" s="26"/>
      <c r="AC33" s="26">
        <f t="shared" si="3"/>
        <v>0</v>
      </c>
      <c r="AD33" s="29"/>
    </row>
    <row r="34" spans="1:39">
      <c r="A34" s="3"/>
      <c r="B34" s="11"/>
      <c r="C34" s="518"/>
      <c r="D34" s="520"/>
      <c r="E34" s="4"/>
      <c r="F34" s="28">
        <f t="shared" si="0"/>
        <v>0</v>
      </c>
      <c r="G34" s="35"/>
      <c r="H34" s="28">
        <f t="shared" si="1"/>
        <v>0</v>
      </c>
      <c r="I34" s="28">
        <f t="shared" si="2"/>
        <v>0</v>
      </c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6"/>
      <c r="Y34" s="28"/>
      <c r="Z34" s="26"/>
      <c r="AA34" s="26"/>
      <c r="AB34" s="26"/>
      <c r="AC34" s="26">
        <f t="shared" si="3"/>
        <v>0</v>
      </c>
      <c r="AD34" s="29"/>
    </row>
    <row r="35" spans="1:39">
      <c r="A35" s="3"/>
      <c r="B35" s="11"/>
      <c r="C35" s="518"/>
      <c r="D35" s="520"/>
      <c r="E35" s="4"/>
      <c r="F35" s="28">
        <f t="shared" si="0"/>
        <v>0</v>
      </c>
      <c r="G35" s="35"/>
      <c r="H35" s="28">
        <f t="shared" si="1"/>
        <v>0</v>
      </c>
      <c r="I35" s="28">
        <f t="shared" si="2"/>
        <v>0</v>
      </c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6"/>
      <c r="Y35" s="28"/>
      <c r="Z35" s="26"/>
      <c r="AA35" s="26"/>
      <c r="AB35" s="26"/>
      <c r="AC35" s="26">
        <f t="shared" si="3"/>
        <v>0</v>
      </c>
      <c r="AD35" s="29"/>
    </row>
    <row r="36" spans="1:39">
      <c r="A36" s="3"/>
      <c r="B36" s="11"/>
      <c r="C36" s="518"/>
      <c r="D36" s="520"/>
      <c r="E36" s="4"/>
      <c r="F36" s="28">
        <f t="shared" si="0"/>
        <v>0</v>
      </c>
      <c r="G36" s="35"/>
      <c r="H36" s="28">
        <f t="shared" si="1"/>
        <v>0</v>
      </c>
      <c r="I36" s="28">
        <f t="shared" si="2"/>
        <v>0</v>
      </c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8"/>
      <c r="Z36" s="26"/>
      <c r="AA36" s="26"/>
      <c r="AB36" s="26"/>
      <c r="AC36" s="26">
        <f t="shared" si="3"/>
        <v>0</v>
      </c>
      <c r="AD36" s="29"/>
    </row>
    <row r="37" spans="1:39">
      <c r="A37" s="3"/>
      <c r="B37" s="11"/>
      <c r="C37" s="518"/>
      <c r="D37" s="520"/>
      <c r="E37" s="4"/>
      <c r="F37" s="28">
        <f t="shared" si="0"/>
        <v>0</v>
      </c>
      <c r="G37" s="35"/>
      <c r="H37" s="28">
        <f t="shared" si="1"/>
        <v>0</v>
      </c>
      <c r="I37" s="28">
        <f t="shared" si="2"/>
        <v>0</v>
      </c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6"/>
      <c r="Y37" s="28"/>
      <c r="Z37" s="26"/>
      <c r="AA37" s="26"/>
      <c r="AB37" s="26"/>
      <c r="AC37" s="26">
        <f t="shared" si="3"/>
        <v>0</v>
      </c>
      <c r="AD37" s="29"/>
    </row>
    <row r="38" spans="1:39">
      <c r="A38" s="3"/>
      <c r="B38" s="11"/>
      <c r="C38" s="518"/>
      <c r="D38" s="520"/>
      <c r="E38" s="4"/>
      <c r="F38" s="28">
        <f t="shared" si="0"/>
        <v>0</v>
      </c>
      <c r="G38" s="35"/>
      <c r="H38" s="28">
        <f t="shared" si="1"/>
        <v>0</v>
      </c>
      <c r="I38" s="28">
        <f t="shared" si="2"/>
        <v>0</v>
      </c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6"/>
      <c r="Y38" s="28"/>
      <c r="Z38" s="26"/>
      <c r="AA38" s="26"/>
      <c r="AB38" s="26"/>
      <c r="AC38" s="26">
        <f t="shared" si="3"/>
        <v>0</v>
      </c>
      <c r="AD38" s="29"/>
    </row>
    <row r="39" spans="1:39">
      <c r="A39" s="3"/>
      <c r="B39" s="11"/>
      <c r="C39" s="518"/>
      <c r="D39" s="520"/>
      <c r="E39" s="4"/>
      <c r="F39" s="28">
        <f t="shared" si="0"/>
        <v>0</v>
      </c>
      <c r="G39" s="35"/>
      <c r="H39" s="28">
        <f t="shared" si="1"/>
        <v>0</v>
      </c>
      <c r="I39" s="28">
        <f t="shared" si="2"/>
        <v>0</v>
      </c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6"/>
      <c r="Y39" s="28"/>
      <c r="Z39" s="26"/>
      <c r="AA39" s="26"/>
      <c r="AB39" s="26"/>
      <c r="AC39" s="26">
        <f t="shared" si="3"/>
        <v>0</v>
      </c>
      <c r="AD39" s="29"/>
      <c r="AE39" s="36"/>
    </row>
    <row r="40" spans="1:39">
      <c r="A40" s="3"/>
      <c r="B40" s="11"/>
      <c r="C40" s="518"/>
      <c r="D40" s="520"/>
      <c r="E40" s="4"/>
      <c r="F40" s="28">
        <f t="shared" si="0"/>
        <v>0</v>
      </c>
      <c r="G40" s="35"/>
      <c r="H40" s="28">
        <f t="shared" si="1"/>
        <v>0</v>
      </c>
      <c r="I40" s="28">
        <f t="shared" si="2"/>
        <v>0</v>
      </c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6"/>
      <c r="Y40" s="28"/>
      <c r="Z40" s="26"/>
      <c r="AA40" s="26"/>
      <c r="AB40" s="26"/>
      <c r="AC40" s="26">
        <f t="shared" si="3"/>
        <v>0</v>
      </c>
      <c r="AD40" s="29"/>
    </row>
    <row r="41" spans="1:39">
      <c r="A41" s="3"/>
      <c r="B41" s="11"/>
      <c r="C41" s="518"/>
      <c r="D41" s="520"/>
      <c r="E41" s="4"/>
      <c r="F41" s="28">
        <f t="shared" si="0"/>
        <v>0</v>
      </c>
      <c r="G41" s="28"/>
      <c r="H41" s="28">
        <f t="shared" si="1"/>
        <v>0</v>
      </c>
      <c r="I41" s="28">
        <f t="shared" si="2"/>
        <v>0</v>
      </c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  <c r="Y41" s="28"/>
      <c r="Z41" s="26"/>
      <c r="AA41" s="26"/>
      <c r="AB41" s="26"/>
      <c r="AC41" s="26">
        <f t="shared" si="3"/>
        <v>0</v>
      </c>
      <c r="AD41" s="29"/>
    </row>
    <row r="42" spans="1:39">
      <c r="A42" s="3"/>
      <c r="B42" s="11"/>
      <c r="C42" s="518"/>
      <c r="D42" s="520"/>
      <c r="E42" s="4"/>
      <c r="F42" s="28">
        <f t="shared" si="0"/>
        <v>0</v>
      </c>
      <c r="G42" s="35"/>
      <c r="H42" s="28">
        <f t="shared" si="1"/>
        <v>0</v>
      </c>
      <c r="I42" s="28">
        <f t="shared" si="2"/>
        <v>0</v>
      </c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  <c r="Y42" s="28"/>
      <c r="Z42" s="26"/>
      <c r="AA42" s="26"/>
      <c r="AB42" s="26"/>
      <c r="AC42" s="37">
        <f t="shared" ref="AC42:AC47" si="7">SUM(K42:Z42)</f>
        <v>0</v>
      </c>
      <c r="AD42" s="29"/>
    </row>
    <row r="43" spans="1:39" s="12" customFormat="1">
      <c r="A43" s="3"/>
      <c r="B43" s="11"/>
      <c r="C43" s="518"/>
      <c r="D43" s="520"/>
      <c r="E43" s="4"/>
      <c r="F43" s="28">
        <f t="shared" si="0"/>
        <v>0</v>
      </c>
      <c r="G43" s="35"/>
      <c r="H43" s="28">
        <f t="shared" si="1"/>
        <v>0</v>
      </c>
      <c r="I43" s="28">
        <f t="shared" si="2"/>
        <v>0</v>
      </c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6"/>
      <c r="Y43" s="28"/>
      <c r="Z43" s="26"/>
      <c r="AA43" s="26"/>
      <c r="AB43" s="26"/>
      <c r="AC43" s="38">
        <f t="shared" si="7"/>
        <v>0</v>
      </c>
      <c r="AD43" s="31"/>
      <c r="AF43"/>
      <c r="AG43"/>
      <c r="AH43"/>
      <c r="AI43"/>
      <c r="AJ43"/>
      <c r="AK43"/>
      <c r="AL43"/>
      <c r="AM43"/>
    </row>
    <row r="44" spans="1:39">
      <c r="A44" s="3"/>
      <c r="B44" s="11"/>
      <c r="C44" s="518"/>
      <c r="D44" s="520"/>
      <c r="E44" s="4"/>
      <c r="F44" s="28">
        <f t="shared" si="0"/>
        <v>0</v>
      </c>
      <c r="G44" s="28"/>
      <c r="H44" s="28">
        <f t="shared" si="1"/>
        <v>0</v>
      </c>
      <c r="I44" s="28">
        <f t="shared" si="2"/>
        <v>0</v>
      </c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8"/>
      <c r="Z44" s="26"/>
      <c r="AA44" s="26"/>
      <c r="AB44" s="26"/>
      <c r="AC44" s="37">
        <f t="shared" si="7"/>
        <v>0</v>
      </c>
      <c r="AD44" s="29"/>
    </row>
    <row r="45" spans="1:39">
      <c r="A45" s="3"/>
      <c r="B45" s="11"/>
      <c r="C45" s="518"/>
      <c r="D45" s="520"/>
      <c r="E45" s="4"/>
      <c r="F45" s="28">
        <f t="shared" si="0"/>
        <v>0</v>
      </c>
      <c r="G45" s="35"/>
      <c r="H45" s="28">
        <f t="shared" si="1"/>
        <v>0</v>
      </c>
      <c r="I45" s="28">
        <f t="shared" si="2"/>
        <v>0</v>
      </c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8"/>
      <c r="Z45" s="26"/>
      <c r="AA45" s="26"/>
      <c r="AB45" s="26"/>
      <c r="AC45" s="37">
        <f t="shared" si="7"/>
        <v>0</v>
      </c>
      <c r="AD45" s="29"/>
    </row>
    <row r="46" spans="1:39">
      <c r="A46" s="3"/>
      <c r="B46" s="11"/>
      <c r="C46" s="518"/>
      <c r="D46" s="520"/>
      <c r="E46" s="4"/>
      <c r="F46" s="28">
        <f t="shared" si="0"/>
        <v>0</v>
      </c>
      <c r="G46" s="35"/>
      <c r="H46" s="28">
        <f t="shared" si="1"/>
        <v>0</v>
      </c>
      <c r="I46" s="28">
        <f t="shared" si="2"/>
        <v>0</v>
      </c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8"/>
      <c r="Z46" s="26"/>
      <c r="AA46" s="26"/>
      <c r="AB46" s="26"/>
      <c r="AC46" s="37">
        <f t="shared" si="7"/>
        <v>0</v>
      </c>
      <c r="AD46" s="29"/>
    </row>
    <row r="47" spans="1:39">
      <c r="A47" s="3"/>
      <c r="B47" s="11"/>
      <c r="C47" s="518"/>
      <c r="D47" s="520"/>
      <c r="E47" s="4"/>
      <c r="F47" s="28">
        <f t="shared" si="0"/>
        <v>0</v>
      </c>
      <c r="G47" s="28"/>
      <c r="H47" s="28">
        <f t="shared" si="1"/>
        <v>0</v>
      </c>
      <c r="I47" s="28">
        <f t="shared" si="2"/>
        <v>0</v>
      </c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8"/>
      <c r="Z47" s="26"/>
      <c r="AA47" s="26"/>
      <c r="AB47" s="26"/>
      <c r="AC47" s="37">
        <f t="shared" si="7"/>
        <v>0</v>
      </c>
      <c r="AD47" s="29"/>
    </row>
    <row r="48" spans="1:39">
      <c r="A48" s="3"/>
      <c r="B48" s="11"/>
      <c r="C48" s="518"/>
      <c r="D48" s="520"/>
      <c r="E48" s="4"/>
      <c r="F48" s="28">
        <f t="shared" si="0"/>
        <v>0</v>
      </c>
      <c r="G48" s="28"/>
      <c r="H48" s="28">
        <f t="shared" si="1"/>
        <v>0</v>
      </c>
      <c r="I48" s="28">
        <f t="shared" si="2"/>
        <v>0</v>
      </c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8"/>
      <c r="Z48" s="26"/>
      <c r="AA48" s="26"/>
      <c r="AB48" s="26"/>
      <c r="AC48" s="26">
        <f t="shared" ref="AC48:AC111" si="8">SUM(K48:Y48)</f>
        <v>0</v>
      </c>
      <c r="AD48" s="29"/>
    </row>
    <row r="49" spans="1:39" s="12" customFormat="1">
      <c r="A49" s="3"/>
      <c r="B49" s="11"/>
      <c r="C49" s="518"/>
      <c r="D49" s="520"/>
      <c r="E49" s="4"/>
      <c r="F49" s="28">
        <f t="shared" si="0"/>
        <v>0</v>
      </c>
      <c r="G49" s="28"/>
      <c r="H49" s="28">
        <f t="shared" si="1"/>
        <v>0</v>
      </c>
      <c r="I49" s="28">
        <f t="shared" si="2"/>
        <v>0</v>
      </c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6"/>
      <c r="Y49" s="28"/>
      <c r="Z49" s="26"/>
      <c r="AA49" s="26"/>
      <c r="AB49" s="26"/>
      <c r="AC49" s="33">
        <f t="shared" si="8"/>
        <v>0</v>
      </c>
      <c r="AD49" s="31"/>
      <c r="AF49"/>
      <c r="AG49"/>
      <c r="AH49"/>
      <c r="AI49"/>
      <c r="AJ49"/>
      <c r="AK49"/>
      <c r="AL49"/>
      <c r="AM49"/>
    </row>
    <row r="50" spans="1:39">
      <c r="A50" s="3"/>
      <c r="B50" s="11"/>
      <c r="C50" s="518"/>
      <c r="D50" s="520"/>
      <c r="E50" s="4"/>
      <c r="F50" s="28">
        <f t="shared" si="0"/>
        <v>0</v>
      </c>
      <c r="G50" s="28"/>
      <c r="H50" s="28">
        <f t="shared" si="1"/>
        <v>0</v>
      </c>
      <c r="I50" s="28">
        <f t="shared" si="2"/>
        <v>0</v>
      </c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6"/>
      <c r="Y50" s="28"/>
      <c r="Z50" s="26"/>
      <c r="AA50" s="26"/>
      <c r="AB50" s="26"/>
      <c r="AC50" s="26">
        <f t="shared" si="8"/>
        <v>0</v>
      </c>
      <c r="AD50" s="29"/>
    </row>
    <row r="51" spans="1:39">
      <c r="A51" s="3"/>
      <c r="B51" s="11"/>
      <c r="C51" s="518"/>
      <c r="D51" s="520"/>
      <c r="E51" s="4"/>
      <c r="F51" s="28">
        <f t="shared" si="0"/>
        <v>0</v>
      </c>
      <c r="G51" s="28"/>
      <c r="H51" s="28">
        <f t="shared" si="1"/>
        <v>0</v>
      </c>
      <c r="I51" s="28">
        <f t="shared" si="2"/>
        <v>0</v>
      </c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6"/>
      <c r="Y51" s="28"/>
      <c r="Z51" s="26"/>
      <c r="AA51" s="26"/>
      <c r="AB51" s="26"/>
      <c r="AC51" s="26">
        <f t="shared" si="8"/>
        <v>0</v>
      </c>
      <c r="AD51" s="29"/>
    </row>
    <row r="52" spans="1:39">
      <c r="A52" s="3"/>
      <c r="B52" s="11"/>
      <c r="C52" s="518"/>
      <c r="D52" s="520"/>
      <c r="E52" s="4"/>
      <c r="F52" s="28">
        <f t="shared" si="0"/>
        <v>0</v>
      </c>
      <c r="G52" s="28"/>
      <c r="H52" s="28">
        <f t="shared" si="1"/>
        <v>0</v>
      </c>
      <c r="I52" s="28">
        <f t="shared" si="2"/>
        <v>0</v>
      </c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6"/>
      <c r="Y52" s="28"/>
      <c r="Z52" s="26"/>
      <c r="AA52" s="26"/>
      <c r="AB52" s="26"/>
      <c r="AC52" s="26">
        <f t="shared" si="8"/>
        <v>0</v>
      </c>
      <c r="AD52" s="29"/>
    </row>
    <row r="53" spans="1:39">
      <c r="A53" s="3"/>
      <c r="B53" s="11"/>
      <c r="C53" s="518"/>
      <c r="D53" s="520"/>
      <c r="E53" s="4"/>
      <c r="F53" s="28">
        <f t="shared" si="0"/>
        <v>0</v>
      </c>
      <c r="G53" s="28"/>
      <c r="H53" s="28">
        <f t="shared" si="1"/>
        <v>0</v>
      </c>
      <c r="I53" s="28">
        <f t="shared" si="2"/>
        <v>0</v>
      </c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6"/>
      <c r="Y53" s="28"/>
      <c r="Z53" s="26"/>
      <c r="AA53" s="26"/>
      <c r="AB53" s="26"/>
      <c r="AC53" s="26">
        <f t="shared" si="8"/>
        <v>0</v>
      </c>
      <c r="AD53" s="29"/>
    </row>
    <row r="54" spans="1:39">
      <c r="A54" s="3"/>
      <c r="B54" s="11"/>
      <c r="C54" s="518"/>
      <c r="D54" s="520"/>
      <c r="E54" s="4"/>
      <c r="F54" s="28">
        <f t="shared" si="0"/>
        <v>0</v>
      </c>
      <c r="G54" s="28"/>
      <c r="H54" s="28">
        <f t="shared" si="1"/>
        <v>0</v>
      </c>
      <c r="I54" s="28">
        <f t="shared" si="2"/>
        <v>0</v>
      </c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6"/>
      <c r="Y54" s="28"/>
      <c r="Z54" s="26"/>
      <c r="AA54" s="26"/>
      <c r="AB54" s="26"/>
      <c r="AC54" s="26">
        <f t="shared" si="8"/>
        <v>0</v>
      </c>
      <c r="AD54" s="29"/>
    </row>
    <row r="55" spans="1:39">
      <c r="A55" s="3"/>
      <c r="B55" s="11"/>
      <c r="C55" s="518"/>
      <c r="D55" s="520"/>
      <c r="E55" s="4"/>
      <c r="F55" s="28">
        <f t="shared" si="0"/>
        <v>0</v>
      </c>
      <c r="G55" s="28"/>
      <c r="H55" s="28">
        <f t="shared" si="1"/>
        <v>0</v>
      </c>
      <c r="I55" s="28">
        <f t="shared" si="2"/>
        <v>0</v>
      </c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6"/>
      <c r="Y55" s="28"/>
      <c r="Z55" s="26"/>
      <c r="AA55" s="26"/>
      <c r="AB55" s="26"/>
      <c r="AC55" s="26">
        <f t="shared" si="8"/>
        <v>0</v>
      </c>
      <c r="AD55" s="29"/>
    </row>
    <row r="56" spans="1:39">
      <c r="A56" s="3"/>
      <c r="B56" s="11"/>
      <c r="C56" s="518"/>
      <c r="D56" s="520"/>
      <c r="E56" s="4"/>
      <c r="F56" s="28">
        <f t="shared" si="0"/>
        <v>0</v>
      </c>
      <c r="G56" s="28"/>
      <c r="H56" s="28">
        <f t="shared" si="1"/>
        <v>0</v>
      </c>
      <c r="I56" s="28">
        <f t="shared" si="2"/>
        <v>0</v>
      </c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6"/>
      <c r="Y56" s="28"/>
      <c r="Z56" s="26"/>
      <c r="AA56" s="26"/>
      <c r="AB56" s="26"/>
      <c r="AC56" s="26">
        <f t="shared" si="8"/>
        <v>0</v>
      </c>
      <c r="AD56" s="29"/>
    </row>
    <row r="57" spans="1:39">
      <c r="A57" s="3"/>
      <c r="B57" s="11"/>
      <c r="C57" s="518"/>
      <c r="D57" s="520"/>
      <c r="E57" s="4"/>
      <c r="F57" s="28">
        <f t="shared" si="0"/>
        <v>0</v>
      </c>
      <c r="G57" s="28"/>
      <c r="H57" s="28">
        <f t="shared" si="1"/>
        <v>0</v>
      </c>
      <c r="I57" s="28">
        <f t="shared" si="2"/>
        <v>0</v>
      </c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8"/>
      <c r="Z57" s="26"/>
      <c r="AA57" s="26"/>
      <c r="AB57" s="26"/>
      <c r="AC57" s="26">
        <f t="shared" si="8"/>
        <v>0</v>
      </c>
      <c r="AD57" s="29"/>
    </row>
    <row r="58" spans="1:39">
      <c r="A58" s="3"/>
      <c r="B58" s="11"/>
      <c r="C58" s="518"/>
      <c r="D58" s="520"/>
      <c r="E58" s="4"/>
      <c r="F58" s="28">
        <f t="shared" si="0"/>
        <v>0</v>
      </c>
      <c r="G58" s="35"/>
      <c r="H58" s="28">
        <f t="shared" si="1"/>
        <v>0</v>
      </c>
      <c r="I58" s="28">
        <f t="shared" si="2"/>
        <v>0</v>
      </c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6"/>
      <c r="Y58" s="28"/>
      <c r="Z58" s="26"/>
      <c r="AA58" s="26"/>
      <c r="AB58" s="26"/>
      <c r="AC58" s="26">
        <f t="shared" si="8"/>
        <v>0</v>
      </c>
      <c r="AD58" s="29"/>
    </row>
    <row r="59" spans="1:39">
      <c r="A59" s="3"/>
      <c r="B59" s="11"/>
      <c r="C59" s="518"/>
      <c r="D59" s="520"/>
      <c r="E59" s="4"/>
      <c r="F59" s="28">
        <f t="shared" si="0"/>
        <v>0</v>
      </c>
      <c r="G59" s="35"/>
      <c r="H59" s="28">
        <f t="shared" si="1"/>
        <v>0</v>
      </c>
      <c r="I59" s="28">
        <f t="shared" si="2"/>
        <v>0</v>
      </c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8"/>
      <c r="Z59" s="26"/>
      <c r="AA59" s="26"/>
      <c r="AB59" s="26"/>
      <c r="AC59" s="26">
        <f t="shared" si="8"/>
        <v>0</v>
      </c>
      <c r="AD59" s="29"/>
    </row>
    <row r="60" spans="1:39">
      <c r="A60" s="3"/>
      <c r="B60" s="11"/>
      <c r="C60" s="518"/>
      <c r="D60" s="520"/>
      <c r="E60" s="4"/>
      <c r="F60" s="28">
        <f t="shared" si="0"/>
        <v>0</v>
      </c>
      <c r="G60" s="35"/>
      <c r="H60" s="28">
        <f t="shared" si="1"/>
        <v>0</v>
      </c>
      <c r="I60" s="28">
        <f t="shared" si="2"/>
        <v>0</v>
      </c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6"/>
      <c r="Y60" s="28"/>
      <c r="Z60" s="26"/>
      <c r="AA60" s="26"/>
      <c r="AB60" s="26"/>
      <c r="AC60" s="26">
        <f t="shared" si="8"/>
        <v>0</v>
      </c>
      <c r="AD60" s="29"/>
    </row>
    <row r="61" spans="1:39">
      <c r="A61" s="3"/>
      <c r="B61" s="11"/>
      <c r="C61" s="518"/>
      <c r="D61" s="520"/>
      <c r="E61" s="4"/>
      <c r="F61" s="28">
        <f t="shared" si="0"/>
        <v>0</v>
      </c>
      <c r="G61" s="35"/>
      <c r="H61" s="28">
        <f t="shared" si="1"/>
        <v>0</v>
      </c>
      <c r="I61" s="28">
        <f t="shared" si="2"/>
        <v>0</v>
      </c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6"/>
      <c r="Y61" s="28"/>
      <c r="Z61" s="26"/>
      <c r="AA61" s="26"/>
      <c r="AB61" s="26"/>
      <c r="AC61" s="26">
        <f t="shared" si="8"/>
        <v>0</v>
      </c>
      <c r="AD61" s="29"/>
    </row>
    <row r="62" spans="1:39">
      <c r="A62" s="3"/>
      <c r="B62" s="11"/>
      <c r="C62" s="518"/>
      <c r="D62" s="520"/>
      <c r="E62" s="4"/>
      <c r="F62" s="28">
        <f t="shared" si="0"/>
        <v>0</v>
      </c>
      <c r="G62" s="28"/>
      <c r="H62" s="28">
        <f t="shared" si="1"/>
        <v>0</v>
      </c>
      <c r="I62" s="28">
        <f t="shared" si="2"/>
        <v>0</v>
      </c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8"/>
      <c r="Z62" s="26"/>
      <c r="AA62" s="26"/>
      <c r="AB62" s="26"/>
      <c r="AC62" s="26">
        <f t="shared" si="8"/>
        <v>0</v>
      </c>
      <c r="AD62" s="29"/>
    </row>
    <row r="63" spans="1:39">
      <c r="A63" s="3"/>
      <c r="B63" s="11"/>
      <c r="C63" s="518"/>
      <c r="D63" s="520"/>
      <c r="E63" s="4"/>
      <c r="F63" s="28">
        <f t="shared" si="0"/>
        <v>0</v>
      </c>
      <c r="G63" s="28"/>
      <c r="H63" s="28">
        <f t="shared" si="1"/>
        <v>0</v>
      </c>
      <c r="I63" s="28">
        <f t="shared" si="2"/>
        <v>0</v>
      </c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6"/>
      <c r="Y63" s="28"/>
      <c r="Z63" s="26"/>
      <c r="AA63" s="26"/>
      <c r="AB63" s="26"/>
      <c r="AC63" s="26">
        <f t="shared" si="8"/>
        <v>0</v>
      </c>
      <c r="AD63" s="29"/>
    </row>
    <row r="64" spans="1:39">
      <c r="A64" s="3"/>
      <c r="B64" s="11"/>
      <c r="C64" s="518"/>
      <c r="D64" s="520"/>
      <c r="E64" s="4"/>
      <c r="F64" s="28">
        <f t="shared" si="0"/>
        <v>0</v>
      </c>
      <c r="G64" s="28"/>
      <c r="H64" s="28">
        <f t="shared" si="1"/>
        <v>0</v>
      </c>
      <c r="I64" s="28">
        <f t="shared" si="2"/>
        <v>0</v>
      </c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6"/>
      <c r="Y64" s="28"/>
      <c r="Z64" s="26"/>
      <c r="AA64" s="26"/>
      <c r="AB64" s="26"/>
      <c r="AC64" s="26">
        <f t="shared" si="8"/>
        <v>0</v>
      </c>
      <c r="AD64" s="29"/>
    </row>
    <row r="65" spans="1:30">
      <c r="A65" s="3"/>
      <c r="B65" s="11"/>
      <c r="C65" s="518"/>
      <c r="D65" s="520"/>
      <c r="E65" s="4"/>
      <c r="F65" s="28">
        <f t="shared" si="0"/>
        <v>0</v>
      </c>
      <c r="G65" s="28"/>
      <c r="H65" s="28">
        <f t="shared" si="1"/>
        <v>0</v>
      </c>
      <c r="I65" s="28">
        <f t="shared" si="2"/>
        <v>0</v>
      </c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6"/>
      <c r="Y65" s="28"/>
      <c r="Z65" s="26"/>
      <c r="AA65" s="26"/>
      <c r="AB65" s="26"/>
      <c r="AC65" s="26">
        <f t="shared" si="8"/>
        <v>0</v>
      </c>
      <c r="AD65" s="29"/>
    </row>
    <row r="66" spans="1:30">
      <c r="A66" s="3"/>
      <c r="B66" s="11"/>
      <c r="C66" s="518"/>
      <c r="D66" s="520"/>
      <c r="E66" s="4"/>
      <c r="F66" s="28">
        <f t="shared" si="0"/>
        <v>0</v>
      </c>
      <c r="G66" s="28"/>
      <c r="H66" s="28">
        <f t="shared" si="1"/>
        <v>0</v>
      </c>
      <c r="I66" s="28">
        <f t="shared" si="2"/>
        <v>0</v>
      </c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6"/>
      <c r="Y66" s="28"/>
      <c r="Z66" s="26"/>
      <c r="AA66" s="26"/>
      <c r="AB66" s="26"/>
      <c r="AC66" s="26">
        <f t="shared" si="8"/>
        <v>0</v>
      </c>
      <c r="AD66" s="29"/>
    </row>
    <row r="67" spans="1:30">
      <c r="A67" s="3"/>
      <c r="B67" s="11"/>
      <c r="C67" s="518"/>
      <c r="D67" s="520"/>
      <c r="E67" s="4"/>
      <c r="F67" s="28">
        <f t="shared" si="0"/>
        <v>0</v>
      </c>
      <c r="G67" s="28"/>
      <c r="H67" s="28">
        <f t="shared" si="1"/>
        <v>0</v>
      </c>
      <c r="I67" s="28">
        <f t="shared" si="2"/>
        <v>0</v>
      </c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8"/>
      <c r="Z67" s="26"/>
      <c r="AA67" s="26"/>
      <c r="AB67" s="26"/>
      <c r="AC67" s="26">
        <f t="shared" si="8"/>
        <v>0</v>
      </c>
      <c r="AD67" s="29"/>
    </row>
    <row r="68" spans="1:30">
      <c r="A68" s="3"/>
      <c r="B68" s="11"/>
      <c r="C68" s="518"/>
      <c r="D68" s="520"/>
      <c r="E68" s="4"/>
      <c r="F68" s="28">
        <f t="shared" si="0"/>
        <v>0</v>
      </c>
      <c r="G68" s="28"/>
      <c r="H68" s="28">
        <f t="shared" si="1"/>
        <v>0</v>
      </c>
      <c r="I68" s="28">
        <f t="shared" si="2"/>
        <v>0</v>
      </c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6"/>
      <c r="Y68" s="28"/>
      <c r="Z68" s="26"/>
      <c r="AA68" s="26"/>
      <c r="AB68" s="26"/>
      <c r="AC68" s="26">
        <f t="shared" si="8"/>
        <v>0</v>
      </c>
      <c r="AD68" s="29"/>
    </row>
    <row r="69" spans="1:30">
      <c r="A69" s="3"/>
      <c r="B69" s="11"/>
      <c r="C69" s="518"/>
      <c r="D69" s="520"/>
      <c r="E69" s="4"/>
      <c r="F69" s="28">
        <f t="shared" si="0"/>
        <v>0</v>
      </c>
      <c r="G69" s="28"/>
      <c r="H69" s="28">
        <f t="shared" si="1"/>
        <v>0</v>
      </c>
      <c r="I69" s="28">
        <f t="shared" si="2"/>
        <v>0</v>
      </c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6"/>
      <c r="Y69" s="28"/>
      <c r="Z69" s="26"/>
      <c r="AA69" s="26"/>
      <c r="AB69" s="26"/>
      <c r="AC69" s="26">
        <f t="shared" si="8"/>
        <v>0</v>
      </c>
      <c r="AD69" s="29"/>
    </row>
    <row r="70" spans="1:30">
      <c r="A70" s="3"/>
      <c r="B70" s="11"/>
      <c r="C70" s="518"/>
      <c r="D70" s="520"/>
      <c r="E70" s="4"/>
      <c r="F70" s="28">
        <f t="shared" si="0"/>
        <v>0</v>
      </c>
      <c r="G70" s="28"/>
      <c r="H70" s="28">
        <f t="shared" si="1"/>
        <v>0</v>
      </c>
      <c r="I70" s="28">
        <f t="shared" si="2"/>
        <v>0</v>
      </c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6"/>
      <c r="Y70" s="28"/>
      <c r="Z70" s="26"/>
      <c r="AA70" s="26"/>
      <c r="AB70" s="26"/>
      <c r="AC70" s="26">
        <f t="shared" si="8"/>
        <v>0</v>
      </c>
      <c r="AD70" s="29"/>
    </row>
    <row r="71" spans="1:30">
      <c r="A71" s="3"/>
      <c r="B71" s="11"/>
      <c r="C71" s="518"/>
      <c r="D71" s="520"/>
      <c r="E71" s="4"/>
      <c r="F71" s="28">
        <f t="shared" si="0"/>
        <v>0</v>
      </c>
      <c r="G71" s="28"/>
      <c r="H71" s="28">
        <f t="shared" si="1"/>
        <v>0</v>
      </c>
      <c r="I71" s="28">
        <f t="shared" si="2"/>
        <v>0</v>
      </c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6"/>
      <c r="Y71" s="28"/>
      <c r="Z71" s="26"/>
      <c r="AA71" s="26"/>
      <c r="AB71" s="26"/>
      <c r="AC71" s="26">
        <f t="shared" si="8"/>
        <v>0</v>
      </c>
      <c r="AD71" s="29"/>
    </row>
    <row r="72" spans="1:30">
      <c r="A72" s="3"/>
      <c r="B72" s="11"/>
      <c r="C72" s="518"/>
      <c r="D72" s="520"/>
      <c r="E72" s="4"/>
      <c r="F72" s="28">
        <f t="shared" si="0"/>
        <v>0</v>
      </c>
      <c r="G72" s="28"/>
      <c r="H72" s="28">
        <f t="shared" si="1"/>
        <v>0</v>
      </c>
      <c r="I72" s="28">
        <f t="shared" si="2"/>
        <v>0</v>
      </c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6"/>
      <c r="Y72" s="28"/>
      <c r="Z72" s="26"/>
      <c r="AA72" s="26"/>
      <c r="AB72" s="26"/>
      <c r="AC72" s="26">
        <f t="shared" si="8"/>
        <v>0</v>
      </c>
      <c r="AD72" s="29"/>
    </row>
    <row r="73" spans="1:30">
      <c r="A73" s="3"/>
      <c r="B73" s="11"/>
      <c r="C73" s="518"/>
      <c r="D73" s="520"/>
      <c r="E73" s="4"/>
      <c r="F73" s="28">
        <f t="shared" si="0"/>
        <v>0</v>
      </c>
      <c r="G73" s="28"/>
      <c r="H73" s="28">
        <f t="shared" si="1"/>
        <v>0</v>
      </c>
      <c r="I73" s="28">
        <f t="shared" si="2"/>
        <v>0</v>
      </c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6"/>
      <c r="Y73" s="28"/>
      <c r="Z73" s="26"/>
      <c r="AA73" s="26"/>
      <c r="AB73" s="26"/>
      <c r="AC73" s="26">
        <f t="shared" si="8"/>
        <v>0</v>
      </c>
      <c r="AD73" s="29"/>
    </row>
    <row r="74" spans="1:30">
      <c r="A74" s="3"/>
      <c r="B74" s="11"/>
      <c r="C74" s="518"/>
      <c r="D74" s="520"/>
      <c r="E74" s="4"/>
      <c r="F74" s="28">
        <f t="shared" si="0"/>
        <v>0</v>
      </c>
      <c r="G74" s="28"/>
      <c r="H74" s="28">
        <f t="shared" si="1"/>
        <v>0</v>
      </c>
      <c r="I74" s="28">
        <f t="shared" si="2"/>
        <v>0</v>
      </c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8"/>
      <c r="Z74" s="26"/>
      <c r="AA74" s="26"/>
      <c r="AB74" s="26"/>
      <c r="AC74" s="26">
        <f t="shared" si="8"/>
        <v>0</v>
      </c>
      <c r="AD74" s="29"/>
    </row>
    <row r="75" spans="1:30">
      <c r="A75" s="3"/>
      <c r="B75" s="11"/>
      <c r="C75" s="518"/>
      <c r="D75" s="520"/>
      <c r="E75" s="4"/>
      <c r="F75" s="28">
        <f t="shared" si="0"/>
        <v>0</v>
      </c>
      <c r="G75" s="28"/>
      <c r="H75" s="28">
        <f t="shared" si="1"/>
        <v>0</v>
      </c>
      <c r="I75" s="28">
        <f t="shared" si="2"/>
        <v>0</v>
      </c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6"/>
      <c r="Y75" s="28"/>
      <c r="Z75" s="26"/>
      <c r="AA75" s="26"/>
      <c r="AB75" s="26"/>
      <c r="AC75" s="26">
        <f t="shared" si="8"/>
        <v>0</v>
      </c>
      <c r="AD75" s="29"/>
    </row>
    <row r="76" spans="1:30">
      <c r="A76" s="3"/>
      <c r="B76" s="11"/>
      <c r="C76" s="518"/>
      <c r="D76" s="520"/>
      <c r="E76" s="4"/>
      <c r="F76" s="28">
        <f t="shared" ref="F76:F116" si="9">+E76*3.276</f>
        <v>0</v>
      </c>
      <c r="G76" s="28"/>
      <c r="H76" s="28">
        <f t="shared" ref="H76:H116" si="10">+G76*3.588</f>
        <v>0</v>
      </c>
      <c r="I76" s="28">
        <f t="shared" ref="I76:I116" si="11">+F76+H76</f>
        <v>0</v>
      </c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6"/>
      <c r="Y76" s="28"/>
      <c r="Z76" s="26"/>
      <c r="AA76" s="26"/>
      <c r="AB76" s="26"/>
      <c r="AC76" s="26">
        <f t="shared" si="8"/>
        <v>0</v>
      </c>
      <c r="AD76" s="29"/>
    </row>
    <row r="77" spans="1:30">
      <c r="A77" s="3"/>
      <c r="B77" s="11"/>
      <c r="C77" s="518"/>
      <c r="D77" s="520"/>
      <c r="E77" s="4"/>
      <c r="F77" s="28">
        <f t="shared" si="9"/>
        <v>0</v>
      </c>
      <c r="G77" s="28"/>
      <c r="H77" s="28">
        <f t="shared" si="10"/>
        <v>0</v>
      </c>
      <c r="I77" s="28">
        <f t="shared" si="11"/>
        <v>0</v>
      </c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6"/>
      <c r="Y77" s="28"/>
      <c r="Z77" s="26"/>
      <c r="AA77" s="26"/>
      <c r="AB77" s="26"/>
      <c r="AC77" s="26">
        <f t="shared" si="8"/>
        <v>0</v>
      </c>
      <c r="AD77" s="29"/>
    </row>
    <row r="78" spans="1:30">
      <c r="A78" s="3"/>
      <c r="B78" s="11"/>
      <c r="C78" s="518"/>
      <c r="D78" s="520"/>
      <c r="E78" s="4"/>
      <c r="F78" s="28">
        <f t="shared" si="9"/>
        <v>0</v>
      </c>
      <c r="G78" s="28"/>
      <c r="H78" s="28">
        <f t="shared" si="10"/>
        <v>0</v>
      </c>
      <c r="I78" s="28">
        <f t="shared" si="11"/>
        <v>0</v>
      </c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6"/>
      <c r="Y78" s="28"/>
      <c r="Z78" s="26"/>
      <c r="AA78" s="26"/>
      <c r="AB78" s="26"/>
      <c r="AC78" s="26">
        <f t="shared" si="8"/>
        <v>0</v>
      </c>
      <c r="AD78" s="29"/>
    </row>
    <row r="79" spans="1:30">
      <c r="A79" s="3"/>
      <c r="B79" s="11"/>
      <c r="C79" s="518"/>
      <c r="D79" s="520"/>
      <c r="E79" s="4"/>
      <c r="F79" s="28">
        <f t="shared" si="9"/>
        <v>0</v>
      </c>
      <c r="G79" s="28"/>
      <c r="H79" s="28">
        <f t="shared" si="10"/>
        <v>0</v>
      </c>
      <c r="I79" s="28">
        <f t="shared" si="11"/>
        <v>0</v>
      </c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8"/>
      <c r="Z79" s="26"/>
      <c r="AA79" s="26"/>
      <c r="AB79" s="26"/>
      <c r="AC79" s="26">
        <f t="shared" si="8"/>
        <v>0</v>
      </c>
      <c r="AD79" s="29"/>
    </row>
    <row r="80" spans="1:30">
      <c r="A80" s="3"/>
      <c r="B80" s="11"/>
      <c r="C80" s="518"/>
      <c r="D80" s="520"/>
      <c r="E80" s="4"/>
      <c r="F80" s="28">
        <f t="shared" si="9"/>
        <v>0</v>
      </c>
      <c r="G80" s="28"/>
      <c r="H80" s="28">
        <f t="shared" si="10"/>
        <v>0</v>
      </c>
      <c r="I80" s="28">
        <f t="shared" si="11"/>
        <v>0</v>
      </c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8"/>
      <c r="Z80" s="26"/>
      <c r="AA80" s="26"/>
      <c r="AB80" s="26"/>
      <c r="AC80" s="26">
        <f t="shared" si="8"/>
        <v>0</v>
      </c>
      <c r="AD80" s="29"/>
    </row>
    <row r="81" spans="1:30">
      <c r="A81" s="3"/>
      <c r="B81" s="11"/>
      <c r="C81" s="518"/>
      <c r="D81" s="520"/>
      <c r="E81" s="4"/>
      <c r="F81" s="28">
        <f t="shared" si="9"/>
        <v>0</v>
      </c>
      <c r="G81" s="28"/>
      <c r="H81" s="28">
        <f t="shared" si="10"/>
        <v>0</v>
      </c>
      <c r="I81" s="28">
        <f t="shared" si="11"/>
        <v>0</v>
      </c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8"/>
      <c r="Z81" s="26"/>
      <c r="AA81" s="26"/>
      <c r="AB81" s="26"/>
      <c r="AC81" s="26">
        <f t="shared" si="8"/>
        <v>0</v>
      </c>
      <c r="AD81" s="29"/>
    </row>
    <row r="82" spans="1:30">
      <c r="A82" s="3"/>
      <c r="B82" s="11"/>
      <c r="C82" s="518"/>
      <c r="D82" s="520"/>
      <c r="E82" s="4"/>
      <c r="F82" s="28">
        <f t="shared" si="9"/>
        <v>0</v>
      </c>
      <c r="G82" s="28"/>
      <c r="H82" s="28">
        <f t="shared" si="10"/>
        <v>0</v>
      </c>
      <c r="I82" s="28">
        <f t="shared" si="11"/>
        <v>0</v>
      </c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8"/>
      <c r="Z82" s="26"/>
      <c r="AA82" s="26"/>
      <c r="AB82" s="26"/>
      <c r="AC82" s="26">
        <f t="shared" si="8"/>
        <v>0</v>
      </c>
      <c r="AD82" s="29"/>
    </row>
    <row r="83" spans="1:30">
      <c r="A83" s="3"/>
      <c r="B83" s="11"/>
      <c r="C83" s="518"/>
      <c r="D83" s="520"/>
      <c r="E83" s="4"/>
      <c r="F83" s="28">
        <f t="shared" si="9"/>
        <v>0</v>
      </c>
      <c r="G83" s="28"/>
      <c r="H83" s="28">
        <f t="shared" si="10"/>
        <v>0</v>
      </c>
      <c r="I83" s="28">
        <f t="shared" si="11"/>
        <v>0</v>
      </c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8"/>
      <c r="Z83" s="26"/>
      <c r="AA83" s="26"/>
      <c r="AB83" s="26"/>
      <c r="AC83" s="26">
        <f t="shared" si="8"/>
        <v>0</v>
      </c>
      <c r="AD83" s="29"/>
    </row>
    <row r="84" spans="1:30">
      <c r="A84" s="3"/>
      <c r="B84" s="11"/>
      <c r="C84" s="518"/>
      <c r="D84" s="520"/>
      <c r="E84" s="4"/>
      <c r="F84" s="28">
        <f t="shared" si="9"/>
        <v>0</v>
      </c>
      <c r="G84" s="28"/>
      <c r="H84" s="28">
        <f t="shared" si="10"/>
        <v>0</v>
      </c>
      <c r="I84" s="28">
        <f t="shared" si="11"/>
        <v>0</v>
      </c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6"/>
      <c r="Y84" s="28"/>
      <c r="Z84" s="26"/>
      <c r="AA84" s="26"/>
      <c r="AB84" s="26"/>
      <c r="AC84" s="26">
        <f t="shared" si="8"/>
        <v>0</v>
      </c>
      <c r="AD84" s="29"/>
    </row>
    <row r="85" spans="1:30">
      <c r="A85" s="3"/>
      <c r="B85" s="11"/>
      <c r="C85" s="518"/>
      <c r="D85" s="520"/>
      <c r="E85" s="4"/>
      <c r="F85" s="28">
        <f t="shared" si="9"/>
        <v>0</v>
      </c>
      <c r="G85" s="28"/>
      <c r="H85" s="28">
        <f t="shared" si="10"/>
        <v>0</v>
      </c>
      <c r="I85" s="28">
        <f t="shared" si="11"/>
        <v>0</v>
      </c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6"/>
      <c r="Y85" s="28"/>
      <c r="Z85" s="26"/>
      <c r="AA85" s="26"/>
      <c r="AB85" s="26"/>
      <c r="AC85" s="26">
        <f t="shared" si="8"/>
        <v>0</v>
      </c>
      <c r="AD85" s="29"/>
    </row>
    <row r="86" spans="1:30">
      <c r="A86" s="3"/>
      <c r="B86" s="11"/>
      <c r="C86" s="518"/>
      <c r="D86" s="520"/>
      <c r="E86" s="4"/>
      <c r="F86" s="28">
        <f t="shared" si="9"/>
        <v>0</v>
      </c>
      <c r="G86" s="28"/>
      <c r="H86" s="28">
        <f t="shared" si="10"/>
        <v>0</v>
      </c>
      <c r="I86" s="28">
        <f t="shared" si="11"/>
        <v>0</v>
      </c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8"/>
      <c r="Z86" s="26"/>
      <c r="AA86" s="26"/>
      <c r="AB86" s="26"/>
      <c r="AC86" s="26">
        <f t="shared" si="8"/>
        <v>0</v>
      </c>
      <c r="AD86" s="29"/>
    </row>
    <row r="87" spans="1:30">
      <c r="A87" s="3"/>
      <c r="B87" s="11"/>
      <c r="C87" s="518"/>
      <c r="D87" s="520"/>
      <c r="E87" s="4"/>
      <c r="F87" s="28">
        <f t="shared" si="9"/>
        <v>0</v>
      </c>
      <c r="G87" s="28"/>
      <c r="H87" s="28">
        <f t="shared" si="10"/>
        <v>0</v>
      </c>
      <c r="I87" s="28">
        <f t="shared" si="11"/>
        <v>0</v>
      </c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8"/>
      <c r="Z87" s="26"/>
      <c r="AA87" s="26"/>
      <c r="AB87" s="26"/>
      <c r="AC87" s="26">
        <f t="shared" si="8"/>
        <v>0</v>
      </c>
      <c r="AD87" s="29"/>
    </row>
    <row r="88" spans="1:30">
      <c r="A88" s="3"/>
      <c r="B88" s="11"/>
      <c r="C88" s="518"/>
      <c r="D88" s="520"/>
      <c r="E88" s="4"/>
      <c r="F88" s="28">
        <f t="shared" si="9"/>
        <v>0</v>
      </c>
      <c r="G88" s="28"/>
      <c r="H88" s="28">
        <f t="shared" si="10"/>
        <v>0</v>
      </c>
      <c r="I88" s="28">
        <f t="shared" si="11"/>
        <v>0</v>
      </c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8"/>
      <c r="Z88" s="26"/>
      <c r="AA88" s="26"/>
      <c r="AB88" s="26"/>
      <c r="AC88" s="26">
        <f t="shared" si="8"/>
        <v>0</v>
      </c>
      <c r="AD88" s="29"/>
    </row>
    <row r="89" spans="1:30">
      <c r="A89" s="3"/>
      <c r="B89" s="11"/>
      <c r="C89" s="518"/>
      <c r="D89" s="520"/>
      <c r="E89" s="4"/>
      <c r="F89" s="28">
        <f t="shared" si="9"/>
        <v>0</v>
      </c>
      <c r="G89" s="28"/>
      <c r="H89" s="28">
        <f t="shared" si="10"/>
        <v>0</v>
      </c>
      <c r="I89" s="28">
        <f t="shared" si="11"/>
        <v>0</v>
      </c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8"/>
      <c r="Z89" s="26"/>
      <c r="AA89" s="26"/>
      <c r="AB89" s="26"/>
      <c r="AC89" s="26">
        <f t="shared" si="8"/>
        <v>0</v>
      </c>
      <c r="AD89" s="29"/>
    </row>
    <row r="90" spans="1:30">
      <c r="A90" s="3"/>
      <c r="B90" s="11"/>
      <c r="C90" s="518"/>
      <c r="D90" s="520"/>
      <c r="E90" s="4"/>
      <c r="F90" s="28">
        <f t="shared" si="9"/>
        <v>0</v>
      </c>
      <c r="G90" s="28"/>
      <c r="H90" s="28">
        <f t="shared" si="10"/>
        <v>0</v>
      </c>
      <c r="I90" s="28">
        <f t="shared" si="11"/>
        <v>0</v>
      </c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8"/>
      <c r="Z90" s="26"/>
      <c r="AA90" s="26"/>
      <c r="AB90" s="26"/>
      <c r="AC90" s="26">
        <f t="shared" si="8"/>
        <v>0</v>
      </c>
      <c r="AD90" s="29"/>
    </row>
    <row r="91" spans="1:30">
      <c r="A91" s="3"/>
      <c r="B91" s="11"/>
      <c r="C91" s="518"/>
      <c r="D91" s="520"/>
      <c r="E91" s="4"/>
      <c r="F91" s="28">
        <f t="shared" si="9"/>
        <v>0</v>
      </c>
      <c r="G91" s="28"/>
      <c r="H91" s="28">
        <f t="shared" si="10"/>
        <v>0</v>
      </c>
      <c r="I91" s="28">
        <f t="shared" si="11"/>
        <v>0</v>
      </c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6"/>
      <c r="Y91" s="28"/>
      <c r="Z91" s="26"/>
      <c r="AA91" s="26"/>
      <c r="AB91" s="26"/>
      <c r="AC91" s="26">
        <f t="shared" si="8"/>
        <v>0</v>
      </c>
      <c r="AD91" s="29"/>
    </row>
    <row r="92" spans="1:30">
      <c r="A92" s="3"/>
      <c r="B92" s="11"/>
      <c r="C92" s="518"/>
      <c r="D92" s="520"/>
      <c r="E92" s="4"/>
      <c r="F92" s="28">
        <f t="shared" si="9"/>
        <v>0</v>
      </c>
      <c r="G92" s="28"/>
      <c r="H92" s="28">
        <f t="shared" si="10"/>
        <v>0</v>
      </c>
      <c r="I92" s="28">
        <f t="shared" si="11"/>
        <v>0</v>
      </c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6"/>
      <c r="Y92" s="28"/>
      <c r="Z92" s="26"/>
      <c r="AA92" s="26"/>
      <c r="AB92" s="26"/>
      <c r="AC92" s="26">
        <f t="shared" si="8"/>
        <v>0</v>
      </c>
      <c r="AD92" s="29"/>
    </row>
    <row r="93" spans="1:30">
      <c r="A93" s="3"/>
      <c r="B93" s="11"/>
      <c r="C93" s="518"/>
      <c r="D93" s="520"/>
      <c r="E93" s="4"/>
      <c r="F93" s="28">
        <f t="shared" si="9"/>
        <v>0</v>
      </c>
      <c r="G93" s="28"/>
      <c r="H93" s="28">
        <f t="shared" si="10"/>
        <v>0</v>
      </c>
      <c r="I93" s="28">
        <f t="shared" si="11"/>
        <v>0</v>
      </c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8"/>
      <c r="Z93" s="26"/>
      <c r="AA93" s="26"/>
      <c r="AB93" s="26"/>
      <c r="AC93" s="26">
        <f t="shared" si="8"/>
        <v>0</v>
      </c>
      <c r="AD93" s="29"/>
    </row>
    <row r="94" spans="1:30">
      <c r="A94" s="3"/>
      <c r="B94" s="11"/>
      <c r="C94" s="518"/>
      <c r="D94" s="520"/>
      <c r="E94" s="4"/>
      <c r="F94" s="28">
        <f t="shared" si="9"/>
        <v>0</v>
      </c>
      <c r="G94" s="28"/>
      <c r="H94" s="28">
        <f t="shared" si="10"/>
        <v>0</v>
      </c>
      <c r="I94" s="28">
        <f t="shared" si="11"/>
        <v>0</v>
      </c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8"/>
      <c r="Z94" s="26"/>
      <c r="AA94" s="26"/>
      <c r="AB94" s="26"/>
      <c r="AC94" s="26">
        <f t="shared" si="8"/>
        <v>0</v>
      </c>
      <c r="AD94" s="29"/>
    </row>
    <row r="95" spans="1:30">
      <c r="A95" s="3"/>
      <c r="B95" s="11"/>
      <c r="C95" s="518"/>
      <c r="D95" s="520"/>
      <c r="E95" s="4"/>
      <c r="F95" s="28">
        <f t="shared" si="9"/>
        <v>0</v>
      </c>
      <c r="G95" s="28"/>
      <c r="H95" s="28">
        <f t="shared" si="10"/>
        <v>0</v>
      </c>
      <c r="I95" s="28">
        <f t="shared" si="11"/>
        <v>0</v>
      </c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8"/>
      <c r="Z95" s="26"/>
      <c r="AA95" s="26"/>
      <c r="AB95" s="26"/>
      <c r="AC95" s="26">
        <f t="shared" si="8"/>
        <v>0</v>
      </c>
      <c r="AD95" s="29"/>
    </row>
    <row r="96" spans="1:30">
      <c r="A96" s="3"/>
      <c r="B96" s="11"/>
      <c r="C96" s="518"/>
      <c r="D96" s="520"/>
      <c r="E96" s="4"/>
      <c r="F96" s="28">
        <f t="shared" si="9"/>
        <v>0</v>
      </c>
      <c r="G96" s="28"/>
      <c r="H96" s="28">
        <f t="shared" si="10"/>
        <v>0</v>
      </c>
      <c r="I96" s="28">
        <f t="shared" si="11"/>
        <v>0</v>
      </c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8"/>
      <c r="Z96" s="26"/>
      <c r="AA96" s="26"/>
      <c r="AB96" s="26"/>
      <c r="AC96" s="26">
        <f t="shared" si="8"/>
        <v>0</v>
      </c>
      <c r="AD96" s="29"/>
    </row>
    <row r="97" spans="1:30">
      <c r="A97" s="3"/>
      <c r="B97" s="11"/>
      <c r="C97" s="518"/>
      <c r="D97" s="520"/>
      <c r="E97" s="4"/>
      <c r="F97" s="28">
        <f t="shared" si="9"/>
        <v>0</v>
      </c>
      <c r="G97" s="28"/>
      <c r="H97" s="28">
        <f t="shared" si="10"/>
        <v>0</v>
      </c>
      <c r="I97" s="28">
        <f t="shared" si="11"/>
        <v>0</v>
      </c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8"/>
      <c r="Z97" s="26"/>
      <c r="AA97" s="26"/>
      <c r="AB97" s="26"/>
      <c r="AC97" s="26">
        <f t="shared" si="8"/>
        <v>0</v>
      </c>
      <c r="AD97" s="29"/>
    </row>
    <row r="98" spans="1:30">
      <c r="A98" s="3"/>
      <c r="B98" s="11"/>
      <c r="C98" s="518"/>
      <c r="D98" s="520"/>
      <c r="E98" s="4"/>
      <c r="F98" s="28">
        <f t="shared" si="9"/>
        <v>0</v>
      </c>
      <c r="G98" s="28"/>
      <c r="H98" s="28">
        <f t="shared" si="10"/>
        <v>0</v>
      </c>
      <c r="I98" s="28">
        <f t="shared" si="11"/>
        <v>0</v>
      </c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6"/>
      <c r="Y98" s="28"/>
      <c r="Z98" s="26"/>
      <c r="AA98" s="26"/>
      <c r="AB98" s="26"/>
      <c r="AC98" s="26">
        <f t="shared" si="8"/>
        <v>0</v>
      </c>
      <c r="AD98" s="29"/>
    </row>
    <row r="99" spans="1:30">
      <c r="A99" s="3"/>
      <c r="B99" s="11"/>
      <c r="C99" s="518"/>
      <c r="D99" s="520"/>
      <c r="E99" s="4"/>
      <c r="F99" s="28">
        <f t="shared" si="9"/>
        <v>0</v>
      </c>
      <c r="G99" s="28"/>
      <c r="H99" s="28">
        <f t="shared" si="10"/>
        <v>0</v>
      </c>
      <c r="I99" s="28">
        <f t="shared" si="11"/>
        <v>0</v>
      </c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6"/>
      <c r="Y99" s="28"/>
      <c r="Z99" s="26"/>
      <c r="AA99" s="26"/>
      <c r="AB99" s="26"/>
      <c r="AC99" s="26">
        <f t="shared" si="8"/>
        <v>0</v>
      </c>
      <c r="AD99" s="29"/>
    </row>
    <row r="100" spans="1:30">
      <c r="A100" s="3"/>
      <c r="B100" s="11"/>
      <c r="C100" s="518"/>
      <c r="D100" s="520"/>
      <c r="E100" s="4"/>
      <c r="F100" s="28">
        <f t="shared" si="9"/>
        <v>0</v>
      </c>
      <c r="G100" s="28"/>
      <c r="H100" s="28">
        <f t="shared" si="10"/>
        <v>0</v>
      </c>
      <c r="I100" s="28">
        <f t="shared" si="11"/>
        <v>0</v>
      </c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8"/>
      <c r="Z100" s="26"/>
      <c r="AA100" s="26"/>
      <c r="AB100" s="26"/>
      <c r="AC100" s="26">
        <f t="shared" si="8"/>
        <v>0</v>
      </c>
      <c r="AD100" s="29"/>
    </row>
    <row r="101" spans="1:30">
      <c r="A101" s="3"/>
      <c r="B101" s="11"/>
      <c r="C101" s="518"/>
      <c r="D101" s="520"/>
      <c r="E101" s="4"/>
      <c r="F101" s="28">
        <f t="shared" si="9"/>
        <v>0</v>
      </c>
      <c r="G101" s="28"/>
      <c r="H101" s="28">
        <f t="shared" si="10"/>
        <v>0</v>
      </c>
      <c r="I101" s="28">
        <f t="shared" si="11"/>
        <v>0</v>
      </c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8"/>
      <c r="Z101" s="26"/>
      <c r="AA101" s="26"/>
      <c r="AB101" s="26"/>
      <c r="AC101" s="26">
        <f t="shared" si="8"/>
        <v>0</v>
      </c>
      <c r="AD101" s="29"/>
    </row>
    <row r="102" spans="1:30">
      <c r="A102" s="3"/>
      <c r="B102" s="11"/>
      <c r="C102" s="518"/>
      <c r="D102" s="520"/>
      <c r="E102" s="4"/>
      <c r="F102" s="28">
        <f t="shared" si="9"/>
        <v>0</v>
      </c>
      <c r="G102" s="28"/>
      <c r="H102" s="28">
        <f t="shared" si="10"/>
        <v>0</v>
      </c>
      <c r="I102" s="28">
        <f t="shared" si="11"/>
        <v>0</v>
      </c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8"/>
      <c r="Z102" s="26"/>
      <c r="AA102" s="26"/>
      <c r="AB102" s="26"/>
      <c r="AC102" s="26">
        <f t="shared" si="8"/>
        <v>0</v>
      </c>
      <c r="AD102" s="29"/>
    </row>
    <row r="103" spans="1:30">
      <c r="A103" s="3"/>
      <c r="B103" s="11"/>
      <c r="C103" s="518"/>
      <c r="D103" s="520"/>
      <c r="E103" s="4"/>
      <c r="F103" s="28">
        <f t="shared" si="9"/>
        <v>0</v>
      </c>
      <c r="G103" s="28"/>
      <c r="H103" s="28">
        <f t="shared" si="10"/>
        <v>0</v>
      </c>
      <c r="I103" s="28">
        <f t="shared" si="11"/>
        <v>0</v>
      </c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8"/>
      <c r="Z103" s="26"/>
      <c r="AA103" s="26"/>
      <c r="AB103" s="26"/>
      <c r="AC103" s="26">
        <f t="shared" si="8"/>
        <v>0</v>
      </c>
      <c r="AD103" s="29"/>
    </row>
    <row r="104" spans="1:30">
      <c r="A104" s="3"/>
      <c r="B104" s="11"/>
      <c r="C104" s="518"/>
      <c r="D104" s="520"/>
      <c r="E104" s="4"/>
      <c r="F104" s="28">
        <f t="shared" si="9"/>
        <v>0</v>
      </c>
      <c r="G104" s="28"/>
      <c r="H104" s="28">
        <f t="shared" si="10"/>
        <v>0</v>
      </c>
      <c r="I104" s="28">
        <f t="shared" si="11"/>
        <v>0</v>
      </c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8"/>
      <c r="Z104" s="26"/>
      <c r="AA104" s="26"/>
      <c r="AB104" s="26"/>
      <c r="AC104" s="26">
        <f t="shared" si="8"/>
        <v>0</v>
      </c>
      <c r="AD104" s="29"/>
    </row>
    <row r="105" spans="1:30">
      <c r="A105" s="3"/>
      <c r="B105" s="11"/>
      <c r="C105" s="518"/>
      <c r="D105" s="520"/>
      <c r="E105" s="4"/>
      <c r="F105" s="28">
        <f t="shared" si="9"/>
        <v>0</v>
      </c>
      <c r="G105" s="28"/>
      <c r="H105" s="28">
        <f t="shared" si="10"/>
        <v>0</v>
      </c>
      <c r="I105" s="28">
        <f t="shared" si="11"/>
        <v>0</v>
      </c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6"/>
      <c r="Y105" s="28"/>
      <c r="Z105" s="26"/>
      <c r="AA105" s="26"/>
      <c r="AB105" s="26"/>
      <c r="AC105" s="26">
        <f t="shared" si="8"/>
        <v>0</v>
      </c>
      <c r="AD105" s="29"/>
    </row>
    <row r="106" spans="1:30">
      <c r="A106" s="3"/>
      <c r="B106" s="11"/>
      <c r="C106" s="518"/>
      <c r="D106" s="520"/>
      <c r="E106" s="4"/>
      <c r="F106" s="28">
        <f t="shared" si="9"/>
        <v>0</v>
      </c>
      <c r="G106" s="28"/>
      <c r="H106" s="28">
        <f t="shared" si="10"/>
        <v>0</v>
      </c>
      <c r="I106" s="28">
        <f t="shared" si="11"/>
        <v>0</v>
      </c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6"/>
      <c r="Y106" s="28"/>
      <c r="Z106" s="26"/>
      <c r="AA106" s="26"/>
      <c r="AB106" s="26"/>
      <c r="AC106" s="26">
        <f t="shared" si="8"/>
        <v>0</v>
      </c>
      <c r="AD106" s="29"/>
    </row>
    <row r="107" spans="1:30">
      <c r="A107" s="3"/>
      <c r="B107" s="11"/>
      <c r="C107" s="518"/>
      <c r="D107" s="520"/>
      <c r="E107" s="4"/>
      <c r="F107" s="28">
        <f t="shared" si="9"/>
        <v>0</v>
      </c>
      <c r="G107" s="28"/>
      <c r="H107" s="28">
        <f t="shared" si="10"/>
        <v>0</v>
      </c>
      <c r="I107" s="28">
        <f t="shared" si="11"/>
        <v>0</v>
      </c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8"/>
      <c r="Z107" s="26"/>
      <c r="AA107" s="26"/>
      <c r="AB107" s="26"/>
      <c r="AC107" s="26">
        <f t="shared" si="8"/>
        <v>0</v>
      </c>
      <c r="AD107" s="29"/>
    </row>
    <row r="108" spans="1:30">
      <c r="A108" s="3"/>
      <c r="B108" s="11"/>
      <c r="C108" s="518"/>
      <c r="D108" s="520"/>
      <c r="E108" s="4"/>
      <c r="F108" s="28">
        <f t="shared" si="9"/>
        <v>0</v>
      </c>
      <c r="G108" s="28"/>
      <c r="H108" s="28">
        <f t="shared" si="10"/>
        <v>0</v>
      </c>
      <c r="I108" s="28">
        <f t="shared" si="11"/>
        <v>0</v>
      </c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8"/>
      <c r="Z108" s="26"/>
      <c r="AA108" s="26"/>
      <c r="AB108" s="26"/>
      <c r="AC108" s="26">
        <f t="shared" si="8"/>
        <v>0</v>
      </c>
      <c r="AD108" s="29"/>
    </row>
    <row r="109" spans="1:30">
      <c r="A109" s="3"/>
      <c r="B109" s="11"/>
      <c r="C109" s="518"/>
      <c r="D109" s="520"/>
      <c r="E109" s="4"/>
      <c r="F109" s="28">
        <f t="shared" si="9"/>
        <v>0</v>
      </c>
      <c r="G109" s="28"/>
      <c r="H109" s="28">
        <f t="shared" si="10"/>
        <v>0</v>
      </c>
      <c r="I109" s="28">
        <f t="shared" si="11"/>
        <v>0</v>
      </c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8"/>
      <c r="Z109" s="26"/>
      <c r="AA109" s="26"/>
      <c r="AB109" s="26"/>
      <c r="AC109" s="26">
        <f t="shared" si="8"/>
        <v>0</v>
      </c>
      <c r="AD109" s="29"/>
    </row>
    <row r="110" spans="1:30">
      <c r="A110" s="3"/>
      <c r="B110" s="11"/>
      <c r="C110" s="518"/>
      <c r="D110" s="520"/>
      <c r="E110" s="4"/>
      <c r="F110" s="28">
        <f t="shared" si="9"/>
        <v>0</v>
      </c>
      <c r="G110" s="28"/>
      <c r="H110" s="28">
        <f t="shared" si="10"/>
        <v>0</v>
      </c>
      <c r="I110" s="28">
        <f t="shared" si="11"/>
        <v>0</v>
      </c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8"/>
      <c r="Z110" s="26"/>
      <c r="AA110" s="26"/>
      <c r="AB110" s="26"/>
      <c r="AC110" s="26">
        <f t="shared" si="8"/>
        <v>0</v>
      </c>
      <c r="AD110" s="29"/>
    </row>
    <row r="111" spans="1:30">
      <c r="A111" s="3"/>
      <c r="B111" s="11"/>
      <c r="C111" s="518"/>
      <c r="D111" s="520"/>
      <c r="E111" s="4"/>
      <c r="F111" s="28">
        <f t="shared" si="9"/>
        <v>0</v>
      </c>
      <c r="G111" s="28"/>
      <c r="H111" s="28">
        <f t="shared" si="10"/>
        <v>0</v>
      </c>
      <c r="I111" s="28">
        <f t="shared" si="11"/>
        <v>0</v>
      </c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8"/>
      <c r="Z111" s="26"/>
      <c r="AA111" s="26"/>
      <c r="AB111" s="26"/>
      <c r="AC111" s="26">
        <f t="shared" si="8"/>
        <v>0</v>
      </c>
      <c r="AD111" s="29"/>
    </row>
    <row r="112" spans="1:30">
      <c r="A112" s="3"/>
      <c r="B112" s="11"/>
      <c r="C112" s="518"/>
      <c r="D112" s="520"/>
      <c r="E112" s="4"/>
      <c r="F112" s="28">
        <f t="shared" si="9"/>
        <v>0</v>
      </c>
      <c r="G112" s="28"/>
      <c r="H112" s="28">
        <f t="shared" si="10"/>
        <v>0</v>
      </c>
      <c r="I112" s="28">
        <f t="shared" si="11"/>
        <v>0</v>
      </c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6"/>
      <c r="Y112" s="28"/>
      <c r="Z112" s="26"/>
      <c r="AA112" s="26"/>
      <c r="AB112" s="26"/>
      <c r="AC112" s="26">
        <f>SUM(K112:Y112)</f>
        <v>0</v>
      </c>
      <c r="AD112" s="29"/>
    </row>
    <row r="113" spans="1:30">
      <c r="A113" s="3"/>
      <c r="B113" s="11"/>
      <c r="C113" s="518"/>
      <c r="D113" s="520"/>
      <c r="E113" s="4"/>
      <c r="F113" s="28">
        <f t="shared" si="9"/>
        <v>0</v>
      </c>
      <c r="G113" s="28"/>
      <c r="H113" s="28">
        <f t="shared" si="10"/>
        <v>0</v>
      </c>
      <c r="I113" s="28">
        <f t="shared" si="11"/>
        <v>0</v>
      </c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6"/>
      <c r="Y113" s="28"/>
      <c r="Z113" s="26"/>
      <c r="AA113" s="26"/>
      <c r="AB113" s="26"/>
      <c r="AC113" s="26">
        <f>SUM(K113:Y113)</f>
        <v>0</v>
      </c>
      <c r="AD113" s="29"/>
    </row>
    <row r="114" spans="1:30">
      <c r="A114" s="3"/>
      <c r="B114" s="11"/>
      <c r="C114" s="518"/>
      <c r="D114" s="520"/>
      <c r="E114" s="4"/>
      <c r="F114" s="28">
        <f t="shared" si="9"/>
        <v>0</v>
      </c>
      <c r="G114" s="28"/>
      <c r="H114" s="28">
        <f t="shared" si="10"/>
        <v>0</v>
      </c>
      <c r="I114" s="28">
        <f t="shared" si="11"/>
        <v>0</v>
      </c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8"/>
      <c r="Z114" s="26"/>
      <c r="AA114" s="26"/>
      <c r="AB114" s="26"/>
      <c r="AC114" s="26">
        <f>SUM(K114:Y114)</f>
        <v>0</v>
      </c>
      <c r="AD114" s="29"/>
    </row>
    <row r="115" spans="1:30">
      <c r="A115" s="3"/>
      <c r="B115" s="11"/>
      <c r="C115" s="518"/>
      <c r="D115" s="520"/>
      <c r="E115" s="4"/>
      <c r="F115" s="28">
        <f t="shared" si="9"/>
        <v>0</v>
      </c>
      <c r="G115" s="28"/>
      <c r="H115" s="28">
        <f t="shared" si="10"/>
        <v>0</v>
      </c>
      <c r="I115" s="28">
        <f t="shared" si="11"/>
        <v>0</v>
      </c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8"/>
      <c r="Z115" s="26"/>
      <c r="AA115" s="26"/>
      <c r="AB115" s="26"/>
      <c r="AC115" s="26">
        <f>SUM(K115:Y115)</f>
        <v>0</v>
      </c>
      <c r="AD115" s="29"/>
    </row>
    <row r="116" spans="1:30">
      <c r="A116" s="3"/>
      <c r="B116" s="39"/>
      <c r="C116" s="519"/>
      <c r="D116" s="520"/>
      <c r="E116" s="35"/>
      <c r="F116" s="28">
        <f t="shared" si="9"/>
        <v>0</v>
      </c>
      <c r="G116" s="28"/>
      <c r="H116" s="28">
        <f t="shared" si="10"/>
        <v>0</v>
      </c>
      <c r="I116" s="28">
        <f t="shared" si="11"/>
        <v>0</v>
      </c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8"/>
      <c r="Z116" s="26"/>
      <c r="AA116" s="26"/>
      <c r="AB116" s="26"/>
      <c r="AC116" s="26">
        <f>SUM(K116:Y116)</f>
        <v>0</v>
      </c>
      <c r="AD116" s="29"/>
    </row>
    <row r="117" spans="1:30" ht="15.75" thickBot="1">
      <c r="A117" s="40"/>
      <c r="B117" s="41"/>
      <c r="C117" s="41"/>
      <c r="D117" s="522">
        <f t="shared" ref="D117:AA117" si="12">SUM(D10:D116)</f>
        <v>17680.572</v>
      </c>
      <c r="E117" s="42">
        <f t="shared" si="12"/>
        <v>5118</v>
      </c>
      <c r="F117" s="43">
        <f t="shared" si="12"/>
        <v>16766.567999999999</v>
      </c>
      <c r="G117" s="42">
        <f t="shared" si="12"/>
        <v>0</v>
      </c>
      <c r="H117" s="43">
        <f t="shared" si="12"/>
        <v>0</v>
      </c>
      <c r="I117" s="43">
        <f t="shared" si="12"/>
        <v>16766.567999999999</v>
      </c>
      <c r="J117" s="43">
        <f t="shared" si="12"/>
        <v>19.655999999999999</v>
      </c>
      <c r="K117" s="43">
        <f t="shared" si="12"/>
        <v>54.12</v>
      </c>
      <c r="L117" s="43">
        <f t="shared" si="12"/>
        <v>84.11</v>
      </c>
      <c r="M117" s="43">
        <f t="shared" si="12"/>
        <v>1.1000000000000001</v>
      </c>
      <c r="N117" s="43">
        <f t="shared" si="12"/>
        <v>0</v>
      </c>
      <c r="O117" s="43">
        <f t="shared" si="12"/>
        <v>82.54</v>
      </c>
      <c r="P117" s="43">
        <f t="shared" si="12"/>
        <v>3.47</v>
      </c>
      <c r="Q117" s="43">
        <f t="shared" si="12"/>
        <v>0</v>
      </c>
      <c r="R117" s="43">
        <f t="shared" si="12"/>
        <v>6.4699999999999989</v>
      </c>
      <c r="S117" s="43">
        <f t="shared" si="12"/>
        <v>11.779999999999998</v>
      </c>
      <c r="T117" s="43">
        <f t="shared" si="12"/>
        <v>35.320000000000007</v>
      </c>
      <c r="U117" s="43">
        <f t="shared" si="12"/>
        <v>0.78</v>
      </c>
      <c r="V117" s="43">
        <f t="shared" si="12"/>
        <v>0</v>
      </c>
      <c r="W117" s="43">
        <f t="shared" si="12"/>
        <v>0</v>
      </c>
      <c r="X117" s="43">
        <f t="shared" si="12"/>
        <v>0</v>
      </c>
      <c r="Y117" s="43">
        <f t="shared" si="12"/>
        <v>0</v>
      </c>
      <c r="Z117" s="43">
        <f t="shared" si="12"/>
        <v>0</v>
      </c>
      <c r="AA117" s="43">
        <f t="shared" si="12"/>
        <v>0</v>
      </c>
      <c r="AB117" s="43">
        <f>SUM(AB10:AB114)</f>
        <v>0</v>
      </c>
      <c r="AC117" s="43">
        <f>SUM(AC10:AC114)</f>
        <v>279.69</v>
      </c>
      <c r="AD117" s="44"/>
    </row>
    <row r="118" spans="1:30" ht="15.75" thickTop="1">
      <c r="D118" s="524">
        <f>+D117-'HASIL PROD'!N346</f>
        <v>0</v>
      </c>
      <c r="I118" s="10">
        <f>+I117-'[4]DAILY OKEY AYAM'!$K$22</f>
        <v>16766.567999999999</v>
      </c>
      <c r="AC118" s="10">
        <f>+AC117-'[5]16-02'!$Q$22</f>
        <v>-912.62999999999988</v>
      </c>
    </row>
    <row r="119" spans="1:30">
      <c r="I119">
        <f>+I118/2.88</f>
        <v>5821.7250000000004</v>
      </c>
    </row>
    <row r="120" spans="1:30">
      <c r="B120" s="10"/>
      <c r="C120" s="10"/>
      <c r="E120" s="45">
        <f>E18+E19+E46+E48</f>
        <v>1133</v>
      </c>
    </row>
    <row r="121" spans="1:30">
      <c r="E121">
        <f>557+12+45+556+372+275+380+199+266+584+597+192+544+34+577+592+595+603+612+558+751</f>
        <v>8901</v>
      </c>
      <c r="I121">
        <f>33+41+14</f>
        <v>88</v>
      </c>
    </row>
    <row r="122" spans="1:30">
      <c r="E122" s="45">
        <f>E121-E120</f>
        <v>7768</v>
      </c>
      <c r="AB122" s="10"/>
    </row>
    <row r="123" spans="1:30">
      <c r="AB123" s="10"/>
    </row>
    <row r="130" spans="6:6">
      <c r="F130">
        <f>687-662</f>
        <v>25</v>
      </c>
    </row>
  </sheetData>
  <mergeCells count="15">
    <mergeCell ref="A1:AD1"/>
    <mergeCell ref="A2:AD2"/>
    <mergeCell ref="A3:AD3"/>
    <mergeCell ref="A5:A8"/>
    <mergeCell ref="B5:B8"/>
    <mergeCell ref="E7:F7"/>
    <mergeCell ref="AD5:AD8"/>
    <mergeCell ref="E5:AC5"/>
    <mergeCell ref="G7:H7"/>
    <mergeCell ref="E6:H6"/>
    <mergeCell ref="D5:D7"/>
    <mergeCell ref="I6:I8"/>
    <mergeCell ref="J6:J7"/>
    <mergeCell ref="K6:AB6"/>
    <mergeCell ref="AC6:AC8"/>
  </mergeCells>
  <pageMargins left="0.70866141732283472" right="0.70866141732283472" top="0.74803149606299213" bottom="0.74803149606299213" header="0.31496062992125984" footer="0.31496062992125984"/>
  <pageSetup paperSize="9" scale="34" orientation="landscape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>
  <sheetPr codeName="Sheet12">
    <tabColor rgb="FFFF0000"/>
    <pageSetUpPr fitToPage="1"/>
  </sheetPr>
  <dimension ref="A1:AL129"/>
  <sheetViews>
    <sheetView zoomScale="80" zoomScaleNormal="80" workbookViewId="0">
      <pane xSplit="2" ySplit="10" topLeftCell="M11" activePane="bottomRight" state="frozen"/>
      <selection activeCell="EE10" sqref="EE10"/>
      <selection pane="topRight" activeCell="EE10" sqref="EE10"/>
      <selection pane="bottomLeft" activeCell="EE10" sqref="EE10"/>
      <selection pane="bottomRight" activeCell="J10" sqref="J10:Z24"/>
    </sheetView>
  </sheetViews>
  <sheetFormatPr defaultRowHeight="15"/>
  <cols>
    <col min="1" max="1" width="11.7109375" customWidth="1"/>
    <col min="2" max="2" width="13.42578125" customWidth="1"/>
    <col min="3" max="3" width="13" customWidth="1"/>
    <col min="4" max="7" width="14.85546875" customWidth="1"/>
    <col min="8" max="9" width="13.42578125" customWidth="1"/>
    <col min="10" max="10" width="14.140625" customWidth="1"/>
    <col min="11" max="27" width="12.7109375" customWidth="1"/>
    <col min="28" max="28" width="13" customWidth="1"/>
    <col min="29" max="29" width="17.42578125" customWidth="1"/>
  </cols>
  <sheetData>
    <row r="1" spans="1:30" ht="18.75">
      <c r="A1" s="675" t="s">
        <v>74</v>
      </c>
      <c r="B1" s="675"/>
      <c r="C1" s="675"/>
      <c r="D1" s="675"/>
      <c r="E1" s="675"/>
      <c r="F1" s="675"/>
      <c r="G1" s="675"/>
      <c r="H1" s="675"/>
      <c r="I1" s="675"/>
      <c r="J1" s="675"/>
      <c r="K1" s="675"/>
      <c r="L1" s="675"/>
      <c r="M1" s="675"/>
      <c r="N1" s="675"/>
      <c r="O1" s="675"/>
      <c r="P1" s="675"/>
      <c r="Q1" s="675"/>
      <c r="R1" s="675"/>
      <c r="S1" s="675"/>
      <c r="T1" s="675"/>
      <c r="U1" s="675"/>
      <c r="V1" s="675"/>
      <c r="W1" s="675"/>
      <c r="X1" s="675"/>
      <c r="Y1" s="675"/>
      <c r="Z1" s="675"/>
      <c r="AA1" s="675"/>
      <c r="AB1" s="675"/>
      <c r="AC1" s="675"/>
    </row>
    <row r="2" spans="1:30" ht="15.75">
      <c r="A2" s="676"/>
      <c r="B2" s="676"/>
      <c r="C2" s="676"/>
      <c r="D2" s="676"/>
      <c r="E2" s="676"/>
      <c r="F2" s="676"/>
      <c r="G2" s="676"/>
      <c r="H2" s="676"/>
      <c r="I2" s="676"/>
      <c r="J2" s="676"/>
      <c r="K2" s="676"/>
      <c r="L2" s="676"/>
      <c r="M2" s="676"/>
      <c r="N2" s="676"/>
      <c r="O2" s="676"/>
      <c r="P2" s="676"/>
      <c r="Q2" s="676"/>
      <c r="R2" s="676"/>
      <c r="S2" s="676"/>
      <c r="T2" s="676"/>
      <c r="U2" s="676"/>
      <c r="V2" s="676"/>
      <c r="W2" s="676"/>
      <c r="X2" s="676"/>
      <c r="Y2" s="676"/>
      <c r="Z2" s="676"/>
      <c r="AA2" s="676"/>
      <c r="AB2" s="676"/>
      <c r="AC2" s="676"/>
    </row>
    <row r="3" spans="1:30" ht="15.75">
      <c r="A3" s="676" t="str">
        <f>+'DAILY CHAMP AYAM'!A3:AD3</f>
        <v>JULI'26</v>
      </c>
      <c r="B3" s="676"/>
      <c r="C3" s="676"/>
      <c r="D3" s="676"/>
      <c r="E3" s="676"/>
      <c r="F3" s="676"/>
      <c r="G3" s="676"/>
      <c r="H3" s="676"/>
      <c r="I3" s="676"/>
      <c r="J3" s="676"/>
      <c r="K3" s="676"/>
      <c r="L3" s="676"/>
      <c r="M3" s="676"/>
      <c r="N3" s="676"/>
      <c r="O3" s="676"/>
      <c r="P3" s="676"/>
      <c r="Q3" s="676"/>
      <c r="R3" s="676"/>
      <c r="S3" s="676"/>
      <c r="T3" s="676"/>
      <c r="U3" s="676"/>
      <c r="V3" s="676"/>
      <c r="W3" s="676"/>
      <c r="X3" s="676"/>
      <c r="Y3" s="676"/>
      <c r="Z3" s="676"/>
      <c r="AA3" s="676"/>
      <c r="AB3" s="676"/>
      <c r="AC3" s="676"/>
    </row>
    <row r="4" spans="1:30" ht="15.75" thickBot="1">
      <c r="A4" s="13"/>
      <c r="B4" s="13"/>
      <c r="C4" s="13"/>
      <c r="D4" s="13"/>
      <c r="E4" s="13"/>
      <c r="F4" s="13"/>
      <c r="G4" s="13"/>
      <c r="H4" s="14">
        <f>+H117</f>
        <v>0</v>
      </c>
      <c r="I4" s="14"/>
      <c r="J4" s="13"/>
      <c r="K4" s="15"/>
      <c r="L4" s="13"/>
      <c r="M4" s="13"/>
      <c r="N4" s="13"/>
      <c r="O4" s="13"/>
      <c r="P4" s="13"/>
      <c r="Q4" s="13"/>
      <c r="R4" s="13"/>
      <c r="S4" s="16"/>
      <c r="T4" s="13"/>
      <c r="U4" s="13"/>
      <c r="V4" s="13"/>
      <c r="W4" s="13"/>
      <c r="X4" s="13"/>
      <c r="Y4" s="13"/>
      <c r="Z4" s="13"/>
      <c r="AA4" s="13"/>
      <c r="AB4" s="14" t="e">
        <f>+#REF!</f>
        <v>#REF!</v>
      </c>
      <c r="AC4" s="13"/>
    </row>
    <row r="5" spans="1:30" ht="15.75" customHeight="1" thickTop="1">
      <c r="A5" s="677" t="s">
        <v>11</v>
      </c>
      <c r="B5" s="680" t="s">
        <v>0</v>
      </c>
      <c r="C5" s="683" t="s">
        <v>12</v>
      </c>
      <c r="D5" s="686" t="s">
        <v>1</v>
      </c>
      <c r="E5" s="687"/>
      <c r="F5" s="687"/>
      <c r="G5" s="687"/>
      <c r="H5" s="687"/>
      <c r="I5" s="687"/>
      <c r="J5" s="687"/>
      <c r="K5" s="687"/>
      <c r="L5" s="687"/>
      <c r="M5" s="687"/>
      <c r="N5" s="687"/>
      <c r="O5" s="687"/>
      <c r="P5" s="687"/>
      <c r="Q5" s="687"/>
      <c r="R5" s="687"/>
      <c r="S5" s="687"/>
      <c r="T5" s="687"/>
      <c r="U5" s="687"/>
      <c r="V5" s="687"/>
      <c r="W5" s="687"/>
      <c r="X5" s="687"/>
      <c r="Y5" s="687"/>
      <c r="Z5" s="687"/>
      <c r="AA5" s="687"/>
      <c r="AB5" s="688"/>
      <c r="AC5" s="689" t="s">
        <v>2</v>
      </c>
    </row>
    <row r="6" spans="1:30" ht="15" customHeight="1">
      <c r="A6" s="678"/>
      <c r="B6" s="681"/>
      <c r="C6" s="684"/>
      <c r="D6" s="706" t="s">
        <v>5</v>
      </c>
      <c r="E6" s="707"/>
      <c r="F6" s="707"/>
      <c r="G6" s="708"/>
      <c r="H6" s="695" t="s">
        <v>6</v>
      </c>
      <c r="I6" s="696" t="s">
        <v>13</v>
      </c>
      <c r="J6" s="709" t="s">
        <v>14</v>
      </c>
      <c r="K6" s="709"/>
      <c r="L6" s="709"/>
      <c r="M6" s="709"/>
      <c r="N6" s="709"/>
      <c r="O6" s="709"/>
      <c r="P6" s="709"/>
      <c r="Q6" s="709"/>
      <c r="R6" s="709"/>
      <c r="S6" s="709"/>
      <c r="T6" s="709"/>
      <c r="U6" s="709"/>
      <c r="V6" s="709"/>
      <c r="W6" s="709"/>
      <c r="X6" s="709"/>
      <c r="Y6" s="709"/>
      <c r="Z6" s="709"/>
      <c r="AA6" s="709"/>
      <c r="AB6" s="695" t="s">
        <v>15</v>
      </c>
      <c r="AC6" s="690"/>
    </row>
    <row r="7" spans="1:30" ht="25.5" customHeight="1">
      <c r="A7" s="678"/>
      <c r="B7" s="681"/>
      <c r="C7" s="685"/>
      <c r="D7" s="704" t="s">
        <v>54</v>
      </c>
      <c r="E7" s="705"/>
      <c r="F7" s="704" t="s">
        <v>43</v>
      </c>
      <c r="G7" s="705"/>
      <c r="H7" s="681"/>
      <c r="I7" s="697"/>
      <c r="J7" s="90" t="s">
        <v>16</v>
      </c>
      <c r="K7" s="90" t="s">
        <v>17</v>
      </c>
      <c r="L7" s="90" t="s">
        <v>58</v>
      </c>
      <c r="M7" s="90" t="s">
        <v>59</v>
      </c>
      <c r="N7" s="90" t="s">
        <v>18</v>
      </c>
      <c r="O7" s="90" t="s">
        <v>60</v>
      </c>
      <c r="P7" s="90" t="s">
        <v>19</v>
      </c>
      <c r="Q7" s="90" t="s">
        <v>55</v>
      </c>
      <c r="R7" s="90" t="s">
        <v>61</v>
      </c>
      <c r="S7" s="90" t="s">
        <v>62</v>
      </c>
      <c r="T7" s="90" t="s">
        <v>63</v>
      </c>
      <c r="U7" s="90" t="s">
        <v>56</v>
      </c>
      <c r="V7" s="90" t="s">
        <v>20</v>
      </c>
      <c r="W7" s="90" t="s">
        <v>57</v>
      </c>
      <c r="X7" s="271" t="s">
        <v>154</v>
      </c>
      <c r="Y7" s="90" t="s">
        <v>21</v>
      </c>
      <c r="Z7" s="292" t="s">
        <v>155</v>
      </c>
      <c r="AA7" s="90" t="s">
        <v>22</v>
      </c>
      <c r="AB7" s="681"/>
      <c r="AC7" s="690"/>
    </row>
    <row r="8" spans="1:30" ht="15.75" thickBot="1">
      <c r="A8" s="679"/>
      <c r="B8" s="682"/>
      <c r="C8" s="18" t="s">
        <v>4</v>
      </c>
      <c r="D8" s="19" t="s">
        <v>3</v>
      </c>
      <c r="E8" s="20" t="s">
        <v>4</v>
      </c>
      <c r="F8" s="19" t="s">
        <v>3</v>
      </c>
      <c r="G8" s="20" t="s">
        <v>4</v>
      </c>
      <c r="H8" s="682"/>
      <c r="I8" s="21" t="s">
        <v>4</v>
      </c>
      <c r="J8" s="20" t="s">
        <v>4</v>
      </c>
      <c r="K8" s="20" t="s">
        <v>4</v>
      </c>
      <c r="L8" s="20" t="s">
        <v>4</v>
      </c>
      <c r="M8" s="20" t="s">
        <v>4</v>
      </c>
      <c r="N8" s="20" t="s">
        <v>4</v>
      </c>
      <c r="O8" s="20" t="s">
        <v>4</v>
      </c>
      <c r="P8" s="20" t="s">
        <v>4</v>
      </c>
      <c r="Q8" s="20" t="s">
        <v>4</v>
      </c>
      <c r="R8" s="20" t="s">
        <v>4</v>
      </c>
      <c r="S8" s="20" t="s">
        <v>4</v>
      </c>
      <c r="T8" s="20" t="s">
        <v>4</v>
      </c>
      <c r="U8" s="20"/>
      <c r="V8" s="20" t="s">
        <v>4</v>
      </c>
      <c r="W8" s="20" t="s">
        <v>4</v>
      </c>
      <c r="X8" s="20" t="s">
        <v>4</v>
      </c>
      <c r="Y8" s="20" t="s">
        <v>4</v>
      </c>
      <c r="Z8" s="20" t="s">
        <v>4</v>
      </c>
      <c r="AA8" s="20" t="s">
        <v>4</v>
      </c>
      <c r="AB8" s="682"/>
      <c r="AC8" s="691"/>
    </row>
    <row r="9" spans="1:30" ht="15.75" customHeight="1" thickTop="1">
      <c r="A9" s="23"/>
      <c r="B9" s="25"/>
      <c r="C9" s="24"/>
      <c r="D9" s="24"/>
      <c r="E9" s="24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7"/>
    </row>
    <row r="10" spans="1:30">
      <c r="A10" s="333"/>
      <c r="B10" s="11"/>
      <c r="C10" s="5"/>
      <c r="D10" s="4"/>
      <c r="E10" s="28">
        <f>+D10*3.276</f>
        <v>0</v>
      </c>
      <c r="F10" s="35"/>
      <c r="G10" s="28">
        <f>+F10*3.588</f>
        <v>0</v>
      </c>
      <c r="H10" s="28">
        <f>+E10+G10</f>
        <v>0</v>
      </c>
      <c r="I10" s="26"/>
      <c r="J10" s="28"/>
      <c r="K10" s="28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8"/>
      <c r="Y10" s="26"/>
      <c r="Z10" s="26"/>
      <c r="AA10" s="26"/>
      <c r="AB10" s="26">
        <f>SUM(J10:AA10)</f>
        <v>0</v>
      </c>
      <c r="AC10" s="27"/>
    </row>
    <row r="11" spans="1:30">
      <c r="A11" s="333"/>
      <c r="B11" s="11"/>
      <c r="C11" s="5"/>
      <c r="D11" s="4"/>
      <c r="E11" s="28">
        <f t="shared" ref="E11:E74" si="0">+D11*3.276</f>
        <v>0</v>
      </c>
      <c r="F11" s="35"/>
      <c r="G11" s="28">
        <f t="shared" ref="G11:G74" si="1">+F11*3.588</f>
        <v>0</v>
      </c>
      <c r="H11" s="28">
        <f t="shared" ref="H11:H74" si="2">+E11+G11</f>
        <v>0</v>
      </c>
      <c r="I11" s="26"/>
      <c r="J11" s="28"/>
      <c r="K11" s="28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8"/>
      <c r="Y11" s="26"/>
      <c r="Z11" s="26"/>
      <c r="AA11" s="26"/>
      <c r="AB11" s="26">
        <f t="shared" ref="AB11:AB40" si="3">SUM(J11:AA11)</f>
        <v>0</v>
      </c>
      <c r="AC11" s="29"/>
      <c r="AD11" s="30"/>
    </row>
    <row r="12" spans="1:30">
      <c r="A12" s="333"/>
      <c r="B12" s="11"/>
      <c r="C12" s="5"/>
      <c r="D12" s="4"/>
      <c r="E12" s="28">
        <f t="shared" si="0"/>
        <v>0</v>
      </c>
      <c r="F12" s="35"/>
      <c r="G12" s="28">
        <f t="shared" si="1"/>
        <v>0</v>
      </c>
      <c r="H12" s="28">
        <f t="shared" si="2"/>
        <v>0</v>
      </c>
      <c r="I12" s="26"/>
      <c r="J12" s="28"/>
      <c r="K12" s="28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8"/>
      <c r="Y12" s="26"/>
      <c r="Z12" s="26"/>
      <c r="AA12" s="26"/>
      <c r="AB12" s="26">
        <f t="shared" si="3"/>
        <v>0</v>
      </c>
      <c r="AC12" s="29"/>
      <c r="AD12" s="30"/>
    </row>
    <row r="13" spans="1:30">
      <c r="A13" s="333"/>
      <c r="B13" s="11"/>
      <c r="C13" s="5"/>
      <c r="D13" s="4"/>
      <c r="E13" s="28">
        <f t="shared" si="0"/>
        <v>0</v>
      </c>
      <c r="F13" s="35"/>
      <c r="G13" s="28">
        <f t="shared" si="1"/>
        <v>0</v>
      </c>
      <c r="H13" s="28">
        <f t="shared" si="2"/>
        <v>0</v>
      </c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8"/>
      <c r="Y13" s="26"/>
      <c r="Z13" s="26"/>
      <c r="AA13" s="26"/>
      <c r="AB13" s="26">
        <f t="shared" si="3"/>
        <v>0</v>
      </c>
      <c r="AC13" s="29"/>
      <c r="AD13" s="30"/>
    </row>
    <row r="14" spans="1:30">
      <c r="A14" s="3"/>
      <c r="B14" s="11"/>
      <c r="C14" s="5"/>
      <c r="D14" s="4"/>
      <c r="E14" s="28">
        <f t="shared" si="0"/>
        <v>0</v>
      </c>
      <c r="F14" s="35"/>
      <c r="G14" s="28">
        <f t="shared" si="1"/>
        <v>0</v>
      </c>
      <c r="H14" s="28">
        <f t="shared" si="2"/>
        <v>0</v>
      </c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8"/>
      <c r="Y14" s="26"/>
      <c r="Z14" s="26"/>
      <c r="AA14" s="26"/>
      <c r="AB14" s="26">
        <f t="shared" si="3"/>
        <v>0</v>
      </c>
      <c r="AC14" s="31"/>
      <c r="AD14" s="32"/>
    </row>
    <row r="15" spans="1:30">
      <c r="A15" s="3"/>
      <c r="B15" s="11"/>
      <c r="C15" s="5"/>
      <c r="D15" s="4"/>
      <c r="E15" s="28">
        <f t="shared" si="0"/>
        <v>0</v>
      </c>
      <c r="F15" s="35"/>
      <c r="G15" s="28">
        <f t="shared" si="1"/>
        <v>0</v>
      </c>
      <c r="H15" s="28">
        <f t="shared" si="2"/>
        <v>0</v>
      </c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8"/>
      <c r="Y15" s="26"/>
      <c r="Z15" s="26"/>
      <c r="AA15" s="26"/>
      <c r="AB15" s="26">
        <f t="shared" si="3"/>
        <v>0</v>
      </c>
      <c r="AC15" s="29"/>
      <c r="AD15" s="30"/>
    </row>
    <row r="16" spans="1:30">
      <c r="A16" s="3"/>
      <c r="B16" s="11"/>
      <c r="C16" s="5"/>
      <c r="D16" s="4"/>
      <c r="E16" s="28">
        <f t="shared" si="0"/>
        <v>0</v>
      </c>
      <c r="F16" s="35"/>
      <c r="G16" s="28">
        <f t="shared" si="1"/>
        <v>0</v>
      </c>
      <c r="H16" s="28">
        <f t="shared" si="2"/>
        <v>0</v>
      </c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8"/>
      <c r="Y16" s="26"/>
      <c r="Z16" s="26"/>
      <c r="AA16" s="26"/>
      <c r="AB16" s="26">
        <f t="shared" si="3"/>
        <v>0</v>
      </c>
      <c r="AC16" s="29"/>
      <c r="AD16" s="30"/>
    </row>
    <row r="17" spans="1:30">
      <c r="A17" s="3"/>
      <c r="B17" s="11"/>
      <c r="C17" s="5"/>
      <c r="D17" s="4"/>
      <c r="E17" s="28">
        <f t="shared" si="0"/>
        <v>0</v>
      </c>
      <c r="F17" s="35"/>
      <c r="G17" s="28">
        <f t="shared" si="1"/>
        <v>0</v>
      </c>
      <c r="H17" s="28">
        <f t="shared" si="2"/>
        <v>0</v>
      </c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8"/>
      <c r="Y17" s="26"/>
      <c r="Z17" s="26"/>
      <c r="AA17" s="26"/>
      <c r="AB17" s="26">
        <f t="shared" si="3"/>
        <v>0</v>
      </c>
      <c r="AC17" s="29"/>
      <c r="AD17" s="30"/>
    </row>
    <row r="18" spans="1:30">
      <c r="A18" s="3"/>
      <c r="B18" s="11"/>
      <c r="C18" s="5"/>
      <c r="D18" s="4"/>
      <c r="E18" s="28">
        <f t="shared" si="0"/>
        <v>0</v>
      </c>
      <c r="F18" s="35"/>
      <c r="G18" s="28">
        <f t="shared" si="1"/>
        <v>0</v>
      </c>
      <c r="H18" s="28">
        <f t="shared" si="2"/>
        <v>0</v>
      </c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8"/>
      <c r="Y18" s="26"/>
      <c r="Z18" s="26"/>
      <c r="AA18" s="26"/>
      <c r="AB18" s="26">
        <f t="shared" si="3"/>
        <v>0</v>
      </c>
      <c r="AC18" s="29"/>
      <c r="AD18" s="30"/>
    </row>
    <row r="19" spans="1:30">
      <c r="A19" s="3"/>
      <c r="B19" s="11"/>
      <c r="C19" s="5"/>
      <c r="D19" s="4"/>
      <c r="E19" s="28">
        <f t="shared" si="0"/>
        <v>0</v>
      </c>
      <c r="F19" s="35"/>
      <c r="G19" s="28">
        <f t="shared" si="1"/>
        <v>0</v>
      </c>
      <c r="H19" s="28">
        <f t="shared" si="2"/>
        <v>0</v>
      </c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8"/>
      <c r="Y19" s="26"/>
      <c r="Z19" s="26"/>
      <c r="AA19" s="26"/>
      <c r="AB19" s="26">
        <f t="shared" si="3"/>
        <v>0</v>
      </c>
      <c r="AC19" s="29"/>
      <c r="AD19" s="30"/>
    </row>
    <row r="20" spans="1:30">
      <c r="A20" s="3"/>
      <c r="B20" s="11"/>
      <c r="C20" s="5"/>
      <c r="D20" s="4"/>
      <c r="E20" s="28">
        <f t="shared" si="0"/>
        <v>0</v>
      </c>
      <c r="F20" s="35"/>
      <c r="G20" s="28">
        <f t="shared" si="1"/>
        <v>0</v>
      </c>
      <c r="H20" s="28">
        <f t="shared" si="2"/>
        <v>0</v>
      </c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8"/>
      <c r="Y20" s="26"/>
      <c r="Z20" s="26"/>
      <c r="AA20" s="26"/>
      <c r="AB20" s="26">
        <f t="shared" si="3"/>
        <v>0</v>
      </c>
      <c r="AC20" s="29"/>
      <c r="AD20" s="30"/>
    </row>
    <row r="21" spans="1:30">
      <c r="A21" s="3"/>
      <c r="B21" s="11"/>
      <c r="C21" s="5"/>
      <c r="D21" s="4"/>
      <c r="E21" s="28">
        <f t="shared" si="0"/>
        <v>0</v>
      </c>
      <c r="F21" s="35"/>
      <c r="G21" s="28">
        <f t="shared" si="1"/>
        <v>0</v>
      </c>
      <c r="H21" s="28">
        <f t="shared" si="2"/>
        <v>0</v>
      </c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8"/>
      <c r="Y21" s="26"/>
      <c r="Z21" s="26"/>
      <c r="AA21" s="26"/>
      <c r="AB21" s="26">
        <f t="shared" si="3"/>
        <v>0</v>
      </c>
      <c r="AC21" s="29"/>
      <c r="AD21" s="30"/>
    </row>
    <row r="22" spans="1:30">
      <c r="A22" s="3"/>
      <c r="B22" s="11"/>
      <c r="C22" s="5"/>
      <c r="D22" s="4"/>
      <c r="E22" s="28">
        <f t="shared" si="0"/>
        <v>0</v>
      </c>
      <c r="F22" s="35"/>
      <c r="G22" s="28">
        <f t="shared" si="1"/>
        <v>0</v>
      </c>
      <c r="H22" s="28">
        <f t="shared" si="2"/>
        <v>0</v>
      </c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8"/>
      <c r="Y22" s="26"/>
      <c r="Z22" s="26"/>
      <c r="AA22" s="26"/>
      <c r="AB22" s="26">
        <f t="shared" si="3"/>
        <v>0</v>
      </c>
      <c r="AC22" s="29"/>
      <c r="AD22" s="30"/>
    </row>
    <row r="23" spans="1:30">
      <c r="A23" s="3"/>
      <c r="B23" s="11"/>
      <c r="C23" s="5"/>
      <c r="D23" s="4"/>
      <c r="E23" s="28">
        <f t="shared" si="0"/>
        <v>0</v>
      </c>
      <c r="F23" s="35"/>
      <c r="G23" s="28">
        <f>+F23*3.588</f>
        <v>0</v>
      </c>
      <c r="H23" s="28">
        <f t="shared" si="2"/>
        <v>0</v>
      </c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8"/>
      <c r="Y23" s="26"/>
      <c r="Z23" s="26"/>
      <c r="AA23" s="26"/>
      <c r="AB23" s="26">
        <f t="shared" si="3"/>
        <v>0</v>
      </c>
      <c r="AC23" s="29"/>
      <c r="AD23" s="30"/>
    </row>
    <row r="24" spans="1:30">
      <c r="A24" s="3"/>
      <c r="B24" s="11"/>
      <c r="C24" s="5"/>
      <c r="D24" s="4"/>
      <c r="E24" s="28">
        <f t="shared" si="0"/>
        <v>0</v>
      </c>
      <c r="F24" s="35"/>
      <c r="G24" s="28">
        <f>+F24*3.588</f>
        <v>0</v>
      </c>
      <c r="H24" s="28">
        <f t="shared" si="2"/>
        <v>0</v>
      </c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8"/>
      <c r="Y24" s="26"/>
      <c r="Z24" s="26"/>
      <c r="AA24" s="26"/>
      <c r="AB24" s="26">
        <f t="shared" si="3"/>
        <v>0</v>
      </c>
      <c r="AC24" s="29"/>
      <c r="AD24" s="30"/>
    </row>
    <row r="25" spans="1:30">
      <c r="A25" s="3"/>
      <c r="B25" s="11"/>
      <c r="C25" s="5"/>
      <c r="D25" s="4"/>
      <c r="E25" s="28">
        <f t="shared" si="0"/>
        <v>0</v>
      </c>
      <c r="F25" s="35"/>
      <c r="G25" s="28">
        <f>+F25*3.588</f>
        <v>0</v>
      </c>
      <c r="H25" s="28">
        <f t="shared" si="2"/>
        <v>0</v>
      </c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8"/>
      <c r="Y25" s="26"/>
      <c r="Z25" s="26"/>
      <c r="AA25" s="26"/>
      <c r="AB25" s="26">
        <f t="shared" si="3"/>
        <v>0</v>
      </c>
      <c r="AC25" s="29"/>
      <c r="AD25" s="30"/>
    </row>
    <row r="26" spans="1:30">
      <c r="A26" s="3"/>
      <c r="B26" s="11"/>
      <c r="C26" s="5"/>
      <c r="D26" s="4"/>
      <c r="E26" s="28">
        <f t="shared" si="0"/>
        <v>0</v>
      </c>
      <c r="F26" s="28"/>
      <c r="G26" s="28">
        <f>+F26*3.588</f>
        <v>0</v>
      </c>
      <c r="H26" s="28">
        <f t="shared" si="2"/>
        <v>0</v>
      </c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8"/>
      <c r="Y26" s="26"/>
      <c r="Z26" s="26"/>
      <c r="AA26" s="26"/>
      <c r="AB26" s="26">
        <f t="shared" si="3"/>
        <v>0</v>
      </c>
      <c r="AC26" s="29"/>
      <c r="AD26" s="30"/>
    </row>
    <row r="27" spans="1:30">
      <c r="A27" s="3"/>
      <c r="B27" s="11"/>
      <c r="C27" s="5"/>
      <c r="D27" s="4"/>
      <c r="E27" s="28">
        <f t="shared" si="0"/>
        <v>0</v>
      </c>
      <c r="F27" s="35"/>
      <c r="G27" s="28">
        <f t="shared" si="1"/>
        <v>0</v>
      </c>
      <c r="H27" s="28">
        <f t="shared" si="2"/>
        <v>0</v>
      </c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8"/>
      <c r="Y27" s="26"/>
      <c r="Z27" s="26"/>
      <c r="AA27" s="26"/>
      <c r="AB27" s="26">
        <f t="shared" si="3"/>
        <v>0</v>
      </c>
      <c r="AC27" s="29"/>
    </row>
    <row r="28" spans="1:30">
      <c r="A28" s="3"/>
      <c r="B28" s="11"/>
      <c r="C28" s="79"/>
      <c r="D28" s="4"/>
      <c r="E28" s="28">
        <f t="shared" si="0"/>
        <v>0</v>
      </c>
      <c r="F28" s="35"/>
      <c r="G28" s="28">
        <f t="shared" si="1"/>
        <v>0</v>
      </c>
      <c r="H28" s="28">
        <f t="shared" si="2"/>
        <v>0</v>
      </c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8"/>
      <c r="Y28" s="26"/>
      <c r="Z28" s="26"/>
      <c r="AA28" s="26"/>
      <c r="AB28" s="26">
        <f t="shared" si="3"/>
        <v>0</v>
      </c>
      <c r="AC28" s="29"/>
    </row>
    <row r="29" spans="1:30">
      <c r="A29" s="3"/>
      <c r="B29" s="11"/>
      <c r="C29" s="5"/>
      <c r="D29" s="4"/>
      <c r="E29" s="28">
        <f t="shared" si="0"/>
        <v>0</v>
      </c>
      <c r="F29" s="35"/>
      <c r="G29" s="28">
        <f t="shared" si="1"/>
        <v>0</v>
      </c>
      <c r="H29" s="28">
        <f t="shared" si="2"/>
        <v>0</v>
      </c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8"/>
      <c r="Y29" s="26"/>
      <c r="Z29" s="26"/>
      <c r="AA29" s="26"/>
      <c r="AB29" s="26">
        <f t="shared" si="3"/>
        <v>0</v>
      </c>
      <c r="AC29" s="29"/>
    </row>
    <row r="30" spans="1:30">
      <c r="A30" s="3"/>
      <c r="B30" s="11"/>
      <c r="C30" s="79"/>
      <c r="D30" s="4"/>
      <c r="E30" s="28">
        <f t="shared" si="0"/>
        <v>0</v>
      </c>
      <c r="F30" s="35"/>
      <c r="G30" s="28">
        <f t="shared" si="1"/>
        <v>0</v>
      </c>
      <c r="H30" s="28">
        <f t="shared" si="2"/>
        <v>0</v>
      </c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8"/>
      <c r="Y30" s="26"/>
      <c r="Z30" s="26"/>
      <c r="AA30" s="26"/>
      <c r="AB30" s="26">
        <f t="shared" si="3"/>
        <v>0</v>
      </c>
      <c r="AC30" s="29"/>
    </row>
    <row r="31" spans="1:30">
      <c r="A31" s="3"/>
      <c r="B31" s="11"/>
      <c r="C31" s="5"/>
      <c r="D31" s="4"/>
      <c r="E31" s="28">
        <f t="shared" si="0"/>
        <v>0</v>
      </c>
      <c r="F31" s="35"/>
      <c r="G31" s="28">
        <f t="shared" si="1"/>
        <v>0</v>
      </c>
      <c r="H31" s="28">
        <f t="shared" si="2"/>
        <v>0</v>
      </c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8"/>
      <c r="Y31" s="26"/>
      <c r="Z31" s="26"/>
      <c r="AA31" s="26"/>
      <c r="AB31" s="26">
        <f t="shared" si="3"/>
        <v>0</v>
      </c>
      <c r="AC31" s="29"/>
    </row>
    <row r="32" spans="1:30">
      <c r="A32" s="3"/>
      <c r="B32" s="11"/>
      <c r="C32" s="5"/>
      <c r="D32" s="4"/>
      <c r="E32" s="28">
        <f t="shared" si="0"/>
        <v>0</v>
      </c>
      <c r="F32" s="35"/>
      <c r="G32" s="28">
        <f t="shared" si="1"/>
        <v>0</v>
      </c>
      <c r="H32" s="28">
        <f t="shared" si="2"/>
        <v>0</v>
      </c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8"/>
      <c r="Y32" s="26"/>
      <c r="Z32" s="26"/>
      <c r="AA32" s="26"/>
      <c r="AB32" s="26">
        <f t="shared" si="3"/>
        <v>0</v>
      </c>
      <c r="AC32" s="29"/>
    </row>
    <row r="33" spans="1:38">
      <c r="A33" s="3"/>
      <c r="B33" s="11"/>
      <c r="C33" s="5"/>
      <c r="D33" s="4"/>
      <c r="E33" s="28">
        <f t="shared" si="0"/>
        <v>0</v>
      </c>
      <c r="F33" s="35"/>
      <c r="G33" s="28">
        <f t="shared" si="1"/>
        <v>0</v>
      </c>
      <c r="H33" s="28">
        <f t="shared" si="2"/>
        <v>0</v>
      </c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8"/>
      <c r="Y33" s="26"/>
      <c r="Z33" s="26"/>
      <c r="AA33" s="26"/>
      <c r="AB33" s="26">
        <f t="shared" si="3"/>
        <v>0</v>
      </c>
      <c r="AC33" s="29"/>
    </row>
    <row r="34" spans="1:38">
      <c r="A34" s="3"/>
      <c r="B34" s="11"/>
      <c r="C34" s="5"/>
      <c r="D34" s="4"/>
      <c r="E34" s="28">
        <f t="shared" si="0"/>
        <v>0</v>
      </c>
      <c r="F34" s="35"/>
      <c r="G34" s="28">
        <f t="shared" si="1"/>
        <v>0</v>
      </c>
      <c r="H34" s="28">
        <f t="shared" si="2"/>
        <v>0</v>
      </c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8"/>
      <c r="Y34" s="26"/>
      <c r="Z34" s="26"/>
      <c r="AA34" s="26"/>
      <c r="AB34" s="26">
        <f t="shared" si="3"/>
        <v>0</v>
      </c>
      <c r="AC34" s="29"/>
    </row>
    <row r="35" spans="1:38">
      <c r="A35" s="3"/>
      <c r="B35" s="11"/>
      <c r="C35" s="5"/>
      <c r="D35" s="4"/>
      <c r="E35" s="28">
        <f t="shared" si="0"/>
        <v>0</v>
      </c>
      <c r="F35" s="35"/>
      <c r="G35" s="28">
        <f t="shared" si="1"/>
        <v>0</v>
      </c>
      <c r="H35" s="28">
        <f t="shared" si="2"/>
        <v>0</v>
      </c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8"/>
      <c r="Y35" s="26"/>
      <c r="Z35" s="26"/>
      <c r="AA35" s="26"/>
      <c r="AB35" s="26">
        <f t="shared" si="3"/>
        <v>0</v>
      </c>
      <c r="AC35" s="29"/>
    </row>
    <row r="36" spans="1:38">
      <c r="A36" s="3"/>
      <c r="B36" s="11"/>
      <c r="C36" s="5"/>
      <c r="D36" s="4"/>
      <c r="E36" s="28">
        <f t="shared" si="0"/>
        <v>0</v>
      </c>
      <c r="F36" s="35"/>
      <c r="G36" s="28">
        <f t="shared" si="1"/>
        <v>0</v>
      </c>
      <c r="H36" s="28">
        <f t="shared" si="2"/>
        <v>0</v>
      </c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8"/>
      <c r="Y36" s="26"/>
      <c r="Z36" s="26"/>
      <c r="AA36" s="26"/>
      <c r="AB36" s="26">
        <f t="shared" si="3"/>
        <v>0</v>
      </c>
      <c r="AC36" s="29"/>
    </row>
    <row r="37" spans="1:38">
      <c r="A37" s="3"/>
      <c r="B37" s="11"/>
      <c r="C37" s="5"/>
      <c r="D37" s="4"/>
      <c r="E37" s="28">
        <f t="shared" si="0"/>
        <v>0</v>
      </c>
      <c r="F37" s="35"/>
      <c r="G37" s="28">
        <f t="shared" si="1"/>
        <v>0</v>
      </c>
      <c r="H37" s="28">
        <f t="shared" si="2"/>
        <v>0</v>
      </c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8"/>
      <c r="Y37" s="26"/>
      <c r="Z37" s="26"/>
      <c r="AA37" s="26"/>
      <c r="AB37" s="26">
        <f t="shared" si="3"/>
        <v>0</v>
      </c>
      <c r="AC37" s="29"/>
    </row>
    <row r="38" spans="1:38">
      <c r="A38" s="3"/>
      <c r="B38" s="11"/>
      <c r="C38" s="5"/>
      <c r="D38" s="4"/>
      <c r="E38" s="28">
        <f t="shared" si="0"/>
        <v>0</v>
      </c>
      <c r="F38" s="35"/>
      <c r="G38" s="28">
        <f t="shared" si="1"/>
        <v>0</v>
      </c>
      <c r="H38" s="28">
        <f t="shared" si="2"/>
        <v>0</v>
      </c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8"/>
      <c r="Y38" s="26"/>
      <c r="Z38" s="26"/>
      <c r="AA38" s="26"/>
      <c r="AB38" s="26">
        <f t="shared" si="3"/>
        <v>0</v>
      </c>
      <c r="AC38" s="29"/>
      <c r="AD38" s="36"/>
    </row>
    <row r="39" spans="1:38">
      <c r="A39" s="3"/>
      <c r="B39" s="11"/>
      <c r="C39" s="5"/>
      <c r="D39" s="4"/>
      <c r="E39" s="28">
        <f t="shared" si="0"/>
        <v>0</v>
      </c>
      <c r="F39" s="35"/>
      <c r="G39" s="28">
        <f t="shared" si="1"/>
        <v>0</v>
      </c>
      <c r="H39" s="28">
        <f t="shared" si="2"/>
        <v>0</v>
      </c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8"/>
      <c r="Y39" s="26"/>
      <c r="Z39" s="26"/>
      <c r="AA39" s="26"/>
      <c r="AB39" s="26">
        <f t="shared" si="3"/>
        <v>0</v>
      </c>
      <c r="AC39" s="29"/>
    </row>
    <row r="40" spans="1:38">
      <c r="A40" s="3"/>
      <c r="B40" s="11"/>
      <c r="C40" s="5"/>
      <c r="D40" s="4"/>
      <c r="E40" s="28">
        <f t="shared" si="0"/>
        <v>0</v>
      </c>
      <c r="F40" s="28"/>
      <c r="G40" s="28">
        <f t="shared" si="1"/>
        <v>0</v>
      </c>
      <c r="H40" s="28">
        <f t="shared" si="2"/>
        <v>0</v>
      </c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8"/>
      <c r="Y40" s="26"/>
      <c r="Z40" s="26"/>
      <c r="AA40" s="26"/>
      <c r="AB40" s="26">
        <f t="shared" si="3"/>
        <v>0</v>
      </c>
      <c r="AC40" s="29"/>
    </row>
    <row r="41" spans="1:38">
      <c r="A41" s="3"/>
      <c r="B41" s="11"/>
      <c r="C41" s="5"/>
      <c r="D41" s="4"/>
      <c r="E41" s="28">
        <f t="shared" si="0"/>
        <v>0</v>
      </c>
      <c r="F41" s="35"/>
      <c r="G41" s="28">
        <f t="shared" si="1"/>
        <v>0</v>
      </c>
      <c r="H41" s="28">
        <f t="shared" si="2"/>
        <v>0</v>
      </c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8"/>
      <c r="Y41" s="26"/>
      <c r="Z41" s="26"/>
      <c r="AA41" s="26"/>
      <c r="AB41" s="37">
        <f t="shared" ref="AB41:AB46" si="4">SUM(J41:Y41)</f>
        <v>0</v>
      </c>
      <c r="AC41" s="29"/>
    </row>
    <row r="42" spans="1:38" s="12" customFormat="1">
      <c r="A42" s="3"/>
      <c r="B42" s="11"/>
      <c r="C42" s="5"/>
      <c r="D42" s="4"/>
      <c r="E42" s="28">
        <f t="shared" si="0"/>
        <v>0</v>
      </c>
      <c r="F42" s="35"/>
      <c r="G42" s="28">
        <f t="shared" si="1"/>
        <v>0</v>
      </c>
      <c r="H42" s="28">
        <f t="shared" si="2"/>
        <v>0</v>
      </c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8"/>
      <c r="Y42" s="26"/>
      <c r="Z42" s="26"/>
      <c r="AA42" s="26"/>
      <c r="AB42" s="38">
        <f t="shared" si="4"/>
        <v>0</v>
      </c>
      <c r="AC42" s="31"/>
      <c r="AE42"/>
      <c r="AF42"/>
      <c r="AG42"/>
      <c r="AH42"/>
      <c r="AI42"/>
      <c r="AJ42"/>
      <c r="AK42"/>
      <c r="AL42"/>
    </row>
    <row r="43" spans="1:38">
      <c r="A43" s="3"/>
      <c r="B43" s="11"/>
      <c r="C43" s="5"/>
      <c r="D43" s="4"/>
      <c r="E43" s="28">
        <f t="shared" si="0"/>
        <v>0</v>
      </c>
      <c r="F43" s="28"/>
      <c r="G43" s="28">
        <f t="shared" si="1"/>
        <v>0</v>
      </c>
      <c r="H43" s="28">
        <f t="shared" si="2"/>
        <v>0</v>
      </c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8"/>
      <c r="Y43" s="26"/>
      <c r="Z43" s="26"/>
      <c r="AA43" s="26"/>
      <c r="AB43" s="37">
        <f t="shared" si="4"/>
        <v>0</v>
      </c>
      <c r="AC43" s="29"/>
    </row>
    <row r="44" spans="1:38">
      <c r="A44" s="3"/>
      <c r="B44" s="11"/>
      <c r="C44" s="5"/>
      <c r="D44" s="4"/>
      <c r="E44" s="28">
        <f t="shared" si="0"/>
        <v>0</v>
      </c>
      <c r="F44" s="35"/>
      <c r="G44" s="28">
        <f t="shared" si="1"/>
        <v>0</v>
      </c>
      <c r="H44" s="28">
        <f t="shared" si="2"/>
        <v>0</v>
      </c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8"/>
      <c r="Y44" s="26"/>
      <c r="Z44" s="26"/>
      <c r="AA44" s="26"/>
      <c r="AB44" s="37">
        <f t="shared" si="4"/>
        <v>0</v>
      </c>
      <c r="AC44" s="29"/>
    </row>
    <row r="45" spans="1:38">
      <c r="A45" s="3"/>
      <c r="B45" s="11"/>
      <c r="C45" s="5"/>
      <c r="D45" s="4"/>
      <c r="E45" s="28">
        <f t="shared" si="0"/>
        <v>0</v>
      </c>
      <c r="F45" s="35"/>
      <c r="G45" s="28">
        <f t="shared" si="1"/>
        <v>0</v>
      </c>
      <c r="H45" s="28">
        <f t="shared" si="2"/>
        <v>0</v>
      </c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8"/>
      <c r="Y45" s="26"/>
      <c r="Z45" s="26"/>
      <c r="AA45" s="26"/>
      <c r="AB45" s="37">
        <f t="shared" si="4"/>
        <v>0</v>
      </c>
      <c r="AC45" s="29"/>
    </row>
    <row r="46" spans="1:38">
      <c r="A46" s="3"/>
      <c r="B46" s="11"/>
      <c r="C46" s="5"/>
      <c r="D46" s="4"/>
      <c r="E46" s="28">
        <f t="shared" si="0"/>
        <v>0</v>
      </c>
      <c r="F46" s="28"/>
      <c r="G46" s="28">
        <f t="shared" si="1"/>
        <v>0</v>
      </c>
      <c r="H46" s="28">
        <f t="shared" si="2"/>
        <v>0</v>
      </c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8"/>
      <c r="Y46" s="26"/>
      <c r="Z46" s="26"/>
      <c r="AA46" s="26"/>
      <c r="AB46" s="37">
        <f t="shared" si="4"/>
        <v>0</v>
      </c>
      <c r="AC46" s="29"/>
    </row>
    <row r="47" spans="1:38">
      <c r="A47" s="3"/>
      <c r="B47" s="11"/>
      <c r="C47" s="5"/>
      <c r="D47" s="4"/>
      <c r="E47" s="28">
        <f t="shared" si="0"/>
        <v>0</v>
      </c>
      <c r="F47" s="28"/>
      <c r="G47" s="28">
        <f t="shared" si="1"/>
        <v>0</v>
      </c>
      <c r="H47" s="28">
        <f t="shared" si="2"/>
        <v>0</v>
      </c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8"/>
      <c r="Y47" s="26"/>
      <c r="Z47" s="26"/>
      <c r="AA47" s="26"/>
      <c r="AB47" s="26">
        <f t="shared" ref="AB47:AB110" si="5">SUM(J47:X47)</f>
        <v>0</v>
      </c>
      <c r="AC47" s="29"/>
    </row>
    <row r="48" spans="1:38" s="12" customFormat="1">
      <c r="A48" s="3"/>
      <c r="B48" s="11"/>
      <c r="C48" s="5"/>
      <c r="D48" s="4"/>
      <c r="E48" s="28">
        <f t="shared" si="0"/>
        <v>0</v>
      </c>
      <c r="F48" s="28"/>
      <c r="G48" s="28">
        <f t="shared" si="1"/>
        <v>0</v>
      </c>
      <c r="H48" s="28">
        <f t="shared" si="2"/>
        <v>0</v>
      </c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8"/>
      <c r="Y48" s="26"/>
      <c r="Z48" s="26"/>
      <c r="AA48" s="26"/>
      <c r="AB48" s="33">
        <f t="shared" si="5"/>
        <v>0</v>
      </c>
      <c r="AC48" s="31"/>
      <c r="AE48"/>
      <c r="AF48"/>
      <c r="AG48"/>
      <c r="AH48"/>
      <c r="AI48"/>
      <c r="AJ48"/>
      <c r="AK48"/>
      <c r="AL48"/>
    </row>
    <row r="49" spans="1:29">
      <c r="A49" s="3"/>
      <c r="B49" s="11"/>
      <c r="C49" s="5"/>
      <c r="D49" s="4"/>
      <c r="E49" s="28">
        <f t="shared" si="0"/>
        <v>0</v>
      </c>
      <c r="F49" s="28"/>
      <c r="G49" s="28">
        <f t="shared" si="1"/>
        <v>0</v>
      </c>
      <c r="H49" s="28">
        <f t="shared" si="2"/>
        <v>0</v>
      </c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8"/>
      <c r="Y49" s="26"/>
      <c r="Z49" s="26"/>
      <c r="AA49" s="26"/>
      <c r="AB49" s="26">
        <f t="shared" si="5"/>
        <v>0</v>
      </c>
      <c r="AC49" s="29"/>
    </row>
    <row r="50" spans="1:29">
      <c r="A50" s="3"/>
      <c r="B50" s="11"/>
      <c r="C50" s="5"/>
      <c r="D50" s="4"/>
      <c r="E50" s="28">
        <f t="shared" si="0"/>
        <v>0</v>
      </c>
      <c r="F50" s="28"/>
      <c r="G50" s="28">
        <f t="shared" si="1"/>
        <v>0</v>
      </c>
      <c r="H50" s="28">
        <f t="shared" si="2"/>
        <v>0</v>
      </c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8"/>
      <c r="Y50" s="26"/>
      <c r="Z50" s="26"/>
      <c r="AA50" s="26"/>
      <c r="AB50" s="26">
        <f t="shared" si="5"/>
        <v>0</v>
      </c>
      <c r="AC50" s="29"/>
    </row>
    <row r="51" spans="1:29">
      <c r="A51" s="3"/>
      <c r="B51" s="11"/>
      <c r="C51" s="5"/>
      <c r="D51" s="4"/>
      <c r="E51" s="28">
        <f t="shared" si="0"/>
        <v>0</v>
      </c>
      <c r="F51" s="28"/>
      <c r="G51" s="28">
        <f t="shared" si="1"/>
        <v>0</v>
      </c>
      <c r="H51" s="28">
        <f t="shared" si="2"/>
        <v>0</v>
      </c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8"/>
      <c r="Y51" s="26"/>
      <c r="Z51" s="26"/>
      <c r="AA51" s="26"/>
      <c r="AB51" s="26">
        <f t="shared" si="5"/>
        <v>0</v>
      </c>
      <c r="AC51" s="29"/>
    </row>
    <row r="52" spans="1:29">
      <c r="A52" s="3"/>
      <c r="B52" s="11"/>
      <c r="C52" s="5"/>
      <c r="D52" s="4"/>
      <c r="E52" s="28">
        <f t="shared" si="0"/>
        <v>0</v>
      </c>
      <c r="F52" s="28"/>
      <c r="G52" s="28">
        <f t="shared" si="1"/>
        <v>0</v>
      </c>
      <c r="H52" s="28">
        <f t="shared" si="2"/>
        <v>0</v>
      </c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8"/>
      <c r="Y52" s="26"/>
      <c r="Z52" s="26"/>
      <c r="AA52" s="26"/>
      <c r="AB52" s="26">
        <f t="shared" si="5"/>
        <v>0</v>
      </c>
      <c r="AC52" s="29"/>
    </row>
    <row r="53" spans="1:29">
      <c r="A53" s="3"/>
      <c r="B53" s="11"/>
      <c r="C53" s="5"/>
      <c r="D53" s="4"/>
      <c r="E53" s="28">
        <f t="shared" si="0"/>
        <v>0</v>
      </c>
      <c r="F53" s="28"/>
      <c r="G53" s="28">
        <f t="shared" si="1"/>
        <v>0</v>
      </c>
      <c r="H53" s="28">
        <f t="shared" si="2"/>
        <v>0</v>
      </c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8"/>
      <c r="Y53" s="26"/>
      <c r="Z53" s="26"/>
      <c r="AA53" s="26"/>
      <c r="AB53" s="26">
        <f t="shared" si="5"/>
        <v>0</v>
      </c>
      <c r="AC53" s="29"/>
    </row>
    <row r="54" spans="1:29">
      <c r="A54" s="3"/>
      <c r="B54" s="11"/>
      <c r="C54" s="5"/>
      <c r="D54" s="4"/>
      <c r="E54" s="28">
        <f t="shared" si="0"/>
        <v>0</v>
      </c>
      <c r="F54" s="28"/>
      <c r="G54" s="28">
        <f t="shared" si="1"/>
        <v>0</v>
      </c>
      <c r="H54" s="28">
        <f t="shared" si="2"/>
        <v>0</v>
      </c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8"/>
      <c r="Y54" s="26"/>
      <c r="Z54" s="26"/>
      <c r="AA54" s="26"/>
      <c r="AB54" s="26">
        <f t="shared" si="5"/>
        <v>0</v>
      </c>
      <c r="AC54" s="29"/>
    </row>
    <row r="55" spans="1:29">
      <c r="A55" s="3"/>
      <c r="B55" s="11"/>
      <c r="C55" s="5"/>
      <c r="D55" s="4"/>
      <c r="E55" s="28">
        <f t="shared" si="0"/>
        <v>0</v>
      </c>
      <c r="F55" s="28"/>
      <c r="G55" s="28">
        <f t="shared" si="1"/>
        <v>0</v>
      </c>
      <c r="H55" s="28">
        <f t="shared" si="2"/>
        <v>0</v>
      </c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8"/>
      <c r="Y55" s="26"/>
      <c r="Z55" s="26"/>
      <c r="AA55" s="26"/>
      <c r="AB55" s="26">
        <f t="shared" si="5"/>
        <v>0</v>
      </c>
      <c r="AC55" s="29"/>
    </row>
    <row r="56" spans="1:29">
      <c r="A56" s="3"/>
      <c r="B56" s="11"/>
      <c r="C56" s="5"/>
      <c r="D56" s="4"/>
      <c r="E56" s="28">
        <f t="shared" si="0"/>
        <v>0</v>
      </c>
      <c r="F56" s="28"/>
      <c r="G56" s="28">
        <f t="shared" si="1"/>
        <v>0</v>
      </c>
      <c r="H56" s="28">
        <f t="shared" si="2"/>
        <v>0</v>
      </c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8"/>
      <c r="Y56" s="26"/>
      <c r="Z56" s="26"/>
      <c r="AA56" s="26"/>
      <c r="AB56" s="26">
        <f t="shared" si="5"/>
        <v>0</v>
      </c>
      <c r="AC56" s="29"/>
    </row>
    <row r="57" spans="1:29">
      <c r="A57" s="3"/>
      <c r="B57" s="11"/>
      <c r="C57" s="5"/>
      <c r="D57" s="4"/>
      <c r="E57" s="28">
        <f t="shared" si="0"/>
        <v>0</v>
      </c>
      <c r="F57" s="35"/>
      <c r="G57" s="28">
        <f t="shared" si="1"/>
        <v>0</v>
      </c>
      <c r="H57" s="28">
        <f t="shared" si="2"/>
        <v>0</v>
      </c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8"/>
      <c r="Y57" s="26"/>
      <c r="Z57" s="26"/>
      <c r="AA57" s="26"/>
      <c r="AB57" s="26">
        <f t="shared" si="5"/>
        <v>0</v>
      </c>
      <c r="AC57" s="29"/>
    </row>
    <row r="58" spans="1:29">
      <c r="A58" s="3"/>
      <c r="B58" s="11"/>
      <c r="C58" s="5"/>
      <c r="D58" s="4"/>
      <c r="E58" s="28">
        <f t="shared" si="0"/>
        <v>0</v>
      </c>
      <c r="F58" s="35"/>
      <c r="G58" s="28">
        <f t="shared" si="1"/>
        <v>0</v>
      </c>
      <c r="H58" s="28">
        <f t="shared" si="2"/>
        <v>0</v>
      </c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8"/>
      <c r="Y58" s="26"/>
      <c r="Z58" s="26"/>
      <c r="AA58" s="26"/>
      <c r="AB58" s="26">
        <f t="shared" si="5"/>
        <v>0</v>
      </c>
      <c r="AC58" s="29"/>
    </row>
    <row r="59" spans="1:29">
      <c r="A59" s="3"/>
      <c r="B59" s="11"/>
      <c r="C59" s="5"/>
      <c r="D59" s="4"/>
      <c r="E59" s="28">
        <f t="shared" si="0"/>
        <v>0</v>
      </c>
      <c r="F59" s="35"/>
      <c r="G59" s="28">
        <f t="shared" si="1"/>
        <v>0</v>
      </c>
      <c r="H59" s="28">
        <f t="shared" si="2"/>
        <v>0</v>
      </c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8"/>
      <c r="Y59" s="26"/>
      <c r="Z59" s="26"/>
      <c r="AA59" s="26"/>
      <c r="AB59" s="26">
        <f t="shared" si="5"/>
        <v>0</v>
      </c>
      <c r="AC59" s="29"/>
    </row>
    <row r="60" spans="1:29">
      <c r="A60" s="3"/>
      <c r="B60" s="11"/>
      <c r="C60" s="5"/>
      <c r="D60" s="4"/>
      <c r="E60" s="28">
        <f t="shared" si="0"/>
        <v>0</v>
      </c>
      <c r="F60" s="35"/>
      <c r="G60" s="28">
        <f t="shared" si="1"/>
        <v>0</v>
      </c>
      <c r="H60" s="28">
        <f t="shared" si="2"/>
        <v>0</v>
      </c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8"/>
      <c r="Y60" s="26"/>
      <c r="Z60" s="26"/>
      <c r="AA60" s="26"/>
      <c r="AB60" s="26">
        <f t="shared" si="5"/>
        <v>0</v>
      </c>
      <c r="AC60" s="29"/>
    </row>
    <row r="61" spans="1:29">
      <c r="A61" s="3"/>
      <c r="B61" s="11"/>
      <c r="C61" s="5"/>
      <c r="D61" s="4"/>
      <c r="E61" s="28">
        <f t="shared" si="0"/>
        <v>0</v>
      </c>
      <c r="F61" s="28"/>
      <c r="G61" s="28">
        <f t="shared" si="1"/>
        <v>0</v>
      </c>
      <c r="H61" s="28">
        <f t="shared" si="2"/>
        <v>0</v>
      </c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8"/>
      <c r="Y61" s="26"/>
      <c r="Z61" s="26"/>
      <c r="AA61" s="26"/>
      <c r="AB61" s="26">
        <f t="shared" si="5"/>
        <v>0</v>
      </c>
      <c r="AC61" s="29"/>
    </row>
    <row r="62" spans="1:29">
      <c r="A62" s="3"/>
      <c r="B62" s="11"/>
      <c r="C62" s="5"/>
      <c r="D62" s="4"/>
      <c r="E62" s="28">
        <f t="shared" si="0"/>
        <v>0</v>
      </c>
      <c r="F62" s="28"/>
      <c r="G62" s="28">
        <f t="shared" si="1"/>
        <v>0</v>
      </c>
      <c r="H62" s="28">
        <f t="shared" si="2"/>
        <v>0</v>
      </c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8"/>
      <c r="Y62" s="26"/>
      <c r="Z62" s="26"/>
      <c r="AA62" s="26"/>
      <c r="AB62" s="26">
        <f t="shared" si="5"/>
        <v>0</v>
      </c>
      <c r="AC62" s="29"/>
    </row>
    <row r="63" spans="1:29">
      <c r="A63" s="3"/>
      <c r="B63" s="11"/>
      <c r="C63" s="5"/>
      <c r="D63" s="4"/>
      <c r="E63" s="28">
        <f t="shared" si="0"/>
        <v>0</v>
      </c>
      <c r="F63" s="28"/>
      <c r="G63" s="28">
        <f t="shared" si="1"/>
        <v>0</v>
      </c>
      <c r="H63" s="28">
        <f t="shared" si="2"/>
        <v>0</v>
      </c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8"/>
      <c r="Y63" s="26"/>
      <c r="Z63" s="26"/>
      <c r="AA63" s="26"/>
      <c r="AB63" s="26">
        <f t="shared" si="5"/>
        <v>0</v>
      </c>
      <c r="AC63" s="29"/>
    </row>
    <row r="64" spans="1:29">
      <c r="A64" s="3"/>
      <c r="B64" s="11"/>
      <c r="C64" s="5"/>
      <c r="D64" s="4"/>
      <c r="E64" s="28">
        <f t="shared" si="0"/>
        <v>0</v>
      </c>
      <c r="F64" s="28"/>
      <c r="G64" s="28">
        <f t="shared" si="1"/>
        <v>0</v>
      </c>
      <c r="H64" s="28">
        <f t="shared" si="2"/>
        <v>0</v>
      </c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8"/>
      <c r="Y64" s="26"/>
      <c r="Z64" s="26"/>
      <c r="AA64" s="26"/>
      <c r="AB64" s="26">
        <f t="shared" si="5"/>
        <v>0</v>
      </c>
      <c r="AC64" s="29"/>
    </row>
    <row r="65" spans="1:29">
      <c r="A65" s="3"/>
      <c r="B65" s="11"/>
      <c r="C65" s="5"/>
      <c r="D65" s="4"/>
      <c r="E65" s="28">
        <f t="shared" si="0"/>
        <v>0</v>
      </c>
      <c r="F65" s="28"/>
      <c r="G65" s="28">
        <f t="shared" si="1"/>
        <v>0</v>
      </c>
      <c r="H65" s="28">
        <f t="shared" si="2"/>
        <v>0</v>
      </c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8"/>
      <c r="Y65" s="26"/>
      <c r="Z65" s="26"/>
      <c r="AA65" s="26"/>
      <c r="AB65" s="26">
        <f t="shared" si="5"/>
        <v>0</v>
      </c>
      <c r="AC65" s="29"/>
    </row>
    <row r="66" spans="1:29">
      <c r="A66" s="3"/>
      <c r="B66" s="11"/>
      <c r="C66" s="5"/>
      <c r="D66" s="4"/>
      <c r="E66" s="28">
        <f t="shared" si="0"/>
        <v>0</v>
      </c>
      <c r="F66" s="28"/>
      <c r="G66" s="28">
        <f t="shared" si="1"/>
        <v>0</v>
      </c>
      <c r="H66" s="28">
        <f t="shared" si="2"/>
        <v>0</v>
      </c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8"/>
      <c r="Y66" s="26"/>
      <c r="Z66" s="26"/>
      <c r="AA66" s="26"/>
      <c r="AB66" s="26">
        <f t="shared" si="5"/>
        <v>0</v>
      </c>
      <c r="AC66" s="29"/>
    </row>
    <row r="67" spans="1:29">
      <c r="A67" s="3"/>
      <c r="B67" s="11"/>
      <c r="C67" s="5"/>
      <c r="D67" s="4"/>
      <c r="E67" s="28">
        <f t="shared" si="0"/>
        <v>0</v>
      </c>
      <c r="F67" s="28"/>
      <c r="G67" s="28">
        <f t="shared" si="1"/>
        <v>0</v>
      </c>
      <c r="H67" s="28">
        <f t="shared" si="2"/>
        <v>0</v>
      </c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8"/>
      <c r="Y67" s="26"/>
      <c r="Z67" s="26"/>
      <c r="AA67" s="26"/>
      <c r="AB67" s="26">
        <f t="shared" si="5"/>
        <v>0</v>
      </c>
      <c r="AC67" s="29"/>
    </row>
    <row r="68" spans="1:29">
      <c r="A68" s="3"/>
      <c r="B68" s="11"/>
      <c r="C68" s="5"/>
      <c r="D68" s="4"/>
      <c r="E68" s="28">
        <f t="shared" si="0"/>
        <v>0</v>
      </c>
      <c r="F68" s="28"/>
      <c r="G68" s="28">
        <f t="shared" si="1"/>
        <v>0</v>
      </c>
      <c r="H68" s="28">
        <f t="shared" si="2"/>
        <v>0</v>
      </c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8"/>
      <c r="Y68" s="26"/>
      <c r="Z68" s="26"/>
      <c r="AA68" s="26"/>
      <c r="AB68" s="26">
        <f t="shared" si="5"/>
        <v>0</v>
      </c>
      <c r="AC68" s="29"/>
    </row>
    <row r="69" spans="1:29">
      <c r="A69" s="3"/>
      <c r="B69" s="11"/>
      <c r="C69" s="5"/>
      <c r="D69" s="4"/>
      <c r="E69" s="28">
        <f t="shared" si="0"/>
        <v>0</v>
      </c>
      <c r="F69" s="28"/>
      <c r="G69" s="28">
        <f t="shared" si="1"/>
        <v>0</v>
      </c>
      <c r="H69" s="28">
        <f t="shared" si="2"/>
        <v>0</v>
      </c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8"/>
      <c r="Y69" s="26"/>
      <c r="Z69" s="26"/>
      <c r="AA69" s="26"/>
      <c r="AB69" s="26">
        <f t="shared" si="5"/>
        <v>0</v>
      </c>
      <c r="AC69" s="29"/>
    </row>
    <row r="70" spans="1:29">
      <c r="A70" s="3"/>
      <c r="B70" s="11"/>
      <c r="C70" s="5"/>
      <c r="D70" s="4"/>
      <c r="E70" s="28">
        <f t="shared" si="0"/>
        <v>0</v>
      </c>
      <c r="F70" s="28"/>
      <c r="G70" s="28">
        <f t="shared" si="1"/>
        <v>0</v>
      </c>
      <c r="H70" s="28">
        <f t="shared" si="2"/>
        <v>0</v>
      </c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8"/>
      <c r="Y70" s="26"/>
      <c r="Z70" s="26"/>
      <c r="AA70" s="26"/>
      <c r="AB70" s="26">
        <f t="shared" si="5"/>
        <v>0</v>
      </c>
      <c r="AC70" s="29"/>
    </row>
    <row r="71" spans="1:29">
      <c r="A71" s="3"/>
      <c r="B71" s="11"/>
      <c r="C71" s="5"/>
      <c r="D71" s="4"/>
      <c r="E71" s="28">
        <f t="shared" si="0"/>
        <v>0</v>
      </c>
      <c r="F71" s="28"/>
      <c r="G71" s="28">
        <f t="shared" si="1"/>
        <v>0</v>
      </c>
      <c r="H71" s="28">
        <f t="shared" si="2"/>
        <v>0</v>
      </c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8"/>
      <c r="Y71" s="26"/>
      <c r="Z71" s="26"/>
      <c r="AA71" s="26"/>
      <c r="AB71" s="26">
        <f t="shared" si="5"/>
        <v>0</v>
      </c>
      <c r="AC71" s="29"/>
    </row>
    <row r="72" spans="1:29">
      <c r="A72" s="3"/>
      <c r="B72" s="11"/>
      <c r="C72" s="5"/>
      <c r="D72" s="4"/>
      <c r="E72" s="28">
        <f t="shared" si="0"/>
        <v>0</v>
      </c>
      <c r="F72" s="28"/>
      <c r="G72" s="28">
        <f t="shared" si="1"/>
        <v>0</v>
      </c>
      <c r="H72" s="28">
        <f t="shared" si="2"/>
        <v>0</v>
      </c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8"/>
      <c r="Y72" s="26"/>
      <c r="Z72" s="26"/>
      <c r="AA72" s="26"/>
      <c r="AB72" s="26">
        <f t="shared" si="5"/>
        <v>0</v>
      </c>
      <c r="AC72" s="29"/>
    </row>
    <row r="73" spans="1:29">
      <c r="A73" s="3"/>
      <c r="B73" s="11"/>
      <c r="C73" s="5"/>
      <c r="D73" s="4"/>
      <c r="E73" s="28">
        <f t="shared" si="0"/>
        <v>0</v>
      </c>
      <c r="F73" s="28"/>
      <c r="G73" s="28">
        <f t="shared" si="1"/>
        <v>0</v>
      </c>
      <c r="H73" s="28">
        <f t="shared" si="2"/>
        <v>0</v>
      </c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8"/>
      <c r="Y73" s="26"/>
      <c r="Z73" s="26"/>
      <c r="AA73" s="26"/>
      <c r="AB73" s="26">
        <f t="shared" si="5"/>
        <v>0</v>
      </c>
      <c r="AC73" s="29"/>
    </row>
    <row r="74" spans="1:29">
      <c r="A74" s="3"/>
      <c r="B74" s="11"/>
      <c r="C74" s="5"/>
      <c r="D74" s="4"/>
      <c r="E74" s="28">
        <f t="shared" si="0"/>
        <v>0</v>
      </c>
      <c r="F74" s="28"/>
      <c r="G74" s="28">
        <f t="shared" si="1"/>
        <v>0</v>
      </c>
      <c r="H74" s="28">
        <f t="shared" si="2"/>
        <v>0</v>
      </c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8"/>
      <c r="Y74" s="26"/>
      <c r="Z74" s="26"/>
      <c r="AA74" s="26"/>
      <c r="AB74" s="26">
        <f t="shared" si="5"/>
        <v>0</v>
      </c>
      <c r="AC74" s="29"/>
    </row>
    <row r="75" spans="1:29">
      <c r="A75" s="3"/>
      <c r="B75" s="11"/>
      <c r="C75" s="5"/>
      <c r="D75" s="4"/>
      <c r="E75" s="28">
        <f t="shared" ref="E75:E115" si="6">+D75*3.276</f>
        <v>0</v>
      </c>
      <c r="F75" s="28"/>
      <c r="G75" s="28">
        <f t="shared" ref="G75:G115" si="7">+F75*3.588</f>
        <v>0</v>
      </c>
      <c r="H75" s="28">
        <f t="shared" ref="H75:H115" si="8">+E75+G75</f>
        <v>0</v>
      </c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8"/>
      <c r="Y75" s="26"/>
      <c r="Z75" s="26"/>
      <c r="AA75" s="26"/>
      <c r="AB75" s="26">
        <f t="shared" si="5"/>
        <v>0</v>
      </c>
      <c r="AC75" s="29"/>
    </row>
    <row r="76" spans="1:29">
      <c r="A76" s="3"/>
      <c r="B76" s="11"/>
      <c r="C76" s="5"/>
      <c r="D76" s="4"/>
      <c r="E76" s="28">
        <f t="shared" si="6"/>
        <v>0</v>
      </c>
      <c r="F76" s="28"/>
      <c r="G76" s="28">
        <f t="shared" si="7"/>
        <v>0</v>
      </c>
      <c r="H76" s="28">
        <f t="shared" si="8"/>
        <v>0</v>
      </c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8"/>
      <c r="Y76" s="26"/>
      <c r="Z76" s="26"/>
      <c r="AA76" s="26"/>
      <c r="AB76" s="26">
        <f t="shared" si="5"/>
        <v>0</v>
      </c>
      <c r="AC76" s="29"/>
    </row>
    <row r="77" spans="1:29">
      <c r="A77" s="3"/>
      <c r="B77" s="11"/>
      <c r="C77" s="5"/>
      <c r="D77" s="4"/>
      <c r="E77" s="28">
        <f t="shared" si="6"/>
        <v>0</v>
      </c>
      <c r="F77" s="28"/>
      <c r="G77" s="28">
        <f t="shared" si="7"/>
        <v>0</v>
      </c>
      <c r="H77" s="28">
        <f t="shared" si="8"/>
        <v>0</v>
      </c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8"/>
      <c r="Y77" s="26"/>
      <c r="Z77" s="26"/>
      <c r="AA77" s="26"/>
      <c r="AB77" s="26">
        <f t="shared" si="5"/>
        <v>0</v>
      </c>
      <c r="AC77" s="29"/>
    </row>
    <row r="78" spans="1:29">
      <c r="A78" s="3"/>
      <c r="B78" s="11"/>
      <c r="C78" s="5"/>
      <c r="D78" s="4"/>
      <c r="E78" s="28">
        <f t="shared" si="6"/>
        <v>0</v>
      </c>
      <c r="F78" s="28"/>
      <c r="G78" s="28">
        <f t="shared" si="7"/>
        <v>0</v>
      </c>
      <c r="H78" s="28">
        <f t="shared" si="8"/>
        <v>0</v>
      </c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8"/>
      <c r="Y78" s="26"/>
      <c r="Z78" s="26"/>
      <c r="AA78" s="26"/>
      <c r="AB78" s="26">
        <f t="shared" si="5"/>
        <v>0</v>
      </c>
      <c r="AC78" s="29"/>
    </row>
    <row r="79" spans="1:29">
      <c r="A79" s="3"/>
      <c r="B79" s="11"/>
      <c r="C79" s="5"/>
      <c r="D79" s="4"/>
      <c r="E79" s="28">
        <f t="shared" si="6"/>
        <v>0</v>
      </c>
      <c r="F79" s="28"/>
      <c r="G79" s="28">
        <f t="shared" si="7"/>
        <v>0</v>
      </c>
      <c r="H79" s="28">
        <f t="shared" si="8"/>
        <v>0</v>
      </c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8"/>
      <c r="Y79" s="26"/>
      <c r="Z79" s="26"/>
      <c r="AA79" s="26"/>
      <c r="AB79" s="26">
        <f t="shared" si="5"/>
        <v>0</v>
      </c>
      <c r="AC79" s="29"/>
    </row>
    <row r="80" spans="1:29">
      <c r="A80" s="3"/>
      <c r="B80" s="11"/>
      <c r="C80" s="5"/>
      <c r="D80" s="4"/>
      <c r="E80" s="28">
        <f t="shared" si="6"/>
        <v>0</v>
      </c>
      <c r="F80" s="28"/>
      <c r="G80" s="28">
        <f t="shared" si="7"/>
        <v>0</v>
      </c>
      <c r="H80" s="28">
        <f t="shared" si="8"/>
        <v>0</v>
      </c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8"/>
      <c r="Y80" s="26"/>
      <c r="Z80" s="26"/>
      <c r="AA80" s="26"/>
      <c r="AB80" s="26">
        <f t="shared" si="5"/>
        <v>0</v>
      </c>
      <c r="AC80" s="29"/>
    </row>
    <row r="81" spans="1:29">
      <c r="A81" s="3"/>
      <c r="B81" s="11"/>
      <c r="C81" s="5"/>
      <c r="D81" s="4"/>
      <c r="E81" s="28">
        <f t="shared" si="6"/>
        <v>0</v>
      </c>
      <c r="F81" s="28"/>
      <c r="G81" s="28">
        <f t="shared" si="7"/>
        <v>0</v>
      </c>
      <c r="H81" s="28">
        <f t="shared" si="8"/>
        <v>0</v>
      </c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8"/>
      <c r="Y81" s="26"/>
      <c r="Z81" s="26"/>
      <c r="AA81" s="26"/>
      <c r="AB81" s="26">
        <f t="shared" si="5"/>
        <v>0</v>
      </c>
      <c r="AC81" s="29"/>
    </row>
    <row r="82" spans="1:29">
      <c r="A82" s="3"/>
      <c r="B82" s="11"/>
      <c r="C82" s="5"/>
      <c r="D82" s="4"/>
      <c r="E82" s="28">
        <f t="shared" si="6"/>
        <v>0</v>
      </c>
      <c r="F82" s="28"/>
      <c r="G82" s="28">
        <f t="shared" si="7"/>
        <v>0</v>
      </c>
      <c r="H82" s="28">
        <f t="shared" si="8"/>
        <v>0</v>
      </c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8"/>
      <c r="Y82" s="26"/>
      <c r="Z82" s="26"/>
      <c r="AA82" s="26"/>
      <c r="AB82" s="26">
        <f t="shared" si="5"/>
        <v>0</v>
      </c>
      <c r="AC82" s="29"/>
    </row>
    <row r="83" spans="1:29">
      <c r="A83" s="3"/>
      <c r="B83" s="11"/>
      <c r="C83" s="5"/>
      <c r="D83" s="4"/>
      <c r="E83" s="28">
        <f t="shared" si="6"/>
        <v>0</v>
      </c>
      <c r="F83" s="28"/>
      <c r="G83" s="28">
        <f t="shared" si="7"/>
        <v>0</v>
      </c>
      <c r="H83" s="28">
        <f t="shared" si="8"/>
        <v>0</v>
      </c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8"/>
      <c r="Y83" s="26"/>
      <c r="Z83" s="26"/>
      <c r="AA83" s="26"/>
      <c r="AB83" s="26">
        <f t="shared" si="5"/>
        <v>0</v>
      </c>
      <c r="AC83" s="29"/>
    </row>
    <row r="84" spans="1:29">
      <c r="A84" s="3"/>
      <c r="B84" s="11"/>
      <c r="C84" s="5"/>
      <c r="D84" s="4"/>
      <c r="E84" s="28">
        <f t="shared" si="6"/>
        <v>0</v>
      </c>
      <c r="F84" s="28"/>
      <c r="G84" s="28">
        <f t="shared" si="7"/>
        <v>0</v>
      </c>
      <c r="H84" s="28">
        <f t="shared" si="8"/>
        <v>0</v>
      </c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8"/>
      <c r="Y84" s="26"/>
      <c r="Z84" s="26"/>
      <c r="AA84" s="26"/>
      <c r="AB84" s="26">
        <f t="shared" si="5"/>
        <v>0</v>
      </c>
      <c r="AC84" s="29"/>
    </row>
    <row r="85" spans="1:29">
      <c r="A85" s="3"/>
      <c r="B85" s="11"/>
      <c r="C85" s="5"/>
      <c r="D85" s="4"/>
      <c r="E85" s="28">
        <f t="shared" si="6"/>
        <v>0</v>
      </c>
      <c r="F85" s="28"/>
      <c r="G85" s="28">
        <f t="shared" si="7"/>
        <v>0</v>
      </c>
      <c r="H85" s="28">
        <f t="shared" si="8"/>
        <v>0</v>
      </c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8"/>
      <c r="Y85" s="26"/>
      <c r="Z85" s="26"/>
      <c r="AA85" s="26"/>
      <c r="AB85" s="26">
        <f t="shared" si="5"/>
        <v>0</v>
      </c>
      <c r="AC85" s="29"/>
    </row>
    <row r="86" spans="1:29">
      <c r="A86" s="3"/>
      <c r="B86" s="11"/>
      <c r="C86" s="5"/>
      <c r="D86" s="4"/>
      <c r="E86" s="28">
        <f t="shared" si="6"/>
        <v>0</v>
      </c>
      <c r="F86" s="28"/>
      <c r="G86" s="28">
        <f t="shared" si="7"/>
        <v>0</v>
      </c>
      <c r="H86" s="28">
        <f t="shared" si="8"/>
        <v>0</v>
      </c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8"/>
      <c r="Y86" s="26"/>
      <c r="Z86" s="26"/>
      <c r="AA86" s="26"/>
      <c r="AB86" s="26">
        <f t="shared" si="5"/>
        <v>0</v>
      </c>
      <c r="AC86" s="29"/>
    </row>
    <row r="87" spans="1:29">
      <c r="A87" s="3"/>
      <c r="B87" s="11"/>
      <c r="C87" s="5"/>
      <c r="D87" s="4"/>
      <c r="E87" s="28">
        <f t="shared" si="6"/>
        <v>0</v>
      </c>
      <c r="F87" s="28"/>
      <c r="G87" s="28">
        <f t="shared" si="7"/>
        <v>0</v>
      </c>
      <c r="H87" s="28">
        <f t="shared" si="8"/>
        <v>0</v>
      </c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8"/>
      <c r="Y87" s="26"/>
      <c r="Z87" s="26"/>
      <c r="AA87" s="26"/>
      <c r="AB87" s="26">
        <f t="shared" si="5"/>
        <v>0</v>
      </c>
      <c r="AC87" s="29"/>
    </row>
    <row r="88" spans="1:29">
      <c r="A88" s="3"/>
      <c r="B88" s="11"/>
      <c r="C88" s="5"/>
      <c r="D88" s="4"/>
      <c r="E88" s="28">
        <f t="shared" si="6"/>
        <v>0</v>
      </c>
      <c r="F88" s="28"/>
      <c r="G88" s="28">
        <f t="shared" si="7"/>
        <v>0</v>
      </c>
      <c r="H88" s="28">
        <f t="shared" si="8"/>
        <v>0</v>
      </c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8"/>
      <c r="Y88" s="26"/>
      <c r="Z88" s="26"/>
      <c r="AA88" s="26"/>
      <c r="AB88" s="26">
        <f t="shared" si="5"/>
        <v>0</v>
      </c>
      <c r="AC88" s="29"/>
    </row>
    <row r="89" spans="1:29">
      <c r="A89" s="3"/>
      <c r="B89" s="11"/>
      <c r="C89" s="5"/>
      <c r="D89" s="4"/>
      <c r="E89" s="28">
        <f t="shared" si="6"/>
        <v>0</v>
      </c>
      <c r="F89" s="28"/>
      <c r="G89" s="28">
        <f t="shared" si="7"/>
        <v>0</v>
      </c>
      <c r="H89" s="28">
        <f t="shared" si="8"/>
        <v>0</v>
      </c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8"/>
      <c r="Y89" s="26"/>
      <c r="Z89" s="26"/>
      <c r="AA89" s="26"/>
      <c r="AB89" s="26">
        <f t="shared" si="5"/>
        <v>0</v>
      </c>
      <c r="AC89" s="29"/>
    </row>
    <row r="90" spans="1:29">
      <c r="A90" s="3"/>
      <c r="B90" s="11"/>
      <c r="C90" s="5"/>
      <c r="D90" s="4"/>
      <c r="E90" s="28">
        <f t="shared" si="6"/>
        <v>0</v>
      </c>
      <c r="F90" s="28"/>
      <c r="G90" s="28">
        <f t="shared" si="7"/>
        <v>0</v>
      </c>
      <c r="H90" s="28">
        <f t="shared" si="8"/>
        <v>0</v>
      </c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8"/>
      <c r="Y90" s="26"/>
      <c r="Z90" s="26"/>
      <c r="AA90" s="26"/>
      <c r="AB90" s="26">
        <f t="shared" si="5"/>
        <v>0</v>
      </c>
      <c r="AC90" s="29"/>
    </row>
    <row r="91" spans="1:29">
      <c r="A91" s="3"/>
      <c r="B91" s="11"/>
      <c r="C91" s="5"/>
      <c r="D91" s="4"/>
      <c r="E91" s="28">
        <f t="shared" si="6"/>
        <v>0</v>
      </c>
      <c r="F91" s="28"/>
      <c r="G91" s="28">
        <f t="shared" si="7"/>
        <v>0</v>
      </c>
      <c r="H91" s="28">
        <f t="shared" si="8"/>
        <v>0</v>
      </c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8"/>
      <c r="Y91" s="26"/>
      <c r="Z91" s="26"/>
      <c r="AA91" s="26"/>
      <c r="AB91" s="26">
        <f t="shared" si="5"/>
        <v>0</v>
      </c>
      <c r="AC91" s="29"/>
    </row>
    <row r="92" spans="1:29">
      <c r="A92" s="3"/>
      <c r="B92" s="11"/>
      <c r="C92" s="5"/>
      <c r="D92" s="4"/>
      <c r="E92" s="28">
        <f t="shared" si="6"/>
        <v>0</v>
      </c>
      <c r="F92" s="28"/>
      <c r="G92" s="28">
        <f t="shared" si="7"/>
        <v>0</v>
      </c>
      <c r="H92" s="28">
        <f t="shared" si="8"/>
        <v>0</v>
      </c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8"/>
      <c r="Y92" s="26"/>
      <c r="Z92" s="26"/>
      <c r="AA92" s="26"/>
      <c r="AB92" s="26">
        <f t="shared" si="5"/>
        <v>0</v>
      </c>
      <c r="AC92" s="29"/>
    </row>
    <row r="93" spans="1:29">
      <c r="A93" s="3"/>
      <c r="B93" s="11"/>
      <c r="C93" s="5"/>
      <c r="D93" s="4"/>
      <c r="E93" s="28">
        <f t="shared" si="6"/>
        <v>0</v>
      </c>
      <c r="F93" s="28"/>
      <c r="G93" s="28">
        <f t="shared" si="7"/>
        <v>0</v>
      </c>
      <c r="H93" s="28">
        <f t="shared" si="8"/>
        <v>0</v>
      </c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8"/>
      <c r="Y93" s="26"/>
      <c r="Z93" s="26"/>
      <c r="AA93" s="26"/>
      <c r="AB93" s="26">
        <f t="shared" si="5"/>
        <v>0</v>
      </c>
      <c r="AC93" s="29"/>
    </row>
    <row r="94" spans="1:29">
      <c r="A94" s="3"/>
      <c r="B94" s="11"/>
      <c r="C94" s="5"/>
      <c r="D94" s="4"/>
      <c r="E94" s="28">
        <f t="shared" si="6"/>
        <v>0</v>
      </c>
      <c r="F94" s="28"/>
      <c r="G94" s="28">
        <f t="shared" si="7"/>
        <v>0</v>
      </c>
      <c r="H94" s="28">
        <f t="shared" si="8"/>
        <v>0</v>
      </c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8"/>
      <c r="Y94" s="26"/>
      <c r="Z94" s="26"/>
      <c r="AA94" s="26"/>
      <c r="AB94" s="26">
        <f t="shared" si="5"/>
        <v>0</v>
      </c>
      <c r="AC94" s="29"/>
    </row>
    <row r="95" spans="1:29">
      <c r="A95" s="3"/>
      <c r="B95" s="11"/>
      <c r="C95" s="5"/>
      <c r="D95" s="4"/>
      <c r="E95" s="28">
        <f t="shared" si="6"/>
        <v>0</v>
      </c>
      <c r="F95" s="28"/>
      <c r="G95" s="28">
        <f t="shared" si="7"/>
        <v>0</v>
      </c>
      <c r="H95" s="28">
        <f t="shared" si="8"/>
        <v>0</v>
      </c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8"/>
      <c r="Y95" s="26"/>
      <c r="Z95" s="26"/>
      <c r="AA95" s="26"/>
      <c r="AB95" s="26">
        <f t="shared" si="5"/>
        <v>0</v>
      </c>
      <c r="AC95" s="29"/>
    </row>
    <row r="96" spans="1:29">
      <c r="A96" s="3"/>
      <c r="B96" s="11"/>
      <c r="C96" s="5"/>
      <c r="D96" s="4"/>
      <c r="E96" s="28">
        <f t="shared" si="6"/>
        <v>0</v>
      </c>
      <c r="F96" s="28"/>
      <c r="G96" s="28">
        <f t="shared" si="7"/>
        <v>0</v>
      </c>
      <c r="H96" s="28">
        <f t="shared" si="8"/>
        <v>0</v>
      </c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8"/>
      <c r="Y96" s="26"/>
      <c r="Z96" s="26"/>
      <c r="AA96" s="26"/>
      <c r="AB96" s="26">
        <f t="shared" si="5"/>
        <v>0</v>
      </c>
      <c r="AC96" s="29"/>
    </row>
    <row r="97" spans="1:29">
      <c r="A97" s="3"/>
      <c r="B97" s="11"/>
      <c r="C97" s="5"/>
      <c r="D97" s="4"/>
      <c r="E97" s="28">
        <f t="shared" si="6"/>
        <v>0</v>
      </c>
      <c r="F97" s="28"/>
      <c r="G97" s="28">
        <f t="shared" si="7"/>
        <v>0</v>
      </c>
      <c r="H97" s="28">
        <f t="shared" si="8"/>
        <v>0</v>
      </c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8"/>
      <c r="Y97" s="26"/>
      <c r="Z97" s="26"/>
      <c r="AA97" s="26"/>
      <c r="AB97" s="26">
        <f t="shared" si="5"/>
        <v>0</v>
      </c>
      <c r="AC97" s="29"/>
    </row>
    <row r="98" spans="1:29">
      <c r="A98" s="3"/>
      <c r="B98" s="11"/>
      <c r="C98" s="5"/>
      <c r="D98" s="4"/>
      <c r="E98" s="28">
        <f t="shared" si="6"/>
        <v>0</v>
      </c>
      <c r="F98" s="28"/>
      <c r="G98" s="28">
        <f t="shared" si="7"/>
        <v>0</v>
      </c>
      <c r="H98" s="28">
        <f t="shared" si="8"/>
        <v>0</v>
      </c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8"/>
      <c r="Y98" s="26"/>
      <c r="Z98" s="26"/>
      <c r="AA98" s="26"/>
      <c r="AB98" s="26">
        <f t="shared" si="5"/>
        <v>0</v>
      </c>
      <c r="AC98" s="29"/>
    </row>
    <row r="99" spans="1:29">
      <c r="A99" s="3"/>
      <c r="B99" s="11"/>
      <c r="C99" s="5"/>
      <c r="D99" s="4"/>
      <c r="E99" s="28">
        <f t="shared" si="6"/>
        <v>0</v>
      </c>
      <c r="F99" s="28"/>
      <c r="G99" s="28">
        <f t="shared" si="7"/>
        <v>0</v>
      </c>
      <c r="H99" s="28">
        <f t="shared" si="8"/>
        <v>0</v>
      </c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8"/>
      <c r="Y99" s="26"/>
      <c r="Z99" s="26"/>
      <c r="AA99" s="26"/>
      <c r="AB99" s="26">
        <f t="shared" si="5"/>
        <v>0</v>
      </c>
      <c r="AC99" s="29"/>
    </row>
    <row r="100" spans="1:29">
      <c r="A100" s="3"/>
      <c r="B100" s="11"/>
      <c r="C100" s="5"/>
      <c r="D100" s="4"/>
      <c r="E100" s="28">
        <f t="shared" si="6"/>
        <v>0</v>
      </c>
      <c r="F100" s="28"/>
      <c r="G100" s="28">
        <f t="shared" si="7"/>
        <v>0</v>
      </c>
      <c r="H100" s="28">
        <f t="shared" si="8"/>
        <v>0</v>
      </c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8"/>
      <c r="Y100" s="26"/>
      <c r="Z100" s="26"/>
      <c r="AA100" s="26"/>
      <c r="AB100" s="26">
        <f t="shared" si="5"/>
        <v>0</v>
      </c>
      <c r="AC100" s="29"/>
    </row>
    <row r="101" spans="1:29">
      <c r="A101" s="3"/>
      <c r="B101" s="11"/>
      <c r="C101" s="5"/>
      <c r="D101" s="4"/>
      <c r="E101" s="28">
        <f t="shared" si="6"/>
        <v>0</v>
      </c>
      <c r="F101" s="28"/>
      <c r="G101" s="28">
        <f t="shared" si="7"/>
        <v>0</v>
      </c>
      <c r="H101" s="28">
        <f t="shared" si="8"/>
        <v>0</v>
      </c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8"/>
      <c r="Y101" s="26"/>
      <c r="Z101" s="26"/>
      <c r="AA101" s="26"/>
      <c r="AB101" s="26">
        <f t="shared" si="5"/>
        <v>0</v>
      </c>
      <c r="AC101" s="29"/>
    </row>
    <row r="102" spans="1:29">
      <c r="A102" s="3"/>
      <c r="B102" s="11"/>
      <c r="C102" s="5"/>
      <c r="D102" s="4"/>
      <c r="E102" s="28">
        <f t="shared" si="6"/>
        <v>0</v>
      </c>
      <c r="F102" s="28"/>
      <c r="G102" s="28">
        <f t="shared" si="7"/>
        <v>0</v>
      </c>
      <c r="H102" s="28">
        <f t="shared" si="8"/>
        <v>0</v>
      </c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8"/>
      <c r="Y102" s="26"/>
      <c r="Z102" s="26"/>
      <c r="AA102" s="26"/>
      <c r="AB102" s="26">
        <f t="shared" si="5"/>
        <v>0</v>
      </c>
      <c r="AC102" s="29"/>
    </row>
    <row r="103" spans="1:29">
      <c r="A103" s="3"/>
      <c r="B103" s="11"/>
      <c r="C103" s="5"/>
      <c r="D103" s="4"/>
      <c r="E103" s="28">
        <f t="shared" si="6"/>
        <v>0</v>
      </c>
      <c r="F103" s="28"/>
      <c r="G103" s="28">
        <f t="shared" si="7"/>
        <v>0</v>
      </c>
      <c r="H103" s="28">
        <f t="shared" si="8"/>
        <v>0</v>
      </c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8"/>
      <c r="Y103" s="26"/>
      <c r="Z103" s="26"/>
      <c r="AA103" s="26"/>
      <c r="AB103" s="26">
        <f t="shared" si="5"/>
        <v>0</v>
      </c>
      <c r="AC103" s="29"/>
    </row>
    <row r="104" spans="1:29">
      <c r="A104" s="3"/>
      <c r="B104" s="11"/>
      <c r="C104" s="5"/>
      <c r="D104" s="4"/>
      <c r="E104" s="28">
        <f t="shared" si="6"/>
        <v>0</v>
      </c>
      <c r="F104" s="28"/>
      <c r="G104" s="28">
        <f t="shared" si="7"/>
        <v>0</v>
      </c>
      <c r="H104" s="28">
        <f t="shared" si="8"/>
        <v>0</v>
      </c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8"/>
      <c r="Y104" s="26"/>
      <c r="Z104" s="26"/>
      <c r="AA104" s="26"/>
      <c r="AB104" s="26">
        <f t="shared" si="5"/>
        <v>0</v>
      </c>
      <c r="AC104" s="29"/>
    </row>
    <row r="105" spans="1:29">
      <c r="A105" s="3"/>
      <c r="B105" s="11"/>
      <c r="C105" s="5"/>
      <c r="D105" s="4"/>
      <c r="E105" s="28">
        <f t="shared" si="6"/>
        <v>0</v>
      </c>
      <c r="F105" s="28"/>
      <c r="G105" s="28">
        <f t="shared" si="7"/>
        <v>0</v>
      </c>
      <c r="H105" s="28">
        <f t="shared" si="8"/>
        <v>0</v>
      </c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8"/>
      <c r="Y105" s="26"/>
      <c r="Z105" s="26"/>
      <c r="AA105" s="26"/>
      <c r="AB105" s="26">
        <f t="shared" si="5"/>
        <v>0</v>
      </c>
      <c r="AC105" s="29"/>
    </row>
    <row r="106" spans="1:29">
      <c r="A106" s="3"/>
      <c r="B106" s="11"/>
      <c r="C106" s="5"/>
      <c r="D106" s="4"/>
      <c r="E106" s="28">
        <f t="shared" si="6"/>
        <v>0</v>
      </c>
      <c r="F106" s="28"/>
      <c r="G106" s="28">
        <f t="shared" si="7"/>
        <v>0</v>
      </c>
      <c r="H106" s="28">
        <f t="shared" si="8"/>
        <v>0</v>
      </c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8"/>
      <c r="Y106" s="26"/>
      <c r="Z106" s="26"/>
      <c r="AA106" s="26"/>
      <c r="AB106" s="26">
        <f t="shared" si="5"/>
        <v>0</v>
      </c>
      <c r="AC106" s="29"/>
    </row>
    <row r="107" spans="1:29">
      <c r="A107" s="3"/>
      <c r="B107" s="11"/>
      <c r="C107" s="5"/>
      <c r="D107" s="4"/>
      <c r="E107" s="28">
        <f t="shared" si="6"/>
        <v>0</v>
      </c>
      <c r="F107" s="28"/>
      <c r="G107" s="28">
        <f t="shared" si="7"/>
        <v>0</v>
      </c>
      <c r="H107" s="28">
        <f t="shared" si="8"/>
        <v>0</v>
      </c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8"/>
      <c r="Y107" s="26"/>
      <c r="Z107" s="26"/>
      <c r="AA107" s="26"/>
      <c r="AB107" s="26">
        <f t="shared" si="5"/>
        <v>0</v>
      </c>
      <c r="AC107" s="29"/>
    </row>
    <row r="108" spans="1:29">
      <c r="A108" s="3"/>
      <c r="B108" s="11"/>
      <c r="C108" s="5"/>
      <c r="D108" s="4"/>
      <c r="E108" s="28">
        <f t="shared" si="6"/>
        <v>0</v>
      </c>
      <c r="F108" s="28"/>
      <c r="G108" s="28">
        <f t="shared" si="7"/>
        <v>0</v>
      </c>
      <c r="H108" s="28">
        <f t="shared" si="8"/>
        <v>0</v>
      </c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8"/>
      <c r="Y108" s="26"/>
      <c r="Z108" s="26"/>
      <c r="AA108" s="26"/>
      <c r="AB108" s="26">
        <f t="shared" si="5"/>
        <v>0</v>
      </c>
      <c r="AC108" s="29"/>
    </row>
    <row r="109" spans="1:29">
      <c r="A109" s="3"/>
      <c r="B109" s="11"/>
      <c r="C109" s="5"/>
      <c r="D109" s="4"/>
      <c r="E109" s="28">
        <f t="shared" si="6"/>
        <v>0</v>
      </c>
      <c r="F109" s="28"/>
      <c r="G109" s="28">
        <f t="shared" si="7"/>
        <v>0</v>
      </c>
      <c r="H109" s="28">
        <f t="shared" si="8"/>
        <v>0</v>
      </c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8"/>
      <c r="Y109" s="26"/>
      <c r="Z109" s="26"/>
      <c r="AA109" s="26"/>
      <c r="AB109" s="26">
        <f t="shared" si="5"/>
        <v>0</v>
      </c>
      <c r="AC109" s="29"/>
    </row>
    <row r="110" spans="1:29">
      <c r="A110" s="3"/>
      <c r="B110" s="11"/>
      <c r="C110" s="5"/>
      <c r="D110" s="4"/>
      <c r="E110" s="28">
        <f t="shared" si="6"/>
        <v>0</v>
      </c>
      <c r="F110" s="28"/>
      <c r="G110" s="28">
        <f t="shared" si="7"/>
        <v>0</v>
      </c>
      <c r="H110" s="28">
        <f t="shared" si="8"/>
        <v>0</v>
      </c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8"/>
      <c r="Y110" s="26"/>
      <c r="Z110" s="26"/>
      <c r="AA110" s="26"/>
      <c r="AB110" s="26">
        <f t="shared" si="5"/>
        <v>0</v>
      </c>
      <c r="AC110" s="29"/>
    </row>
    <row r="111" spans="1:29">
      <c r="A111" s="3"/>
      <c r="B111" s="11"/>
      <c r="C111" s="5"/>
      <c r="D111" s="4"/>
      <c r="E111" s="28">
        <f t="shared" si="6"/>
        <v>0</v>
      </c>
      <c r="F111" s="28"/>
      <c r="G111" s="28">
        <f t="shared" si="7"/>
        <v>0</v>
      </c>
      <c r="H111" s="28">
        <f t="shared" si="8"/>
        <v>0</v>
      </c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8"/>
      <c r="Y111" s="26"/>
      <c r="Z111" s="26"/>
      <c r="AA111" s="26"/>
      <c r="AB111" s="26">
        <f>SUM(J111:X111)</f>
        <v>0</v>
      </c>
      <c r="AC111" s="29"/>
    </row>
    <row r="112" spans="1:29">
      <c r="A112" s="3"/>
      <c r="B112" s="11"/>
      <c r="C112" s="5"/>
      <c r="D112" s="4"/>
      <c r="E112" s="28">
        <f t="shared" si="6"/>
        <v>0</v>
      </c>
      <c r="F112" s="28"/>
      <c r="G112" s="28">
        <f t="shared" si="7"/>
        <v>0</v>
      </c>
      <c r="H112" s="28">
        <f t="shared" si="8"/>
        <v>0</v>
      </c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8"/>
      <c r="Y112" s="26"/>
      <c r="Z112" s="26"/>
      <c r="AA112" s="26"/>
      <c r="AB112" s="26">
        <f>SUM(J112:X112)</f>
        <v>0</v>
      </c>
      <c r="AC112" s="29"/>
    </row>
    <row r="113" spans="1:29">
      <c r="A113" s="3"/>
      <c r="B113" s="11"/>
      <c r="C113" s="5"/>
      <c r="D113" s="4"/>
      <c r="E113" s="28">
        <f t="shared" si="6"/>
        <v>0</v>
      </c>
      <c r="F113" s="28"/>
      <c r="G113" s="28">
        <f t="shared" si="7"/>
        <v>0</v>
      </c>
      <c r="H113" s="28">
        <f t="shared" si="8"/>
        <v>0</v>
      </c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8"/>
      <c r="Y113" s="26"/>
      <c r="Z113" s="26"/>
      <c r="AA113" s="26"/>
      <c r="AB113" s="26">
        <f>SUM(J113:X113)</f>
        <v>0</v>
      </c>
      <c r="AC113" s="29"/>
    </row>
    <row r="114" spans="1:29">
      <c r="A114" s="3"/>
      <c r="B114" s="11"/>
      <c r="C114" s="5"/>
      <c r="D114" s="4"/>
      <c r="E114" s="28">
        <f t="shared" si="6"/>
        <v>0</v>
      </c>
      <c r="F114" s="28"/>
      <c r="G114" s="28">
        <f t="shared" si="7"/>
        <v>0</v>
      </c>
      <c r="H114" s="28">
        <f t="shared" si="8"/>
        <v>0</v>
      </c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8"/>
      <c r="Y114" s="26"/>
      <c r="Z114" s="26"/>
      <c r="AA114" s="26"/>
      <c r="AB114" s="26">
        <f>SUM(J114:X114)</f>
        <v>0</v>
      </c>
      <c r="AC114" s="29"/>
    </row>
    <row r="115" spans="1:29">
      <c r="A115" s="3"/>
      <c r="B115" s="39"/>
      <c r="C115" s="5"/>
      <c r="D115" s="35"/>
      <c r="E115" s="28">
        <f t="shared" si="6"/>
        <v>0</v>
      </c>
      <c r="F115" s="28"/>
      <c r="G115" s="28">
        <f t="shared" si="7"/>
        <v>0</v>
      </c>
      <c r="H115" s="28">
        <f t="shared" si="8"/>
        <v>0</v>
      </c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8"/>
      <c r="Y115" s="26"/>
      <c r="Z115" s="26"/>
      <c r="AA115" s="26"/>
      <c r="AB115" s="26">
        <f>SUM(J115:X115)</f>
        <v>0</v>
      </c>
      <c r="AC115" s="29"/>
    </row>
    <row r="116" spans="1:29" ht="15.75" thickBot="1">
      <c r="A116" s="40"/>
      <c r="B116" s="41"/>
      <c r="C116" s="43">
        <f t="shared" ref="C116:Z116" si="9">SUM(C10:C115)</f>
        <v>0</v>
      </c>
      <c r="D116" s="42">
        <f t="shared" si="9"/>
        <v>0</v>
      </c>
      <c r="E116" s="43">
        <f t="shared" si="9"/>
        <v>0</v>
      </c>
      <c r="F116" s="42">
        <f t="shared" si="9"/>
        <v>0</v>
      </c>
      <c r="G116" s="43">
        <f t="shared" si="9"/>
        <v>0</v>
      </c>
      <c r="H116" s="43">
        <f t="shared" si="9"/>
        <v>0</v>
      </c>
      <c r="I116" s="43">
        <f t="shared" si="9"/>
        <v>0</v>
      </c>
      <c r="J116" s="43">
        <f t="shared" si="9"/>
        <v>0</v>
      </c>
      <c r="K116" s="43">
        <f t="shared" si="9"/>
        <v>0</v>
      </c>
      <c r="L116" s="43">
        <f t="shared" si="9"/>
        <v>0</v>
      </c>
      <c r="M116" s="43">
        <f t="shared" si="9"/>
        <v>0</v>
      </c>
      <c r="N116" s="43">
        <f t="shared" si="9"/>
        <v>0</v>
      </c>
      <c r="O116" s="43">
        <f t="shared" si="9"/>
        <v>0</v>
      </c>
      <c r="P116" s="43">
        <f t="shared" si="9"/>
        <v>0</v>
      </c>
      <c r="Q116" s="43">
        <f t="shared" si="9"/>
        <v>0</v>
      </c>
      <c r="R116" s="43">
        <f t="shared" si="9"/>
        <v>0</v>
      </c>
      <c r="S116" s="43">
        <f t="shared" si="9"/>
        <v>0</v>
      </c>
      <c r="T116" s="43">
        <f t="shared" si="9"/>
        <v>0</v>
      </c>
      <c r="U116" s="43">
        <f t="shared" si="9"/>
        <v>0</v>
      </c>
      <c r="V116" s="43">
        <f t="shared" si="9"/>
        <v>0</v>
      </c>
      <c r="W116" s="43">
        <f t="shared" si="9"/>
        <v>0</v>
      </c>
      <c r="X116" s="43">
        <f t="shared" si="9"/>
        <v>0</v>
      </c>
      <c r="Y116" s="43">
        <f t="shared" si="9"/>
        <v>0</v>
      </c>
      <c r="Z116" s="43">
        <f t="shared" si="9"/>
        <v>0</v>
      </c>
      <c r="AA116" s="43">
        <f>SUM(AA10:AA113)</f>
        <v>0</v>
      </c>
      <c r="AB116" s="43">
        <f>SUM(AB10:AB113)</f>
        <v>0</v>
      </c>
      <c r="AC116" s="44"/>
    </row>
    <row r="117" spans="1:29" ht="15.75" thickTop="1">
      <c r="H117" s="10">
        <f>+H116-'[4]DAILY OKEY AYAM'!$K$22</f>
        <v>0</v>
      </c>
      <c r="AB117" s="10">
        <f>+AB116-'[5]16-02'!$Q$22</f>
        <v>-1192.32</v>
      </c>
    </row>
    <row r="118" spans="1:29">
      <c r="H118">
        <f>+H117/2.88</f>
        <v>0</v>
      </c>
    </row>
    <row r="119" spans="1:29">
      <c r="B119" s="10"/>
      <c r="D119" s="45">
        <f>D17+D18+D45+D47</f>
        <v>0</v>
      </c>
    </row>
    <row r="120" spans="1:29">
      <c r="D120">
        <f>557+12+45+556+372+275+380+199+266+584+597+192+544+34+577+592+595+603+612+558+751</f>
        <v>8901</v>
      </c>
      <c r="H120">
        <f>33+41+14</f>
        <v>88</v>
      </c>
    </row>
    <row r="121" spans="1:29">
      <c r="D121" s="45">
        <f>D120-D119</f>
        <v>8901</v>
      </c>
      <c r="AA121" s="10"/>
    </row>
    <row r="122" spans="1:29">
      <c r="AA122" s="10"/>
    </row>
    <row r="129" spans="5:5">
      <c r="E129">
        <f>687-662</f>
        <v>25</v>
      </c>
    </row>
  </sheetData>
  <mergeCells count="15">
    <mergeCell ref="A1:AC1"/>
    <mergeCell ref="A2:AC2"/>
    <mergeCell ref="A3:AC3"/>
    <mergeCell ref="A5:A8"/>
    <mergeCell ref="B5:B8"/>
    <mergeCell ref="C5:C7"/>
    <mergeCell ref="D5:AB5"/>
    <mergeCell ref="AC5:AC8"/>
    <mergeCell ref="D6:G6"/>
    <mergeCell ref="H6:H8"/>
    <mergeCell ref="I6:I7"/>
    <mergeCell ref="J6:AA6"/>
    <mergeCell ref="AB6:AB8"/>
    <mergeCell ref="D7:E7"/>
    <mergeCell ref="F7:G7"/>
  </mergeCells>
  <pageMargins left="0.70866141732283472" right="0.70866141732283472" top="0.74803149606299213" bottom="0.74803149606299213" header="0.31496062992125984" footer="0.31496062992125984"/>
  <pageSetup paperSize="9" scale="34" orientation="landscape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>
  <sheetPr codeName="Sheet13">
    <tabColor rgb="FFFF0000"/>
    <pageSetUpPr fitToPage="1"/>
  </sheetPr>
  <dimension ref="A1:AL129"/>
  <sheetViews>
    <sheetView zoomScale="80" zoomScaleNormal="80" workbookViewId="0">
      <pane xSplit="2" ySplit="10" topLeftCell="C11" activePane="bottomRight" state="frozen"/>
      <selection activeCell="EE10" sqref="EE10"/>
      <selection pane="topRight" activeCell="EE10" sqref="EE10"/>
      <selection pane="bottomLeft" activeCell="EE10" sqref="EE10"/>
      <selection pane="bottomRight" activeCell="EE10" sqref="EE10"/>
    </sheetView>
  </sheetViews>
  <sheetFormatPr defaultRowHeight="15"/>
  <cols>
    <col min="1" max="1" width="11.7109375" customWidth="1"/>
    <col min="2" max="2" width="13.42578125" customWidth="1"/>
    <col min="3" max="3" width="13" customWidth="1"/>
    <col min="4" max="7" width="14.85546875" customWidth="1"/>
    <col min="8" max="9" width="13.42578125" customWidth="1"/>
    <col min="10" max="10" width="14.140625" customWidth="1"/>
    <col min="11" max="27" width="12.7109375" customWidth="1"/>
    <col min="28" max="28" width="13" customWidth="1"/>
    <col min="29" max="29" width="17.42578125" customWidth="1"/>
  </cols>
  <sheetData>
    <row r="1" spans="1:30" ht="18.75">
      <c r="A1" s="675" t="s">
        <v>75</v>
      </c>
      <c r="B1" s="675"/>
      <c r="C1" s="675"/>
      <c r="D1" s="675"/>
      <c r="E1" s="675"/>
      <c r="F1" s="675"/>
      <c r="G1" s="675"/>
      <c r="H1" s="675"/>
      <c r="I1" s="675"/>
      <c r="J1" s="675"/>
      <c r="K1" s="675"/>
      <c r="L1" s="675"/>
      <c r="M1" s="675"/>
      <c r="N1" s="675"/>
      <c r="O1" s="675"/>
      <c r="P1" s="675"/>
      <c r="Q1" s="675"/>
      <c r="R1" s="675"/>
      <c r="S1" s="675"/>
      <c r="T1" s="675"/>
      <c r="U1" s="675"/>
      <c r="V1" s="675"/>
      <c r="W1" s="675"/>
      <c r="X1" s="675"/>
      <c r="Y1" s="675"/>
      <c r="Z1" s="675"/>
      <c r="AA1" s="675"/>
      <c r="AB1" s="675"/>
      <c r="AC1" s="675"/>
    </row>
    <row r="2" spans="1:30" ht="15.75">
      <c r="A2" s="676"/>
      <c r="B2" s="676"/>
      <c r="C2" s="676"/>
      <c r="D2" s="676"/>
      <c r="E2" s="676"/>
      <c r="F2" s="676"/>
      <c r="G2" s="676"/>
      <c r="H2" s="676"/>
      <c r="I2" s="676"/>
      <c r="J2" s="676"/>
      <c r="K2" s="676"/>
      <c r="L2" s="676"/>
      <c r="M2" s="676"/>
      <c r="N2" s="676"/>
      <c r="O2" s="676"/>
      <c r="P2" s="676"/>
      <c r="Q2" s="676"/>
      <c r="R2" s="676"/>
      <c r="S2" s="676"/>
      <c r="T2" s="676"/>
      <c r="U2" s="676"/>
      <c r="V2" s="676"/>
      <c r="W2" s="676"/>
      <c r="X2" s="676"/>
      <c r="Y2" s="676"/>
      <c r="Z2" s="676"/>
      <c r="AA2" s="676"/>
      <c r="AB2" s="676"/>
      <c r="AC2" s="676"/>
    </row>
    <row r="3" spans="1:30" ht="15.75">
      <c r="A3" s="676" t="str">
        <f>+'DAILY CHAMP AYAM'!A3:AD3</f>
        <v>JULI'26</v>
      </c>
      <c r="B3" s="676"/>
      <c r="C3" s="676"/>
      <c r="D3" s="676"/>
      <c r="E3" s="676"/>
      <c r="F3" s="676"/>
      <c r="G3" s="676"/>
      <c r="H3" s="676"/>
      <c r="I3" s="676"/>
      <c r="J3" s="676"/>
      <c r="K3" s="676"/>
      <c r="L3" s="676"/>
      <c r="M3" s="676"/>
      <c r="N3" s="676"/>
      <c r="O3" s="676"/>
      <c r="P3" s="676"/>
      <c r="Q3" s="676"/>
      <c r="R3" s="676"/>
      <c r="S3" s="676"/>
      <c r="T3" s="676"/>
      <c r="U3" s="676"/>
      <c r="V3" s="676"/>
      <c r="W3" s="676"/>
      <c r="X3" s="676"/>
      <c r="Y3" s="676"/>
      <c r="Z3" s="676"/>
      <c r="AA3" s="676"/>
      <c r="AB3" s="676"/>
      <c r="AC3" s="676"/>
    </row>
    <row r="4" spans="1:30" ht="15.75" thickBot="1">
      <c r="A4" s="13"/>
      <c r="B4" s="13"/>
      <c r="C4" s="13"/>
      <c r="D4" s="13"/>
      <c r="E4" s="13"/>
      <c r="F4" s="13"/>
      <c r="G4" s="13"/>
      <c r="H4" s="14">
        <f>+H117</f>
        <v>0</v>
      </c>
      <c r="I4" s="14"/>
      <c r="J4" s="13"/>
      <c r="K4" s="15"/>
      <c r="L4" s="13"/>
      <c r="M4" s="13"/>
      <c r="N4" s="13"/>
      <c r="O4" s="13"/>
      <c r="P4" s="13"/>
      <c r="Q4" s="13"/>
      <c r="R4" s="13"/>
      <c r="S4" s="16"/>
      <c r="T4" s="13"/>
      <c r="U4" s="13"/>
      <c r="V4" s="13"/>
      <c r="W4" s="13"/>
      <c r="X4" s="13"/>
      <c r="Y4" s="13"/>
      <c r="Z4" s="13"/>
      <c r="AA4" s="13"/>
      <c r="AB4" s="14" t="e">
        <f>+#REF!</f>
        <v>#REF!</v>
      </c>
      <c r="AC4" s="13"/>
    </row>
    <row r="5" spans="1:30" ht="15.75" customHeight="1" thickTop="1">
      <c r="A5" s="677" t="s">
        <v>11</v>
      </c>
      <c r="B5" s="680" t="s">
        <v>0</v>
      </c>
      <c r="C5" s="683" t="s">
        <v>12</v>
      </c>
      <c r="D5" s="686" t="s">
        <v>1</v>
      </c>
      <c r="E5" s="687"/>
      <c r="F5" s="687"/>
      <c r="G5" s="687"/>
      <c r="H5" s="687"/>
      <c r="I5" s="687"/>
      <c r="J5" s="687"/>
      <c r="K5" s="687"/>
      <c r="L5" s="687"/>
      <c r="M5" s="687"/>
      <c r="N5" s="687"/>
      <c r="O5" s="687"/>
      <c r="P5" s="687"/>
      <c r="Q5" s="687"/>
      <c r="R5" s="687"/>
      <c r="S5" s="687"/>
      <c r="T5" s="687"/>
      <c r="U5" s="687"/>
      <c r="V5" s="687"/>
      <c r="W5" s="687"/>
      <c r="X5" s="687"/>
      <c r="Y5" s="687"/>
      <c r="Z5" s="687"/>
      <c r="AA5" s="687"/>
      <c r="AB5" s="688"/>
      <c r="AC5" s="689" t="s">
        <v>2</v>
      </c>
    </row>
    <row r="6" spans="1:30" ht="15" customHeight="1">
      <c r="A6" s="678"/>
      <c r="B6" s="681"/>
      <c r="C6" s="684"/>
      <c r="D6" s="706" t="s">
        <v>5</v>
      </c>
      <c r="E6" s="707"/>
      <c r="F6" s="707"/>
      <c r="G6" s="708"/>
      <c r="H6" s="695" t="s">
        <v>6</v>
      </c>
      <c r="I6" s="696" t="s">
        <v>13</v>
      </c>
      <c r="J6" s="709" t="s">
        <v>14</v>
      </c>
      <c r="K6" s="709"/>
      <c r="L6" s="709"/>
      <c r="M6" s="709"/>
      <c r="N6" s="709"/>
      <c r="O6" s="709"/>
      <c r="P6" s="709"/>
      <c r="Q6" s="709"/>
      <c r="R6" s="709"/>
      <c r="S6" s="709"/>
      <c r="T6" s="709"/>
      <c r="U6" s="709"/>
      <c r="V6" s="709"/>
      <c r="W6" s="709"/>
      <c r="X6" s="709"/>
      <c r="Y6" s="709"/>
      <c r="Z6" s="709"/>
      <c r="AA6" s="709"/>
      <c r="AB6" s="695" t="s">
        <v>15</v>
      </c>
      <c r="AC6" s="690"/>
    </row>
    <row r="7" spans="1:30" ht="25.5" customHeight="1">
      <c r="A7" s="678"/>
      <c r="B7" s="681"/>
      <c r="C7" s="685"/>
      <c r="D7" s="704" t="s">
        <v>156</v>
      </c>
      <c r="E7" s="705"/>
      <c r="F7" s="704" t="s">
        <v>43</v>
      </c>
      <c r="G7" s="705"/>
      <c r="H7" s="681"/>
      <c r="I7" s="697"/>
      <c r="J7" s="120" t="s">
        <v>16</v>
      </c>
      <c r="K7" s="120" t="s">
        <v>17</v>
      </c>
      <c r="L7" s="120" t="s">
        <v>58</v>
      </c>
      <c r="M7" s="120" t="s">
        <v>59</v>
      </c>
      <c r="N7" s="120" t="s">
        <v>18</v>
      </c>
      <c r="O7" s="120" t="s">
        <v>60</v>
      </c>
      <c r="P7" s="120" t="s">
        <v>19</v>
      </c>
      <c r="Q7" s="120" t="s">
        <v>55</v>
      </c>
      <c r="R7" s="120" t="s">
        <v>61</v>
      </c>
      <c r="S7" s="120" t="s">
        <v>62</v>
      </c>
      <c r="T7" s="120" t="s">
        <v>63</v>
      </c>
      <c r="U7" s="120" t="s">
        <v>56</v>
      </c>
      <c r="V7" s="120" t="s">
        <v>20</v>
      </c>
      <c r="W7" s="120" t="s">
        <v>57</v>
      </c>
      <c r="X7" s="271" t="s">
        <v>154</v>
      </c>
      <c r="Y7" s="120" t="s">
        <v>21</v>
      </c>
      <c r="Z7" s="292" t="s">
        <v>155</v>
      </c>
      <c r="AA7" s="120" t="s">
        <v>22</v>
      </c>
      <c r="AB7" s="681"/>
      <c r="AC7" s="690"/>
    </row>
    <row r="8" spans="1:30" ht="15.75" thickBot="1">
      <c r="A8" s="679"/>
      <c r="B8" s="682"/>
      <c r="C8" s="18" t="s">
        <v>4</v>
      </c>
      <c r="D8" s="19" t="s">
        <v>3</v>
      </c>
      <c r="E8" s="20" t="s">
        <v>4</v>
      </c>
      <c r="F8" s="19" t="s">
        <v>3</v>
      </c>
      <c r="G8" s="20" t="s">
        <v>4</v>
      </c>
      <c r="H8" s="682"/>
      <c r="I8" s="21" t="s">
        <v>4</v>
      </c>
      <c r="J8" s="20" t="s">
        <v>4</v>
      </c>
      <c r="K8" s="20" t="s">
        <v>4</v>
      </c>
      <c r="L8" s="20" t="s">
        <v>4</v>
      </c>
      <c r="M8" s="20" t="s">
        <v>4</v>
      </c>
      <c r="N8" s="20" t="s">
        <v>4</v>
      </c>
      <c r="O8" s="20" t="s">
        <v>4</v>
      </c>
      <c r="P8" s="20" t="s">
        <v>4</v>
      </c>
      <c r="Q8" s="20" t="s">
        <v>4</v>
      </c>
      <c r="R8" s="20" t="s">
        <v>4</v>
      </c>
      <c r="S8" s="20" t="s">
        <v>4</v>
      </c>
      <c r="T8" s="20" t="s">
        <v>4</v>
      </c>
      <c r="U8" s="20"/>
      <c r="V8" s="20" t="s">
        <v>4</v>
      </c>
      <c r="W8" s="20" t="s">
        <v>4</v>
      </c>
      <c r="X8" s="20" t="s">
        <v>4</v>
      </c>
      <c r="Y8" s="20" t="s">
        <v>4</v>
      </c>
      <c r="Z8" s="20" t="s">
        <v>4</v>
      </c>
      <c r="AA8" s="20" t="s">
        <v>4</v>
      </c>
      <c r="AB8" s="682"/>
      <c r="AC8" s="691"/>
    </row>
    <row r="9" spans="1:30" ht="17.25" customHeight="1" thickTop="1">
      <c r="A9" s="3"/>
      <c r="B9" s="11"/>
      <c r="C9" s="24"/>
      <c r="D9" s="24"/>
      <c r="E9" s="28">
        <f>+D9*2.4</f>
        <v>0</v>
      </c>
      <c r="F9" s="35"/>
      <c r="G9" s="28">
        <f>+F9*3.588</f>
        <v>0</v>
      </c>
      <c r="H9" s="28">
        <f>+E9+G9</f>
        <v>0</v>
      </c>
      <c r="I9" s="26"/>
      <c r="J9" s="26"/>
      <c r="K9" s="26"/>
      <c r="L9" s="26"/>
      <c r="M9" s="26"/>
      <c r="N9" s="26"/>
      <c r="O9" s="26"/>
      <c r="P9" s="26"/>
      <c r="Q9" s="24"/>
      <c r="R9" s="24"/>
      <c r="S9" s="24"/>
      <c r="T9" s="24"/>
      <c r="U9" s="24"/>
      <c r="V9" s="24"/>
      <c r="W9" s="24"/>
      <c r="X9" s="24"/>
      <c r="Y9" s="24"/>
      <c r="Z9" s="24"/>
      <c r="AA9" s="24"/>
      <c r="AB9" s="24"/>
      <c r="AC9" s="27"/>
    </row>
    <row r="10" spans="1:30">
      <c r="A10" s="3"/>
      <c r="B10" s="11"/>
      <c r="C10" s="24"/>
      <c r="D10" s="317"/>
      <c r="E10" s="28">
        <f t="shared" ref="E10:E73" si="0">+D10*2.4</f>
        <v>0</v>
      </c>
      <c r="F10" s="35"/>
      <c r="G10" s="28">
        <f>+F10*3.588</f>
        <v>0</v>
      </c>
      <c r="H10" s="28">
        <f>+E10+G10</f>
        <v>0</v>
      </c>
      <c r="I10" s="26"/>
      <c r="J10" s="26"/>
      <c r="K10" s="26"/>
      <c r="L10" s="26"/>
      <c r="M10" s="26"/>
      <c r="N10" s="26"/>
      <c r="O10" s="26"/>
      <c r="P10" s="26"/>
      <c r="Q10" s="24"/>
      <c r="R10" s="24"/>
      <c r="S10" s="24"/>
      <c r="T10" s="26"/>
      <c r="U10" s="26"/>
      <c r="V10" s="26"/>
      <c r="W10" s="26"/>
      <c r="X10" s="28"/>
      <c r="Y10" s="26"/>
      <c r="Z10" s="26"/>
      <c r="AA10" s="26"/>
      <c r="AB10" s="26">
        <f>SUM(J10:AA10)</f>
        <v>0</v>
      </c>
      <c r="AC10" s="27"/>
    </row>
    <row r="11" spans="1:30">
      <c r="A11" s="3"/>
      <c r="B11" s="11"/>
      <c r="C11" s="5"/>
      <c r="D11" s="4"/>
      <c r="E11" s="28">
        <f t="shared" si="0"/>
        <v>0</v>
      </c>
      <c r="F11" s="35"/>
      <c r="G11" s="28">
        <f t="shared" ref="G11:G74" si="1">+F11*3.588</f>
        <v>0</v>
      </c>
      <c r="H11" s="28">
        <f t="shared" ref="H11:H74" si="2">+E11+G11</f>
        <v>0</v>
      </c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8"/>
      <c r="Y11" s="26"/>
      <c r="Z11" s="26"/>
      <c r="AA11" s="26"/>
      <c r="AB11" s="26">
        <f t="shared" ref="AB11:AB40" si="3">SUM(J11:AA11)</f>
        <v>0</v>
      </c>
      <c r="AC11" s="29"/>
      <c r="AD11" s="30"/>
    </row>
    <row r="12" spans="1:30">
      <c r="A12" s="3"/>
      <c r="B12" s="11"/>
      <c r="C12" s="5"/>
      <c r="D12" s="4"/>
      <c r="E12" s="28">
        <f t="shared" si="0"/>
        <v>0</v>
      </c>
      <c r="F12" s="35"/>
      <c r="G12" s="28">
        <f t="shared" si="1"/>
        <v>0</v>
      </c>
      <c r="H12" s="28">
        <f t="shared" si="2"/>
        <v>0</v>
      </c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26"/>
      <c r="U12" s="26"/>
      <c r="V12" s="26"/>
      <c r="W12" s="26"/>
      <c r="X12" s="28"/>
      <c r="Y12" s="26"/>
      <c r="Z12" s="26"/>
      <c r="AA12" s="26"/>
      <c r="AB12" s="26">
        <f t="shared" si="3"/>
        <v>0</v>
      </c>
      <c r="AC12" s="29"/>
      <c r="AD12" s="30"/>
    </row>
    <row r="13" spans="1:30">
      <c r="A13" s="3"/>
      <c r="B13" s="11"/>
      <c r="C13" s="5"/>
      <c r="D13" s="4"/>
      <c r="E13" s="28">
        <f t="shared" si="0"/>
        <v>0</v>
      </c>
      <c r="F13" s="35"/>
      <c r="G13" s="28">
        <f t="shared" si="1"/>
        <v>0</v>
      </c>
      <c r="H13" s="28">
        <f t="shared" si="2"/>
        <v>0</v>
      </c>
      <c r="I13" s="26"/>
      <c r="J13" s="26"/>
      <c r="K13" s="26"/>
      <c r="L13" s="26"/>
      <c r="M13" s="26"/>
      <c r="N13" s="26"/>
      <c r="O13" s="26"/>
      <c r="P13" s="26"/>
      <c r="Q13" s="26"/>
      <c r="R13" s="26"/>
      <c r="S13" s="26"/>
      <c r="T13" s="26"/>
      <c r="U13" s="26"/>
      <c r="V13" s="26"/>
      <c r="W13" s="26"/>
      <c r="X13" s="28"/>
      <c r="Y13" s="26"/>
      <c r="Z13" s="26"/>
      <c r="AA13" s="26"/>
      <c r="AB13" s="26">
        <f t="shared" si="3"/>
        <v>0</v>
      </c>
      <c r="AC13" s="29"/>
      <c r="AD13" s="30"/>
    </row>
    <row r="14" spans="1:30">
      <c r="A14" s="3"/>
      <c r="B14" s="11"/>
      <c r="C14" s="5"/>
      <c r="D14" s="4"/>
      <c r="E14" s="28">
        <f t="shared" si="0"/>
        <v>0</v>
      </c>
      <c r="F14" s="35"/>
      <c r="G14" s="28">
        <f t="shared" si="1"/>
        <v>0</v>
      </c>
      <c r="H14" s="28">
        <f t="shared" si="2"/>
        <v>0</v>
      </c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8"/>
      <c r="Y14" s="26"/>
      <c r="Z14" s="26"/>
      <c r="AA14" s="26"/>
      <c r="AB14" s="26">
        <f t="shared" si="3"/>
        <v>0</v>
      </c>
      <c r="AC14" s="31"/>
      <c r="AD14" s="32"/>
    </row>
    <row r="15" spans="1:30">
      <c r="A15" s="3"/>
      <c r="B15" s="11"/>
      <c r="C15" s="5"/>
      <c r="D15" s="4"/>
      <c r="E15" s="28">
        <f t="shared" si="0"/>
        <v>0</v>
      </c>
      <c r="F15" s="35"/>
      <c r="G15" s="28">
        <f t="shared" si="1"/>
        <v>0</v>
      </c>
      <c r="H15" s="28">
        <f t="shared" si="2"/>
        <v>0</v>
      </c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8"/>
      <c r="Y15" s="26"/>
      <c r="Z15" s="26"/>
      <c r="AA15" s="26"/>
      <c r="AB15" s="26">
        <f t="shared" si="3"/>
        <v>0</v>
      </c>
      <c r="AC15" s="29"/>
      <c r="AD15" s="30"/>
    </row>
    <row r="16" spans="1:30">
      <c r="A16" s="3"/>
      <c r="B16" s="11"/>
      <c r="C16" s="5"/>
      <c r="D16" s="4"/>
      <c r="E16" s="28">
        <f t="shared" si="0"/>
        <v>0</v>
      </c>
      <c r="F16" s="35"/>
      <c r="G16" s="28">
        <f t="shared" si="1"/>
        <v>0</v>
      </c>
      <c r="H16" s="28">
        <f t="shared" si="2"/>
        <v>0</v>
      </c>
      <c r="I16" s="26"/>
      <c r="J16" s="26"/>
      <c r="K16" s="26"/>
      <c r="L16" s="26"/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8"/>
      <c r="Y16" s="26"/>
      <c r="Z16" s="26"/>
      <c r="AA16" s="26"/>
      <c r="AB16" s="26">
        <f t="shared" si="3"/>
        <v>0</v>
      </c>
      <c r="AC16" s="29"/>
      <c r="AD16" s="30"/>
    </row>
    <row r="17" spans="1:30">
      <c r="A17" s="3"/>
      <c r="B17" s="11"/>
      <c r="C17" s="5"/>
      <c r="D17" s="4"/>
      <c r="E17" s="28">
        <f t="shared" si="0"/>
        <v>0</v>
      </c>
      <c r="F17" s="35"/>
      <c r="G17" s="28">
        <f t="shared" si="1"/>
        <v>0</v>
      </c>
      <c r="H17" s="28">
        <f t="shared" si="2"/>
        <v>0</v>
      </c>
      <c r="I17" s="26"/>
      <c r="J17" s="26"/>
      <c r="K17" s="26"/>
      <c r="L17" s="26"/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8"/>
      <c r="Y17" s="26"/>
      <c r="Z17" s="26"/>
      <c r="AA17" s="26"/>
      <c r="AB17" s="26">
        <f t="shared" si="3"/>
        <v>0</v>
      </c>
      <c r="AC17" s="29"/>
      <c r="AD17" s="30"/>
    </row>
    <row r="18" spans="1:30">
      <c r="A18" s="3"/>
      <c r="B18" s="11"/>
      <c r="C18" s="5"/>
      <c r="D18" s="4"/>
      <c r="E18" s="28">
        <f t="shared" si="0"/>
        <v>0</v>
      </c>
      <c r="F18" s="35"/>
      <c r="G18" s="28">
        <f t="shared" si="1"/>
        <v>0</v>
      </c>
      <c r="H18" s="28">
        <f t="shared" si="2"/>
        <v>0</v>
      </c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8"/>
      <c r="Y18" s="26"/>
      <c r="Z18" s="26"/>
      <c r="AA18" s="26"/>
      <c r="AB18" s="26">
        <f t="shared" si="3"/>
        <v>0</v>
      </c>
      <c r="AC18" s="29"/>
      <c r="AD18" s="30"/>
    </row>
    <row r="19" spans="1:30">
      <c r="A19" s="3"/>
      <c r="B19" s="11"/>
      <c r="C19" s="5"/>
      <c r="D19" s="4"/>
      <c r="E19" s="28">
        <f t="shared" si="0"/>
        <v>0</v>
      </c>
      <c r="F19" s="35"/>
      <c r="G19" s="28">
        <f t="shared" si="1"/>
        <v>0</v>
      </c>
      <c r="H19" s="28">
        <f t="shared" si="2"/>
        <v>0</v>
      </c>
      <c r="I19" s="26"/>
      <c r="J19" s="26"/>
      <c r="K19" s="26"/>
      <c r="L19" s="26"/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8"/>
      <c r="Y19" s="26"/>
      <c r="Z19" s="26"/>
      <c r="AA19" s="26"/>
      <c r="AB19" s="26">
        <f t="shared" si="3"/>
        <v>0</v>
      </c>
      <c r="AC19" s="29"/>
      <c r="AD19" s="30"/>
    </row>
    <row r="20" spans="1:30">
      <c r="A20" s="3"/>
      <c r="B20" s="11"/>
      <c r="C20" s="5"/>
      <c r="D20" s="4"/>
      <c r="E20" s="28">
        <f t="shared" si="0"/>
        <v>0</v>
      </c>
      <c r="F20" s="35"/>
      <c r="G20" s="28">
        <f t="shared" si="1"/>
        <v>0</v>
      </c>
      <c r="H20" s="28">
        <f t="shared" si="2"/>
        <v>0</v>
      </c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8"/>
      <c r="Y20" s="26"/>
      <c r="Z20" s="26"/>
      <c r="AA20" s="26"/>
      <c r="AB20" s="26">
        <f t="shared" si="3"/>
        <v>0</v>
      </c>
      <c r="AC20" s="29"/>
      <c r="AD20" s="30"/>
    </row>
    <row r="21" spans="1:30">
      <c r="A21" s="3"/>
      <c r="B21" s="11"/>
      <c r="C21" s="5"/>
      <c r="D21" s="4"/>
      <c r="E21" s="28">
        <f t="shared" si="0"/>
        <v>0</v>
      </c>
      <c r="F21" s="35"/>
      <c r="G21" s="28">
        <f t="shared" si="1"/>
        <v>0</v>
      </c>
      <c r="H21" s="28">
        <f t="shared" si="2"/>
        <v>0</v>
      </c>
      <c r="I21" s="26"/>
      <c r="J21" s="26"/>
      <c r="K21" s="26"/>
      <c r="L21" s="26"/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8"/>
      <c r="Y21" s="26"/>
      <c r="Z21" s="26"/>
      <c r="AA21" s="26"/>
      <c r="AB21" s="26">
        <f t="shared" si="3"/>
        <v>0</v>
      </c>
      <c r="AC21" s="29"/>
      <c r="AD21" s="30"/>
    </row>
    <row r="22" spans="1:30">
      <c r="A22" s="3"/>
      <c r="B22" s="11"/>
      <c r="C22" s="5"/>
      <c r="D22" s="4"/>
      <c r="E22" s="28">
        <f t="shared" si="0"/>
        <v>0</v>
      </c>
      <c r="F22" s="35"/>
      <c r="G22" s="28">
        <f t="shared" si="1"/>
        <v>0</v>
      </c>
      <c r="H22" s="28">
        <f t="shared" si="2"/>
        <v>0</v>
      </c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8"/>
      <c r="Y22" s="26"/>
      <c r="Z22" s="26"/>
      <c r="AA22" s="26"/>
      <c r="AB22" s="26">
        <f t="shared" si="3"/>
        <v>0</v>
      </c>
      <c r="AC22" s="29"/>
      <c r="AD22" s="30"/>
    </row>
    <row r="23" spans="1:30">
      <c r="A23" s="3"/>
      <c r="B23" s="11"/>
      <c r="C23" s="5"/>
      <c r="D23" s="4"/>
      <c r="E23" s="28">
        <f t="shared" si="0"/>
        <v>0</v>
      </c>
      <c r="F23" s="35"/>
      <c r="G23" s="28">
        <f>+F23*3.588</f>
        <v>0</v>
      </c>
      <c r="H23" s="28">
        <f t="shared" si="2"/>
        <v>0</v>
      </c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8"/>
      <c r="Y23" s="26"/>
      <c r="Z23" s="26"/>
      <c r="AA23" s="26"/>
      <c r="AB23" s="26">
        <f t="shared" si="3"/>
        <v>0</v>
      </c>
      <c r="AC23" s="29"/>
      <c r="AD23" s="30"/>
    </row>
    <row r="24" spans="1:30">
      <c r="A24" s="3"/>
      <c r="B24" s="11"/>
      <c r="C24" s="5"/>
      <c r="D24" s="4"/>
      <c r="E24" s="28">
        <f t="shared" si="0"/>
        <v>0</v>
      </c>
      <c r="F24" s="35"/>
      <c r="G24" s="28">
        <f>+F24*3.588</f>
        <v>0</v>
      </c>
      <c r="H24" s="28">
        <f t="shared" si="2"/>
        <v>0</v>
      </c>
      <c r="I24" s="26"/>
      <c r="J24" s="26"/>
      <c r="K24" s="26"/>
      <c r="L24" s="26"/>
      <c r="M24" s="26"/>
      <c r="N24" s="26"/>
      <c r="O24" s="26"/>
      <c r="P24" s="26"/>
      <c r="Q24" s="26"/>
      <c r="R24" s="26"/>
      <c r="S24" s="26"/>
      <c r="T24" s="26"/>
      <c r="U24" s="26"/>
      <c r="V24" s="26"/>
      <c r="W24" s="26"/>
      <c r="X24" s="28"/>
      <c r="Y24" s="26"/>
      <c r="Z24" s="26"/>
      <c r="AA24" s="26"/>
      <c r="AB24" s="26">
        <f t="shared" si="3"/>
        <v>0</v>
      </c>
      <c r="AC24" s="29"/>
      <c r="AD24" s="30"/>
    </row>
    <row r="25" spans="1:30">
      <c r="A25" s="3"/>
      <c r="B25" s="11"/>
      <c r="C25" s="5"/>
      <c r="D25" s="4"/>
      <c r="E25" s="28">
        <f t="shared" si="0"/>
        <v>0</v>
      </c>
      <c r="F25" s="35"/>
      <c r="G25" s="28">
        <f>+F25*3.588</f>
        <v>0</v>
      </c>
      <c r="H25" s="28">
        <f t="shared" si="2"/>
        <v>0</v>
      </c>
      <c r="I25" s="26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26"/>
      <c r="U25" s="26"/>
      <c r="V25" s="26"/>
      <c r="W25" s="26"/>
      <c r="X25" s="28"/>
      <c r="Y25" s="26"/>
      <c r="Z25" s="26"/>
      <c r="AA25" s="26"/>
      <c r="AB25" s="26">
        <f t="shared" si="3"/>
        <v>0</v>
      </c>
      <c r="AC25" s="29"/>
      <c r="AD25" s="30"/>
    </row>
    <row r="26" spans="1:30">
      <c r="A26" s="3"/>
      <c r="B26" s="11"/>
      <c r="C26" s="5"/>
      <c r="D26" s="4"/>
      <c r="E26" s="28">
        <f t="shared" si="0"/>
        <v>0</v>
      </c>
      <c r="F26" s="28"/>
      <c r="G26" s="28">
        <f>+F26*3.588</f>
        <v>0</v>
      </c>
      <c r="H26" s="28">
        <f t="shared" si="2"/>
        <v>0</v>
      </c>
      <c r="I26" s="26"/>
      <c r="J26" s="26"/>
      <c r="K26" s="26"/>
      <c r="L26" s="26"/>
      <c r="M26" s="26"/>
      <c r="N26" s="26"/>
      <c r="O26" s="26"/>
      <c r="P26" s="26"/>
      <c r="Q26" s="26"/>
      <c r="R26" s="26"/>
      <c r="S26" s="26"/>
      <c r="T26" s="26"/>
      <c r="U26" s="26"/>
      <c r="V26" s="26"/>
      <c r="W26" s="26"/>
      <c r="X26" s="28"/>
      <c r="Y26" s="26"/>
      <c r="Z26" s="26"/>
      <c r="AA26" s="26"/>
      <c r="AB26" s="26">
        <f t="shared" si="3"/>
        <v>0</v>
      </c>
      <c r="AC26" s="29"/>
      <c r="AD26" s="30"/>
    </row>
    <row r="27" spans="1:30">
      <c r="A27" s="3"/>
      <c r="B27" s="11"/>
      <c r="C27" s="5"/>
      <c r="D27" s="4"/>
      <c r="E27" s="28">
        <f t="shared" si="0"/>
        <v>0</v>
      </c>
      <c r="F27" s="35"/>
      <c r="G27" s="28">
        <f t="shared" si="1"/>
        <v>0</v>
      </c>
      <c r="H27" s="28">
        <f t="shared" si="2"/>
        <v>0</v>
      </c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8"/>
      <c r="Y27" s="26"/>
      <c r="Z27" s="26"/>
      <c r="AA27" s="26"/>
      <c r="AB27" s="26">
        <f t="shared" si="3"/>
        <v>0</v>
      </c>
      <c r="AC27" s="29"/>
    </row>
    <row r="28" spans="1:30">
      <c r="A28" s="3"/>
      <c r="B28" s="11"/>
      <c r="C28" s="79"/>
      <c r="D28" s="4"/>
      <c r="E28" s="28">
        <f t="shared" si="0"/>
        <v>0</v>
      </c>
      <c r="F28" s="35"/>
      <c r="G28" s="28">
        <f t="shared" si="1"/>
        <v>0</v>
      </c>
      <c r="H28" s="28">
        <f t="shared" si="2"/>
        <v>0</v>
      </c>
      <c r="I28" s="26"/>
      <c r="J28" s="26"/>
      <c r="K28" s="26"/>
      <c r="L28" s="26"/>
      <c r="M28" s="26"/>
      <c r="N28" s="26"/>
      <c r="O28" s="26"/>
      <c r="P28" s="26"/>
      <c r="Q28" s="26"/>
      <c r="R28" s="26"/>
      <c r="S28" s="26"/>
      <c r="T28" s="26"/>
      <c r="U28" s="26"/>
      <c r="V28" s="26"/>
      <c r="W28" s="26"/>
      <c r="X28" s="28"/>
      <c r="Y28" s="26"/>
      <c r="Z28" s="26"/>
      <c r="AA28" s="26"/>
      <c r="AB28" s="26">
        <f t="shared" si="3"/>
        <v>0</v>
      </c>
      <c r="AC28" s="29"/>
    </row>
    <row r="29" spans="1:30">
      <c r="A29" s="3"/>
      <c r="B29" s="11"/>
      <c r="C29" s="5"/>
      <c r="D29" s="4"/>
      <c r="E29" s="28">
        <f t="shared" si="0"/>
        <v>0</v>
      </c>
      <c r="F29" s="35"/>
      <c r="G29" s="28">
        <f t="shared" si="1"/>
        <v>0</v>
      </c>
      <c r="H29" s="28">
        <f t="shared" si="2"/>
        <v>0</v>
      </c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6"/>
      <c r="W29" s="26"/>
      <c r="X29" s="28"/>
      <c r="Y29" s="26"/>
      <c r="Z29" s="26"/>
      <c r="AA29" s="26"/>
      <c r="AB29" s="26">
        <f t="shared" si="3"/>
        <v>0</v>
      </c>
      <c r="AC29" s="29"/>
    </row>
    <row r="30" spans="1:30">
      <c r="A30" s="3"/>
      <c r="B30" s="11"/>
      <c r="C30" s="79"/>
      <c r="D30" s="4"/>
      <c r="E30" s="28">
        <f t="shared" si="0"/>
        <v>0</v>
      </c>
      <c r="F30" s="35"/>
      <c r="G30" s="28">
        <f t="shared" si="1"/>
        <v>0</v>
      </c>
      <c r="H30" s="28">
        <f t="shared" si="2"/>
        <v>0</v>
      </c>
      <c r="I30" s="26"/>
      <c r="J30" s="26"/>
      <c r="K30" s="26"/>
      <c r="L30" s="26"/>
      <c r="M30" s="26"/>
      <c r="N30" s="26"/>
      <c r="O30" s="26"/>
      <c r="P30" s="26"/>
      <c r="Q30" s="26"/>
      <c r="R30" s="26"/>
      <c r="S30" s="26"/>
      <c r="T30" s="26"/>
      <c r="U30" s="26"/>
      <c r="V30" s="26"/>
      <c r="W30" s="26"/>
      <c r="X30" s="28"/>
      <c r="Y30" s="26"/>
      <c r="Z30" s="26"/>
      <c r="AA30" s="26"/>
      <c r="AB30" s="26">
        <f t="shared" si="3"/>
        <v>0</v>
      </c>
      <c r="AC30" s="29"/>
    </row>
    <row r="31" spans="1:30">
      <c r="A31" s="3"/>
      <c r="B31" s="11"/>
      <c r="C31" s="5"/>
      <c r="D31" s="4"/>
      <c r="E31" s="28">
        <f t="shared" si="0"/>
        <v>0</v>
      </c>
      <c r="F31" s="35"/>
      <c r="G31" s="28">
        <f t="shared" si="1"/>
        <v>0</v>
      </c>
      <c r="H31" s="28">
        <f t="shared" si="2"/>
        <v>0</v>
      </c>
      <c r="I31" s="26"/>
      <c r="J31" s="26"/>
      <c r="K31" s="26"/>
      <c r="L31" s="26"/>
      <c r="M31" s="26"/>
      <c r="N31" s="26"/>
      <c r="O31" s="26"/>
      <c r="P31" s="26"/>
      <c r="Q31" s="26"/>
      <c r="R31" s="26"/>
      <c r="S31" s="26"/>
      <c r="T31" s="26"/>
      <c r="U31" s="26"/>
      <c r="V31" s="26"/>
      <c r="W31" s="26"/>
      <c r="X31" s="28"/>
      <c r="Y31" s="26"/>
      <c r="Z31" s="26"/>
      <c r="AA31" s="26"/>
      <c r="AB31" s="26">
        <f t="shared" si="3"/>
        <v>0</v>
      </c>
      <c r="AC31" s="29"/>
    </row>
    <row r="32" spans="1:30">
      <c r="A32" s="3"/>
      <c r="B32" s="11"/>
      <c r="C32" s="5"/>
      <c r="D32" s="4"/>
      <c r="E32" s="28">
        <f t="shared" si="0"/>
        <v>0</v>
      </c>
      <c r="F32" s="35"/>
      <c r="G32" s="28">
        <f t="shared" si="1"/>
        <v>0</v>
      </c>
      <c r="H32" s="28">
        <f t="shared" si="2"/>
        <v>0</v>
      </c>
      <c r="I32" s="26"/>
      <c r="J32" s="26"/>
      <c r="K32" s="26"/>
      <c r="L32" s="26"/>
      <c r="M32" s="26"/>
      <c r="N32" s="26"/>
      <c r="O32" s="26"/>
      <c r="P32" s="26"/>
      <c r="Q32" s="26"/>
      <c r="R32" s="26"/>
      <c r="S32" s="26"/>
      <c r="T32" s="26"/>
      <c r="U32" s="26"/>
      <c r="V32" s="26"/>
      <c r="W32" s="26"/>
      <c r="X32" s="28"/>
      <c r="Y32" s="26"/>
      <c r="Z32" s="26"/>
      <c r="AA32" s="26"/>
      <c r="AB32" s="26">
        <f t="shared" si="3"/>
        <v>0</v>
      </c>
      <c r="AC32" s="29"/>
    </row>
    <row r="33" spans="1:38">
      <c r="A33" s="3"/>
      <c r="B33" s="11"/>
      <c r="C33" s="5"/>
      <c r="D33" s="4"/>
      <c r="E33" s="28">
        <f t="shared" si="0"/>
        <v>0</v>
      </c>
      <c r="F33" s="35"/>
      <c r="G33" s="28">
        <f t="shared" si="1"/>
        <v>0</v>
      </c>
      <c r="H33" s="28">
        <f t="shared" si="2"/>
        <v>0</v>
      </c>
      <c r="I33" s="26"/>
      <c r="J33" s="26"/>
      <c r="K33" s="26"/>
      <c r="L33" s="26"/>
      <c r="M33" s="26"/>
      <c r="N33" s="26"/>
      <c r="O33" s="26"/>
      <c r="P33" s="26"/>
      <c r="Q33" s="26"/>
      <c r="R33" s="26"/>
      <c r="S33" s="26"/>
      <c r="T33" s="26"/>
      <c r="U33" s="26"/>
      <c r="V33" s="26"/>
      <c r="W33" s="26"/>
      <c r="X33" s="28"/>
      <c r="Y33" s="26"/>
      <c r="Z33" s="26"/>
      <c r="AA33" s="26"/>
      <c r="AB33" s="26">
        <f t="shared" si="3"/>
        <v>0</v>
      </c>
      <c r="AC33" s="29"/>
    </row>
    <row r="34" spans="1:38">
      <c r="A34" s="3"/>
      <c r="B34" s="11"/>
      <c r="C34" s="5"/>
      <c r="D34" s="4"/>
      <c r="E34" s="28">
        <f t="shared" si="0"/>
        <v>0</v>
      </c>
      <c r="F34" s="35"/>
      <c r="G34" s="28">
        <f t="shared" si="1"/>
        <v>0</v>
      </c>
      <c r="H34" s="28">
        <f t="shared" si="2"/>
        <v>0</v>
      </c>
      <c r="I34" s="26"/>
      <c r="J34" s="26"/>
      <c r="K34" s="26"/>
      <c r="L34" s="26"/>
      <c r="M34" s="26"/>
      <c r="N34" s="26"/>
      <c r="O34" s="26"/>
      <c r="P34" s="26"/>
      <c r="Q34" s="26"/>
      <c r="R34" s="26"/>
      <c r="S34" s="26"/>
      <c r="T34" s="26"/>
      <c r="U34" s="26"/>
      <c r="V34" s="26"/>
      <c r="W34" s="26"/>
      <c r="X34" s="28"/>
      <c r="Y34" s="26"/>
      <c r="Z34" s="26"/>
      <c r="AA34" s="26"/>
      <c r="AB34" s="26">
        <f t="shared" si="3"/>
        <v>0</v>
      </c>
      <c r="AC34" s="29"/>
    </row>
    <row r="35" spans="1:38">
      <c r="A35" s="3"/>
      <c r="B35" s="11"/>
      <c r="C35" s="5"/>
      <c r="D35" s="4"/>
      <c r="E35" s="28">
        <f t="shared" si="0"/>
        <v>0</v>
      </c>
      <c r="F35" s="35"/>
      <c r="G35" s="28">
        <f t="shared" si="1"/>
        <v>0</v>
      </c>
      <c r="H35" s="28">
        <f t="shared" si="2"/>
        <v>0</v>
      </c>
      <c r="I35" s="26"/>
      <c r="J35" s="26"/>
      <c r="K35" s="26"/>
      <c r="L35" s="26"/>
      <c r="M35" s="26"/>
      <c r="N35" s="26"/>
      <c r="O35" s="26"/>
      <c r="P35" s="26"/>
      <c r="Q35" s="26"/>
      <c r="R35" s="26"/>
      <c r="S35" s="26"/>
      <c r="T35" s="26"/>
      <c r="U35" s="26"/>
      <c r="V35" s="26"/>
      <c r="W35" s="26"/>
      <c r="X35" s="28"/>
      <c r="Y35" s="26"/>
      <c r="Z35" s="26"/>
      <c r="AA35" s="26"/>
      <c r="AB35" s="26">
        <f t="shared" si="3"/>
        <v>0</v>
      </c>
      <c r="AC35" s="29"/>
    </row>
    <row r="36" spans="1:38">
      <c r="A36" s="3"/>
      <c r="B36" s="11"/>
      <c r="C36" s="5"/>
      <c r="D36" s="4"/>
      <c r="E36" s="28">
        <f t="shared" si="0"/>
        <v>0</v>
      </c>
      <c r="F36" s="35"/>
      <c r="G36" s="28">
        <f t="shared" si="1"/>
        <v>0</v>
      </c>
      <c r="H36" s="28">
        <f t="shared" si="2"/>
        <v>0</v>
      </c>
      <c r="I36" s="26"/>
      <c r="J36" s="26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8"/>
      <c r="Y36" s="26"/>
      <c r="Z36" s="26"/>
      <c r="AA36" s="26"/>
      <c r="AB36" s="26">
        <f t="shared" si="3"/>
        <v>0</v>
      </c>
      <c r="AC36" s="29"/>
    </row>
    <row r="37" spans="1:38">
      <c r="A37" s="3"/>
      <c r="B37" s="11"/>
      <c r="C37" s="5"/>
      <c r="D37" s="4"/>
      <c r="E37" s="28">
        <f t="shared" si="0"/>
        <v>0</v>
      </c>
      <c r="F37" s="35"/>
      <c r="G37" s="28">
        <f t="shared" si="1"/>
        <v>0</v>
      </c>
      <c r="H37" s="28">
        <f t="shared" si="2"/>
        <v>0</v>
      </c>
      <c r="I37" s="26"/>
      <c r="J37" s="26"/>
      <c r="K37" s="26"/>
      <c r="L37" s="26"/>
      <c r="M37" s="26"/>
      <c r="N37" s="26"/>
      <c r="O37" s="26"/>
      <c r="P37" s="26"/>
      <c r="Q37" s="26"/>
      <c r="R37" s="26"/>
      <c r="S37" s="26"/>
      <c r="T37" s="26"/>
      <c r="U37" s="26"/>
      <c r="V37" s="26"/>
      <c r="W37" s="26"/>
      <c r="X37" s="28"/>
      <c r="Y37" s="26"/>
      <c r="Z37" s="26"/>
      <c r="AA37" s="26"/>
      <c r="AB37" s="26">
        <f t="shared" si="3"/>
        <v>0</v>
      </c>
      <c r="AC37" s="29"/>
    </row>
    <row r="38" spans="1:38">
      <c r="A38" s="3"/>
      <c r="B38" s="11"/>
      <c r="C38" s="5"/>
      <c r="D38" s="4"/>
      <c r="E38" s="28">
        <f t="shared" si="0"/>
        <v>0</v>
      </c>
      <c r="F38" s="35"/>
      <c r="G38" s="28">
        <f t="shared" si="1"/>
        <v>0</v>
      </c>
      <c r="H38" s="28">
        <f t="shared" si="2"/>
        <v>0</v>
      </c>
      <c r="I38" s="26"/>
      <c r="J38" s="26"/>
      <c r="K38" s="26"/>
      <c r="L38" s="26"/>
      <c r="M38" s="26"/>
      <c r="N38" s="26"/>
      <c r="O38" s="26"/>
      <c r="P38" s="26"/>
      <c r="Q38" s="26"/>
      <c r="R38" s="26"/>
      <c r="S38" s="26"/>
      <c r="T38" s="26"/>
      <c r="U38" s="26"/>
      <c r="V38" s="26"/>
      <c r="W38" s="26"/>
      <c r="X38" s="28"/>
      <c r="Y38" s="26"/>
      <c r="Z38" s="26"/>
      <c r="AA38" s="26"/>
      <c r="AB38" s="26">
        <f t="shared" si="3"/>
        <v>0</v>
      </c>
      <c r="AC38" s="29"/>
      <c r="AD38" s="36"/>
    </row>
    <row r="39" spans="1:38">
      <c r="A39" s="3"/>
      <c r="B39" s="11"/>
      <c r="C39" s="5"/>
      <c r="D39" s="4"/>
      <c r="E39" s="28">
        <f t="shared" si="0"/>
        <v>0</v>
      </c>
      <c r="F39" s="35"/>
      <c r="G39" s="28">
        <f t="shared" si="1"/>
        <v>0</v>
      </c>
      <c r="H39" s="28">
        <f t="shared" si="2"/>
        <v>0</v>
      </c>
      <c r="I39" s="26"/>
      <c r="J39" s="26"/>
      <c r="K39" s="26"/>
      <c r="L39" s="26"/>
      <c r="M39" s="26"/>
      <c r="N39" s="26"/>
      <c r="O39" s="26"/>
      <c r="P39" s="26"/>
      <c r="Q39" s="26"/>
      <c r="R39" s="26"/>
      <c r="S39" s="26"/>
      <c r="T39" s="26"/>
      <c r="U39" s="26"/>
      <c r="V39" s="26"/>
      <c r="W39" s="26"/>
      <c r="X39" s="28"/>
      <c r="Y39" s="26"/>
      <c r="Z39" s="26"/>
      <c r="AA39" s="26"/>
      <c r="AB39" s="26">
        <f t="shared" si="3"/>
        <v>0</v>
      </c>
      <c r="AC39" s="29"/>
    </row>
    <row r="40" spans="1:38">
      <c r="A40" s="3"/>
      <c r="B40" s="11"/>
      <c r="C40" s="5"/>
      <c r="D40" s="4"/>
      <c r="E40" s="28">
        <f t="shared" si="0"/>
        <v>0</v>
      </c>
      <c r="F40" s="28"/>
      <c r="G40" s="28">
        <f t="shared" si="1"/>
        <v>0</v>
      </c>
      <c r="H40" s="28">
        <f t="shared" si="2"/>
        <v>0</v>
      </c>
      <c r="I40" s="26"/>
      <c r="J40" s="26"/>
      <c r="K40" s="26"/>
      <c r="L40" s="26"/>
      <c r="M40" s="26"/>
      <c r="N40" s="26"/>
      <c r="O40" s="26"/>
      <c r="P40" s="26"/>
      <c r="Q40" s="26"/>
      <c r="R40" s="26"/>
      <c r="S40" s="26"/>
      <c r="T40" s="26"/>
      <c r="U40" s="26"/>
      <c r="V40" s="26"/>
      <c r="W40" s="26"/>
      <c r="X40" s="28"/>
      <c r="Y40" s="26"/>
      <c r="Z40" s="26"/>
      <c r="AA40" s="26"/>
      <c r="AB40" s="26">
        <f t="shared" si="3"/>
        <v>0</v>
      </c>
      <c r="AC40" s="29"/>
    </row>
    <row r="41" spans="1:38">
      <c r="A41" s="3"/>
      <c r="B41" s="11"/>
      <c r="C41" s="5"/>
      <c r="D41" s="4"/>
      <c r="E41" s="28">
        <f t="shared" si="0"/>
        <v>0</v>
      </c>
      <c r="F41" s="35"/>
      <c r="G41" s="28">
        <f t="shared" si="1"/>
        <v>0</v>
      </c>
      <c r="H41" s="28">
        <f t="shared" si="2"/>
        <v>0</v>
      </c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8"/>
      <c r="Y41" s="26"/>
      <c r="Z41" s="26"/>
      <c r="AA41" s="26"/>
      <c r="AB41" s="37">
        <f t="shared" ref="AB41:AB46" si="4">SUM(J41:Y41)</f>
        <v>0</v>
      </c>
      <c r="AC41" s="29"/>
    </row>
    <row r="42" spans="1:38" s="12" customFormat="1">
      <c r="A42" s="3"/>
      <c r="B42" s="11"/>
      <c r="C42" s="5"/>
      <c r="D42" s="4"/>
      <c r="E42" s="28">
        <f t="shared" si="0"/>
        <v>0</v>
      </c>
      <c r="F42" s="35"/>
      <c r="G42" s="28">
        <f t="shared" si="1"/>
        <v>0</v>
      </c>
      <c r="H42" s="28">
        <f t="shared" si="2"/>
        <v>0</v>
      </c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8"/>
      <c r="Y42" s="26"/>
      <c r="Z42" s="26"/>
      <c r="AA42" s="26"/>
      <c r="AB42" s="38">
        <f t="shared" si="4"/>
        <v>0</v>
      </c>
      <c r="AC42" s="31"/>
      <c r="AE42"/>
      <c r="AF42"/>
      <c r="AG42"/>
      <c r="AH42"/>
      <c r="AI42"/>
      <c r="AJ42"/>
      <c r="AK42"/>
      <c r="AL42"/>
    </row>
    <row r="43" spans="1:38">
      <c r="A43" s="3"/>
      <c r="B43" s="11"/>
      <c r="C43" s="5"/>
      <c r="D43" s="4"/>
      <c r="E43" s="28">
        <f t="shared" si="0"/>
        <v>0</v>
      </c>
      <c r="F43" s="28"/>
      <c r="G43" s="28">
        <f t="shared" si="1"/>
        <v>0</v>
      </c>
      <c r="H43" s="28">
        <f t="shared" si="2"/>
        <v>0</v>
      </c>
      <c r="I43" s="26"/>
      <c r="J43" s="26"/>
      <c r="K43" s="26"/>
      <c r="L43" s="26"/>
      <c r="M43" s="26"/>
      <c r="N43" s="26"/>
      <c r="O43" s="26"/>
      <c r="P43" s="26"/>
      <c r="Q43" s="26"/>
      <c r="R43" s="26"/>
      <c r="S43" s="26"/>
      <c r="T43" s="26"/>
      <c r="U43" s="26"/>
      <c r="V43" s="26"/>
      <c r="W43" s="26"/>
      <c r="X43" s="28"/>
      <c r="Y43" s="26"/>
      <c r="Z43" s="26"/>
      <c r="AA43" s="26"/>
      <c r="AB43" s="37">
        <f t="shared" si="4"/>
        <v>0</v>
      </c>
      <c r="AC43" s="29"/>
    </row>
    <row r="44" spans="1:38">
      <c r="A44" s="3"/>
      <c r="B44" s="11"/>
      <c r="C44" s="5"/>
      <c r="D44" s="4"/>
      <c r="E44" s="28">
        <f t="shared" si="0"/>
        <v>0</v>
      </c>
      <c r="F44" s="35"/>
      <c r="G44" s="28">
        <f t="shared" si="1"/>
        <v>0</v>
      </c>
      <c r="H44" s="28">
        <f t="shared" si="2"/>
        <v>0</v>
      </c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8"/>
      <c r="Y44" s="26"/>
      <c r="Z44" s="26"/>
      <c r="AA44" s="26"/>
      <c r="AB44" s="37">
        <f t="shared" si="4"/>
        <v>0</v>
      </c>
      <c r="AC44" s="29"/>
    </row>
    <row r="45" spans="1:38">
      <c r="A45" s="3"/>
      <c r="B45" s="11"/>
      <c r="C45" s="5"/>
      <c r="D45" s="4"/>
      <c r="E45" s="28">
        <f t="shared" si="0"/>
        <v>0</v>
      </c>
      <c r="F45" s="35"/>
      <c r="G45" s="28">
        <f t="shared" si="1"/>
        <v>0</v>
      </c>
      <c r="H45" s="28">
        <f t="shared" si="2"/>
        <v>0</v>
      </c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8"/>
      <c r="Y45" s="26"/>
      <c r="Z45" s="26"/>
      <c r="AA45" s="26"/>
      <c r="AB45" s="37">
        <f t="shared" si="4"/>
        <v>0</v>
      </c>
      <c r="AC45" s="29"/>
    </row>
    <row r="46" spans="1:38">
      <c r="A46" s="3"/>
      <c r="B46" s="11"/>
      <c r="C46" s="5"/>
      <c r="D46" s="4"/>
      <c r="E46" s="28">
        <f t="shared" si="0"/>
        <v>0</v>
      </c>
      <c r="F46" s="28"/>
      <c r="G46" s="28">
        <f t="shared" si="1"/>
        <v>0</v>
      </c>
      <c r="H46" s="28">
        <f t="shared" si="2"/>
        <v>0</v>
      </c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8"/>
      <c r="Y46" s="26"/>
      <c r="Z46" s="26"/>
      <c r="AA46" s="26"/>
      <c r="AB46" s="37">
        <f t="shared" si="4"/>
        <v>0</v>
      </c>
      <c r="AC46" s="29"/>
    </row>
    <row r="47" spans="1:38">
      <c r="A47" s="3"/>
      <c r="B47" s="11"/>
      <c r="C47" s="5"/>
      <c r="D47" s="4"/>
      <c r="E47" s="28">
        <f t="shared" si="0"/>
        <v>0</v>
      </c>
      <c r="F47" s="28"/>
      <c r="G47" s="28">
        <f t="shared" si="1"/>
        <v>0</v>
      </c>
      <c r="H47" s="28">
        <f t="shared" si="2"/>
        <v>0</v>
      </c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8"/>
      <c r="Y47" s="26"/>
      <c r="Z47" s="26"/>
      <c r="AA47" s="26"/>
      <c r="AB47" s="26">
        <f t="shared" ref="AB47:AB110" si="5">SUM(J47:X47)</f>
        <v>0</v>
      </c>
      <c r="AC47" s="29"/>
    </row>
    <row r="48" spans="1:38" s="12" customFormat="1">
      <c r="A48" s="3"/>
      <c r="B48" s="11"/>
      <c r="C48" s="5"/>
      <c r="D48" s="4"/>
      <c r="E48" s="28">
        <f t="shared" si="0"/>
        <v>0</v>
      </c>
      <c r="F48" s="28"/>
      <c r="G48" s="28">
        <f t="shared" si="1"/>
        <v>0</v>
      </c>
      <c r="H48" s="28">
        <f t="shared" si="2"/>
        <v>0</v>
      </c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8"/>
      <c r="Y48" s="26"/>
      <c r="Z48" s="26"/>
      <c r="AA48" s="26"/>
      <c r="AB48" s="33">
        <f t="shared" si="5"/>
        <v>0</v>
      </c>
      <c r="AC48" s="31"/>
      <c r="AE48"/>
      <c r="AF48"/>
      <c r="AG48"/>
      <c r="AH48"/>
      <c r="AI48"/>
      <c r="AJ48"/>
      <c r="AK48"/>
      <c r="AL48"/>
    </row>
    <row r="49" spans="1:29">
      <c r="A49" s="3"/>
      <c r="B49" s="11"/>
      <c r="C49" s="5"/>
      <c r="D49" s="4"/>
      <c r="E49" s="28">
        <f t="shared" si="0"/>
        <v>0</v>
      </c>
      <c r="F49" s="28"/>
      <c r="G49" s="28">
        <f t="shared" si="1"/>
        <v>0</v>
      </c>
      <c r="H49" s="28">
        <f t="shared" si="2"/>
        <v>0</v>
      </c>
      <c r="I49" s="26"/>
      <c r="J49" s="26"/>
      <c r="K49" s="26"/>
      <c r="L49" s="26"/>
      <c r="M49" s="26"/>
      <c r="N49" s="26"/>
      <c r="O49" s="26"/>
      <c r="P49" s="26"/>
      <c r="Q49" s="26"/>
      <c r="R49" s="26"/>
      <c r="S49" s="26"/>
      <c r="T49" s="26"/>
      <c r="U49" s="26"/>
      <c r="V49" s="26"/>
      <c r="W49" s="26"/>
      <c r="X49" s="28"/>
      <c r="Y49" s="26"/>
      <c r="Z49" s="26"/>
      <c r="AA49" s="26"/>
      <c r="AB49" s="26">
        <f t="shared" si="5"/>
        <v>0</v>
      </c>
      <c r="AC49" s="29"/>
    </row>
    <row r="50" spans="1:29">
      <c r="A50" s="3"/>
      <c r="B50" s="11"/>
      <c r="C50" s="5"/>
      <c r="D50" s="4"/>
      <c r="E50" s="28">
        <f t="shared" si="0"/>
        <v>0</v>
      </c>
      <c r="F50" s="28"/>
      <c r="G50" s="28">
        <f t="shared" si="1"/>
        <v>0</v>
      </c>
      <c r="H50" s="28">
        <f t="shared" si="2"/>
        <v>0</v>
      </c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/>
      <c r="T50" s="26"/>
      <c r="U50" s="26"/>
      <c r="V50" s="26"/>
      <c r="W50" s="26"/>
      <c r="X50" s="28"/>
      <c r="Y50" s="26"/>
      <c r="Z50" s="26"/>
      <c r="AA50" s="26"/>
      <c r="AB50" s="26">
        <f t="shared" si="5"/>
        <v>0</v>
      </c>
      <c r="AC50" s="29"/>
    </row>
    <row r="51" spans="1:29">
      <c r="A51" s="3"/>
      <c r="B51" s="11"/>
      <c r="C51" s="5"/>
      <c r="D51" s="4"/>
      <c r="E51" s="28">
        <f t="shared" si="0"/>
        <v>0</v>
      </c>
      <c r="F51" s="28"/>
      <c r="G51" s="28">
        <f t="shared" si="1"/>
        <v>0</v>
      </c>
      <c r="H51" s="28">
        <f t="shared" si="2"/>
        <v>0</v>
      </c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X51" s="28"/>
      <c r="Y51" s="26"/>
      <c r="Z51" s="26"/>
      <c r="AA51" s="26"/>
      <c r="AB51" s="26">
        <f t="shared" si="5"/>
        <v>0</v>
      </c>
      <c r="AC51" s="29"/>
    </row>
    <row r="52" spans="1:29">
      <c r="A52" s="3"/>
      <c r="B52" s="11"/>
      <c r="C52" s="5"/>
      <c r="D52" s="4"/>
      <c r="E52" s="28">
        <f t="shared" si="0"/>
        <v>0</v>
      </c>
      <c r="F52" s="28"/>
      <c r="G52" s="28">
        <f t="shared" si="1"/>
        <v>0</v>
      </c>
      <c r="H52" s="28">
        <f t="shared" si="2"/>
        <v>0</v>
      </c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6"/>
      <c r="V52" s="26"/>
      <c r="W52" s="26"/>
      <c r="X52" s="28"/>
      <c r="Y52" s="26"/>
      <c r="Z52" s="26"/>
      <c r="AA52" s="26"/>
      <c r="AB52" s="26">
        <f t="shared" si="5"/>
        <v>0</v>
      </c>
      <c r="AC52" s="29"/>
    </row>
    <row r="53" spans="1:29">
      <c r="A53" s="3"/>
      <c r="B53" s="11"/>
      <c r="C53" s="5"/>
      <c r="D53" s="4"/>
      <c r="E53" s="28">
        <f t="shared" si="0"/>
        <v>0</v>
      </c>
      <c r="F53" s="28"/>
      <c r="G53" s="28">
        <f t="shared" si="1"/>
        <v>0</v>
      </c>
      <c r="H53" s="28">
        <f t="shared" si="2"/>
        <v>0</v>
      </c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6"/>
      <c r="V53" s="26"/>
      <c r="W53" s="26"/>
      <c r="X53" s="28"/>
      <c r="Y53" s="26"/>
      <c r="Z53" s="26"/>
      <c r="AA53" s="26"/>
      <c r="AB53" s="26">
        <f t="shared" si="5"/>
        <v>0</v>
      </c>
      <c r="AC53" s="29"/>
    </row>
    <row r="54" spans="1:29">
      <c r="A54" s="3"/>
      <c r="B54" s="11"/>
      <c r="C54" s="5"/>
      <c r="D54" s="4"/>
      <c r="E54" s="28">
        <f t="shared" si="0"/>
        <v>0</v>
      </c>
      <c r="F54" s="28"/>
      <c r="G54" s="28">
        <f t="shared" si="1"/>
        <v>0</v>
      </c>
      <c r="H54" s="28">
        <f t="shared" si="2"/>
        <v>0</v>
      </c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6"/>
      <c r="V54" s="26"/>
      <c r="W54" s="26"/>
      <c r="X54" s="28"/>
      <c r="Y54" s="26"/>
      <c r="Z54" s="26"/>
      <c r="AA54" s="26"/>
      <c r="AB54" s="26">
        <f t="shared" si="5"/>
        <v>0</v>
      </c>
      <c r="AC54" s="29"/>
    </row>
    <row r="55" spans="1:29">
      <c r="A55" s="3"/>
      <c r="B55" s="11"/>
      <c r="C55" s="5"/>
      <c r="D55" s="4"/>
      <c r="E55" s="28">
        <f t="shared" si="0"/>
        <v>0</v>
      </c>
      <c r="F55" s="28"/>
      <c r="G55" s="28">
        <f t="shared" si="1"/>
        <v>0</v>
      </c>
      <c r="H55" s="28">
        <f t="shared" si="2"/>
        <v>0</v>
      </c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6"/>
      <c r="V55" s="26"/>
      <c r="W55" s="26"/>
      <c r="X55" s="28"/>
      <c r="Y55" s="26"/>
      <c r="Z55" s="26"/>
      <c r="AA55" s="26"/>
      <c r="AB55" s="26">
        <f t="shared" si="5"/>
        <v>0</v>
      </c>
      <c r="AC55" s="29"/>
    </row>
    <row r="56" spans="1:29">
      <c r="A56" s="3"/>
      <c r="B56" s="11"/>
      <c r="C56" s="5"/>
      <c r="D56" s="4"/>
      <c r="E56" s="28">
        <f t="shared" si="0"/>
        <v>0</v>
      </c>
      <c r="F56" s="28"/>
      <c r="G56" s="28">
        <f t="shared" si="1"/>
        <v>0</v>
      </c>
      <c r="H56" s="28">
        <f t="shared" si="2"/>
        <v>0</v>
      </c>
      <c r="I56" s="26"/>
      <c r="J56" s="26"/>
      <c r="K56" s="26"/>
      <c r="L56" s="26"/>
      <c r="M56" s="26"/>
      <c r="N56" s="26"/>
      <c r="O56" s="26"/>
      <c r="P56" s="26"/>
      <c r="Q56" s="26"/>
      <c r="R56" s="26"/>
      <c r="S56" s="26"/>
      <c r="T56" s="26"/>
      <c r="U56" s="26"/>
      <c r="V56" s="26"/>
      <c r="W56" s="26"/>
      <c r="X56" s="28"/>
      <c r="Y56" s="26"/>
      <c r="Z56" s="26"/>
      <c r="AA56" s="26"/>
      <c r="AB56" s="26">
        <f t="shared" si="5"/>
        <v>0</v>
      </c>
      <c r="AC56" s="29"/>
    </row>
    <row r="57" spans="1:29">
      <c r="A57" s="3"/>
      <c r="B57" s="11"/>
      <c r="C57" s="5"/>
      <c r="D57" s="4"/>
      <c r="E57" s="28">
        <f t="shared" si="0"/>
        <v>0</v>
      </c>
      <c r="F57" s="35"/>
      <c r="G57" s="28">
        <f t="shared" si="1"/>
        <v>0</v>
      </c>
      <c r="H57" s="28">
        <f t="shared" si="2"/>
        <v>0</v>
      </c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8"/>
      <c r="Y57" s="26"/>
      <c r="Z57" s="26"/>
      <c r="AA57" s="26"/>
      <c r="AB57" s="26">
        <f t="shared" si="5"/>
        <v>0</v>
      </c>
      <c r="AC57" s="29"/>
    </row>
    <row r="58" spans="1:29">
      <c r="A58" s="3"/>
      <c r="B58" s="11"/>
      <c r="C58" s="5"/>
      <c r="D58" s="4"/>
      <c r="E58" s="28">
        <f t="shared" si="0"/>
        <v>0</v>
      </c>
      <c r="F58" s="35"/>
      <c r="G58" s="28">
        <f t="shared" si="1"/>
        <v>0</v>
      </c>
      <c r="H58" s="28">
        <f t="shared" si="2"/>
        <v>0</v>
      </c>
      <c r="I58" s="26"/>
      <c r="J58" s="26"/>
      <c r="K58" s="26"/>
      <c r="L58" s="26"/>
      <c r="M58" s="26"/>
      <c r="N58" s="26"/>
      <c r="O58" s="26"/>
      <c r="P58" s="26"/>
      <c r="Q58" s="26"/>
      <c r="R58" s="26"/>
      <c r="S58" s="26"/>
      <c r="T58" s="26"/>
      <c r="U58" s="26"/>
      <c r="V58" s="26"/>
      <c r="W58" s="26"/>
      <c r="X58" s="28"/>
      <c r="Y58" s="26"/>
      <c r="Z58" s="26"/>
      <c r="AA58" s="26"/>
      <c r="AB58" s="26">
        <f t="shared" si="5"/>
        <v>0</v>
      </c>
      <c r="AC58" s="29"/>
    </row>
    <row r="59" spans="1:29">
      <c r="A59" s="3"/>
      <c r="B59" s="11"/>
      <c r="C59" s="5"/>
      <c r="D59" s="4"/>
      <c r="E59" s="28">
        <f t="shared" si="0"/>
        <v>0</v>
      </c>
      <c r="F59" s="35"/>
      <c r="G59" s="28">
        <f t="shared" si="1"/>
        <v>0</v>
      </c>
      <c r="H59" s="28">
        <f t="shared" si="2"/>
        <v>0</v>
      </c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8"/>
      <c r="Y59" s="26"/>
      <c r="Z59" s="26"/>
      <c r="AA59" s="26"/>
      <c r="AB59" s="26">
        <f t="shared" si="5"/>
        <v>0</v>
      </c>
      <c r="AC59" s="29"/>
    </row>
    <row r="60" spans="1:29">
      <c r="A60" s="3"/>
      <c r="B60" s="11"/>
      <c r="C60" s="5"/>
      <c r="D60" s="4"/>
      <c r="E60" s="28">
        <f t="shared" si="0"/>
        <v>0</v>
      </c>
      <c r="F60" s="35"/>
      <c r="G60" s="28">
        <f t="shared" si="1"/>
        <v>0</v>
      </c>
      <c r="H60" s="28">
        <f t="shared" si="2"/>
        <v>0</v>
      </c>
      <c r="I60" s="26"/>
      <c r="J60" s="26"/>
      <c r="K60" s="26"/>
      <c r="L60" s="26"/>
      <c r="M60" s="26"/>
      <c r="N60" s="26"/>
      <c r="O60" s="26"/>
      <c r="P60" s="26"/>
      <c r="Q60" s="26"/>
      <c r="R60" s="26"/>
      <c r="S60" s="26"/>
      <c r="T60" s="26"/>
      <c r="U60" s="26"/>
      <c r="V60" s="26"/>
      <c r="W60" s="26"/>
      <c r="X60" s="28"/>
      <c r="Y60" s="26"/>
      <c r="Z60" s="26"/>
      <c r="AA60" s="26"/>
      <c r="AB60" s="26">
        <f t="shared" si="5"/>
        <v>0</v>
      </c>
      <c r="AC60" s="29"/>
    </row>
    <row r="61" spans="1:29">
      <c r="A61" s="3"/>
      <c r="B61" s="11"/>
      <c r="C61" s="5"/>
      <c r="D61" s="4"/>
      <c r="E61" s="28">
        <f t="shared" si="0"/>
        <v>0</v>
      </c>
      <c r="F61" s="28"/>
      <c r="G61" s="28">
        <f t="shared" si="1"/>
        <v>0</v>
      </c>
      <c r="H61" s="28">
        <f t="shared" si="2"/>
        <v>0</v>
      </c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X61" s="28"/>
      <c r="Y61" s="26"/>
      <c r="Z61" s="26"/>
      <c r="AA61" s="26"/>
      <c r="AB61" s="26">
        <f t="shared" si="5"/>
        <v>0</v>
      </c>
      <c r="AC61" s="29"/>
    </row>
    <row r="62" spans="1:29">
      <c r="A62" s="3"/>
      <c r="B62" s="11"/>
      <c r="C62" s="5"/>
      <c r="D62" s="4"/>
      <c r="E62" s="28">
        <f t="shared" si="0"/>
        <v>0</v>
      </c>
      <c r="F62" s="28"/>
      <c r="G62" s="28">
        <f t="shared" si="1"/>
        <v>0</v>
      </c>
      <c r="H62" s="28">
        <f t="shared" si="2"/>
        <v>0</v>
      </c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8"/>
      <c r="Y62" s="26"/>
      <c r="Z62" s="26"/>
      <c r="AA62" s="26"/>
      <c r="AB62" s="26">
        <f t="shared" si="5"/>
        <v>0</v>
      </c>
      <c r="AC62" s="29"/>
    </row>
    <row r="63" spans="1:29">
      <c r="A63" s="3"/>
      <c r="B63" s="11"/>
      <c r="C63" s="5"/>
      <c r="D63" s="4"/>
      <c r="E63" s="28">
        <f t="shared" si="0"/>
        <v>0</v>
      </c>
      <c r="F63" s="28"/>
      <c r="G63" s="28">
        <f t="shared" si="1"/>
        <v>0</v>
      </c>
      <c r="H63" s="28">
        <f t="shared" si="2"/>
        <v>0</v>
      </c>
      <c r="I63" s="26"/>
      <c r="J63" s="26"/>
      <c r="K63" s="26"/>
      <c r="L63" s="26"/>
      <c r="M63" s="26"/>
      <c r="N63" s="26"/>
      <c r="O63" s="26"/>
      <c r="P63" s="26"/>
      <c r="Q63" s="26"/>
      <c r="R63" s="26"/>
      <c r="S63" s="26"/>
      <c r="T63" s="26"/>
      <c r="U63" s="26"/>
      <c r="V63" s="26"/>
      <c r="W63" s="26"/>
      <c r="X63" s="28"/>
      <c r="Y63" s="26"/>
      <c r="Z63" s="26"/>
      <c r="AA63" s="26"/>
      <c r="AB63" s="26">
        <f t="shared" si="5"/>
        <v>0</v>
      </c>
      <c r="AC63" s="29"/>
    </row>
    <row r="64" spans="1:29">
      <c r="A64" s="3"/>
      <c r="B64" s="11"/>
      <c r="C64" s="5"/>
      <c r="D64" s="4"/>
      <c r="E64" s="28">
        <f t="shared" si="0"/>
        <v>0</v>
      </c>
      <c r="F64" s="28"/>
      <c r="G64" s="28">
        <f t="shared" si="1"/>
        <v>0</v>
      </c>
      <c r="H64" s="28">
        <f t="shared" si="2"/>
        <v>0</v>
      </c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X64" s="28"/>
      <c r="Y64" s="26"/>
      <c r="Z64" s="26"/>
      <c r="AA64" s="26"/>
      <c r="AB64" s="26">
        <f t="shared" si="5"/>
        <v>0</v>
      </c>
      <c r="AC64" s="29"/>
    </row>
    <row r="65" spans="1:29">
      <c r="A65" s="3"/>
      <c r="B65" s="11"/>
      <c r="C65" s="5"/>
      <c r="D65" s="4"/>
      <c r="E65" s="28">
        <f t="shared" si="0"/>
        <v>0</v>
      </c>
      <c r="F65" s="28"/>
      <c r="G65" s="28">
        <f t="shared" si="1"/>
        <v>0</v>
      </c>
      <c r="H65" s="28">
        <f t="shared" si="2"/>
        <v>0</v>
      </c>
      <c r="I65" s="26"/>
      <c r="J65" s="26"/>
      <c r="K65" s="26"/>
      <c r="L65" s="26"/>
      <c r="M65" s="26"/>
      <c r="N65" s="26"/>
      <c r="O65" s="26"/>
      <c r="P65" s="26"/>
      <c r="Q65" s="26"/>
      <c r="R65" s="26"/>
      <c r="S65" s="26"/>
      <c r="T65" s="26"/>
      <c r="U65" s="26"/>
      <c r="V65" s="26"/>
      <c r="W65" s="26"/>
      <c r="X65" s="28"/>
      <c r="Y65" s="26"/>
      <c r="Z65" s="26"/>
      <c r="AA65" s="26"/>
      <c r="AB65" s="26">
        <f t="shared" si="5"/>
        <v>0</v>
      </c>
      <c r="AC65" s="29"/>
    </row>
    <row r="66" spans="1:29">
      <c r="A66" s="3"/>
      <c r="B66" s="11"/>
      <c r="C66" s="5"/>
      <c r="D66" s="4"/>
      <c r="E66" s="28">
        <f t="shared" si="0"/>
        <v>0</v>
      </c>
      <c r="F66" s="28"/>
      <c r="G66" s="28">
        <f t="shared" si="1"/>
        <v>0</v>
      </c>
      <c r="H66" s="28">
        <f t="shared" si="2"/>
        <v>0</v>
      </c>
      <c r="I66" s="26"/>
      <c r="J66" s="26"/>
      <c r="K66" s="26"/>
      <c r="L66" s="26"/>
      <c r="M66" s="26"/>
      <c r="N66" s="26"/>
      <c r="O66" s="26"/>
      <c r="P66" s="26"/>
      <c r="Q66" s="26"/>
      <c r="R66" s="26"/>
      <c r="S66" s="26"/>
      <c r="T66" s="26"/>
      <c r="U66" s="26"/>
      <c r="V66" s="26"/>
      <c r="W66" s="26"/>
      <c r="X66" s="28"/>
      <c r="Y66" s="26"/>
      <c r="Z66" s="26"/>
      <c r="AA66" s="26"/>
      <c r="AB66" s="26">
        <f t="shared" si="5"/>
        <v>0</v>
      </c>
      <c r="AC66" s="29"/>
    </row>
    <row r="67" spans="1:29">
      <c r="A67" s="3"/>
      <c r="B67" s="11"/>
      <c r="C67" s="5"/>
      <c r="D67" s="4"/>
      <c r="E67" s="28">
        <f t="shared" si="0"/>
        <v>0</v>
      </c>
      <c r="F67" s="28"/>
      <c r="G67" s="28">
        <f t="shared" si="1"/>
        <v>0</v>
      </c>
      <c r="H67" s="28">
        <f t="shared" si="2"/>
        <v>0</v>
      </c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8"/>
      <c r="Y67" s="26"/>
      <c r="Z67" s="26"/>
      <c r="AA67" s="26"/>
      <c r="AB67" s="26">
        <f t="shared" si="5"/>
        <v>0</v>
      </c>
      <c r="AC67" s="29"/>
    </row>
    <row r="68" spans="1:29">
      <c r="A68" s="3"/>
      <c r="B68" s="11"/>
      <c r="C68" s="5"/>
      <c r="D68" s="4"/>
      <c r="E68" s="28">
        <f t="shared" si="0"/>
        <v>0</v>
      </c>
      <c r="F68" s="28"/>
      <c r="G68" s="28">
        <f t="shared" si="1"/>
        <v>0</v>
      </c>
      <c r="H68" s="28">
        <f t="shared" si="2"/>
        <v>0</v>
      </c>
      <c r="I68" s="26"/>
      <c r="J68" s="26"/>
      <c r="K68" s="26"/>
      <c r="L68" s="26"/>
      <c r="M68" s="26"/>
      <c r="N68" s="26"/>
      <c r="O68" s="26"/>
      <c r="P68" s="26"/>
      <c r="Q68" s="26"/>
      <c r="R68" s="26"/>
      <c r="S68" s="26"/>
      <c r="T68" s="26"/>
      <c r="U68" s="26"/>
      <c r="V68" s="26"/>
      <c r="W68" s="26"/>
      <c r="X68" s="28"/>
      <c r="Y68" s="26"/>
      <c r="Z68" s="26"/>
      <c r="AA68" s="26"/>
      <c r="AB68" s="26">
        <f t="shared" si="5"/>
        <v>0</v>
      </c>
      <c r="AC68" s="29"/>
    </row>
    <row r="69" spans="1:29">
      <c r="A69" s="3"/>
      <c r="B69" s="11"/>
      <c r="C69" s="5"/>
      <c r="D69" s="4"/>
      <c r="E69" s="28">
        <f t="shared" si="0"/>
        <v>0</v>
      </c>
      <c r="F69" s="28"/>
      <c r="G69" s="28">
        <f t="shared" si="1"/>
        <v>0</v>
      </c>
      <c r="H69" s="28">
        <f t="shared" si="2"/>
        <v>0</v>
      </c>
      <c r="I69" s="26"/>
      <c r="J69" s="26"/>
      <c r="K69" s="26"/>
      <c r="L69" s="26"/>
      <c r="M69" s="26"/>
      <c r="N69" s="26"/>
      <c r="O69" s="26"/>
      <c r="P69" s="26"/>
      <c r="Q69" s="26"/>
      <c r="R69" s="26"/>
      <c r="S69" s="26"/>
      <c r="T69" s="26"/>
      <c r="U69" s="26"/>
      <c r="V69" s="26"/>
      <c r="W69" s="26"/>
      <c r="X69" s="28"/>
      <c r="Y69" s="26"/>
      <c r="Z69" s="26"/>
      <c r="AA69" s="26"/>
      <c r="AB69" s="26">
        <f t="shared" si="5"/>
        <v>0</v>
      </c>
      <c r="AC69" s="29"/>
    </row>
    <row r="70" spans="1:29">
      <c r="A70" s="3"/>
      <c r="B70" s="11"/>
      <c r="C70" s="5"/>
      <c r="D70" s="4"/>
      <c r="E70" s="28">
        <f t="shared" si="0"/>
        <v>0</v>
      </c>
      <c r="F70" s="28"/>
      <c r="G70" s="28">
        <f t="shared" si="1"/>
        <v>0</v>
      </c>
      <c r="H70" s="28">
        <f t="shared" si="2"/>
        <v>0</v>
      </c>
      <c r="I70" s="26"/>
      <c r="J70" s="26"/>
      <c r="K70" s="26"/>
      <c r="L70" s="26"/>
      <c r="M70" s="26"/>
      <c r="N70" s="26"/>
      <c r="O70" s="26"/>
      <c r="P70" s="26"/>
      <c r="Q70" s="26"/>
      <c r="R70" s="26"/>
      <c r="S70" s="26"/>
      <c r="T70" s="26"/>
      <c r="U70" s="26"/>
      <c r="V70" s="26"/>
      <c r="W70" s="26"/>
      <c r="X70" s="28"/>
      <c r="Y70" s="26"/>
      <c r="Z70" s="26"/>
      <c r="AA70" s="26"/>
      <c r="AB70" s="26">
        <f t="shared" si="5"/>
        <v>0</v>
      </c>
      <c r="AC70" s="29"/>
    </row>
    <row r="71" spans="1:29">
      <c r="A71" s="3"/>
      <c r="B71" s="11"/>
      <c r="C71" s="5"/>
      <c r="D71" s="4"/>
      <c r="E71" s="28">
        <f t="shared" si="0"/>
        <v>0</v>
      </c>
      <c r="F71" s="28"/>
      <c r="G71" s="28">
        <f t="shared" si="1"/>
        <v>0</v>
      </c>
      <c r="H71" s="28">
        <f t="shared" si="2"/>
        <v>0</v>
      </c>
      <c r="I71" s="26"/>
      <c r="J71" s="26"/>
      <c r="K71" s="26"/>
      <c r="L71" s="26"/>
      <c r="M71" s="26"/>
      <c r="N71" s="26"/>
      <c r="O71" s="26"/>
      <c r="P71" s="26"/>
      <c r="Q71" s="26"/>
      <c r="R71" s="26"/>
      <c r="S71" s="26"/>
      <c r="T71" s="26"/>
      <c r="U71" s="26"/>
      <c r="V71" s="26"/>
      <c r="W71" s="26"/>
      <c r="X71" s="28"/>
      <c r="Y71" s="26"/>
      <c r="Z71" s="26"/>
      <c r="AA71" s="26"/>
      <c r="AB71" s="26">
        <f t="shared" si="5"/>
        <v>0</v>
      </c>
      <c r="AC71" s="29"/>
    </row>
    <row r="72" spans="1:29">
      <c r="A72" s="3"/>
      <c r="B72" s="11"/>
      <c r="C72" s="5"/>
      <c r="D72" s="4"/>
      <c r="E72" s="28">
        <f t="shared" si="0"/>
        <v>0</v>
      </c>
      <c r="F72" s="28"/>
      <c r="G72" s="28">
        <f t="shared" si="1"/>
        <v>0</v>
      </c>
      <c r="H72" s="28">
        <f t="shared" si="2"/>
        <v>0</v>
      </c>
      <c r="I72" s="26"/>
      <c r="J72" s="26"/>
      <c r="K72" s="26"/>
      <c r="L72" s="26"/>
      <c r="M72" s="26"/>
      <c r="N72" s="26"/>
      <c r="O72" s="26"/>
      <c r="P72" s="26"/>
      <c r="Q72" s="26"/>
      <c r="R72" s="26"/>
      <c r="S72" s="26"/>
      <c r="T72" s="26"/>
      <c r="U72" s="26"/>
      <c r="V72" s="26"/>
      <c r="W72" s="26"/>
      <c r="X72" s="28"/>
      <c r="Y72" s="26"/>
      <c r="Z72" s="26"/>
      <c r="AA72" s="26"/>
      <c r="AB72" s="26">
        <f t="shared" si="5"/>
        <v>0</v>
      </c>
      <c r="AC72" s="29"/>
    </row>
    <row r="73" spans="1:29">
      <c r="A73" s="3"/>
      <c r="B73" s="11"/>
      <c r="C73" s="5"/>
      <c r="D73" s="4"/>
      <c r="E73" s="28">
        <f t="shared" si="0"/>
        <v>0</v>
      </c>
      <c r="F73" s="28"/>
      <c r="G73" s="28">
        <f t="shared" si="1"/>
        <v>0</v>
      </c>
      <c r="H73" s="28">
        <f t="shared" si="2"/>
        <v>0</v>
      </c>
      <c r="I73" s="26"/>
      <c r="J73" s="26"/>
      <c r="K73" s="26"/>
      <c r="L73" s="26"/>
      <c r="M73" s="26"/>
      <c r="N73" s="26"/>
      <c r="O73" s="26"/>
      <c r="P73" s="26"/>
      <c r="Q73" s="26"/>
      <c r="R73" s="26"/>
      <c r="S73" s="26"/>
      <c r="T73" s="26"/>
      <c r="U73" s="26"/>
      <c r="V73" s="26"/>
      <c r="W73" s="26"/>
      <c r="X73" s="28"/>
      <c r="Y73" s="26"/>
      <c r="Z73" s="26"/>
      <c r="AA73" s="26"/>
      <c r="AB73" s="26">
        <f t="shared" si="5"/>
        <v>0</v>
      </c>
      <c r="AC73" s="29"/>
    </row>
    <row r="74" spans="1:29">
      <c r="A74" s="3"/>
      <c r="B74" s="11"/>
      <c r="C74" s="5"/>
      <c r="D74" s="4"/>
      <c r="E74" s="28">
        <f t="shared" ref="E74:E115" si="6">+D74*2.4</f>
        <v>0</v>
      </c>
      <c r="F74" s="28"/>
      <c r="G74" s="28">
        <f t="shared" si="1"/>
        <v>0</v>
      </c>
      <c r="H74" s="28">
        <f t="shared" si="2"/>
        <v>0</v>
      </c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8"/>
      <c r="Y74" s="26"/>
      <c r="Z74" s="26"/>
      <c r="AA74" s="26"/>
      <c r="AB74" s="26">
        <f t="shared" si="5"/>
        <v>0</v>
      </c>
      <c r="AC74" s="29"/>
    </row>
    <row r="75" spans="1:29">
      <c r="A75" s="3"/>
      <c r="B75" s="11"/>
      <c r="C75" s="5"/>
      <c r="D75" s="4"/>
      <c r="E75" s="28">
        <f t="shared" si="6"/>
        <v>0</v>
      </c>
      <c r="F75" s="28"/>
      <c r="G75" s="28">
        <f t="shared" ref="G75:G115" si="7">+F75*3.588</f>
        <v>0</v>
      </c>
      <c r="H75" s="28">
        <f t="shared" ref="H75:H115" si="8">+E75+G75</f>
        <v>0</v>
      </c>
      <c r="I75" s="26"/>
      <c r="J75" s="26"/>
      <c r="K75" s="26"/>
      <c r="L75" s="26"/>
      <c r="M75" s="26"/>
      <c r="N75" s="26"/>
      <c r="O75" s="26"/>
      <c r="P75" s="26"/>
      <c r="Q75" s="26"/>
      <c r="R75" s="26"/>
      <c r="S75" s="26"/>
      <c r="T75" s="26"/>
      <c r="U75" s="26"/>
      <c r="V75" s="26"/>
      <c r="W75" s="26"/>
      <c r="X75" s="28"/>
      <c r="Y75" s="26"/>
      <c r="Z75" s="26"/>
      <c r="AA75" s="26"/>
      <c r="AB75" s="26">
        <f t="shared" si="5"/>
        <v>0</v>
      </c>
      <c r="AC75" s="29"/>
    </row>
    <row r="76" spans="1:29">
      <c r="A76" s="3"/>
      <c r="B76" s="11"/>
      <c r="C76" s="5"/>
      <c r="D76" s="4"/>
      <c r="E76" s="28">
        <f t="shared" si="6"/>
        <v>0</v>
      </c>
      <c r="F76" s="28"/>
      <c r="G76" s="28">
        <f t="shared" si="7"/>
        <v>0</v>
      </c>
      <c r="H76" s="28">
        <f t="shared" si="8"/>
        <v>0</v>
      </c>
      <c r="I76" s="26"/>
      <c r="J76" s="26"/>
      <c r="K76" s="26"/>
      <c r="L76" s="26"/>
      <c r="M76" s="26"/>
      <c r="N76" s="26"/>
      <c r="O76" s="26"/>
      <c r="P76" s="26"/>
      <c r="Q76" s="26"/>
      <c r="R76" s="26"/>
      <c r="S76" s="26"/>
      <c r="T76" s="26"/>
      <c r="U76" s="26"/>
      <c r="V76" s="26"/>
      <c r="W76" s="26"/>
      <c r="X76" s="28"/>
      <c r="Y76" s="26"/>
      <c r="Z76" s="26"/>
      <c r="AA76" s="26"/>
      <c r="AB76" s="26">
        <f t="shared" si="5"/>
        <v>0</v>
      </c>
      <c r="AC76" s="29"/>
    </row>
    <row r="77" spans="1:29">
      <c r="A77" s="3"/>
      <c r="B77" s="11"/>
      <c r="C77" s="5"/>
      <c r="D77" s="4"/>
      <c r="E77" s="28">
        <f t="shared" si="6"/>
        <v>0</v>
      </c>
      <c r="F77" s="28"/>
      <c r="G77" s="28">
        <f t="shared" si="7"/>
        <v>0</v>
      </c>
      <c r="H77" s="28">
        <f t="shared" si="8"/>
        <v>0</v>
      </c>
      <c r="I77" s="26"/>
      <c r="J77" s="26"/>
      <c r="K77" s="26"/>
      <c r="L77" s="26"/>
      <c r="M77" s="26"/>
      <c r="N77" s="26"/>
      <c r="O77" s="26"/>
      <c r="P77" s="26"/>
      <c r="Q77" s="26"/>
      <c r="R77" s="26"/>
      <c r="S77" s="26"/>
      <c r="T77" s="26"/>
      <c r="U77" s="26"/>
      <c r="V77" s="26"/>
      <c r="W77" s="26"/>
      <c r="X77" s="28"/>
      <c r="Y77" s="26"/>
      <c r="Z77" s="26"/>
      <c r="AA77" s="26"/>
      <c r="AB77" s="26">
        <f t="shared" si="5"/>
        <v>0</v>
      </c>
      <c r="AC77" s="29"/>
    </row>
    <row r="78" spans="1:29">
      <c r="A78" s="3"/>
      <c r="B78" s="11"/>
      <c r="C78" s="5"/>
      <c r="D78" s="4"/>
      <c r="E78" s="28">
        <f t="shared" si="6"/>
        <v>0</v>
      </c>
      <c r="F78" s="28"/>
      <c r="G78" s="28">
        <f t="shared" si="7"/>
        <v>0</v>
      </c>
      <c r="H78" s="28">
        <f t="shared" si="8"/>
        <v>0</v>
      </c>
      <c r="I78" s="26"/>
      <c r="J78" s="26"/>
      <c r="K78" s="26"/>
      <c r="L78" s="26"/>
      <c r="M78" s="26"/>
      <c r="N78" s="26"/>
      <c r="O78" s="26"/>
      <c r="P78" s="26"/>
      <c r="Q78" s="26"/>
      <c r="R78" s="26"/>
      <c r="S78" s="26"/>
      <c r="T78" s="26"/>
      <c r="U78" s="26"/>
      <c r="V78" s="26"/>
      <c r="W78" s="26"/>
      <c r="X78" s="28"/>
      <c r="Y78" s="26"/>
      <c r="Z78" s="26"/>
      <c r="AA78" s="26"/>
      <c r="AB78" s="26">
        <f t="shared" si="5"/>
        <v>0</v>
      </c>
      <c r="AC78" s="29"/>
    </row>
    <row r="79" spans="1:29">
      <c r="A79" s="3"/>
      <c r="B79" s="11"/>
      <c r="C79" s="5"/>
      <c r="D79" s="4"/>
      <c r="E79" s="28">
        <f t="shared" si="6"/>
        <v>0</v>
      </c>
      <c r="F79" s="28"/>
      <c r="G79" s="28">
        <f t="shared" si="7"/>
        <v>0</v>
      </c>
      <c r="H79" s="28">
        <f t="shared" si="8"/>
        <v>0</v>
      </c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8"/>
      <c r="Y79" s="26"/>
      <c r="Z79" s="26"/>
      <c r="AA79" s="26"/>
      <c r="AB79" s="26">
        <f t="shared" si="5"/>
        <v>0</v>
      </c>
      <c r="AC79" s="29"/>
    </row>
    <row r="80" spans="1:29">
      <c r="A80" s="3"/>
      <c r="B80" s="11"/>
      <c r="C80" s="5"/>
      <c r="D80" s="4"/>
      <c r="E80" s="28">
        <f t="shared" si="6"/>
        <v>0</v>
      </c>
      <c r="F80" s="28"/>
      <c r="G80" s="28">
        <f t="shared" si="7"/>
        <v>0</v>
      </c>
      <c r="H80" s="28">
        <f t="shared" si="8"/>
        <v>0</v>
      </c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8"/>
      <c r="Y80" s="26"/>
      <c r="Z80" s="26"/>
      <c r="AA80" s="26"/>
      <c r="AB80" s="26">
        <f t="shared" si="5"/>
        <v>0</v>
      </c>
      <c r="AC80" s="29"/>
    </row>
    <row r="81" spans="1:29">
      <c r="A81" s="3"/>
      <c r="B81" s="11"/>
      <c r="C81" s="5"/>
      <c r="D81" s="4"/>
      <c r="E81" s="28">
        <f t="shared" si="6"/>
        <v>0</v>
      </c>
      <c r="F81" s="28"/>
      <c r="G81" s="28">
        <f t="shared" si="7"/>
        <v>0</v>
      </c>
      <c r="H81" s="28">
        <f t="shared" si="8"/>
        <v>0</v>
      </c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8"/>
      <c r="Y81" s="26"/>
      <c r="Z81" s="26"/>
      <c r="AA81" s="26"/>
      <c r="AB81" s="26">
        <f t="shared" si="5"/>
        <v>0</v>
      </c>
      <c r="AC81" s="29"/>
    </row>
    <row r="82" spans="1:29">
      <c r="A82" s="3"/>
      <c r="B82" s="11"/>
      <c r="C82" s="5"/>
      <c r="D82" s="4"/>
      <c r="E82" s="28">
        <f t="shared" si="6"/>
        <v>0</v>
      </c>
      <c r="F82" s="28"/>
      <c r="G82" s="28">
        <f t="shared" si="7"/>
        <v>0</v>
      </c>
      <c r="H82" s="28">
        <f t="shared" si="8"/>
        <v>0</v>
      </c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8"/>
      <c r="Y82" s="26"/>
      <c r="Z82" s="26"/>
      <c r="AA82" s="26"/>
      <c r="AB82" s="26">
        <f t="shared" si="5"/>
        <v>0</v>
      </c>
      <c r="AC82" s="29"/>
    </row>
    <row r="83" spans="1:29">
      <c r="A83" s="3"/>
      <c r="B83" s="11"/>
      <c r="C83" s="5"/>
      <c r="D83" s="4"/>
      <c r="E83" s="28">
        <f t="shared" si="6"/>
        <v>0</v>
      </c>
      <c r="F83" s="28"/>
      <c r="G83" s="28">
        <f t="shared" si="7"/>
        <v>0</v>
      </c>
      <c r="H83" s="28">
        <f t="shared" si="8"/>
        <v>0</v>
      </c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8"/>
      <c r="Y83" s="26"/>
      <c r="Z83" s="26"/>
      <c r="AA83" s="26"/>
      <c r="AB83" s="26">
        <f t="shared" si="5"/>
        <v>0</v>
      </c>
      <c r="AC83" s="29"/>
    </row>
    <row r="84" spans="1:29">
      <c r="A84" s="3"/>
      <c r="B84" s="11"/>
      <c r="C84" s="5"/>
      <c r="D84" s="4"/>
      <c r="E84" s="28">
        <f t="shared" si="6"/>
        <v>0</v>
      </c>
      <c r="F84" s="28"/>
      <c r="G84" s="28">
        <f t="shared" si="7"/>
        <v>0</v>
      </c>
      <c r="H84" s="28">
        <f t="shared" si="8"/>
        <v>0</v>
      </c>
      <c r="I84" s="26"/>
      <c r="J84" s="26"/>
      <c r="K84" s="26"/>
      <c r="L84" s="26"/>
      <c r="M84" s="26"/>
      <c r="N84" s="26"/>
      <c r="O84" s="26"/>
      <c r="P84" s="26"/>
      <c r="Q84" s="26"/>
      <c r="R84" s="26"/>
      <c r="S84" s="26"/>
      <c r="T84" s="26"/>
      <c r="U84" s="26"/>
      <c r="V84" s="26"/>
      <c r="W84" s="26"/>
      <c r="X84" s="28"/>
      <c r="Y84" s="26"/>
      <c r="Z84" s="26"/>
      <c r="AA84" s="26"/>
      <c r="AB84" s="26">
        <f t="shared" si="5"/>
        <v>0</v>
      </c>
      <c r="AC84" s="29"/>
    </row>
    <row r="85" spans="1:29">
      <c r="A85" s="3"/>
      <c r="B85" s="11"/>
      <c r="C85" s="5"/>
      <c r="D85" s="4"/>
      <c r="E85" s="28">
        <f t="shared" si="6"/>
        <v>0</v>
      </c>
      <c r="F85" s="28"/>
      <c r="G85" s="28">
        <f t="shared" si="7"/>
        <v>0</v>
      </c>
      <c r="H85" s="28">
        <f t="shared" si="8"/>
        <v>0</v>
      </c>
      <c r="I85" s="26"/>
      <c r="J85" s="26"/>
      <c r="K85" s="26"/>
      <c r="L85" s="26"/>
      <c r="M85" s="26"/>
      <c r="N85" s="26"/>
      <c r="O85" s="26"/>
      <c r="P85" s="26"/>
      <c r="Q85" s="26"/>
      <c r="R85" s="26"/>
      <c r="S85" s="26"/>
      <c r="T85" s="26"/>
      <c r="U85" s="26"/>
      <c r="V85" s="26"/>
      <c r="W85" s="26"/>
      <c r="X85" s="28"/>
      <c r="Y85" s="26"/>
      <c r="Z85" s="26"/>
      <c r="AA85" s="26"/>
      <c r="AB85" s="26">
        <f t="shared" si="5"/>
        <v>0</v>
      </c>
      <c r="AC85" s="29"/>
    </row>
    <row r="86" spans="1:29">
      <c r="A86" s="3"/>
      <c r="B86" s="11"/>
      <c r="C86" s="5"/>
      <c r="D86" s="4"/>
      <c r="E86" s="28">
        <f t="shared" si="6"/>
        <v>0</v>
      </c>
      <c r="F86" s="28"/>
      <c r="G86" s="28">
        <f t="shared" si="7"/>
        <v>0</v>
      </c>
      <c r="H86" s="28">
        <f t="shared" si="8"/>
        <v>0</v>
      </c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8"/>
      <c r="Y86" s="26"/>
      <c r="Z86" s="26"/>
      <c r="AA86" s="26"/>
      <c r="AB86" s="26">
        <f t="shared" si="5"/>
        <v>0</v>
      </c>
      <c r="AC86" s="29"/>
    </row>
    <row r="87" spans="1:29">
      <c r="A87" s="3"/>
      <c r="B87" s="11"/>
      <c r="C87" s="5"/>
      <c r="D87" s="4"/>
      <c r="E87" s="28">
        <f t="shared" si="6"/>
        <v>0</v>
      </c>
      <c r="F87" s="28"/>
      <c r="G87" s="28">
        <f t="shared" si="7"/>
        <v>0</v>
      </c>
      <c r="H87" s="28">
        <f t="shared" si="8"/>
        <v>0</v>
      </c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8"/>
      <c r="Y87" s="26"/>
      <c r="Z87" s="26"/>
      <c r="AA87" s="26"/>
      <c r="AB87" s="26">
        <f t="shared" si="5"/>
        <v>0</v>
      </c>
      <c r="AC87" s="29"/>
    </row>
    <row r="88" spans="1:29">
      <c r="A88" s="3"/>
      <c r="B88" s="11"/>
      <c r="C88" s="5"/>
      <c r="D88" s="4"/>
      <c r="E88" s="28">
        <f t="shared" si="6"/>
        <v>0</v>
      </c>
      <c r="F88" s="28"/>
      <c r="G88" s="28">
        <f t="shared" si="7"/>
        <v>0</v>
      </c>
      <c r="H88" s="28">
        <f t="shared" si="8"/>
        <v>0</v>
      </c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8"/>
      <c r="Y88" s="26"/>
      <c r="Z88" s="26"/>
      <c r="AA88" s="26"/>
      <c r="AB88" s="26">
        <f t="shared" si="5"/>
        <v>0</v>
      </c>
      <c r="AC88" s="29"/>
    </row>
    <row r="89" spans="1:29">
      <c r="A89" s="3"/>
      <c r="B89" s="11"/>
      <c r="C89" s="5"/>
      <c r="D89" s="4"/>
      <c r="E89" s="28">
        <f t="shared" si="6"/>
        <v>0</v>
      </c>
      <c r="F89" s="28"/>
      <c r="G89" s="28">
        <f t="shared" si="7"/>
        <v>0</v>
      </c>
      <c r="H89" s="28">
        <f t="shared" si="8"/>
        <v>0</v>
      </c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8"/>
      <c r="Y89" s="26"/>
      <c r="Z89" s="26"/>
      <c r="AA89" s="26"/>
      <c r="AB89" s="26">
        <f t="shared" si="5"/>
        <v>0</v>
      </c>
      <c r="AC89" s="29"/>
    </row>
    <row r="90" spans="1:29">
      <c r="A90" s="3"/>
      <c r="B90" s="11"/>
      <c r="C90" s="5"/>
      <c r="D90" s="4"/>
      <c r="E90" s="28">
        <f t="shared" si="6"/>
        <v>0</v>
      </c>
      <c r="F90" s="28"/>
      <c r="G90" s="28">
        <f t="shared" si="7"/>
        <v>0</v>
      </c>
      <c r="H90" s="28">
        <f t="shared" si="8"/>
        <v>0</v>
      </c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8"/>
      <c r="Y90" s="26"/>
      <c r="Z90" s="26"/>
      <c r="AA90" s="26"/>
      <c r="AB90" s="26">
        <f t="shared" si="5"/>
        <v>0</v>
      </c>
      <c r="AC90" s="29"/>
    </row>
    <row r="91" spans="1:29">
      <c r="A91" s="3"/>
      <c r="B91" s="11"/>
      <c r="C91" s="5"/>
      <c r="D91" s="4"/>
      <c r="E91" s="28">
        <f t="shared" si="6"/>
        <v>0</v>
      </c>
      <c r="F91" s="28"/>
      <c r="G91" s="28">
        <f t="shared" si="7"/>
        <v>0</v>
      </c>
      <c r="H91" s="28">
        <f t="shared" si="8"/>
        <v>0</v>
      </c>
      <c r="I91" s="26"/>
      <c r="J91" s="26"/>
      <c r="K91" s="26"/>
      <c r="L91" s="26"/>
      <c r="M91" s="26"/>
      <c r="N91" s="26"/>
      <c r="O91" s="26"/>
      <c r="P91" s="26"/>
      <c r="Q91" s="26"/>
      <c r="R91" s="26"/>
      <c r="S91" s="26"/>
      <c r="T91" s="26"/>
      <c r="U91" s="26"/>
      <c r="V91" s="26"/>
      <c r="W91" s="26"/>
      <c r="X91" s="28"/>
      <c r="Y91" s="26"/>
      <c r="Z91" s="26"/>
      <c r="AA91" s="26"/>
      <c r="AB91" s="26">
        <f t="shared" si="5"/>
        <v>0</v>
      </c>
      <c r="AC91" s="29"/>
    </row>
    <row r="92" spans="1:29">
      <c r="A92" s="3"/>
      <c r="B92" s="11"/>
      <c r="C92" s="5"/>
      <c r="D92" s="4"/>
      <c r="E92" s="28">
        <f t="shared" si="6"/>
        <v>0</v>
      </c>
      <c r="F92" s="28"/>
      <c r="G92" s="28">
        <f t="shared" si="7"/>
        <v>0</v>
      </c>
      <c r="H92" s="28">
        <f t="shared" si="8"/>
        <v>0</v>
      </c>
      <c r="I92" s="26"/>
      <c r="J92" s="26"/>
      <c r="K92" s="26"/>
      <c r="L92" s="26"/>
      <c r="M92" s="26"/>
      <c r="N92" s="26"/>
      <c r="O92" s="26"/>
      <c r="P92" s="26"/>
      <c r="Q92" s="26"/>
      <c r="R92" s="26"/>
      <c r="S92" s="26"/>
      <c r="T92" s="26"/>
      <c r="U92" s="26"/>
      <c r="V92" s="26"/>
      <c r="W92" s="26"/>
      <c r="X92" s="28"/>
      <c r="Y92" s="26"/>
      <c r="Z92" s="26"/>
      <c r="AA92" s="26"/>
      <c r="AB92" s="26">
        <f t="shared" si="5"/>
        <v>0</v>
      </c>
      <c r="AC92" s="29"/>
    </row>
    <row r="93" spans="1:29">
      <c r="A93" s="3"/>
      <c r="B93" s="11"/>
      <c r="C93" s="5"/>
      <c r="D93" s="4"/>
      <c r="E93" s="28">
        <f t="shared" si="6"/>
        <v>0</v>
      </c>
      <c r="F93" s="28"/>
      <c r="G93" s="28">
        <f t="shared" si="7"/>
        <v>0</v>
      </c>
      <c r="H93" s="28">
        <f t="shared" si="8"/>
        <v>0</v>
      </c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8"/>
      <c r="Y93" s="26"/>
      <c r="Z93" s="26"/>
      <c r="AA93" s="26"/>
      <c r="AB93" s="26">
        <f t="shared" si="5"/>
        <v>0</v>
      </c>
      <c r="AC93" s="29"/>
    </row>
    <row r="94" spans="1:29">
      <c r="A94" s="3"/>
      <c r="B94" s="11"/>
      <c r="C94" s="5"/>
      <c r="D94" s="4"/>
      <c r="E94" s="28">
        <f t="shared" si="6"/>
        <v>0</v>
      </c>
      <c r="F94" s="28"/>
      <c r="G94" s="28">
        <f t="shared" si="7"/>
        <v>0</v>
      </c>
      <c r="H94" s="28">
        <f t="shared" si="8"/>
        <v>0</v>
      </c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8"/>
      <c r="Y94" s="26"/>
      <c r="Z94" s="26"/>
      <c r="AA94" s="26"/>
      <c r="AB94" s="26">
        <f t="shared" si="5"/>
        <v>0</v>
      </c>
      <c r="AC94" s="29"/>
    </row>
    <row r="95" spans="1:29">
      <c r="A95" s="3"/>
      <c r="B95" s="11"/>
      <c r="C95" s="5"/>
      <c r="D95" s="4"/>
      <c r="E95" s="28">
        <f t="shared" si="6"/>
        <v>0</v>
      </c>
      <c r="F95" s="28"/>
      <c r="G95" s="28">
        <f t="shared" si="7"/>
        <v>0</v>
      </c>
      <c r="H95" s="28">
        <f t="shared" si="8"/>
        <v>0</v>
      </c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8"/>
      <c r="Y95" s="26"/>
      <c r="Z95" s="26"/>
      <c r="AA95" s="26"/>
      <c r="AB95" s="26">
        <f t="shared" si="5"/>
        <v>0</v>
      </c>
      <c r="AC95" s="29"/>
    </row>
    <row r="96" spans="1:29">
      <c r="A96" s="3"/>
      <c r="B96" s="11"/>
      <c r="C96" s="5"/>
      <c r="D96" s="4"/>
      <c r="E96" s="28">
        <f t="shared" si="6"/>
        <v>0</v>
      </c>
      <c r="F96" s="28"/>
      <c r="G96" s="28">
        <f t="shared" si="7"/>
        <v>0</v>
      </c>
      <c r="H96" s="28">
        <f t="shared" si="8"/>
        <v>0</v>
      </c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8"/>
      <c r="Y96" s="26"/>
      <c r="Z96" s="26"/>
      <c r="AA96" s="26"/>
      <c r="AB96" s="26">
        <f t="shared" si="5"/>
        <v>0</v>
      </c>
      <c r="AC96" s="29"/>
    </row>
    <row r="97" spans="1:29">
      <c r="A97" s="3"/>
      <c r="B97" s="11"/>
      <c r="C97" s="5"/>
      <c r="D97" s="4"/>
      <c r="E97" s="28">
        <f t="shared" si="6"/>
        <v>0</v>
      </c>
      <c r="F97" s="28"/>
      <c r="G97" s="28">
        <f t="shared" si="7"/>
        <v>0</v>
      </c>
      <c r="H97" s="28">
        <f t="shared" si="8"/>
        <v>0</v>
      </c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8"/>
      <c r="Y97" s="26"/>
      <c r="Z97" s="26"/>
      <c r="AA97" s="26"/>
      <c r="AB97" s="26">
        <f t="shared" si="5"/>
        <v>0</v>
      </c>
      <c r="AC97" s="29"/>
    </row>
    <row r="98" spans="1:29">
      <c r="A98" s="3"/>
      <c r="B98" s="11"/>
      <c r="C98" s="5"/>
      <c r="D98" s="4"/>
      <c r="E98" s="28">
        <f t="shared" si="6"/>
        <v>0</v>
      </c>
      <c r="F98" s="28"/>
      <c r="G98" s="28">
        <f t="shared" si="7"/>
        <v>0</v>
      </c>
      <c r="H98" s="28">
        <f t="shared" si="8"/>
        <v>0</v>
      </c>
      <c r="I98" s="26"/>
      <c r="J98" s="26"/>
      <c r="K98" s="26"/>
      <c r="L98" s="26"/>
      <c r="M98" s="26"/>
      <c r="N98" s="26"/>
      <c r="O98" s="26"/>
      <c r="P98" s="26"/>
      <c r="Q98" s="26"/>
      <c r="R98" s="26"/>
      <c r="S98" s="26"/>
      <c r="T98" s="26"/>
      <c r="U98" s="26"/>
      <c r="V98" s="26"/>
      <c r="W98" s="26"/>
      <c r="X98" s="28"/>
      <c r="Y98" s="26"/>
      <c r="Z98" s="26"/>
      <c r="AA98" s="26"/>
      <c r="AB98" s="26">
        <f t="shared" si="5"/>
        <v>0</v>
      </c>
      <c r="AC98" s="29"/>
    </row>
    <row r="99" spans="1:29">
      <c r="A99" s="3"/>
      <c r="B99" s="11"/>
      <c r="C99" s="5"/>
      <c r="D99" s="4"/>
      <c r="E99" s="28">
        <f t="shared" si="6"/>
        <v>0</v>
      </c>
      <c r="F99" s="28"/>
      <c r="G99" s="28">
        <f t="shared" si="7"/>
        <v>0</v>
      </c>
      <c r="H99" s="28">
        <f t="shared" si="8"/>
        <v>0</v>
      </c>
      <c r="I99" s="26"/>
      <c r="J99" s="26"/>
      <c r="K99" s="26"/>
      <c r="L99" s="26"/>
      <c r="M99" s="26"/>
      <c r="N99" s="26"/>
      <c r="O99" s="26"/>
      <c r="P99" s="26"/>
      <c r="Q99" s="26"/>
      <c r="R99" s="26"/>
      <c r="S99" s="26"/>
      <c r="T99" s="26"/>
      <c r="U99" s="26"/>
      <c r="V99" s="26"/>
      <c r="W99" s="26"/>
      <c r="X99" s="28"/>
      <c r="Y99" s="26"/>
      <c r="Z99" s="26"/>
      <c r="AA99" s="26"/>
      <c r="AB99" s="26">
        <f t="shared" si="5"/>
        <v>0</v>
      </c>
      <c r="AC99" s="29"/>
    </row>
    <row r="100" spans="1:29">
      <c r="A100" s="3"/>
      <c r="B100" s="11"/>
      <c r="C100" s="5"/>
      <c r="D100" s="4"/>
      <c r="E100" s="28">
        <f t="shared" si="6"/>
        <v>0</v>
      </c>
      <c r="F100" s="28"/>
      <c r="G100" s="28">
        <f t="shared" si="7"/>
        <v>0</v>
      </c>
      <c r="H100" s="28">
        <f t="shared" si="8"/>
        <v>0</v>
      </c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8"/>
      <c r="Y100" s="26"/>
      <c r="Z100" s="26"/>
      <c r="AA100" s="26"/>
      <c r="AB100" s="26">
        <f t="shared" si="5"/>
        <v>0</v>
      </c>
      <c r="AC100" s="29"/>
    </row>
    <row r="101" spans="1:29">
      <c r="A101" s="3"/>
      <c r="B101" s="11"/>
      <c r="C101" s="5"/>
      <c r="D101" s="4"/>
      <c r="E101" s="28">
        <f t="shared" si="6"/>
        <v>0</v>
      </c>
      <c r="F101" s="28"/>
      <c r="G101" s="28">
        <f t="shared" si="7"/>
        <v>0</v>
      </c>
      <c r="H101" s="28">
        <f t="shared" si="8"/>
        <v>0</v>
      </c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8"/>
      <c r="Y101" s="26"/>
      <c r="Z101" s="26"/>
      <c r="AA101" s="26"/>
      <c r="AB101" s="26">
        <f t="shared" si="5"/>
        <v>0</v>
      </c>
      <c r="AC101" s="29"/>
    </row>
    <row r="102" spans="1:29">
      <c r="A102" s="3"/>
      <c r="B102" s="11"/>
      <c r="C102" s="5"/>
      <c r="D102" s="4"/>
      <c r="E102" s="28">
        <f t="shared" si="6"/>
        <v>0</v>
      </c>
      <c r="F102" s="28"/>
      <c r="G102" s="28">
        <f t="shared" si="7"/>
        <v>0</v>
      </c>
      <c r="H102" s="28">
        <f t="shared" si="8"/>
        <v>0</v>
      </c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8"/>
      <c r="Y102" s="26"/>
      <c r="Z102" s="26"/>
      <c r="AA102" s="26"/>
      <c r="AB102" s="26">
        <f t="shared" si="5"/>
        <v>0</v>
      </c>
      <c r="AC102" s="29"/>
    </row>
    <row r="103" spans="1:29">
      <c r="A103" s="3"/>
      <c r="B103" s="11"/>
      <c r="C103" s="5"/>
      <c r="D103" s="4"/>
      <c r="E103" s="28">
        <f t="shared" si="6"/>
        <v>0</v>
      </c>
      <c r="F103" s="28"/>
      <c r="G103" s="28">
        <f t="shared" si="7"/>
        <v>0</v>
      </c>
      <c r="H103" s="28">
        <f t="shared" si="8"/>
        <v>0</v>
      </c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8"/>
      <c r="Y103" s="26"/>
      <c r="Z103" s="26"/>
      <c r="AA103" s="26"/>
      <c r="AB103" s="26">
        <f t="shared" si="5"/>
        <v>0</v>
      </c>
      <c r="AC103" s="29"/>
    </row>
    <row r="104" spans="1:29">
      <c r="A104" s="3"/>
      <c r="B104" s="11"/>
      <c r="C104" s="5"/>
      <c r="D104" s="4"/>
      <c r="E104" s="28">
        <f t="shared" si="6"/>
        <v>0</v>
      </c>
      <c r="F104" s="28"/>
      <c r="G104" s="28">
        <f t="shared" si="7"/>
        <v>0</v>
      </c>
      <c r="H104" s="28">
        <f t="shared" si="8"/>
        <v>0</v>
      </c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8"/>
      <c r="Y104" s="26"/>
      <c r="Z104" s="26"/>
      <c r="AA104" s="26"/>
      <c r="AB104" s="26">
        <f t="shared" si="5"/>
        <v>0</v>
      </c>
      <c r="AC104" s="29"/>
    </row>
    <row r="105" spans="1:29">
      <c r="A105" s="3"/>
      <c r="B105" s="11"/>
      <c r="C105" s="5"/>
      <c r="D105" s="4"/>
      <c r="E105" s="28">
        <f t="shared" si="6"/>
        <v>0</v>
      </c>
      <c r="F105" s="28"/>
      <c r="G105" s="28">
        <f t="shared" si="7"/>
        <v>0</v>
      </c>
      <c r="H105" s="28">
        <f t="shared" si="8"/>
        <v>0</v>
      </c>
      <c r="I105" s="26"/>
      <c r="J105" s="26"/>
      <c r="K105" s="26"/>
      <c r="L105" s="26"/>
      <c r="M105" s="26"/>
      <c r="N105" s="26"/>
      <c r="O105" s="26"/>
      <c r="P105" s="26"/>
      <c r="Q105" s="26"/>
      <c r="R105" s="26"/>
      <c r="S105" s="26"/>
      <c r="T105" s="26"/>
      <c r="U105" s="26"/>
      <c r="V105" s="26"/>
      <c r="W105" s="26"/>
      <c r="X105" s="28"/>
      <c r="Y105" s="26"/>
      <c r="Z105" s="26"/>
      <c r="AA105" s="26"/>
      <c r="AB105" s="26">
        <f t="shared" si="5"/>
        <v>0</v>
      </c>
      <c r="AC105" s="29"/>
    </row>
    <row r="106" spans="1:29">
      <c r="A106" s="3"/>
      <c r="B106" s="11"/>
      <c r="C106" s="5"/>
      <c r="D106" s="4"/>
      <c r="E106" s="28">
        <f t="shared" si="6"/>
        <v>0</v>
      </c>
      <c r="F106" s="28"/>
      <c r="G106" s="28">
        <f t="shared" si="7"/>
        <v>0</v>
      </c>
      <c r="H106" s="28">
        <f t="shared" si="8"/>
        <v>0</v>
      </c>
      <c r="I106" s="26"/>
      <c r="J106" s="26"/>
      <c r="K106" s="26"/>
      <c r="L106" s="26"/>
      <c r="M106" s="26"/>
      <c r="N106" s="26"/>
      <c r="O106" s="26"/>
      <c r="P106" s="26"/>
      <c r="Q106" s="26"/>
      <c r="R106" s="26"/>
      <c r="S106" s="26"/>
      <c r="T106" s="26"/>
      <c r="U106" s="26"/>
      <c r="V106" s="26"/>
      <c r="W106" s="26"/>
      <c r="X106" s="28"/>
      <c r="Y106" s="26"/>
      <c r="Z106" s="26"/>
      <c r="AA106" s="26"/>
      <c r="AB106" s="26">
        <f t="shared" si="5"/>
        <v>0</v>
      </c>
      <c r="AC106" s="29"/>
    </row>
    <row r="107" spans="1:29">
      <c r="A107" s="3"/>
      <c r="B107" s="11"/>
      <c r="C107" s="5"/>
      <c r="D107" s="4"/>
      <c r="E107" s="28">
        <f t="shared" si="6"/>
        <v>0</v>
      </c>
      <c r="F107" s="28"/>
      <c r="G107" s="28">
        <f t="shared" si="7"/>
        <v>0</v>
      </c>
      <c r="H107" s="28">
        <f t="shared" si="8"/>
        <v>0</v>
      </c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8"/>
      <c r="Y107" s="26"/>
      <c r="Z107" s="26"/>
      <c r="AA107" s="26"/>
      <c r="AB107" s="26">
        <f t="shared" si="5"/>
        <v>0</v>
      </c>
      <c r="AC107" s="29"/>
    </row>
    <row r="108" spans="1:29">
      <c r="A108" s="3"/>
      <c r="B108" s="11"/>
      <c r="C108" s="5"/>
      <c r="D108" s="4"/>
      <c r="E108" s="28">
        <f t="shared" si="6"/>
        <v>0</v>
      </c>
      <c r="F108" s="28"/>
      <c r="G108" s="28">
        <f t="shared" si="7"/>
        <v>0</v>
      </c>
      <c r="H108" s="28">
        <f t="shared" si="8"/>
        <v>0</v>
      </c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8"/>
      <c r="Y108" s="26"/>
      <c r="Z108" s="26"/>
      <c r="AA108" s="26"/>
      <c r="AB108" s="26">
        <f t="shared" si="5"/>
        <v>0</v>
      </c>
      <c r="AC108" s="29"/>
    </row>
    <row r="109" spans="1:29">
      <c r="A109" s="3"/>
      <c r="B109" s="11"/>
      <c r="C109" s="5"/>
      <c r="D109" s="4"/>
      <c r="E109" s="28">
        <f t="shared" si="6"/>
        <v>0</v>
      </c>
      <c r="F109" s="28"/>
      <c r="G109" s="28">
        <f t="shared" si="7"/>
        <v>0</v>
      </c>
      <c r="H109" s="28">
        <f t="shared" si="8"/>
        <v>0</v>
      </c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8"/>
      <c r="Y109" s="26"/>
      <c r="Z109" s="26"/>
      <c r="AA109" s="26"/>
      <c r="AB109" s="26">
        <f t="shared" si="5"/>
        <v>0</v>
      </c>
      <c r="AC109" s="29"/>
    </row>
    <row r="110" spans="1:29">
      <c r="A110" s="3"/>
      <c r="B110" s="11"/>
      <c r="C110" s="5"/>
      <c r="D110" s="4"/>
      <c r="E110" s="28">
        <f t="shared" si="6"/>
        <v>0</v>
      </c>
      <c r="F110" s="28"/>
      <c r="G110" s="28">
        <f t="shared" si="7"/>
        <v>0</v>
      </c>
      <c r="H110" s="28">
        <f t="shared" si="8"/>
        <v>0</v>
      </c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8"/>
      <c r="Y110" s="26"/>
      <c r="Z110" s="26"/>
      <c r="AA110" s="26"/>
      <c r="AB110" s="26">
        <f t="shared" si="5"/>
        <v>0</v>
      </c>
      <c r="AC110" s="29"/>
    </row>
    <row r="111" spans="1:29">
      <c r="A111" s="3"/>
      <c r="B111" s="11"/>
      <c r="C111" s="5"/>
      <c r="D111" s="4"/>
      <c r="E111" s="28">
        <f t="shared" si="6"/>
        <v>0</v>
      </c>
      <c r="F111" s="28"/>
      <c r="G111" s="28">
        <f t="shared" si="7"/>
        <v>0</v>
      </c>
      <c r="H111" s="28">
        <f t="shared" si="8"/>
        <v>0</v>
      </c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8"/>
      <c r="Y111" s="26"/>
      <c r="Z111" s="26"/>
      <c r="AA111" s="26"/>
      <c r="AB111" s="26">
        <f>SUM(J111:X111)</f>
        <v>0</v>
      </c>
      <c r="AC111" s="29"/>
    </row>
    <row r="112" spans="1:29">
      <c r="A112" s="3"/>
      <c r="B112" s="11"/>
      <c r="C112" s="5"/>
      <c r="D112" s="4"/>
      <c r="E112" s="28">
        <f t="shared" si="6"/>
        <v>0</v>
      </c>
      <c r="F112" s="28"/>
      <c r="G112" s="28">
        <f t="shared" si="7"/>
        <v>0</v>
      </c>
      <c r="H112" s="28">
        <f t="shared" si="8"/>
        <v>0</v>
      </c>
      <c r="I112" s="26"/>
      <c r="J112" s="26"/>
      <c r="K112" s="26"/>
      <c r="L112" s="26"/>
      <c r="M112" s="26"/>
      <c r="N112" s="26"/>
      <c r="O112" s="26"/>
      <c r="P112" s="26"/>
      <c r="Q112" s="26"/>
      <c r="R112" s="26"/>
      <c r="S112" s="26"/>
      <c r="T112" s="26"/>
      <c r="U112" s="26"/>
      <c r="V112" s="26"/>
      <c r="W112" s="26"/>
      <c r="X112" s="28"/>
      <c r="Y112" s="26"/>
      <c r="Z112" s="26"/>
      <c r="AA112" s="26"/>
      <c r="AB112" s="26">
        <f>SUM(J112:X112)</f>
        <v>0</v>
      </c>
      <c r="AC112" s="29"/>
    </row>
    <row r="113" spans="1:29">
      <c r="A113" s="3"/>
      <c r="B113" s="11"/>
      <c r="C113" s="5"/>
      <c r="D113" s="4"/>
      <c r="E113" s="28">
        <f t="shared" si="6"/>
        <v>0</v>
      </c>
      <c r="F113" s="28"/>
      <c r="G113" s="28">
        <f t="shared" si="7"/>
        <v>0</v>
      </c>
      <c r="H113" s="28">
        <f t="shared" si="8"/>
        <v>0</v>
      </c>
      <c r="I113" s="26"/>
      <c r="J113" s="26"/>
      <c r="K113" s="26"/>
      <c r="L113" s="26"/>
      <c r="M113" s="26"/>
      <c r="N113" s="26"/>
      <c r="O113" s="26"/>
      <c r="P113" s="26"/>
      <c r="Q113" s="26"/>
      <c r="R113" s="26"/>
      <c r="S113" s="26"/>
      <c r="T113" s="26"/>
      <c r="U113" s="26"/>
      <c r="V113" s="26"/>
      <c r="W113" s="26"/>
      <c r="X113" s="28"/>
      <c r="Y113" s="26"/>
      <c r="Z113" s="26"/>
      <c r="AA113" s="26"/>
      <c r="AB113" s="26">
        <f>SUM(J113:X113)</f>
        <v>0</v>
      </c>
      <c r="AC113" s="29"/>
    </row>
    <row r="114" spans="1:29">
      <c r="A114" s="3"/>
      <c r="B114" s="11"/>
      <c r="C114" s="5"/>
      <c r="D114" s="4"/>
      <c r="E114" s="28">
        <f t="shared" si="6"/>
        <v>0</v>
      </c>
      <c r="F114" s="28"/>
      <c r="G114" s="28">
        <f t="shared" si="7"/>
        <v>0</v>
      </c>
      <c r="H114" s="28">
        <f t="shared" si="8"/>
        <v>0</v>
      </c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8"/>
      <c r="Y114" s="26"/>
      <c r="Z114" s="26"/>
      <c r="AA114" s="26"/>
      <c r="AB114" s="26">
        <f>SUM(J114:X114)</f>
        <v>0</v>
      </c>
      <c r="AC114" s="29"/>
    </row>
    <row r="115" spans="1:29">
      <c r="A115" s="3"/>
      <c r="B115" s="11"/>
      <c r="C115" s="5"/>
      <c r="D115" s="35"/>
      <c r="E115" s="28">
        <f t="shared" si="6"/>
        <v>0</v>
      </c>
      <c r="F115" s="28"/>
      <c r="G115" s="28">
        <f t="shared" si="7"/>
        <v>0</v>
      </c>
      <c r="H115" s="28">
        <f t="shared" si="8"/>
        <v>0</v>
      </c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8"/>
      <c r="Y115" s="26"/>
      <c r="Z115" s="26"/>
      <c r="AA115" s="26"/>
      <c r="AB115" s="26">
        <f>SUM(J115:X115)</f>
        <v>0</v>
      </c>
      <c r="AC115" s="29"/>
    </row>
    <row r="116" spans="1:29" ht="15.75" thickBot="1">
      <c r="A116" s="40"/>
      <c r="B116" s="41"/>
      <c r="C116" s="43">
        <f t="shared" ref="C116:Z116" si="9">SUM(C10:C115)</f>
        <v>0</v>
      </c>
      <c r="D116" s="42">
        <f t="shared" si="9"/>
        <v>0</v>
      </c>
      <c r="E116" s="43">
        <f t="shared" si="9"/>
        <v>0</v>
      </c>
      <c r="F116" s="42">
        <f t="shared" si="9"/>
        <v>0</v>
      </c>
      <c r="G116" s="43">
        <f t="shared" si="9"/>
        <v>0</v>
      </c>
      <c r="H116" s="43">
        <f t="shared" si="9"/>
        <v>0</v>
      </c>
      <c r="I116" s="43">
        <f t="shared" si="9"/>
        <v>0</v>
      </c>
      <c r="J116" s="43">
        <f t="shared" si="9"/>
        <v>0</v>
      </c>
      <c r="K116" s="43">
        <f t="shared" si="9"/>
        <v>0</v>
      </c>
      <c r="L116" s="43">
        <f t="shared" si="9"/>
        <v>0</v>
      </c>
      <c r="M116" s="43">
        <f t="shared" si="9"/>
        <v>0</v>
      </c>
      <c r="N116" s="43">
        <f t="shared" si="9"/>
        <v>0</v>
      </c>
      <c r="O116" s="43">
        <f t="shared" si="9"/>
        <v>0</v>
      </c>
      <c r="P116" s="43">
        <f t="shared" si="9"/>
        <v>0</v>
      </c>
      <c r="Q116" s="43">
        <f t="shared" si="9"/>
        <v>0</v>
      </c>
      <c r="R116" s="43">
        <f t="shared" si="9"/>
        <v>0</v>
      </c>
      <c r="S116" s="43">
        <f t="shared" si="9"/>
        <v>0</v>
      </c>
      <c r="T116" s="43">
        <f t="shared" si="9"/>
        <v>0</v>
      </c>
      <c r="U116" s="43">
        <f t="shared" si="9"/>
        <v>0</v>
      </c>
      <c r="V116" s="43">
        <f t="shared" si="9"/>
        <v>0</v>
      </c>
      <c r="W116" s="43">
        <f t="shared" si="9"/>
        <v>0</v>
      </c>
      <c r="X116" s="43">
        <f t="shared" si="9"/>
        <v>0</v>
      </c>
      <c r="Y116" s="43">
        <f t="shared" si="9"/>
        <v>0</v>
      </c>
      <c r="Z116" s="43">
        <f t="shared" si="9"/>
        <v>0</v>
      </c>
      <c r="AA116" s="43">
        <f>SUM(AA10:AA113)</f>
        <v>0</v>
      </c>
      <c r="AB116" s="43">
        <f>SUM(AB10:AB113)</f>
        <v>0</v>
      </c>
      <c r="AC116" s="44"/>
    </row>
    <row r="117" spans="1:29" ht="15.75" thickTop="1">
      <c r="H117" s="10">
        <f>+H116-'[4]DAILY OKEY AYAM'!$K$22</f>
        <v>0</v>
      </c>
      <c r="AB117" s="10">
        <f>+AB116-'[5]16-02'!$Q$22</f>
        <v>-1192.32</v>
      </c>
    </row>
    <row r="118" spans="1:29">
      <c r="H118">
        <f>+H117/2.88</f>
        <v>0</v>
      </c>
    </row>
    <row r="119" spans="1:29">
      <c r="B119" s="10"/>
      <c r="D119" s="45">
        <f>D17+D18+D45+D47</f>
        <v>0</v>
      </c>
    </row>
    <row r="120" spans="1:29">
      <c r="D120">
        <f>557+12+45+556+372+275+380+199+266+584+597+192+544+34+577+592+595+603+612+558+751</f>
        <v>8901</v>
      </c>
      <c r="H120">
        <f>33+41+14</f>
        <v>88</v>
      </c>
    </row>
    <row r="121" spans="1:29">
      <c r="D121" s="45">
        <f>D120-D119</f>
        <v>8901</v>
      </c>
      <c r="AA121" s="10"/>
    </row>
    <row r="122" spans="1:29">
      <c r="AA122" s="10"/>
    </row>
    <row r="129" spans="5:5">
      <c r="E129">
        <f>687-662</f>
        <v>25</v>
      </c>
    </row>
  </sheetData>
  <mergeCells count="15">
    <mergeCell ref="A1:AC1"/>
    <mergeCell ref="A2:AC2"/>
    <mergeCell ref="A3:AC3"/>
    <mergeCell ref="A5:A8"/>
    <mergeCell ref="B5:B8"/>
    <mergeCell ref="C5:C7"/>
    <mergeCell ref="D5:AB5"/>
    <mergeCell ref="AC5:AC8"/>
    <mergeCell ref="D6:G6"/>
    <mergeCell ref="H6:H8"/>
    <mergeCell ref="I6:I7"/>
    <mergeCell ref="J6:AA6"/>
    <mergeCell ref="AB6:AB8"/>
    <mergeCell ref="D7:E7"/>
    <mergeCell ref="F7:G7"/>
  </mergeCells>
  <pageMargins left="0.70866141732283472" right="0.70866141732283472" top="0.74803149606299213" bottom="0.74803149606299213" header="0.31496062992125984" footer="0.31496062992125984"/>
  <pageSetup paperSize="9" scale="34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Sheet14"/>
  <dimension ref="A1:Z118"/>
  <sheetViews>
    <sheetView zoomScale="90" zoomScaleNormal="90" workbookViewId="0">
      <pane xSplit="1" ySplit="2" topLeftCell="B22" activePane="bottomRight" state="frozen"/>
      <selection activeCell="EE10" sqref="EE10"/>
      <selection pane="topRight" activeCell="EE10" sqref="EE10"/>
      <selection pane="bottomLeft" activeCell="EE10" sqref="EE10"/>
      <selection pane="bottomRight" activeCell="E52" sqref="E52"/>
    </sheetView>
  </sheetViews>
  <sheetFormatPr defaultRowHeight="15"/>
  <cols>
    <col min="1" max="2" width="12.42578125" style="81" customWidth="1"/>
    <col min="3" max="3" width="10.140625" style="81" customWidth="1"/>
    <col min="4" max="4" width="12.42578125" style="81" customWidth="1"/>
    <col min="5" max="5" width="10.140625" style="81" customWidth="1"/>
    <col min="6" max="6" width="14" style="81" bestFit="1" customWidth="1"/>
    <col min="7" max="7" width="10.140625" style="81" customWidth="1"/>
    <col min="8" max="10" width="12.42578125" style="81" customWidth="1"/>
    <col min="11" max="12" width="12.42578125" style="81" hidden="1" customWidth="1"/>
    <col min="13" max="13" width="0" style="81" hidden="1" customWidth="1"/>
    <col min="14" max="14" width="9.85546875" style="81" bestFit="1" customWidth="1"/>
    <col min="15" max="21" width="12.5703125" style="81" customWidth="1"/>
    <col min="22" max="22" width="11.5703125" style="81" bestFit="1" customWidth="1"/>
    <col min="23" max="25" width="11.140625" style="81" customWidth="1"/>
    <col min="26" max="16384" width="9.140625" style="81"/>
  </cols>
  <sheetData>
    <row r="1" spans="1:26">
      <c r="Q1" s="81">
        <f ca="1">+Q12/3.276</f>
        <v>0</v>
      </c>
      <c r="U1" s="81">
        <f ca="1">+T12/3.75</f>
        <v>0</v>
      </c>
    </row>
    <row r="2" spans="1:26">
      <c r="A2" s="86" t="s">
        <v>36</v>
      </c>
      <c r="B2" s="86" t="s">
        <v>37</v>
      </c>
      <c r="C2" s="711" t="s">
        <v>39</v>
      </c>
      <c r="D2" s="711"/>
      <c r="E2" s="711" t="s">
        <v>40</v>
      </c>
      <c r="F2" s="711"/>
      <c r="G2" s="711" t="s">
        <v>45</v>
      </c>
      <c r="H2" s="711"/>
      <c r="I2" s="711" t="s">
        <v>50</v>
      </c>
      <c r="J2" s="711"/>
      <c r="K2" s="711" t="s">
        <v>71</v>
      </c>
      <c r="L2" s="711"/>
      <c r="N2" s="80"/>
      <c r="O2" s="712" t="s">
        <v>41</v>
      </c>
      <c r="P2" s="712"/>
      <c r="Q2" s="712"/>
      <c r="R2" s="714" t="s">
        <v>42</v>
      </c>
      <c r="S2" s="714"/>
      <c r="T2" s="714"/>
      <c r="U2" s="713" t="s">
        <v>44</v>
      </c>
      <c r="V2" s="713"/>
      <c r="W2" s="713"/>
      <c r="X2" s="710" t="s">
        <v>66</v>
      </c>
      <c r="Y2" s="710"/>
      <c r="Z2" s="710"/>
    </row>
    <row r="3" spans="1:26">
      <c r="A3" s="82"/>
      <c r="B3" s="82"/>
      <c r="C3" s="87"/>
      <c r="D3" s="85">
        <f>+C3*3.276</f>
        <v>0</v>
      </c>
      <c r="E3" s="87"/>
      <c r="F3" s="85">
        <f>+E3*3.875</f>
        <v>0</v>
      </c>
      <c r="G3" s="87"/>
      <c r="H3" s="85">
        <f>+G3*3.276</f>
        <v>0</v>
      </c>
      <c r="I3" s="87"/>
      <c r="J3" s="85">
        <f>+I3*3.276</f>
        <v>0</v>
      </c>
      <c r="K3" s="87"/>
      <c r="L3" s="85">
        <f>+K3*2.4</f>
        <v>0</v>
      </c>
      <c r="N3" s="100">
        <f>+'ALL SORTASI'!A6</f>
        <v>46204</v>
      </c>
      <c r="O3" s="101">
        <f t="shared" ref="O3:O33" ca="1" si="0">SUMIF($B$3:$B$177,$N3,$D$3:$D$116)</f>
        <v>1447.992</v>
      </c>
      <c r="P3" s="101">
        <f>+'REKAPAN CHAMP AYAM'!C4</f>
        <v>1447.992</v>
      </c>
      <c r="Q3" s="99">
        <f t="shared" ref="Q3:Q17" ca="1" si="1">+O3-P3</f>
        <v>0</v>
      </c>
      <c r="R3" s="102">
        <f ca="1">SUMIF($B$3:$B$177,$N3,$F$3:$F$116)</f>
        <v>9947.125</v>
      </c>
      <c r="S3" s="102">
        <f>+'REKAPAN OKEY AYAM'!C4</f>
        <v>9947.125</v>
      </c>
      <c r="T3" s="106">
        <f ca="1">+R3-S3</f>
        <v>0</v>
      </c>
      <c r="U3" s="103">
        <f t="shared" ref="U3:U33" ca="1" si="2">SUMIF($B$3:$B$177,$N3,$H$3:$H$116)</f>
        <v>0</v>
      </c>
      <c r="V3" s="104">
        <f>+'REKAPAN CHAMP SAPI'!C4</f>
        <v>0</v>
      </c>
      <c r="W3" s="107">
        <f ca="1">+U3-V3</f>
        <v>0</v>
      </c>
      <c r="X3" s="105">
        <f t="shared" ref="X3:X33" ca="1" si="3">SUMIF($B$3:$B$177,$N3,$J$3:$J$116)</f>
        <v>0</v>
      </c>
      <c r="Y3" s="105">
        <f>+'REKAPAN CHAMP OTAK-OTAK'!C4</f>
        <v>0</v>
      </c>
      <c r="Z3" s="116">
        <f ca="1">+X3-Y3</f>
        <v>0</v>
      </c>
    </row>
    <row r="4" spans="1:26">
      <c r="A4" s="82">
        <v>46209</v>
      </c>
      <c r="B4" s="82">
        <v>46204</v>
      </c>
      <c r="C4" s="87">
        <v>442</v>
      </c>
      <c r="D4" s="85">
        <f t="shared" ref="D4:D69" si="4">+C4*3.276</f>
        <v>1447.992</v>
      </c>
      <c r="E4" s="87"/>
      <c r="F4" s="85">
        <f t="shared" ref="F4:F67" si="5">+E4*3.875</f>
        <v>0</v>
      </c>
      <c r="G4" s="87"/>
      <c r="H4" s="85">
        <f t="shared" ref="H4:H69" si="6">+G4*3.276</f>
        <v>0</v>
      </c>
      <c r="I4" s="87"/>
      <c r="J4" s="85">
        <f t="shared" ref="J4:J69" si="7">+I4*3.276</f>
        <v>0</v>
      </c>
      <c r="K4" s="87"/>
      <c r="L4" s="85">
        <f t="shared" ref="L4:L67" si="8">+K4*2.4</f>
        <v>0</v>
      </c>
      <c r="N4" s="100">
        <f>+'ALL SORTASI'!A7</f>
        <v>46205</v>
      </c>
      <c r="O4" s="101">
        <f t="shared" ca="1" si="0"/>
        <v>13746.095999999998</v>
      </c>
      <c r="P4" s="101">
        <f>+'REKAPAN CHAMP AYAM'!C5</f>
        <v>13746.095999999996</v>
      </c>
      <c r="Q4" s="99">
        <f t="shared" ca="1" si="1"/>
        <v>0</v>
      </c>
      <c r="R4" s="102">
        <f t="shared" ref="R4:R33" ca="1" si="9">SUMIF($B$3:$B$177,$N4,$F$3:$F$116)</f>
        <v>0</v>
      </c>
      <c r="S4" s="102">
        <f>+'REKAPAN OKEY AYAM'!C5</f>
        <v>0</v>
      </c>
      <c r="T4" s="106">
        <f t="shared" ref="T4:T17" ca="1" si="10">+R4-S4</f>
        <v>0</v>
      </c>
      <c r="U4" s="103">
        <f t="shared" ca="1" si="2"/>
        <v>0</v>
      </c>
      <c r="V4" s="104">
        <f>+'REKAPAN CHAMP SAPI'!C5</f>
        <v>0</v>
      </c>
      <c r="W4" s="107">
        <f t="shared" ref="W4:W30" ca="1" si="11">+U4-V4</f>
        <v>0</v>
      </c>
      <c r="X4" s="105">
        <f t="shared" ca="1" si="3"/>
        <v>0</v>
      </c>
      <c r="Y4" s="105">
        <f>+'REKAPAN CHAMP OTAK-OTAK'!C5</f>
        <v>0</v>
      </c>
      <c r="Z4" s="116">
        <f t="shared" ref="Z4:Z33" ca="1" si="12">+X4-Y4</f>
        <v>0</v>
      </c>
    </row>
    <row r="5" spans="1:26">
      <c r="A5" s="82"/>
      <c r="B5" s="82">
        <v>46205</v>
      </c>
      <c r="C5" s="87">
        <f>455+468+488+329+504+483+153</f>
        <v>2880</v>
      </c>
      <c r="D5" s="85">
        <f t="shared" si="4"/>
        <v>9434.8799999999992</v>
      </c>
      <c r="E5" s="87"/>
      <c r="F5" s="85">
        <f t="shared" si="5"/>
        <v>0</v>
      </c>
      <c r="G5" s="87"/>
      <c r="H5" s="85">
        <f t="shared" si="6"/>
        <v>0</v>
      </c>
      <c r="I5" s="87"/>
      <c r="J5" s="85">
        <f t="shared" si="7"/>
        <v>0</v>
      </c>
      <c r="K5" s="87"/>
      <c r="L5" s="85">
        <f t="shared" si="8"/>
        <v>0</v>
      </c>
      <c r="N5" s="100">
        <f>+'ALL SORTASI'!A8</f>
        <v>46206</v>
      </c>
      <c r="O5" s="101">
        <f ca="1">SUMIF($B$3:$B$177,$N5,$D$3:$D$116)</f>
        <v>13644.539999999997</v>
      </c>
      <c r="P5" s="101">
        <f>+'REKAPAN CHAMP AYAM'!C6</f>
        <v>13644.539999999997</v>
      </c>
      <c r="Q5" s="99">
        <f t="shared" ca="1" si="1"/>
        <v>0</v>
      </c>
      <c r="R5" s="102">
        <f t="shared" ca="1" si="9"/>
        <v>0</v>
      </c>
      <c r="S5" s="102">
        <f>+'REKAPAN OKEY AYAM'!C6</f>
        <v>0</v>
      </c>
      <c r="T5" s="106">
        <f t="shared" ca="1" si="10"/>
        <v>0</v>
      </c>
      <c r="U5" s="103">
        <f t="shared" ca="1" si="2"/>
        <v>0</v>
      </c>
      <c r="V5" s="104">
        <f>+'REKAPAN CHAMP SAPI'!C6</f>
        <v>0</v>
      </c>
      <c r="W5" s="107">
        <f t="shared" ca="1" si="11"/>
        <v>0</v>
      </c>
      <c r="X5" s="105">
        <f t="shared" ca="1" si="3"/>
        <v>0</v>
      </c>
      <c r="Y5" s="105">
        <f>+'REKAPAN CHAMP OTAK-OTAK'!C6</f>
        <v>0</v>
      </c>
      <c r="Z5" s="116">
        <f t="shared" ca="1" si="12"/>
        <v>0</v>
      </c>
    </row>
    <row r="6" spans="1:26">
      <c r="A6" s="82">
        <v>46210</v>
      </c>
      <c r="B6" s="82">
        <v>46205</v>
      </c>
      <c r="C6" s="87">
        <f>349+43+574+350</f>
        <v>1316</v>
      </c>
      <c r="D6" s="85">
        <f t="shared" ref="D6:D10" si="13">+C6*3.276</f>
        <v>4311.2159999999994</v>
      </c>
      <c r="E6" s="87"/>
      <c r="F6" s="85">
        <f t="shared" ref="F6:F10" si="14">+E6*3.875</f>
        <v>0</v>
      </c>
      <c r="G6" s="87"/>
      <c r="H6" s="85">
        <f t="shared" ref="H6:H10" si="15">+G6*3.276</f>
        <v>0</v>
      </c>
      <c r="I6" s="87"/>
      <c r="J6" s="85">
        <f t="shared" si="7"/>
        <v>0</v>
      </c>
      <c r="K6" s="87"/>
      <c r="L6" s="85">
        <f t="shared" si="8"/>
        <v>0</v>
      </c>
      <c r="N6" s="100">
        <f>+'ALL SORTASI'!A9</f>
        <v>46207</v>
      </c>
      <c r="O6" s="101">
        <f t="shared" ca="1" si="0"/>
        <v>0</v>
      </c>
      <c r="P6" s="101">
        <f>+'REKAPAN CHAMP AYAM'!C7</f>
        <v>0</v>
      </c>
      <c r="Q6" s="99">
        <f t="shared" ca="1" si="1"/>
        <v>0</v>
      </c>
      <c r="R6" s="102">
        <f t="shared" ca="1" si="9"/>
        <v>0</v>
      </c>
      <c r="S6" s="102">
        <f>+'REKAPAN OKEY AYAM'!C7</f>
        <v>0</v>
      </c>
      <c r="T6" s="106">
        <f t="shared" ca="1" si="10"/>
        <v>0</v>
      </c>
      <c r="U6" s="103">
        <f t="shared" ca="1" si="2"/>
        <v>0</v>
      </c>
      <c r="V6" s="104">
        <f>+'REKAPAN CHAMP SAPI'!C7</f>
        <v>0</v>
      </c>
      <c r="W6" s="107">
        <f t="shared" ca="1" si="11"/>
        <v>0</v>
      </c>
      <c r="X6" s="105">
        <f t="shared" ca="1" si="3"/>
        <v>0</v>
      </c>
      <c r="Y6" s="105">
        <f>+'REKAPAN CHAMP OTAK-OTAK'!C7</f>
        <v>0</v>
      </c>
      <c r="Z6" s="116">
        <f t="shared" ca="1" si="12"/>
        <v>0</v>
      </c>
    </row>
    <row r="7" spans="1:26">
      <c r="A7" s="82"/>
      <c r="B7" s="82">
        <v>46206</v>
      </c>
      <c r="C7" s="87">
        <f>497+499+264</f>
        <v>1260</v>
      </c>
      <c r="D7" s="85">
        <f t="shared" si="13"/>
        <v>4127.7599999999993</v>
      </c>
      <c r="E7" s="87"/>
      <c r="F7" s="85">
        <f t="shared" si="14"/>
        <v>0</v>
      </c>
      <c r="G7" s="87"/>
      <c r="H7" s="85">
        <f t="shared" si="15"/>
        <v>0</v>
      </c>
      <c r="I7" s="87"/>
      <c r="J7" s="85">
        <f t="shared" si="7"/>
        <v>0</v>
      </c>
      <c r="K7" s="87"/>
      <c r="L7" s="85">
        <f t="shared" si="8"/>
        <v>0</v>
      </c>
      <c r="N7" s="100">
        <f>+'ALL SORTASI'!A10</f>
        <v>46208</v>
      </c>
      <c r="O7" s="101">
        <f t="shared" ca="1" si="0"/>
        <v>0</v>
      </c>
      <c r="P7" s="101">
        <f>+'REKAPAN CHAMP AYAM'!C8</f>
        <v>0</v>
      </c>
      <c r="Q7" s="99">
        <f t="shared" ca="1" si="1"/>
        <v>0</v>
      </c>
      <c r="R7" s="102">
        <f t="shared" ca="1" si="9"/>
        <v>0</v>
      </c>
      <c r="S7" s="102">
        <f>+'REKAPAN OKEY AYAM'!C8</f>
        <v>0</v>
      </c>
      <c r="T7" s="106">
        <f t="shared" ca="1" si="10"/>
        <v>0</v>
      </c>
      <c r="U7" s="103">
        <f t="shared" ca="1" si="2"/>
        <v>0</v>
      </c>
      <c r="V7" s="104">
        <f>+'REKAPAN CHAMP SAPI'!C8</f>
        <v>0</v>
      </c>
      <c r="W7" s="107">
        <f t="shared" ca="1" si="11"/>
        <v>0</v>
      </c>
      <c r="X7" s="105">
        <f t="shared" ca="1" si="3"/>
        <v>0</v>
      </c>
      <c r="Y7" s="105">
        <f>+'REKAPAN CHAMP OTAK-OTAK'!C8</f>
        <v>0</v>
      </c>
      <c r="Z7" s="116">
        <f t="shared" ca="1" si="12"/>
        <v>0</v>
      </c>
    </row>
    <row r="8" spans="1:26">
      <c r="A8" s="82">
        <v>46211</v>
      </c>
      <c r="B8" s="82">
        <v>46206</v>
      </c>
      <c r="C8" s="87">
        <f>200+516+567+495+674+453</f>
        <v>2905</v>
      </c>
      <c r="D8" s="85">
        <f t="shared" si="13"/>
        <v>9516.7799999999988</v>
      </c>
      <c r="E8" s="87"/>
      <c r="F8" s="85">
        <f t="shared" si="14"/>
        <v>0</v>
      </c>
      <c r="G8" s="87"/>
      <c r="H8" s="85">
        <f t="shared" si="15"/>
        <v>0</v>
      </c>
      <c r="I8" s="87"/>
      <c r="J8" s="85">
        <f t="shared" si="7"/>
        <v>0</v>
      </c>
      <c r="K8" s="87"/>
      <c r="L8" s="85">
        <f t="shared" si="8"/>
        <v>0</v>
      </c>
      <c r="N8" s="100">
        <f>+'ALL SORTASI'!A11</f>
        <v>46209</v>
      </c>
      <c r="O8" s="101">
        <f t="shared" ca="1" si="0"/>
        <v>0</v>
      </c>
      <c r="P8" s="101">
        <f>+'REKAPAN CHAMP AYAM'!C9</f>
        <v>0</v>
      </c>
      <c r="Q8" s="99">
        <f t="shared" ca="1" si="1"/>
        <v>0</v>
      </c>
      <c r="R8" s="102">
        <f t="shared" ca="1" si="9"/>
        <v>1464.75</v>
      </c>
      <c r="S8" s="102">
        <f>+'REKAPAN OKEY AYAM'!C9</f>
        <v>1464.75</v>
      </c>
      <c r="T8" s="106">
        <f t="shared" ca="1" si="10"/>
        <v>0</v>
      </c>
      <c r="U8" s="103">
        <f t="shared" ca="1" si="2"/>
        <v>0</v>
      </c>
      <c r="V8" s="104">
        <f>+'REKAPAN CHAMP SAPI'!C9</f>
        <v>0</v>
      </c>
      <c r="W8" s="107">
        <f t="shared" ca="1" si="11"/>
        <v>0</v>
      </c>
      <c r="X8" s="105">
        <f t="shared" ca="1" si="3"/>
        <v>0</v>
      </c>
      <c r="Y8" s="105">
        <f>+'REKAPAN CHAMP OTAK-OTAK'!C9</f>
        <v>0</v>
      </c>
      <c r="Z8" s="116">
        <f t="shared" ca="1" si="12"/>
        <v>0</v>
      </c>
    </row>
    <row r="9" spans="1:26">
      <c r="A9" s="82">
        <v>46212</v>
      </c>
      <c r="B9" s="82">
        <v>46204</v>
      </c>
      <c r="C9" s="87"/>
      <c r="D9" s="85">
        <f t="shared" si="13"/>
        <v>0</v>
      </c>
      <c r="E9" s="87">
        <f>416+392+347+86+466+438</f>
        <v>2145</v>
      </c>
      <c r="F9" s="85">
        <f t="shared" si="14"/>
        <v>8311.875</v>
      </c>
      <c r="G9" s="87"/>
      <c r="H9" s="85">
        <f t="shared" si="15"/>
        <v>0</v>
      </c>
      <c r="I9" s="87"/>
      <c r="J9" s="85">
        <f t="shared" si="7"/>
        <v>0</v>
      </c>
      <c r="K9" s="87"/>
      <c r="L9" s="85">
        <f t="shared" si="8"/>
        <v>0</v>
      </c>
      <c r="N9" s="100">
        <f>+'ALL SORTASI'!A12</f>
        <v>46210</v>
      </c>
      <c r="O9" s="101">
        <f t="shared" ca="1" si="0"/>
        <v>0</v>
      </c>
      <c r="P9" s="101">
        <f>+'REKAPAN CHAMP AYAM'!C10</f>
        <v>0</v>
      </c>
      <c r="Q9" s="99">
        <f t="shared" ca="1" si="1"/>
        <v>0</v>
      </c>
      <c r="R9" s="102">
        <f t="shared" ca="1" si="9"/>
        <v>12419.375</v>
      </c>
      <c r="S9" s="102">
        <f>+'REKAPAN OKEY AYAM'!C10</f>
        <v>12419.375</v>
      </c>
      <c r="T9" s="106">
        <f t="shared" ca="1" si="10"/>
        <v>0</v>
      </c>
      <c r="U9" s="103">
        <f t="shared" ca="1" si="2"/>
        <v>0</v>
      </c>
      <c r="V9" s="104">
        <f>+'REKAPAN CHAMP SAPI'!C10</f>
        <v>0</v>
      </c>
      <c r="W9" s="107">
        <f t="shared" ca="1" si="11"/>
        <v>0</v>
      </c>
      <c r="X9" s="105">
        <f t="shared" ca="1" si="3"/>
        <v>0</v>
      </c>
      <c r="Y9" s="105">
        <f>+'REKAPAN CHAMP OTAK-OTAK'!C10</f>
        <v>0</v>
      </c>
      <c r="Z9" s="116">
        <f t="shared" ca="1" si="12"/>
        <v>0</v>
      </c>
    </row>
    <row r="10" spans="1:26">
      <c r="A10" s="82">
        <v>46213</v>
      </c>
      <c r="B10" s="82">
        <v>46204</v>
      </c>
      <c r="C10" s="87"/>
      <c r="D10" s="85">
        <f t="shared" si="13"/>
        <v>0</v>
      </c>
      <c r="E10" s="87">
        <f>21+281+99</f>
        <v>401</v>
      </c>
      <c r="F10" s="85">
        <f t="shared" si="14"/>
        <v>1553.875</v>
      </c>
      <c r="G10" s="87"/>
      <c r="H10" s="85">
        <f t="shared" si="15"/>
        <v>0</v>
      </c>
      <c r="I10" s="87"/>
      <c r="J10" s="352">
        <f t="shared" si="7"/>
        <v>0</v>
      </c>
      <c r="K10" s="87"/>
      <c r="L10" s="85">
        <f t="shared" si="8"/>
        <v>0</v>
      </c>
      <c r="N10" s="100">
        <f>+'ALL SORTASI'!A13</f>
        <v>46211</v>
      </c>
      <c r="O10" s="101">
        <f t="shared" ca="1" si="0"/>
        <v>0</v>
      </c>
      <c r="P10" s="101">
        <f>+'REKAPAN CHAMP AYAM'!C11</f>
        <v>0</v>
      </c>
      <c r="Q10" s="99">
        <f t="shared" ca="1" si="1"/>
        <v>0</v>
      </c>
      <c r="R10" s="102">
        <f ca="1">SUMIF($B$3:$B$177,$N10,$F$3:$F$116)</f>
        <v>13984.875</v>
      </c>
      <c r="S10" s="102">
        <f>+'REKAPAN OKEY AYAM'!C11</f>
        <v>13984.875</v>
      </c>
      <c r="T10" s="106">
        <f t="shared" ca="1" si="10"/>
        <v>0</v>
      </c>
      <c r="U10" s="103">
        <f t="shared" ca="1" si="2"/>
        <v>0</v>
      </c>
      <c r="V10" s="104">
        <f>+'REKAPAN CHAMP SAPI'!C11</f>
        <v>0</v>
      </c>
      <c r="W10" s="107">
        <f t="shared" ca="1" si="11"/>
        <v>0</v>
      </c>
      <c r="X10" s="105">
        <f t="shared" ca="1" si="3"/>
        <v>0</v>
      </c>
      <c r="Y10" s="105">
        <f>+'REKAPAN CHAMP OTAK-OTAK'!C11</f>
        <v>0</v>
      </c>
      <c r="Z10" s="116">
        <f t="shared" ca="1" si="12"/>
        <v>0</v>
      </c>
    </row>
    <row r="11" spans="1:26">
      <c r="A11" s="82"/>
      <c r="B11" s="82">
        <v>46209</v>
      </c>
      <c r="C11" s="87"/>
      <c r="D11" s="85">
        <f t="shared" ref="D11:D13" si="16">+C11*3.276</f>
        <v>0</v>
      </c>
      <c r="E11" s="87">
        <v>378</v>
      </c>
      <c r="F11" s="85">
        <f t="shared" si="5"/>
        <v>1464.75</v>
      </c>
      <c r="G11" s="87"/>
      <c r="H11" s="85">
        <f t="shared" si="6"/>
        <v>0</v>
      </c>
      <c r="I11" s="87"/>
      <c r="J11" s="85">
        <f t="shared" si="7"/>
        <v>0</v>
      </c>
      <c r="K11" s="87"/>
      <c r="L11" s="85">
        <f t="shared" si="8"/>
        <v>0</v>
      </c>
      <c r="N11" s="100">
        <f>+'ALL SORTASI'!A14</f>
        <v>46212</v>
      </c>
      <c r="O11" s="101">
        <f ca="1">SUMIF($B$3:$B$177,$N11,$D$3:$D$116)</f>
        <v>0</v>
      </c>
      <c r="P11" s="101">
        <f>+'REKAPAN CHAMP AYAM'!C12</f>
        <v>0</v>
      </c>
      <c r="Q11" s="99">
        <f t="shared" ca="1" si="1"/>
        <v>0</v>
      </c>
      <c r="R11" s="102">
        <f t="shared" ca="1" si="9"/>
        <v>14496.375</v>
      </c>
      <c r="S11" s="102">
        <f>+'REKAPAN OKEY AYAM'!C12</f>
        <v>14496.375</v>
      </c>
      <c r="T11" s="106">
        <f t="shared" ca="1" si="10"/>
        <v>0</v>
      </c>
      <c r="U11" s="103">
        <f t="shared" ca="1" si="2"/>
        <v>0</v>
      </c>
      <c r="V11" s="104">
        <f>+'REKAPAN CHAMP SAPI'!C12</f>
        <v>0</v>
      </c>
      <c r="W11" s="107">
        <f ca="1">+U11-V11</f>
        <v>0</v>
      </c>
      <c r="X11" s="105">
        <f t="shared" ca="1" si="3"/>
        <v>0</v>
      </c>
      <c r="Y11" s="105">
        <f>+'REKAPAN CHAMP OTAK-OTAK'!C12</f>
        <v>0</v>
      </c>
      <c r="Z11" s="116">
        <f t="shared" ca="1" si="12"/>
        <v>0</v>
      </c>
    </row>
    <row r="12" spans="1:26">
      <c r="A12" s="82"/>
      <c r="B12" s="82">
        <v>46210</v>
      </c>
      <c r="C12" s="87"/>
      <c r="D12" s="85">
        <f t="shared" si="16"/>
        <v>0</v>
      </c>
      <c r="E12" s="87">
        <f>455+418+282</f>
        <v>1155</v>
      </c>
      <c r="F12" s="85">
        <f t="shared" si="5"/>
        <v>4475.625</v>
      </c>
      <c r="G12" s="87"/>
      <c r="H12" s="85">
        <f t="shared" si="6"/>
        <v>0</v>
      </c>
      <c r="I12" s="87"/>
      <c r="J12" s="85">
        <f t="shared" si="7"/>
        <v>0</v>
      </c>
      <c r="K12" s="87"/>
      <c r="L12" s="85">
        <f t="shared" si="8"/>
        <v>0</v>
      </c>
      <c r="N12" s="100">
        <f>+'ALL SORTASI'!A15</f>
        <v>46213</v>
      </c>
      <c r="O12" s="101">
        <f t="shared" ca="1" si="0"/>
        <v>0</v>
      </c>
      <c r="P12" s="101">
        <f>+'REKAPAN CHAMP AYAM'!C13</f>
        <v>0</v>
      </c>
      <c r="Q12" s="99">
        <f t="shared" ca="1" si="1"/>
        <v>0</v>
      </c>
      <c r="R12" s="102">
        <f t="shared" ca="1" si="9"/>
        <v>13202.125</v>
      </c>
      <c r="S12" s="102">
        <f>+'REKAPAN OKEY AYAM'!C13</f>
        <v>13202.125</v>
      </c>
      <c r="T12" s="106">
        <f t="shared" ca="1" si="10"/>
        <v>0</v>
      </c>
      <c r="U12" s="103">
        <f t="shared" ca="1" si="2"/>
        <v>0</v>
      </c>
      <c r="V12" s="104">
        <f>+'REKAPAN CHAMP SAPI'!C13</f>
        <v>0</v>
      </c>
      <c r="W12" s="107">
        <f t="shared" ca="1" si="11"/>
        <v>0</v>
      </c>
      <c r="X12" s="105">
        <f t="shared" ca="1" si="3"/>
        <v>0</v>
      </c>
      <c r="Y12" s="105">
        <f>+'REKAPAN CHAMP OTAK-OTAK'!C13</f>
        <v>0</v>
      </c>
      <c r="Z12" s="116">
        <f t="shared" ca="1" si="12"/>
        <v>0</v>
      </c>
    </row>
    <row r="13" spans="1:26">
      <c r="A13" s="82">
        <v>46214</v>
      </c>
      <c r="B13" s="82">
        <v>46210</v>
      </c>
      <c r="C13" s="87"/>
      <c r="D13" s="85">
        <f t="shared" si="16"/>
        <v>0</v>
      </c>
      <c r="E13" s="87">
        <f>141+422+436+387+99</f>
        <v>1485</v>
      </c>
      <c r="F13" s="85">
        <f t="shared" si="5"/>
        <v>5754.375</v>
      </c>
      <c r="G13" s="87"/>
      <c r="H13" s="85">
        <f t="shared" si="6"/>
        <v>0</v>
      </c>
      <c r="I13" s="87"/>
      <c r="J13" s="85">
        <f t="shared" si="7"/>
        <v>0</v>
      </c>
      <c r="K13" s="87"/>
      <c r="L13" s="85">
        <f t="shared" si="8"/>
        <v>0</v>
      </c>
      <c r="N13" s="100">
        <f>+'ALL SORTASI'!A16</f>
        <v>46214</v>
      </c>
      <c r="O13" s="101">
        <f t="shared" ca="1" si="0"/>
        <v>0</v>
      </c>
      <c r="P13" s="101">
        <f>+'REKAPAN CHAMP AYAM'!C14</f>
        <v>0</v>
      </c>
      <c r="Q13" s="99">
        <f t="shared" ca="1" si="1"/>
        <v>0</v>
      </c>
      <c r="R13" s="102">
        <f t="shared" ca="1" si="9"/>
        <v>0</v>
      </c>
      <c r="S13" s="102">
        <f>+'REKAPAN OKEY AYAM'!C14</f>
        <v>0</v>
      </c>
      <c r="T13" s="106">
        <f t="shared" ca="1" si="10"/>
        <v>0</v>
      </c>
      <c r="U13" s="103">
        <f t="shared" ca="1" si="2"/>
        <v>0</v>
      </c>
      <c r="V13" s="104">
        <f>+'REKAPAN CHAMP SAPI'!C14</f>
        <v>0</v>
      </c>
      <c r="W13" s="107">
        <f t="shared" ca="1" si="11"/>
        <v>0</v>
      </c>
      <c r="X13" s="105">
        <f t="shared" ca="1" si="3"/>
        <v>0</v>
      </c>
      <c r="Y13" s="105">
        <f>+'REKAPAN CHAMP OTAK-OTAK'!C14</f>
        <v>0</v>
      </c>
      <c r="Z13" s="116">
        <f t="shared" ca="1" si="12"/>
        <v>0</v>
      </c>
    </row>
    <row r="14" spans="1:26">
      <c r="A14" s="82"/>
      <c r="B14" s="82">
        <v>46210</v>
      </c>
      <c r="C14" s="87"/>
      <c r="D14" s="85">
        <f t="shared" ref="D14:D21" si="17">+C14*3.276</f>
        <v>0</v>
      </c>
      <c r="E14" s="87">
        <f>121+444</f>
        <v>565</v>
      </c>
      <c r="F14" s="85">
        <f t="shared" ref="F14:F16" si="18">+E14*3.875</f>
        <v>2189.375</v>
      </c>
      <c r="G14" s="87"/>
      <c r="H14" s="85">
        <f t="shared" si="6"/>
        <v>0</v>
      </c>
      <c r="I14" s="87"/>
      <c r="J14" s="85">
        <f t="shared" si="7"/>
        <v>0</v>
      </c>
      <c r="K14" s="87"/>
      <c r="L14" s="85">
        <f t="shared" si="8"/>
        <v>0</v>
      </c>
      <c r="N14" s="100">
        <f>+'ALL SORTASI'!A17</f>
        <v>46215</v>
      </c>
      <c r="O14" s="101">
        <f t="shared" ca="1" si="0"/>
        <v>0</v>
      </c>
      <c r="P14" s="101">
        <f>+'REKAPAN CHAMP AYAM'!C15</f>
        <v>0</v>
      </c>
      <c r="Q14" s="99">
        <f t="shared" ca="1" si="1"/>
        <v>0</v>
      </c>
      <c r="R14" s="102">
        <f t="shared" ca="1" si="9"/>
        <v>0</v>
      </c>
      <c r="S14" s="102">
        <f>+'REKAPAN OKEY AYAM'!C15</f>
        <v>0</v>
      </c>
      <c r="T14" s="106">
        <f t="shared" ca="1" si="10"/>
        <v>0</v>
      </c>
      <c r="U14" s="103">
        <f t="shared" ca="1" si="2"/>
        <v>0</v>
      </c>
      <c r="V14" s="104">
        <f>+'REKAPAN CHAMP SAPI'!C15</f>
        <v>0</v>
      </c>
      <c r="W14" s="107">
        <f t="shared" ca="1" si="11"/>
        <v>0</v>
      </c>
      <c r="X14" s="105">
        <f t="shared" ca="1" si="3"/>
        <v>0</v>
      </c>
      <c r="Y14" s="105">
        <f>+'REKAPAN CHAMP OTAK-OTAK'!C15</f>
        <v>0</v>
      </c>
      <c r="Z14" s="116">
        <f t="shared" ca="1" si="12"/>
        <v>0</v>
      </c>
    </row>
    <row r="15" spans="1:26">
      <c r="A15" s="82"/>
      <c r="B15" s="82">
        <v>46211</v>
      </c>
      <c r="C15" s="87"/>
      <c r="D15" s="85">
        <f t="shared" si="17"/>
        <v>0</v>
      </c>
      <c r="E15" s="87">
        <f>487+471+197</f>
        <v>1155</v>
      </c>
      <c r="F15" s="85">
        <f t="shared" si="18"/>
        <v>4475.625</v>
      </c>
      <c r="G15" s="87"/>
      <c r="H15" s="85">
        <f t="shared" si="6"/>
        <v>0</v>
      </c>
      <c r="I15" s="87"/>
      <c r="J15" s="85">
        <f t="shared" si="7"/>
        <v>0</v>
      </c>
      <c r="K15" s="87"/>
      <c r="L15" s="85">
        <f t="shared" si="8"/>
        <v>0</v>
      </c>
      <c r="N15" s="100">
        <f>+'ALL SORTASI'!A18</f>
        <v>46216</v>
      </c>
      <c r="O15" s="101">
        <f t="shared" ca="1" si="0"/>
        <v>1395.576</v>
      </c>
      <c r="P15" s="101">
        <f>+'REKAPAN CHAMP AYAM'!C16</f>
        <v>1395.576</v>
      </c>
      <c r="Q15" s="99">
        <f t="shared" ca="1" si="1"/>
        <v>0</v>
      </c>
      <c r="R15" s="102">
        <f t="shared" ca="1" si="9"/>
        <v>0</v>
      </c>
      <c r="S15" s="102">
        <f>+'REKAPAN OKEY AYAM'!C16</f>
        <v>0</v>
      </c>
      <c r="T15" s="106">
        <f t="shared" ca="1" si="10"/>
        <v>0</v>
      </c>
      <c r="U15" s="103">
        <f t="shared" ca="1" si="2"/>
        <v>0</v>
      </c>
      <c r="V15" s="104">
        <f>+'REKAPAN CHAMP SAPI'!C16</f>
        <v>0</v>
      </c>
      <c r="W15" s="107">
        <f t="shared" ca="1" si="11"/>
        <v>0</v>
      </c>
      <c r="X15" s="105">
        <f t="shared" ca="1" si="3"/>
        <v>0</v>
      </c>
      <c r="Y15" s="105">
        <f>+'REKAPAN CHAMP OTAK-OTAK'!C16</f>
        <v>0</v>
      </c>
      <c r="Z15" s="116">
        <f t="shared" ca="1" si="12"/>
        <v>0</v>
      </c>
    </row>
    <row r="16" spans="1:26">
      <c r="A16" s="82">
        <v>46216</v>
      </c>
      <c r="B16" s="82">
        <v>46211</v>
      </c>
      <c r="C16" s="87"/>
      <c r="D16" s="85">
        <f t="shared" si="17"/>
        <v>0</v>
      </c>
      <c r="E16" s="87">
        <f>168+350+514+448+355+184+435</f>
        <v>2454</v>
      </c>
      <c r="F16" s="85">
        <f t="shared" si="18"/>
        <v>9509.25</v>
      </c>
      <c r="G16" s="87"/>
      <c r="H16" s="85">
        <f t="shared" si="6"/>
        <v>0</v>
      </c>
      <c r="I16" s="87"/>
      <c r="J16" s="85">
        <f t="shared" si="7"/>
        <v>0</v>
      </c>
      <c r="K16" s="87"/>
      <c r="L16" s="85">
        <f t="shared" si="8"/>
        <v>0</v>
      </c>
      <c r="N16" s="100">
        <f>+'ALL SORTASI'!A19</f>
        <v>46217</v>
      </c>
      <c r="O16" s="101">
        <f t="shared" ca="1" si="0"/>
        <v>15131.843999999999</v>
      </c>
      <c r="P16" s="101">
        <f>+'REKAPAN CHAMP AYAM'!C17</f>
        <v>15131.843999999999</v>
      </c>
      <c r="Q16" s="99">
        <f t="shared" ca="1" si="1"/>
        <v>0</v>
      </c>
      <c r="R16" s="102">
        <f t="shared" ca="1" si="9"/>
        <v>0</v>
      </c>
      <c r="S16" s="102">
        <f>+'REKAPAN OKEY AYAM'!C17</f>
        <v>0</v>
      </c>
      <c r="T16" s="106">
        <f t="shared" ca="1" si="10"/>
        <v>0</v>
      </c>
      <c r="U16" s="103">
        <f t="shared" ca="1" si="2"/>
        <v>0</v>
      </c>
      <c r="V16" s="104">
        <f>+'REKAPAN CHAMP SAPI'!C17</f>
        <v>0</v>
      </c>
      <c r="W16" s="107">
        <f t="shared" ca="1" si="11"/>
        <v>0</v>
      </c>
      <c r="X16" s="105">
        <f t="shared" ca="1" si="3"/>
        <v>0</v>
      </c>
      <c r="Y16" s="105">
        <f>+'REKAPAN CHAMP OTAK-OTAK'!C17</f>
        <v>0</v>
      </c>
      <c r="Z16" s="116">
        <f t="shared" ca="1" si="12"/>
        <v>0</v>
      </c>
    </row>
    <row r="17" spans="1:26">
      <c r="A17" s="82">
        <v>46217</v>
      </c>
      <c r="B17" s="82">
        <v>46212</v>
      </c>
      <c r="C17" s="87"/>
      <c r="D17" s="85">
        <f t="shared" ref="D17" si="19">+C17*3.276</f>
        <v>0</v>
      </c>
      <c r="E17" s="87">
        <f>404+443+446+420+464+424+39</f>
        <v>2640</v>
      </c>
      <c r="F17" s="85">
        <f t="shared" si="5"/>
        <v>10230</v>
      </c>
      <c r="G17" s="87"/>
      <c r="H17" s="85">
        <f t="shared" si="6"/>
        <v>0</v>
      </c>
      <c r="I17" s="87"/>
      <c r="J17" s="85">
        <f t="shared" si="7"/>
        <v>0</v>
      </c>
      <c r="K17" s="87"/>
      <c r="L17" s="85">
        <f t="shared" si="8"/>
        <v>0</v>
      </c>
      <c r="N17" s="100">
        <f>+'ALL SORTASI'!A20</f>
        <v>46218</v>
      </c>
      <c r="O17" s="101">
        <f t="shared" ca="1" si="0"/>
        <v>14859.935999999998</v>
      </c>
      <c r="P17" s="101">
        <f>+'REKAPAN CHAMP AYAM'!C18</f>
        <v>14859.936</v>
      </c>
      <c r="Q17" s="99">
        <f t="shared" ca="1" si="1"/>
        <v>0</v>
      </c>
      <c r="R17" s="102">
        <f t="shared" ca="1" si="9"/>
        <v>0</v>
      </c>
      <c r="S17" s="102">
        <f>+'REKAPAN OKEY AYAM'!C18</f>
        <v>0</v>
      </c>
      <c r="T17" s="106">
        <f t="shared" ca="1" si="10"/>
        <v>0</v>
      </c>
      <c r="U17" s="103">
        <f t="shared" ca="1" si="2"/>
        <v>1379.1959999999999</v>
      </c>
      <c r="V17" s="104">
        <f>+'REKAPAN CHAMP SAPI'!C18</f>
        <v>1379.1959999999999</v>
      </c>
      <c r="W17" s="107">
        <f t="shared" ca="1" si="11"/>
        <v>0</v>
      </c>
      <c r="X17" s="105">
        <f t="shared" ca="1" si="3"/>
        <v>0</v>
      </c>
      <c r="Y17" s="105">
        <f>+'REKAPAN CHAMP OTAK-OTAK'!C18</f>
        <v>0</v>
      </c>
      <c r="Z17" s="116">
        <f t="shared" ca="1" si="12"/>
        <v>0</v>
      </c>
    </row>
    <row r="18" spans="1:26">
      <c r="A18" s="82">
        <v>46218</v>
      </c>
      <c r="B18" s="82">
        <v>46212</v>
      </c>
      <c r="C18" s="87"/>
      <c r="D18" s="85">
        <f t="shared" si="17"/>
        <v>0</v>
      </c>
      <c r="E18" s="87">
        <f>367+293+441</f>
        <v>1101</v>
      </c>
      <c r="F18" s="85">
        <f t="shared" si="5"/>
        <v>4266.375</v>
      </c>
      <c r="G18" s="87"/>
      <c r="H18" s="85">
        <f t="shared" si="6"/>
        <v>0</v>
      </c>
      <c r="I18" s="87"/>
      <c r="J18" s="85">
        <f t="shared" si="7"/>
        <v>0</v>
      </c>
      <c r="K18" s="87"/>
      <c r="L18" s="85">
        <f t="shared" si="8"/>
        <v>0</v>
      </c>
      <c r="N18" s="100">
        <f>+'ALL SORTASI'!A21</f>
        <v>46219</v>
      </c>
      <c r="O18" s="101">
        <f t="shared" ca="1" si="0"/>
        <v>1467.6479999999999</v>
      </c>
      <c r="P18" s="101">
        <f>+'REKAPAN CHAMP AYAM'!C19</f>
        <v>1467.6479999999999</v>
      </c>
      <c r="Q18" s="99">
        <f t="shared" ref="Q18:Q24" ca="1" si="20">+O18-P18</f>
        <v>0</v>
      </c>
      <c r="R18" s="102">
        <f t="shared" ca="1" si="9"/>
        <v>0</v>
      </c>
      <c r="S18" s="102">
        <f>+'REKAPAN OKEY AYAM'!C19</f>
        <v>0</v>
      </c>
      <c r="T18" s="106">
        <f t="shared" ref="T18:T24" ca="1" si="21">+R18-S18</f>
        <v>0</v>
      </c>
      <c r="U18" s="103">
        <f t="shared" ca="1" si="2"/>
        <v>15387.371999999999</v>
      </c>
      <c r="V18" s="104">
        <f>+'REKAPAN CHAMP SAPI'!C19</f>
        <v>15387.372000000001</v>
      </c>
      <c r="W18" s="107">
        <f t="shared" ca="1" si="11"/>
        <v>0</v>
      </c>
      <c r="X18" s="105">
        <f t="shared" ca="1" si="3"/>
        <v>0</v>
      </c>
      <c r="Y18" s="105">
        <f>+'REKAPAN CHAMP OTAK-OTAK'!C19</f>
        <v>0</v>
      </c>
      <c r="Z18" s="116">
        <f t="shared" ca="1" si="12"/>
        <v>0</v>
      </c>
    </row>
    <row r="19" spans="1:26">
      <c r="A19" s="82"/>
      <c r="B19" s="82">
        <v>46213</v>
      </c>
      <c r="C19" s="87"/>
      <c r="D19" s="85">
        <f t="shared" si="17"/>
        <v>0</v>
      </c>
      <c r="E19" s="87">
        <f>437+362+26</f>
        <v>825</v>
      </c>
      <c r="F19" s="85">
        <f t="shared" si="5"/>
        <v>3196.875</v>
      </c>
      <c r="G19" s="87"/>
      <c r="H19" s="85">
        <f t="shared" si="6"/>
        <v>0</v>
      </c>
      <c r="I19" s="87"/>
      <c r="J19" s="85">
        <f t="shared" si="7"/>
        <v>0</v>
      </c>
      <c r="K19" s="87"/>
      <c r="L19" s="85">
        <f t="shared" si="8"/>
        <v>0</v>
      </c>
      <c r="N19" s="100">
        <f>+'ALL SORTASI'!A22</f>
        <v>46220</v>
      </c>
      <c r="O19" s="101">
        <f t="shared" ca="1" si="0"/>
        <v>3325.14</v>
      </c>
      <c r="P19" s="101">
        <f>+'REKAPAN CHAMP AYAM'!C20</f>
        <v>3325.1399999999994</v>
      </c>
      <c r="Q19" s="99">
        <f t="shared" ca="1" si="20"/>
        <v>0</v>
      </c>
      <c r="R19" s="102">
        <f t="shared" ca="1" si="9"/>
        <v>8238.25</v>
      </c>
      <c r="S19" s="102">
        <f>+'REKAPAN OKEY AYAM'!C20</f>
        <v>8238.25</v>
      </c>
      <c r="T19" s="106">
        <f t="shared" ca="1" si="21"/>
        <v>0</v>
      </c>
      <c r="U19" s="103">
        <f t="shared" ca="1" si="2"/>
        <v>0</v>
      </c>
      <c r="V19" s="104">
        <f>+'REKAPAN CHAMP SAPI'!C20</f>
        <v>0</v>
      </c>
      <c r="W19" s="107">
        <f t="shared" ca="1" si="11"/>
        <v>0</v>
      </c>
      <c r="X19" s="105">
        <f t="shared" ca="1" si="3"/>
        <v>0</v>
      </c>
      <c r="Y19" s="105">
        <f>+'REKAPAN CHAMP OTAK-OTAK'!C20</f>
        <v>0</v>
      </c>
      <c r="Z19" s="116">
        <f t="shared" ca="1" si="12"/>
        <v>0</v>
      </c>
    </row>
    <row r="20" spans="1:26">
      <c r="A20" s="82">
        <v>46219</v>
      </c>
      <c r="B20" s="82">
        <v>46216</v>
      </c>
      <c r="C20" s="87">
        <v>426</v>
      </c>
      <c r="D20" s="85">
        <f t="shared" si="17"/>
        <v>1395.576</v>
      </c>
      <c r="E20" s="87"/>
      <c r="F20" s="85">
        <f t="shared" si="5"/>
        <v>0</v>
      </c>
      <c r="G20" s="87"/>
      <c r="H20" s="85">
        <f t="shared" si="6"/>
        <v>0</v>
      </c>
      <c r="I20" s="87"/>
      <c r="J20" s="85">
        <f t="shared" si="7"/>
        <v>0</v>
      </c>
      <c r="K20" s="87"/>
      <c r="L20" s="85">
        <f t="shared" si="8"/>
        <v>0</v>
      </c>
      <c r="N20" s="100">
        <f>+'ALL SORTASI'!A23</f>
        <v>46221</v>
      </c>
      <c r="O20" s="101">
        <f t="shared" ca="1" si="0"/>
        <v>0</v>
      </c>
      <c r="P20" s="101">
        <f>+'REKAPAN CHAMP AYAM'!C21</f>
        <v>0</v>
      </c>
      <c r="Q20" s="99">
        <f t="shared" ca="1" si="20"/>
        <v>0</v>
      </c>
      <c r="R20" s="102">
        <f t="shared" ca="1" si="9"/>
        <v>0</v>
      </c>
      <c r="S20" s="102">
        <f>+'REKAPAN OKEY AYAM'!C21</f>
        <v>0</v>
      </c>
      <c r="T20" s="106">
        <f t="shared" ca="1" si="21"/>
        <v>0</v>
      </c>
      <c r="U20" s="103">
        <f t="shared" ca="1" si="2"/>
        <v>0</v>
      </c>
      <c r="V20" s="104">
        <f>+'REKAPAN CHAMP SAPI'!C21</f>
        <v>0</v>
      </c>
      <c r="W20" s="107">
        <f t="shared" ca="1" si="11"/>
        <v>0</v>
      </c>
      <c r="X20" s="105">
        <f t="shared" ca="1" si="3"/>
        <v>0</v>
      </c>
      <c r="Y20" s="105">
        <f>+'REKAPAN CHAMP OTAK-OTAK'!C21</f>
        <v>0</v>
      </c>
      <c r="Z20" s="116">
        <f t="shared" ca="1" si="12"/>
        <v>0</v>
      </c>
    </row>
    <row r="21" spans="1:26">
      <c r="A21" s="82"/>
      <c r="B21" s="82">
        <v>46217</v>
      </c>
      <c r="C21" s="87">
        <f>626+427+430+575+462</f>
        <v>2520</v>
      </c>
      <c r="D21" s="85">
        <f t="shared" si="17"/>
        <v>8255.5199999999986</v>
      </c>
      <c r="E21" s="87"/>
      <c r="F21" s="85">
        <f t="shared" si="5"/>
        <v>0</v>
      </c>
      <c r="G21" s="87"/>
      <c r="H21" s="85">
        <f t="shared" si="6"/>
        <v>0</v>
      </c>
      <c r="I21" s="87"/>
      <c r="J21" s="85">
        <f t="shared" si="7"/>
        <v>0</v>
      </c>
      <c r="K21" s="87"/>
      <c r="L21" s="85">
        <f t="shared" si="8"/>
        <v>0</v>
      </c>
      <c r="N21" s="100">
        <f>+'ALL SORTASI'!A24</f>
        <v>46222</v>
      </c>
      <c r="O21" s="101">
        <f t="shared" ca="1" si="0"/>
        <v>0</v>
      </c>
      <c r="P21" s="101">
        <f>+'REKAPAN CHAMP AYAM'!C22</f>
        <v>0</v>
      </c>
      <c r="Q21" s="99">
        <f t="shared" ca="1" si="20"/>
        <v>0</v>
      </c>
      <c r="R21" s="102">
        <f t="shared" ca="1" si="9"/>
        <v>0</v>
      </c>
      <c r="S21" s="102">
        <f>+'REKAPAN OKEY AYAM'!C22</f>
        <v>0</v>
      </c>
      <c r="T21" s="106">
        <f t="shared" ca="1" si="21"/>
        <v>0</v>
      </c>
      <c r="U21" s="103">
        <f ca="1">SUMIF($B$3:$B$177,$N21,$H$3:$H$116)</f>
        <v>0</v>
      </c>
      <c r="V21" s="104">
        <f>+'REKAPAN CHAMP SAPI'!C22</f>
        <v>0</v>
      </c>
      <c r="W21" s="107">
        <f t="shared" ca="1" si="11"/>
        <v>0</v>
      </c>
      <c r="X21" s="105">
        <f t="shared" ca="1" si="3"/>
        <v>0</v>
      </c>
      <c r="Y21" s="105">
        <f>+'REKAPAN CHAMP OTAK-OTAK'!C22</f>
        <v>0</v>
      </c>
      <c r="Z21" s="116">
        <f t="shared" ca="1" si="12"/>
        <v>0</v>
      </c>
    </row>
    <row r="22" spans="1:26">
      <c r="A22" s="82"/>
      <c r="B22" s="82">
        <v>46213</v>
      </c>
      <c r="C22" s="87"/>
      <c r="D22" s="85">
        <f t="shared" si="4"/>
        <v>0</v>
      </c>
      <c r="E22" s="87">
        <v>201</v>
      </c>
      <c r="F22" s="85">
        <f t="shared" si="5"/>
        <v>778.875</v>
      </c>
      <c r="G22" s="87"/>
      <c r="H22" s="85">
        <f t="shared" si="6"/>
        <v>0</v>
      </c>
      <c r="I22" s="87"/>
      <c r="J22" s="85">
        <f t="shared" si="7"/>
        <v>0</v>
      </c>
      <c r="K22" s="87"/>
      <c r="L22" s="85">
        <f t="shared" si="8"/>
        <v>0</v>
      </c>
      <c r="N22" s="100">
        <f>+'ALL SORTASI'!A25</f>
        <v>46223</v>
      </c>
      <c r="O22" s="101">
        <f t="shared" ca="1" si="0"/>
        <v>0</v>
      </c>
      <c r="P22" s="101">
        <f>+'REKAPAN CHAMP AYAM'!C23</f>
        <v>0</v>
      </c>
      <c r="Q22" s="99">
        <f t="shared" ca="1" si="20"/>
        <v>0</v>
      </c>
      <c r="R22" s="102">
        <f t="shared" ca="1" si="9"/>
        <v>1488</v>
      </c>
      <c r="S22" s="102">
        <f>+'REKAPAN OKEY AYAM'!C23</f>
        <v>1488</v>
      </c>
      <c r="T22" s="106">
        <f t="shared" ca="1" si="21"/>
        <v>0</v>
      </c>
      <c r="U22" s="103">
        <f t="shared" ca="1" si="2"/>
        <v>0</v>
      </c>
      <c r="V22" s="104">
        <f>+'REKAPAN CHAMP SAPI'!C23</f>
        <v>0</v>
      </c>
      <c r="W22" s="107">
        <f t="shared" ca="1" si="11"/>
        <v>0</v>
      </c>
      <c r="X22" s="105">
        <f t="shared" ca="1" si="3"/>
        <v>0</v>
      </c>
      <c r="Y22" s="105">
        <f>+'REKAPAN CHAMP OTAK-OTAK'!C23</f>
        <v>0</v>
      </c>
      <c r="Z22" s="116">
        <f t="shared" ca="1" si="12"/>
        <v>0</v>
      </c>
    </row>
    <row r="23" spans="1:26">
      <c r="A23" s="82">
        <v>46220</v>
      </c>
      <c r="B23" s="82">
        <v>46217</v>
      </c>
      <c r="C23" s="87">
        <f>99+501+614+46</f>
        <v>1260</v>
      </c>
      <c r="D23" s="85">
        <f t="shared" ref="D23" si="22">+C23*3.276</f>
        <v>4127.7599999999993</v>
      </c>
      <c r="E23" s="87"/>
      <c r="F23" s="85">
        <f t="shared" si="5"/>
        <v>0</v>
      </c>
      <c r="G23" s="87"/>
      <c r="H23" s="85">
        <f t="shared" si="6"/>
        <v>0</v>
      </c>
      <c r="I23" s="87"/>
      <c r="J23" s="85">
        <f t="shared" si="7"/>
        <v>0</v>
      </c>
      <c r="K23" s="87"/>
      <c r="L23" s="85">
        <f t="shared" si="8"/>
        <v>0</v>
      </c>
      <c r="N23" s="100">
        <f>+'ALL SORTASI'!A26</f>
        <v>46224</v>
      </c>
      <c r="O23" s="101">
        <f t="shared" ca="1" si="0"/>
        <v>0</v>
      </c>
      <c r="P23" s="101">
        <f>+'REKAPAN CHAMP AYAM'!C24</f>
        <v>0</v>
      </c>
      <c r="Q23" s="99">
        <f t="shared" ca="1" si="20"/>
        <v>0</v>
      </c>
      <c r="R23" s="102">
        <f t="shared" ca="1" si="9"/>
        <v>14147.625</v>
      </c>
      <c r="S23" s="102">
        <f>+'REKAPAN OKEY AYAM'!C24</f>
        <v>14147.625</v>
      </c>
      <c r="T23" s="106">
        <f t="shared" ca="1" si="21"/>
        <v>0</v>
      </c>
      <c r="U23" s="103">
        <f t="shared" ca="1" si="2"/>
        <v>0</v>
      </c>
      <c r="V23" s="104">
        <f>+'REKAPAN CHAMP SAPI'!C24</f>
        <v>0</v>
      </c>
      <c r="W23" s="107">
        <f t="shared" ca="1" si="11"/>
        <v>0</v>
      </c>
      <c r="X23" s="105">
        <f t="shared" ca="1" si="3"/>
        <v>0</v>
      </c>
      <c r="Y23" s="105">
        <f>+'REKAPAN CHAMP OTAK-OTAK'!C24</f>
        <v>0</v>
      </c>
      <c r="Z23" s="116">
        <f t="shared" ca="1" si="12"/>
        <v>0</v>
      </c>
    </row>
    <row r="24" spans="1:26">
      <c r="A24" s="82"/>
      <c r="B24" s="82">
        <v>46218</v>
      </c>
      <c r="C24" s="87">
        <f>477+472+493+358</f>
        <v>1800</v>
      </c>
      <c r="D24" s="85">
        <f t="shared" ref="D24" si="23">+C24*3.276</f>
        <v>5896.7999999999993</v>
      </c>
      <c r="E24" s="87"/>
      <c r="F24" s="85">
        <f t="shared" si="5"/>
        <v>0</v>
      </c>
      <c r="G24" s="87"/>
      <c r="H24" s="85">
        <f t="shared" si="6"/>
        <v>0</v>
      </c>
      <c r="I24" s="87"/>
      <c r="J24" s="85">
        <f t="shared" si="7"/>
        <v>0</v>
      </c>
      <c r="K24" s="87"/>
      <c r="L24" s="85">
        <f t="shared" si="8"/>
        <v>0</v>
      </c>
      <c r="N24" s="100">
        <f>+'ALL SORTASI'!A27</f>
        <v>46225</v>
      </c>
      <c r="O24" s="101">
        <f t="shared" ca="1" si="0"/>
        <v>0</v>
      </c>
      <c r="P24" s="101">
        <f>+'REKAPAN CHAMP AYAM'!C25</f>
        <v>0</v>
      </c>
      <c r="Q24" s="99">
        <f t="shared" ca="1" si="20"/>
        <v>0</v>
      </c>
      <c r="R24" s="102">
        <f t="shared" ca="1" si="9"/>
        <v>13229.25</v>
      </c>
      <c r="S24" s="102">
        <f>+'REKAPAN OKEY AYAM'!C25</f>
        <v>13229.25</v>
      </c>
      <c r="T24" s="106">
        <f t="shared" ca="1" si="21"/>
        <v>0</v>
      </c>
      <c r="U24" s="103">
        <f t="shared" ca="1" si="2"/>
        <v>0</v>
      </c>
      <c r="V24" s="104">
        <f>+'REKAPAN CHAMP SAPI'!C25</f>
        <v>0</v>
      </c>
      <c r="W24" s="107">
        <f t="shared" ca="1" si="11"/>
        <v>0</v>
      </c>
      <c r="X24" s="105">
        <f t="shared" ca="1" si="3"/>
        <v>0</v>
      </c>
      <c r="Y24" s="105">
        <f>+'REKAPAN CHAMP OTAK-OTAK'!C25</f>
        <v>0</v>
      </c>
      <c r="Z24" s="116">
        <f t="shared" ca="1" si="12"/>
        <v>0</v>
      </c>
    </row>
    <row r="25" spans="1:26">
      <c r="A25" s="82">
        <v>46221</v>
      </c>
      <c r="B25" s="82">
        <v>46217</v>
      </c>
      <c r="C25" s="87">
        <f>397+442</f>
        <v>839</v>
      </c>
      <c r="D25" s="85">
        <f t="shared" si="4"/>
        <v>2748.5639999999999</v>
      </c>
      <c r="E25" s="87"/>
      <c r="F25" s="85">
        <f t="shared" si="5"/>
        <v>0</v>
      </c>
      <c r="G25" s="87"/>
      <c r="H25" s="85">
        <f t="shared" si="6"/>
        <v>0</v>
      </c>
      <c r="I25" s="87"/>
      <c r="J25" s="85">
        <f t="shared" si="7"/>
        <v>0</v>
      </c>
      <c r="K25" s="87"/>
      <c r="L25" s="85">
        <f t="shared" si="8"/>
        <v>0</v>
      </c>
      <c r="N25" s="100">
        <f>+'ALL SORTASI'!A28</f>
        <v>46226</v>
      </c>
      <c r="O25" s="101">
        <f t="shared" ca="1" si="0"/>
        <v>0</v>
      </c>
      <c r="P25" s="101">
        <f>+'REKAPAN CHAMP AYAM'!C26</f>
        <v>0</v>
      </c>
      <c r="Q25" s="99">
        <f t="shared" ref="Q25:Q30" ca="1" si="24">+O25-P25</f>
        <v>0</v>
      </c>
      <c r="R25" s="102">
        <f t="shared" ca="1" si="9"/>
        <v>15399.25</v>
      </c>
      <c r="S25" s="102">
        <f>+'REKAPAN OKEY AYAM'!C26</f>
        <v>15399.25</v>
      </c>
      <c r="T25" s="106">
        <f t="shared" ref="T25:T30" ca="1" si="25">+R25-S25</f>
        <v>0</v>
      </c>
      <c r="U25" s="103">
        <f t="shared" ca="1" si="2"/>
        <v>0</v>
      </c>
      <c r="V25" s="104">
        <f>+'REKAPAN CHAMP SAPI'!C26</f>
        <v>0</v>
      </c>
      <c r="W25" s="107">
        <f t="shared" ca="1" si="11"/>
        <v>0</v>
      </c>
      <c r="X25" s="105">
        <f t="shared" ca="1" si="3"/>
        <v>0</v>
      </c>
      <c r="Y25" s="105">
        <f>+'REKAPAN CHAMP OTAK-OTAK'!C26</f>
        <v>0</v>
      </c>
      <c r="Z25" s="116">
        <f t="shared" ca="1" si="12"/>
        <v>0</v>
      </c>
    </row>
    <row r="26" spans="1:26">
      <c r="A26" s="82"/>
      <c r="B26" s="82">
        <v>46218</v>
      </c>
      <c r="C26" s="87">
        <f>72+551+554+530+93</f>
        <v>1800</v>
      </c>
      <c r="D26" s="85">
        <f t="shared" si="4"/>
        <v>5896.7999999999993</v>
      </c>
      <c r="E26" s="87"/>
      <c r="F26" s="85">
        <f t="shared" si="5"/>
        <v>0</v>
      </c>
      <c r="G26" s="87"/>
      <c r="H26" s="85">
        <f t="shared" si="6"/>
        <v>0</v>
      </c>
      <c r="I26" s="87"/>
      <c r="J26" s="85">
        <f t="shared" si="7"/>
        <v>0</v>
      </c>
      <c r="K26" s="87"/>
      <c r="L26" s="85">
        <f t="shared" si="8"/>
        <v>0</v>
      </c>
      <c r="N26" s="100">
        <f>+'ALL SORTASI'!A29</f>
        <v>46227</v>
      </c>
      <c r="O26" s="101">
        <f t="shared" ca="1" si="0"/>
        <v>0</v>
      </c>
      <c r="P26" s="101">
        <f>+'REKAPAN CHAMP AYAM'!C27</f>
        <v>0</v>
      </c>
      <c r="Q26" s="99">
        <f t="shared" ca="1" si="24"/>
        <v>0</v>
      </c>
      <c r="R26" s="102">
        <f t="shared" ca="1" si="9"/>
        <v>5335.875</v>
      </c>
      <c r="S26" s="102">
        <f>+'REKAPAN OKEY AYAM'!C27</f>
        <v>5335.875</v>
      </c>
      <c r="T26" s="106">
        <f t="shared" ca="1" si="25"/>
        <v>0</v>
      </c>
      <c r="U26" s="103">
        <f t="shared" ca="1" si="2"/>
        <v>0</v>
      </c>
      <c r="V26" s="104">
        <f>+'REKAPAN CHAMP SAPI'!C27</f>
        <v>0</v>
      </c>
      <c r="W26" s="107">
        <f t="shared" ca="1" si="11"/>
        <v>0</v>
      </c>
      <c r="X26" s="105">
        <f t="shared" ca="1" si="3"/>
        <v>0</v>
      </c>
      <c r="Y26" s="105">
        <f>+'REKAPAN CHAMP OTAK-OTAK'!C27</f>
        <v>0</v>
      </c>
      <c r="Z26" s="116">
        <f t="shared" ca="1" si="12"/>
        <v>0</v>
      </c>
    </row>
    <row r="27" spans="1:26">
      <c r="A27" s="82"/>
      <c r="B27" s="82">
        <v>46218</v>
      </c>
      <c r="C27" s="87">
        <f>516+420</f>
        <v>936</v>
      </c>
      <c r="D27" s="85">
        <f t="shared" ref="D27:D29" si="26">+C27*3.276</f>
        <v>3066.3359999999998</v>
      </c>
      <c r="E27" s="87"/>
      <c r="F27" s="85">
        <f t="shared" ref="F27:F29" si="27">+E27*3.875</f>
        <v>0</v>
      </c>
      <c r="G27" s="87"/>
      <c r="H27" s="85">
        <f t="shared" ref="H27:H29" si="28">+G27*3.276</f>
        <v>0</v>
      </c>
      <c r="I27" s="87"/>
      <c r="J27" s="85">
        <f t="shared" si="7"/>
        <v>0</v>
      </c>
      <c r="K27" s="87"/>
      <c r="L27" s="85">
        <f t="shared" si="8"/>
        <v>0</v>
      </c>
      <c r="N27" s="100">
        <f>+'ALL SORTASI'!A30</f>
        <v>46228</v>
      </c>
      <c r="O27" s="101">
        <f t="shared" ca="1" si="0"/>
        <v>0</v>
      </c>
      <c r="P27" s="101">
        <f>+'REKAPAN CHAMP AYAM'!C28</f>
        <v>0</v>
      </c>
      <c r="Q27" s="99">
        <f t="shared" ca="1" si="24"/>
        <v>0</v>
      </c>
      <c r="R27" s="102">
        <f t="shared" ca="1" si="9"/>
        <v>2557.5</v>
      </c>
      <c r="S27" s="102">
        <f>+'REKAPAN OKEY AYAM'!C28</f>
        <v>2557.5</v>
      </c>
      <c r="T27" s="106">
        <f t="shared" ca="1" si="25"/>
        <v>0</v>
      </c>
      <c r="U27" s="103">
        <f t="shared" ca="1" si="2"/>
        <v>0</v>
      </c>
      <c r="V27" s="104">
        <f>+'REKAPAN CHAMP SAPI'!C28</f>
        <v>0</v>
      </c>
      <c r="W27" s="107">
        <f t="shared" ca="1" si="11"/>
        <v>0</v>
      </c>
      <c r="X27" s="105">
        <f t="shared" ca="1" si="3"/>
        <v>0</v>
      </c>
      <c r="Y27" s="105">
        <f>+'REKAPAN CHAMP OTAK-OTAK'!C28</f>
        <v>0</v>
      </c>
      <c r="Z27" s="116">
        <f t="shared" ca="1" si="12"/>
        <v>0</v>
      </c>
    </row>
    <row r="28" spans="1:26">
      <c r="A28" s="82"/>
      <c r="B28" s="82">
        <v>46219</v>
      </c>
      <c r="C28" s="87">
        <v>448</v>
      </c>
      <c r="D28" s="85">
        <f t="shared" si="26"/>
        <v>1467.6479999999999</v>
      </c>
      <c r="E28" s="87"/>
      <c r="F28" s="85">
        <f t="shared" si="27"/>
        <v>0</v>
      </c>
      <c r="G28" s="87"/>
      <c r="H28" s="85">
        <f t="shared" si="28"/>
        <v>0</v>
      </c>
      <c r="I28" s="87"/>
      <c r="J28" s="85">
        <f t="shared" si="7"/>
        <v>0</v>
      </c>
      <c r="K28" s="87"/>
      <c r="L28" s="85">
        <f t="shared" si="8"/>
        <v>0</v>
      </c>
      <c r="N28" s="100">
        <f>+'ALL SORTASI'!A31</f>
        <v>46229</v>
      </c>
      <c r="O28" s="101">
        <f t="shared" ca="1" si="0"/>
        <v>0</v>
      </c>
      <c r="P28" s="101">
        <f>+'REKAPAN CHAMP AYAM'!C29</f>
        <v>0</v>
      </c>
      <c r="Q28" s="99">
        <f t="shared" ca="1" si="24"/>
        <v>0</v>
      </c>
      <c r="R28" s="102">
        <f t="shared" ca="1" si="9"/>
        <v>0</v>
      </c>
      <c r="S28" s="102">
        <f>+'REKAPAN OKEY AYAM'!C29</f>
        <v>0</v>
      </c>
      <c r="T28" s="106">
        <f t="shared" ca="1" si="25"/>
        <v>0</v>
      </c>
      <c r="U28" s="103">
        <f t="shared" ca="1" si="2"/>
        <v>0</v>
      </c>
      <c r="V28" s="104">
        <f>+'REKAPAN CHAMP SAPI'!C29</f>
        <v>0</v>
      </c>
      <c r="W28" s="107">
        <f t="shared" ca="1" si="11"/>
        <v>0</v>
      </c>
      <c r="X28" s="105">
        <f t="shared" ca="1" si="3"/>
        <v>0</v>
      </c>
      <c r="Y28" s="105">
        <f>+'REKAPAN CHAMP OTAK-OTAK'!C29</f>
        <v>0</v>
      </c>
      <c r="Z28" s="116">
        <f t="shared" ca="1" si="12"/>
        <v>0</v>
      </c>
    </row>
    <row r="29" spans="1:26">
      <c r="A29" s="82"/>
      <c r="B29" s="82">
        <v>46220</v>
      </c>
      <c r="C29" s="87">
        <f>558+457</f>
        <v>1015</v>
      </c>
      <c r="D29" s="85">
        <f t="shared" si="26"/>
        <v>3325.14</v>
      </c>
      <c r="E29" s="87"/>
      <c r="F29" s="85">
        <f t="shared" si="27"/>
        <v>0</v>
      </c>
      <c r="G29" s="87"/>
      <c r="H29" s="85">
        <f t="shared" si="28"/>
        <v>0</v>
      </c>
      <c r="I29" s="87"/>
      <c r="J29" s="85">
        <f t="shared" si="7"/>
        <v>0</v>
      </c>
      <c r="K29" s="87"/>
      <c r="L29" s="85">
        <f t="shared" si="8"/>
        <v>0</v>
      </c>
      <c r="N29" s="100">
        <f>+'ALL SORTASI'!A32</f>
        <v>46230</v>
      </c>
      <c r="O29" s="101">
        <f t="shared" ca="1" si="0"/>
        <v>0</v>
      </c>
      <c r="P29" s="101">
        <f>+'REKAPAN CHAMP AYAM'!C30</f>
        <v>0</v>
      </c>
      <c r="Q29" s="99">
        <f t="shared" ca="1" si="24"/>
        <v>0</v>
      </c>
      <c r="R29" s="102">
        <f t="shared" ca="1" si="9"/>
        <v>0</v>
      </c>
      <c r="S29" s="102">
        <f>+'REKAPAN OKEY AYAM'!C30</f>
        <v>0</v>
      </c>
      <c r="T29" s="106">
        <f t="shared" ca="1" si="25"/>
        <v>0</v>
      </c>
      <c r="U29" s="103">
        <f t="shared" ca="1" si="2"/>
        <v>0</v>
      </c>
      <c r="V29" s="104">
        <f>+'REKAPAN CHAMP SAPI'!C30</f>
        <v>0</v>
      </c>
      <c r="W29" s="107">
        <f t="shared" ca="1" si="11"/>
        <v>0</v>
      </c>
      <c r="X29" s="105">
        <f t="shared" ca="1" si="3"/>
        <v>0</v>
      </c>
      <c r="Y29" s="105">
        <f>+'REKAPAN CHAMP OTAK-OTAK'!C30</f>
        <v>0</v>
      </c>
      <c r="Z29" s="116">
        <f t="shared" ca="1" si="12"/>
        <v>0</v>
      </c>
    </row>
    <row r="30" spans="1:26">
      <c r="A30" s="82">
        <v>46223</v>
      </c>
      <c r="B30" s="82">
        <v>46218</v>
      </c>
      <c r="C30" s="87"/>
      <c r="D30" s="85">
        <f t="shared" ref="D30:D50" si="29">+C30*3.276</f>
        <v>0</v>
      </c>
      <c r="E30" s="87"/>
      <c r="F30" s="85">
        <f t="shared" si="5"/>
        <v>0</v>
      </c>
      <c r="G30" s="87">
        <v>421</v>
      </c>
      <c r="H30" s="85">
        <f t="shared" ref="H30:H49" si="30">+G30*3.276</f>
        <v>1379.1959999999999</v>
      </c>
      <c r="I30" s="87"/>
      <c r="J30" s="85">
        <f t="shared" si="7"/>
        <v>0</v>
      </c>
      <c r="K30" s="87"/>
      <c r="L30" s="85">
        <f t="shared" si="8"/>
        <v>0</v>
      </c>
      <c r="N30" s="100">
        <f>+'ALL SORTASI'!A33</f>
        <v>46231</v>
      </c>
      <c r="O30" s="101">
        <f t="shared" ca="1" si="0"/>
        <v>0</v>
      </c>
      <c r="P30" s="101">
        <f>+'REKAPAN CHAMP AYAM'!C31</f>
        <v>0</v>
      </c>
      <c r="Q30" s="99">
        <f t="shared" ca="1" si="24"/>
        <v>0</v>
      </c>
      <c r="R30" s="102">
        <f t="shared" ca="1" si="9"/>
        <v>0</v>
      </c>
      <c r="S30" s="102">
        <f>+'REKAPAN OKEY AYAM'!C31</f>
        <v>0</v>
      </c>
      <c r="T30" s="106">
        <f t="shared" ca="1" si="25"/>
        <v>0</v>
      </c>
      <c r="U30" s="103">
        <f t="shared" ca="1" si="2"/>
        <v>0</v>
      </c>
      <c r="V30" s="104">
        <f>+'REKAPAN CHAMP SAPI'!C31</f>
        <v>0</v>
      </c>
      <c r="W30" s="107">
        <f t="shared" ca="1" si="11"/>
        <v>0</v>
      </c>
      <c r="X30" s="105">
        <f t="shared" ca="1" si="3"/>
        <v>0</v>
      </c>
      <c r="Y30" s="105">
        <f>+'REKAPAN CHAMP OTAK-OTAK'!C31</f>
        <v>0</v>
      </c>
      <c r="Z30" s="116">
        <f t="shared" ca="1" si="12"/>
        <v>0</v>
      </c>
    </row>
    <row r="31" spans="1:26">
      <c r="A31" s="82"/>
      <c r="B31" s="82">
        <v>46219</v>
      </c>
      <c r="C31" s="87"/>
      <c r="D31" s="85">
        <f t="shared" si="29"/>
        <v>0</v>
      </c>
      <c r="E31" s="87"/>
      <c r="F31" s="85">
        <f t="shared" si="5"/>
        <v>0</v>
      </c>
      <c r="G31" s="87">
        <f>510+485+445+450+550+580+553</f>
        <v>3573</v>
      </c>
      <c r="H31" s="85">
        <f t="shared" si="30"/>
        <v>11705.147999999999</v>
      </c>
      <c r="I31" s="87"/>
      <c r="J31" s="85">
        <f t="shared" si="7"/>
        <v>0</v>
      </c>
      <c r="K31" s="87"/>
      <c r="L31" s="85">
        <f t="shared" si="8"/>
        <v>0</v>
      </c>
      <c r="N31" s="100">
        <f>+'ALL SORTASI'!A34</f>
        <v>46232</v>
      </c>
      <c r="O31" s="101">
        <f t="shared" ca="1" si="0"/>
        <v>0</v>
      </c>
      <c r="P31" s="101">
        <f>+'REKAPAN CHAMP AYAM'!C32</f>
        <v>0</v>
      </c>
      <c r="Q31" s="99">
        <f ca="1">+O31-P31</f>
        <v>0</v>
      </c>
      <c r="R31" s="102">
        <f t="shared" ca="1" si="9"/>
        <v>0</v>
      </c>
      <c r="S31" s="102">
        <f>+'REKAPAN OKEY AYAM'!C32</f>
        <v>0</v>
      </c>
      <c r="T31" s="106">
        <f ca="1">+R31-S31</f>
        <v>0</v>
      </c>
      <c r="U31" s="103">
        <f t="shared" ca="1" si="2"/>
        <v>0</v>
      </c>
      <c r="V31" s="104">
        <f>+'REKAPAN CHAMP SAPI'!C32</f>
        <v>0</v>
      </c>
      <c r="W31" s="107">
        <f ca="1">+U31-V31</f>
        <v>0</v>
      </c>
      <c r="X31" s="105">
        <f t="shared" ca="1" si="3"/>
        <v>0</v>
      </c>
      <c r="Y31" s="105">
        <f>+'REKAPAN CHAMP OTAK-OTAK'!C32</f>
        <v>0</v>
      </c>
      <c r="Z31" s="116">
        <f t="shared" ca="1" si="12"/>
        <v>0</v>
      </c>
    </row>
    <row r="32" spans="1:26">
      <c r="A32" s="82">
        <v>46224</v>
      </c>
      <c r="B32" s="82">
        <v>46213</v>
      </c>
      <c r="C32" s="87"/>
      <c r="D32" s="85">
        <f t="shared" si="29"/>
        <v>0</v>
      </c>
      <c r="E32" s="87">
        <f>200+414+430+344+404+353+236</f>
        <v>2381</v>
      </c>
      <c r="F32" s="85">
        <f t="shared" si="5"/>
        <v>9226.375</v>
      </c>
      <c r="G32" s="87"/>
      <c r="H32" s="85">
        <f t="shared" si="30"/>
        <v>0</v>
      </c>
      <c r="I32" s="87"/>
      <c r="J32" s="85">
        <f t="shared" si="7"/>
        <v>0</v>
      </c>
      <c r="K32" s="87"/>
      <c r="L32" s="85">
        <f t="shared" si="8"/>
        <v>0</v>
      </c>
      <c r="N32" s="100">
        <f>+'ALL SORTASI'!A35</f>
        <v>46233</v>
      </c>
      <c r="O32" s="101">
        <f t="shared" ca="1" si="0"/>
        <v>0</v>
      </c>
      <c r="P32" s="101">
        <f>+'REKAPAN CHAMP AYAM'!C33</f>
        <v>0</v>
      </c>
      <c r="Q32" s="99">
        <f ca="1">+O32-P32</f>
        <v>0</v>
      </c>
      <c r="R32" s="102">
        <f t="shared" ca="1" si="9"/>
        <v>0</v>
      </c>
      <c r="S32" s="102">
        <f>+'REKAPAN OKEY AYAM'!C33</f>
        <v>0</v>
      </c>
      <c r="T32" s="106">
        <f ca="1">+R32-S32</f>
        <v>0</v>
      </c>
      <c r="U32" s="103">
        <f t="shared" ca="1" si="2"/>
        <v>0</v>
      </c>
      <c r="V32" s="104">
        <f>+'REKAPAN CHAMP SAPI'!C33</f>
        <v>0</v>
      </c>
      <c r="W32" s="107">
        <f ca="1">+U32-V32</f>
        <v>0</v>
      </c>
      <c r="X32" s="105">
        <f t="shared" ca="1" si="3"/>
        <v>0</v>
      </c>
      <c r="Y32" s="105">
        <f>+'REKAPAN CHAMP OTAK-OTAK'!C33</f>
        <v>0</v>
      </c>
      <c r="Z32" s="116">
        <f t="shared" ca="1" si="12"/>
        <v>0</v>
      </c>
    </row>
    <row r="33" spans="1:26">
      <c r="A33" s="82"/>
      <c r="B33" s="82">
        <v>46220</v>
      </c>
      <c r="C33" s="87"/>
      <c r="D33" s="85">
        <f t="shared" si="29"/>
        <v>0</v>
      </c>
      <c r="E33" s="87">
        <f>405+61</f>
        <v>466</v>
      </c>
      <c r="F33" s="85">
        <f t="shared" si="5"/>
        <v>1805.75</v>
      </c>
      <c r="G33" s="87"/>
      <c r="H33" s="85">
        <f t="shared" si="30"/>
        <v>0</v>
      </c>
      <c r="I33" s="87"/>
      <c r="J33" s="85">
        <f t="shared" si="7"/>
        <v>0</v>
      </c>
      <c r="K33" s="87"/>
      <c r="L33" s="85">
        <f t="shared" si="8"/>
        <v>0</v>
      </c>
      <c r="N33" s="100">
        <f>+'ALL SORTASI'!A36</f>
        <v>46234</v>
      </c>
      <c r="O33" s="101">
        <f t="shared" ca="1" si="0"/>
        <v>0</v>
      </c>
      <c r="P33" s="101">
        <f>+'REKAPAN CHAMP AYAM'!C34</f>
        <v>0</v>
      </c>
      <c r="Q33" s="99">
        <f ca="1">+O33-P33</f>
        <v>0</v>
      </c>
      <c r="R33" s="102">
        <f t="shared" ca="1" si="9"/>
        <v>0</v>
      </c>
      <c r="S33" s="102">
        <f>+'REKAPAN OKEY AYAM'!C34</f>
        <v>0</v>
      </c>
      <c r="T33" s="106">
        <f ca="1">+R33-S33</f>
        <v>0</v>
      </c>
      <c r="U33" s="103">
        <f t="shared" ca="1" si="2"/>
        <v>0</v>
      </c>
      <c r="V33" s="104">
        <f>+'REKAPAN CHAMP SAPI'!C34</f>
        <v>0</v>
      </c>
      <c r="W33" s="107">
        <f ca="1">+U33-V33</f>
        <v>0</v>
      </c>
      <c r="X33" s="105">
        <f t="shared" ca="1" si="3"/>
        <v>0</v>
      </c>
      <c r="Y33" s="105">
        <f>+'REKAPAN CHAMP OTAK-OTAK'!C34</f>
        <v>0</v>
      </c>
      <c r="Z33" s="116">
        <f t="shared" ca="1" si="12"/>
        <v>0</v>
      </c>
    </row>
    <row r="34" spans="1:26">
      <c r="A34" s="82">
        <v>46225</v>
      </c>
      <c r="B34" s="82">
        <v>46219</v>
      </c>
      <c r="C34" s="87"/>
      <c r="D34" s="85">
        <f t="shared" si="29"/>
        <v>0</v>
      </c>
      <c r="E34" s="87"/>
      <c r="F34" s="85">
        <f t="shared" si="5"/>
        <v>0</v>
      </c>
      <c r="G34" s="87">
        <f>560+564</f>
        <v>1124</v>
      </c>
      <c r="H34" s="85">
        <f t="shared" si="30"/>
        <v>3682.2239999999997</v>
      </c>
      <c r="I34" s="87"/>
      <c r="J34" s="85">
        <f t="shared" si="7"/>
        <v>0</v>
      </c>
      <c r="K34" s="87"/>
      <c r="L34" s="85">
        <f t="shared" si="8"/>
        <v>0</v>
      </c>
      <c r="N34" s="100"/>
      <c r="O34" s="101"/>
      <c r="P34" s="101"/>
      <c r="Q34" s="99"/>
      <c r="R34" s="102"/>
      <c r="S34" s="102"/>
      <c r="T34" s="106"/>
      <c r="U34" s="103"/>
      <c r="V34" s="104"/>
      <c r="W34" s="107"/>
      <c r="X34" s="105"/>
      <c r="Y34" s="105"/>
      <c r="Z34" s="116"/>
    </row>
    <row r="35" spans="1:26">
      <c r="A35" s="82"/>
      <c r="B35" s="82">
        <v>46220</v>
      </c>
      <c r="C35" s="87"/>
      <c r="D35" s="85">
        <f t="shared" si="29"/>
        <v>0</v>
      </c>
      <c r="E35" s="87">
        <f>379+456+474+79</f>
        <v>1388</v>
      </c>
      <c r="F35" s="85">
        <f t="shared" si="5"/>
        <v>5378.5</v>
      </c>
      <c r="G35" s="87"/>
      <c r="H35" s="85">
        <f t="shared" si="30"/>
        <v>0</v>
      </c>
      <c r="I35" s="87"/>
      <c r="J35" s="85">
        <f t="shared" si="7"/>
        <v>0</v>
      </c>
      <c r="K35" s="87"/>
      <c r="L35" s="85">
        <f t="shared" si="8"/>
        <v>0</v>
      </c>
    </row>
    <row r="36" spans="1:26">
      <c r="A36" s="82">
        <v>46226</v>
      </c>
      <c r="B36" s="82">
        <v>46220</v>
      </c>
      <c r="C36" s="87"/>
      <c r="D36" s="85">
        <f t="shared" si="29"/>
        <v>0</v>
      </c>
      <c r="E36" s="87">
        <v>272</v>
      </c>
      <c r="F36" s="85">
        <f t="shared" si="5"/>
        <v>1054</v>
      </c>
      <c r="G36" s="87"/>
      <c r="H36" s="85">
        <f t="shared" si="30"/>
        <v>0</v>
      </c>
      <c r="I36" s="87"/>
      <c r="J36" s="85">
        <f t="shared" si="7"/>
        <v>0</v>
      </c>
      <c r="K36" s="87"/>
      <c r="L36" s="85">
        <f t="shared" si="8"/>
        <v>0</v>
      </c>
    </row>
    <row r="37" spans="1:26">
      <c r="A37" s="82"/>
      <c r="B37" s="82">
        <v>46223</v>
      </c>
      <c r="C37" s="87"/>
      <c r="D37" s="85">
        <f t="shared" si="29"/>
        <v>0</v>
      </c>
      <c r="E37" s="87">
        <v>384</v>
      </c>
      <c r="F37" s="85">
        <f t="shared" si="5"/>
        <v>1488</v>
      </c>
      <c r="G37" s="87"/>
      <c r="H37" s="85">
        <f t="shared" si="30"/>
        <v>0</v>
      </c>
      <c r="I37" s="87"/>
      <c r="J37" s="85">
        <f t="shared" si="7"/>
        <v>0</v>
      </c>
      <c r="K37" s="87"/>
      <c r="L37" s="85">
        <f t="shared" si="8"/>
        <v>0</v>
      </c>
    </row>
    <row r="38" spans="1:26">
      <c r="A38" s="82"/>
      <c r="B38" s="82">
        <v>46224</v>
      </c>
      <c r="C38" s="87"/>
      <c r="D38" s="85">
        <f t="shared" si="29"/>
        <v>0</v>
      </c>
      <c r="E38" s="87">
        <f>411+416+447+211+165</f>
        <v>1650</v>
      </c>
      <c r="F38" s="85">
        <f t="shared" si="5"/>
        <v>6393.75</v>
      </c>
      <c r="G38" s="87"/>
      <c r="H38" s="85">
        <f t="shared" si="30"/>
        <v>0</v>
      </c>
      <c r="I38" s="87"/>
      <c r="J38" s="85">
        <f t="shared" si="7"/>
        <v>0</v>
      </c>
      <c r="K38" s="87"/>
      <c r="L38" s="85">
        <f t="shared" si="8"/>
        <v>0</v>
      </c>
    </row>
    <row r="39" spans="1:26">
      <c r="A39" s="82">
        <v>46227</v>
      </c>
      <c r="B39" s="82">
        <v>46224</v>
      </c>
      <c r="C39" s="87"/>
      <c r="D39" s="85">
        <f t="shared" si="29"/>
        <v>0</v>
      </c>
      <c r="E39" s="87">
        <f>117+426+438+418+211+40</f>
        <v>1650</v>
      </c>
      <c r="F39" s="85">
        <f t="shared" si="5"/>
        <v>6393.75</v>
      </c>
      <c r="G39" s="87"/>
      <c r="H39" s="85">
        <f t="shared" si="30"/>
        <v>0</v>
      </c>
      <c r="I39" s="87"/>
      <c r="J39" s="85">
        <f t="shared" si="7"/>
        <v>0</v>
      </c>
      <c r="K39" s="87"/>
      <c r="L39" s="85">
        <f t="shared" si="8"/>
        <v>0</v>
      </c>
    </row>
    <row r="40" spans="1:26">
      <c r="A40" s="82">
        <v>46228</v>
      </c>
      <c r="B40" s="82">
        <v>46224</v>
      </c>
      <c r="C40" s="87"/>
      <c r="D40" s="85">
        <f t="shared" si="29"/>
        <v>0</v>
      </c>
      <c r="E40" s="87">
        <v>351</v>
      </c>
      <c r="F40" s="85">
        <f t="shared" si="5"/>
        <v>1360.125</v>
      </c>
      <c r="G40" s="87"/>
      <c r="H40" s="85">
        <f t="shared" si="30"/>
        <v>0</v>
      </c>
      <c r="I40" s="87"/>
      <c r="J40" s="85">
        <f t="shared" ref="J40" si="31">+I40*3.276</f>
        <v>0</v>
      </c>
      <c r="K40" s="87"/>
      <c r="L40" s="85">
        <f t="shared" si="8"/>
        <v>0</v>
      </c>
    </row>
    <row r="41" spans="1:26">
      <c r="A41" s="82"/>
      <c r="B41" s="82">
        <v>46225</v>
      </c>
      <c r="C41" s="87"/>
      <c r="D41" s="85">
        <f t="shared" si="29"/>
        <v>0</v>
      </c>
      <c r="E41" s="87">
        <f>437+455+461+132</f>
        <v>1485</v>
      </c>
      <c r="F41" s="85">
        <f t="shared" si="5"/>
        <v>5754.375</v>
      </c>
      <c r="G41" s="87"/>
      <c r="H41" s="85">
        <f t="shared" si="30"/>
        <v>0</v>
      </c>
      <c r="I41" s="87"/>
      <c r="J41" s="85">
        <f t="shared" si="7"/>
        <v>0</v>
      </c>
      <c r="K41" s="87"/>
      <c r="L41" s="85">
        <f t="shared" si="8"/>
        <v>0</v>
      </c>
    </row>
    <row r="42" spans="1:26">
      <c r="A42" s="82">
        <v>46230</v>
      </c>
      <c r="B42" s="82">
        <v>46225</v>
      </c>
      <c r="C42" s="87"/>
      <c r="D42" s="85">
        <f t="shared" si="29"/>
        <v>0</v>
      </c>
      <c r="E42" s="87">
        <f>343+425+464+265+432</f>
        <v>1929</v>
      </c>
      <c r="F42" s="85">
        <f t="shared" si="5"/>
        <v>7474.875</v>
      </c>
      <c r="G42" s="87"/>
      <c r="H42" s="85">
        <f t="shared" si="30"/>
        <v>0</v>
      </c>
      <c r="I42" s="87"/>
      <c r="J42" s="85">
        <f t="shared" si="7"/>
        <v>0</v>
      </c>
      <c r="K42" s="87"/>
      <c r="L42" s="85">
        <f t="shared" si="8"/>
        <v>0</v>
      </c>
    </row>
    <row r="43" spans="1:26">
      <c r="A43" s="82"/>
      <c r="B43" s="82">
        <v>46204</v>
      </c>
      <c r="C43" s="87"/>
      <c r="D43" s="85">
        <f t="shared" si="29"/>
        <v>0</v>
      </c>
      <c r="E43" s="87">
        <v>18</v>
      </c>
      <c r="F43" s="85">
        <f t="shared" si="5"/>
        <v>69.75</v>
      </c>
      <c r="G43" s="87"/>
      <c r="H43" s="85">
        <f t="shared" si="30"/>
        <v>0</v>
      </c>
      <c r="I43" s="87"/>
      <c r="J43" s="85">
        <f t="shared" si="7"/>
        <v>0</v>
      </c>
      <c r="K43" s="87"/>
      <c r="L43" s="85">
        <f t="shared" si="8"/>
        <v>0</v>
      </c>
    </row>
    <row r="44" spans="1:26">
      <c r="A44" s="82">
        <v>46231</v>
      </c>
      <c r="B44" s="82">
        <v>46226</v>
      </c>
      <c r="C44" s="87"/>
      <c r="D44" s="85">
        <f t="shared" si="29"/>
        <v>0</v>
      </c>
      <c r="E44" s="87">
        <f>390+474+421+365</f>
        <v>1650</v>
      </c>
      <c r="F44" s="85">
        <f t="shared" si="5"/>
        <v>6393.75</v>
      </c>
      <c r="G44" s="87"/>
      <c r="H44" s="85">
        <f t="shared" si="30"/>
        <v>0</v>
      </c>
      <c r="I44" s="87"/>
      <c r="J44" s="85">
        <f t="shared" si="7"/>
        <v>0</v>
      </c>
      <c r="K44" s="87"/>
      <c r="L44" s="85">
        <f t="shared" si="8"/>
        <v>0</v>
      </c>
    </row>
    <row r="45" spans="1:26">
      <c r="A45" s="82"/>
      <c r="B45" s="82">
        <v>46204</v>
      </c>
      <c r="C45" s="87"/>
      <c r="D45" s="85">
        <f t="shared" si="29"/>
        <v>0</v>
      </c>
      <c r="E45" s="87">
        <v>3</v>
      </c>
      <c r="F45" s="85">
        <f t="shared" si="5"/>
        <v>11.625</v>
      </c>
      <c r="G45" s="87"/>
      <c r="H45" s="85">
        <f t="shared" si="30"/>
        <v>0</v>
      </c>
      <c r="I45" s="87"/>
      <c r="J45" s="85">
        <f t="shared" si="7"/>
        <v>0</v>
      </c>
      <c r="K45" s="87"/>
      <c r="L45" s="85">
        <f t="shared" si="8"/>
        <v>0</v>
      </c>
    </row>
    <row r="46" spans="1:26">
      <c r="A46" s="82">
        <v>46232</v>
      </c>
      <c r="B46" s="82">
        <v>46226</v>
      </c>
      <c r="C46" s="87"/>
      <c r="D46" s="85">
        <f t="shared" si="29"/>
        <v>0</v>
      </c>
      <c r="E46" s="87">
        <f>90+420+436+452+252</f>
        <v>1650</v>
      </c>
      <c r="F46" s="85">
        <f t="shared" si="5"/>
        <v>6393.75</v>
      </c>
      <c r="G46" s="87"/>
      <c r="H46" s="85">
        <f t="shared" si="30"/>
        <v>0</v>
      </c>
      <c r="I46" s="87"/>
      <c r="J46" s="85">
        <f t="shared" si="7"/>
        <v>0</v>
      </c>
      <c r="K46" s="87"/>
      <c r="L46" s="85">
        <f t="shared" si="8"/>
        <v>0</v>
      </c>
    </row>
    <row r="47" spans="1:26">
      <c r="A47" s="82">
        <v>46233</v>
      </c>
      <c r="B47" s="82">
        <v>46226</v>
      </c>
      <c r="C47" s="87"/>
      <c r="D47" s="85">
        <f t="shared" si="29"/>
        <v>0</v>
      </c>
      <c r="E47" s="87">
        <f>141+152+374+7</f>
        <v>674</v>
      </c>
      <c r="F47" s="85">
        <f t="shared" si="5"/>
        <v>2611.75</v>
      </c>
      <c r="G47" s="87"/>
      <c r="H47" s="85">
        <f t="shared" si="30"/>
        <v>0</v>
      </c>
      <c r="I47" s="87"/>
      <c r="J47" s="85">
        <f t="shared" si="7"/>
        <v>0</v>
      </c>
      <c r="K47" s="87"/>
      <c r="L47" s="85">
        <f t="shared" si="8"/>
        <v>0</v>
      </c>
    </row>
    <row r="48" spans="1:26">
      <c r="A48" s="82">
        <v>46233</v>
      </c>
      <c r="B48" s="82">
        <v>46227</v>
      </c>
      <c r="C48" s="87"/>
      <c r="D48" s="85">
        <f t="shared" si="29"/>
        <v>0</v>
      </c>
      <c r="E48" s="87">
        <f>420+405</f>
        <v>825</v>
      </c>
      <c r="F48" s="85">
        <f t="shared" si="5"/>
        <v>3196.875</v>
      </c>
      <c r="G48" s="87"/>
      <c r="H48" s="85">
        <f t="shared" si="30"/>
        <v>0</v>
      </c>
      <c r="I48" s="87"/>
      <c r="J48" s="85">
        <f t="shared" si="7"/>
        <v>0</v>
      </c>
      <c r="K48" s="87"/>
      <c r="L48" s="85">
        <f t="shared" si="8"/>
        <v>0</v>
      </c>
    </row>
    <row r="49" spans="1:12">
      <c r="A49" s="82">
        <v>46237</v>
      </c>
      <c r="B49" s="82">
        <v>46227</v>
      </c>
      <c r="C49" s="87"/>
      <c r="D49" s="85">
        <f t="shared" si="29"/>
        <v>0</v>
      </c>
      <c r="E49" s="87">
        <f>431+121</f>
        <v>552</v>
      </c>
      <c r="F49" s="85">
        <f t="shared" si="5"/>
        <v>2139</v>
      </c>
      <c r="G49" s="87"/>
      <c r="H49" s="85">
        <f t="shared" si="30"/>
        <v>0</v>
      </c>
      <c r="I49" s="87"/>
      <c r="J49" s="85">
        <f t="shared" si="7"/>
        <v>0</v>
      </c>
      <c r="K49" s="87"/>
      <c r="L49" s="85">
        <f t="shared" si="8"/>
        <v>0</v>
      </c>
    </row>
    <row r="50" spans="1:12">
      <c r="A50" s="82"/>
      <c r="B50" s="82">
        <v>46228</v>
      </c>
      <c r="C50" s="87"/>
      <c r="D50" s="85">
        <f t="shared" si="29"/>
        <v>0</v>
      </c>
      <c r="E50" s="87">
        <f>440+55+165</f>
        <v>660</v>
      </c>
      <c r="F50" s="85">
        <f t="shared" si="5"/>
        <v>2557.5</v>
      </c>
      <c r="G50" s="87"/>
      <c r="H50" s="85">
        <f t="shared" ref="H50:H52" si="32">+G50*3.276</f>
        <v>0</v>
      </c>
      <c r="I50" s="87"/>
      <c r="J50" s="85">
        <f t="shared" si="7"/>
        <v>0</v>
      </c>
      <c r="K50" s="87"/>
      <c r="L50" s="85">
        <f t="shared" si="8"/>
        <v>0</v>
      </c>
    </row>
    <row r="51" spans="1:12">
      <c r="A51" s="82"/>
      <c r="B51" s="82"/>
      <c r="C51" s="296"/>
      <c r="D51" s="85">
        <f t="shared" ref="D51:D52" si="33">+C51*3.276</f>
        <v>0</v>
      </c>
      <c r="E51" s="87"/>
      <c r="F51" s="85">
        <f t="shared" si="5"/>
        <v>0</v>
      </c>
      <c r="G51" s="87"/>
      <c r="H51" s="85">
        <f t="shared" si="32"/>
        <v>0</v>
      </c>
      <c r="I51" s="87"/>
      <c r="J51" s="85">
        <f t="shared" si="7"/>
        <v>0</v>
      </c>
      <c r="K51" s="87"/>
      <c r="L51" s="85">
        <f t="shared" si="8"/>
        <v>0</v>
      </c>
    </row>
    <row r="52" spans="1:12">
      <c r="A52" s="82"/>
      <c r="B52" s="82"/>
      <c r="C52" s="87"/>
      <c r="D52" s="85">
        <f t="shared" si="33"/>
        <v>0</v>
      </c>
      <c r="E52" s="87"/>
      <c r="F52" s="85">
        <f t="shared" si="5"/>
        <v>0</v>
      </c>
      <c r="G52" s="87"/>
      <c r="H52" s="85">
        <f t="shared" si="32"/>
        <v>0</v>
      </c>
      <c r="I52" s="87"/>
      <c r="J52" s="85">
        <f t="shared" si="7"/>
        <v>0</v>
      </c>
      <c r="K52" s="87"/>
      <c r="L52" s="85">
        <f t="shared" si="8"/>
        <v>0</v>
      </c>
    </row>
    <row r="53" spans="1:12">
      <c r="A53" s="82"/>
      <c r="B53" s="82"/>
      <c r="C53" s="87"/>
      <c r="D53" s="85">
        <f t="shared" si="4"/>
        <v>0</v>
      </c>
      <c r="E53" s="87"/>
      <c r="F53" s="85">
        <f t="shared" si="5"/>
        <v>0</v>
      </c>
      <c r="G53" s="87"/>
      <c r="H53" s="85">
        <f t="shared" si="6"/>
        <v>0</v>
      </c>
      <c r="I53" s="87"/>
      <c r="J53" s="85">
        <f t="shared" si="7"/>
        <v>0</v>
      </c>
      <c r="K53" s="87"/>
      <c r="L53" s="85">
        <f t="shared" si="8"/>
        <v>0</v>
      </c>
    </row>
    <row r="54" spans="1:12">
      <c r="A54" s="82"/>
      <c r="B54" s="82"/>
      <c r="C54" s="297"/>
      <c r="D54" s="85">
        <f t="shared" si="4"/>
        <v>0</v>
      </c>
      <c r="E54" s="87"/>
      <c r="F54" s="85">
        <f t="shared" si="5"/>
        <v>0</v>
      </c>
      <c r="G54" s="87"/>
      <c r="H54" s="85">
        <f t="shared" si="6"/>
        <v>0</v>
      </c>
      <c r="I54" s="87"/>
      <c r="J54" s="85">
        <f t="shared" si="7"/>
        <v>0</v>
      </c>
      <c r="K54" s="87"/>
      <c r="L54" s="85">
        <f t="shared" si="8"/>
        <v>0</v>
      </c>
    </row>
    <row r="55" spans="1:12">
      <c r="A55" s="82"/>
      <c r="B55" s="82"/>
      <c r="C55" s="87"/>
      <c r="D55" s="85">
        <f t="shared" si="4"/>
        <v>0</v>
      </c>
      <c r="E55" s="87"/>
      <c r="F55" s="85">
        <f t="shared" si="5"/>
        <v>0</v>
      </c>
      <c r="G55" s="87"/>
      <c r="H55" s="85">
        <f t="shared" si="6"/>
        <v>0</v>
      </c>
      <c r="I55" s="87"/>
      <c r="J55" s="85">
        <f t="shared" si="7"/>
        <v>0</v>
      </c>
      <c r="K55" s="87"/>
      <c r="L55" s="85">
        <f t="shared" si="8"/>
        <v>0</v>
      </c>
    </row>
    <row r="56" spans="1:12">
      <c r="A56" s="82"/>
      <c r="B56" s="82"/>
      <c r="C56" s="87"/>
      <c r="D56" s="85">
        <f t="shared" si="4"/>
        <v>0</v>
      </c>
      <c r="E56" s="87"/>
      <c r="F56" s="85">
        <f t="shared" si="5"/>
        <v>0</v>
      </c>
      <c r="G56" s="87"/>
      <c r="H56" s="85">
        <f t="shared" si="6"/>
        <v>0</v>
      </c>
      <c r="I56" s="87"/>
      <c r="J56" s="85">
        <f t="shared" si="7"/>
        <v>0</v>
      </c>
      <c r="K56" s="87"/>
      <c r="L56" s="85">
        <f t="shared" si="8"/>
        <v>0</v>
      </c>
    </row>
    <row r="57" spans="1:12">
      <c r="A57" s="82"/>
      <c r="B57" s="82"/>
      <c r="C57" s="87"/>
      <c r="D57" s="85">
        <f t="shared" si="4"/>
        <v>0</v>
      </c>
      <c r="E57" s="87"/>
      <c r="F57" s="85">
        <f t="shared" si="5"/>
        <v>0</v>
      </c>
      <c r="G57" s="87"/>
      <c r="H57" s="85">
        <f t="shared" si="6"/>
        <v>0</v>
      </c>
      <c r="I57" s="87"/>
      <c r="J57" s="85">
        <f t="shared" si="7"/>
        <v>0</v>
      </c>
      <c r="K57" s="87"/>
      <c r="L57" s="85">
        <f t="shared" si="8"/>
        <v>0</v>
      </c>
    </row>
    <row r="58" spans="1:12">
      <c r="A58" s="82"/>
      <c r="B58" s="82"/>
      <c r="C58" s="87"/>
      <c r="D58" s="85">
        <f t="shared" si="4"/>
        <v>0</v>
      </c>
      <c r="E58" s="87"/>
      <c r="F58" s="85">
        <f t="shared" si="5"/>
        <v>0</v>
      </c>
      <c r="G58" s="87"/>
      <c r="H58" s="85">
        <f t="shared" si="6"/>
        <v>0</v>
      </c>
      <c r="I58" s="87"/>
      <c r="J58" s="85">
        <f t="shared" si="7"/>
        <v>0</v>
      </c>
      <c r="K58" s="87"/>
      <c r="L58" s="85">
        <f t="shared" si="8"/>
        <v>0</v>
      </c>
    </row>
    <row r="59" spans="1:12">
      <c r="A59" s="82"/>
      <c r="B59" s="82"/>
      <c r="C59" s="87"/>
      <c r="D59" s="85">
        <f t="shared" si="4"/>
        <v>0</v>
      </c>
      <c r="E59" s="87"/>
      <c r="F59" s="85">
        <f t="shared" si="5"/>
        <v>0</v>
      </c>
      <c r="G59" s="87"/>
      <c r="H59" s="85">
        <f t="shared" si="6"/>
        <v>0</v>
      </c>
      <c r="I59" s="87"/>
      <c r="J59" s="85">
        <f t="shared" si="7"/>
        <v>0</v>
      </c>
      <c r="K59" s="87"/>
      <c r="L59" s="85">
        <f t="shared" si="8"/>
        <v>0</v>
      </c>
    </row>
    <row r="60" spans="1:12">
      <c r="A60" s="82"/>
      <c r="B60" s="82"/>
      <c r="C60" s="87"/>
      <c r="D60" s="85">
        <f t="shared" si="4"/>
        <v>0</v>
      </c>
      <c r="E60" s="87"/>
      <c r="F60" s="85">
        <f t="shared" si="5"/>
        <v>0</v>
      </c>
      <c r="G60" s="87"/>
      <c r="H60" s="85">
        <f t="shared" si="6"/>
        <v>0</v>
      </c>
      <c r="I60" s="87"/>
      <c r="J60" s="85">
        <f t="shared" si="7"/>
        <v>0</v>
      </c>
      <c r="K60" s="87"/>
      <c r="L60" s="85">
        <f t="shared" si="8"/>
        <v>0</v>
      </c>
    </row>
    <row r="61" spans="1:12">
      <c r="A61" s="82"/>
      <c r="B61" s="82"/>
      <c r="C61" s="87"/>
      <c r="D61" s="85">
        <f t="shared" si="4"/>
        <v>0</v>
      </c>
      <c r="E61" s="87"/>
      <c r="F61" s="85">
        <f t="shared" si="5"/>
        <v>0</v>
      </c>
      <c r="G61" s="87"/>
      <c r="H61" s="85">
        <f t="shared" si="6"/>
        <v>0</v>
      </c>
      <c r="I61" s="87"/>
      <c r="J61" s="85">
        <f t="shared" si="7"/>
        <v>0</v>
      </c>
      <c r="K61" s="87"/>
      <c r="L61" s="85">
        <f t="shared" si="8"/>
        <v>0</v>
      </c>
    </row>
    <row r="62" spans="1:12">
      <c r="A62" s="82"/>
      <c r="B62" s="82"/>
      <c r="C62" s="87"/>
      <c r="D62" s="85">
        <f t="shared" si="4"/>
        <v>0</v>
      </c>
      <c r="E62" s="87"/>
      <c r="F62" s="85">
        <f t="shared" si="5"/>
        <v>0</v>
      </c>
      <c r="G62" s="87"/>
      <c r="H62" s="85">
        <f t="shared" si="6"/>
        <v>0</v>
      </c>
      <c r="I62" s="87"/>
      <c r="J62" s="85">
        <f t="shared" si="7"/>
        <v>0</v>
      </c>
      <c r="K62" s="87"/>
      <c r="L62" s="85">
        <f t="shared" si="8"/>
        <v>0</v>
      </c>
    </row>
    <row r="63" spans="1:12">
      <c r="A63" s="82"/>
      <c r="B63" s="82"/>
      <c r="C63" s="87"/>
      <c r="D63" s="85">
        <f t="shared" si="4"/>
        <v>0</v>
      </c>
      <c r="E63" s="87"/>
      <c r="F63" s="85">
        <f t="shared" si="5"/>
        <v>0</v>
      </c>
      <c r="G63" s="87"/>
      <c r="H63" s="85">
        <f t="shared" si="6"/>
        <v>0</v>
      </c>
      <c r="I63" s="87"/>
      <c r="J63" s="85">
        <f t="shared" si="7"/>
        <v>0</v>
      </c>
      <c r="K63" s="87"/>
      <c r="L63" s="85">
        <f t="shared" si="8"/>
        <v>0</v>
      </c>
    </row>
    <row r="64" spans="1:12">
      <c r="A64" s="82"/>
      <c r="B64" s="82"/>
      <c r="C64" s="87"/>
      <c r="D64" s="85">
        <f t="shared" si="4"/>
        <v>0</v>
      </c>
      <c r="E64" s="87"/>
      <c r="F64" s="85">
        <f t="shared" si="5"/>
        <v>0</v>
      </c>
      <c r="G64" s="87"/>
      <c r="H64" s="85">
        <f t="shared" si="6"/>
        <v>0</v>
      </c>
      <c r="I64" s="87"/>
      <c r="J64" s="85">
        <f t="shared" si="7"/>
        <v>0</v>
      </c>
      <c r="K64" s="87"/>
      <c r="L64" s="85">
        <f t="shared" si="8"/>
        <v>0</v>
      </c>
    </row>
    <row r="65" spans="1:12">
      <c r="A65" s="82"/>
      <c r="B65" s="82"/>
      <c r="C65" s="87"/>
      <c r="D65" s="85">
        <f t="shared" si="4"/>
        <v>0</v>
      </c>
      <c r="E65" s="87"/>
      <c r="F65" s="85">
        <f t="shared" si="5"/>
        <v>0</v>
      </c>
      <c r="G65" s="87"/>
      <c r="H65" s="85">
        <f t="shared" si="6"/>
        <v>0</v>
      </c>
      <c r="I65" s="87"/>
      <c r="J65" s="85">
        <f t="shared" si="7"/>
        <v>0</v>
      </c>
      <c r="K65" s="87"/>
      <c r="L65" s="85">
        <f t="shared" si="8"/>
        <v>0</v>
      </c>
    </row>
    <row r="66" spans="1:12">
      <c r="A66" s="82"/>
      <c r="B66" s="82"/>
      <c r="C66" s="87"/>
      <c r="D66" s="85">
        <f t="shared" si="4"/>
        <v>0</v>
      </c>
      <c r="E66" s="87"/>
      <c r="F66" s="85">
        <f t="shared" si="5"/>
        <v>0</v>
      </c>
      <c r="G66" s="87"/>
      <c r="H66" s="85">
        <f t="shared" si="6"/>
        <v>0</v>
      </c>
      <c r="I66" s="87"/>
      <c r="J66" s="85">
        <f t="shared" si="7"/>
        <v>0</v>
      </c>
      <c r="K66" s="87"/>
      <c r="L66" s="85">
        <f t="shared" si="8"/>
        <v>0</v>
      </c>
    </row>
    <row r="67" spans="1:12">
      <c r="A67" s="82"/>
      <c r="B67" s="82"/>
      <c r="C67" s="87"/>
      <c r="D67" s="85">
        <f t="shared" si="4"/>
        <v>0</v>
      </c>
      <c r="E67" s="87"/>
      <c r="F67" s="85">
        <f t="shared" si="5"/>
        <v>0</v>
      </c>
      <c r="G67" s="87"/>
      <c r="H67" s="85">
        <f t="shared" si="6"/>
        <v>0</v>
      </c>
      <c r="I67" s="87"/>
      <c r="J67" s="85">
        <f t="shared" si="7"/>
        <v>0</v>
      </c>
      <c r="K67" s="87"/>
      <c r="L67" s="85">
        <f t="shared" si="8"/>
        <v>0</v>
      </c>
    </row>
    <row r="68" spans="1:12">
      <c r="A68" s="82"/>
      <c r="B68" s="82"/>
      <c r="C68" s="87"/>
      <c r="D68" s="85">
        <f t="shared" si="4"/>
        <v>0</v>
      </c>
      <c r="E68" s="87"/>
      <c r="F68" s="85">
        <f t="shared" ref="F68:F117" si="34">+E68*3.875</f>
        <v>0</v>
      </c>
      <c r="G68" s="87"/>
      <c r="H68" s="85">
        <f t="shared" si="6"/>
        <v>0</v>
      </c>
      <c r="I68" s="87"/>
      <c r="J68" s="85">
        <f t="shared" si="7"/>
        <v>0</v>
      </c>
      <c r="K68" s="87"/>
      <c r="L68" s="85">
        <f t="shared" ref="L68:L92" si="35">+K68*2.4</f>
        <v>0</v>
      </c>
    </row>
    <row r="69" spans="1:12">
      <c r="A69" s="82"/>
      <c r="B69" s="82"/>
      <c r="C69" s="87"/>
      <c r="D69" s="85">
        <f t="shared" si="4"/>
        <v>0</v>
      </c>
      <c r="E69" s="87"/>
      <c r="F69" s="85">
        <f t="shared" si="34"/>
        <v>0</v>
      </c>
      <c r="G69" s="87"/>
      <c r="H69" s="85">
        <f t="shared" si="6"/>
        <v>0</v>
      </c>
      <c r="I69" s="87"/>
      <c r="J69" s="85">
        <f t="shared" si="7"/>
        <v>0</v>
      </c>
      <c r="K69" s="87"/>
      <c r="L69" s="85">
        <f t="shared" si="35"/>
        <v>0</v>
      </c>
    </row>
    <row r="70" spans="1:12">
      <c r="A70" s="82"/>
      <c r="B70" s="82"/>
      <c r="C70" s="87"/>
      <c r="D70" s="85">
        <f>+C70*3.276</f>
        <v>0</v>
      </c>
      <c r="E70" s="87"/>
      <c r="F70" s="85">
        <f t="shared" si="34"/>
        <v>0</v>
      </c>
      <c r="G70" s="87"/>
      <c r="H70" s="85">
        <f t="shared" ref="H70:H77" si="36">+G70*3.276</f>
        <v>0</v>
      </c>
      <c r="I70" s="87"/>
      <c r="J70" s="85">
        <f t="shared" ref="J70:J77" si="37">+I70*3.276</f>
        <v>0</v>
      </c>
      <c r="K70" s="87"/>
      <c r="L70" s="85">
        <f t="shared" si="35"/>
        <v>0</v>
      </c>
    </row>
    <row r="71" spans="1:12">
      <c r="A71" s="82"/>
      <c r="B71" s="82"/>
      <c r="C71" s="87"/>
      <c r="D71" s="85">
        <f>+C71*3.276</f>
        <v>0</v>
      </c>
      <c r="E71" s="87"/>
      <c r="F71" s="85">
        <f t="shared" si="34"/>
        <v>0</v>
      </c>
      <c r="G71" s="87"/>
      <c r="H71" s="85">
        <f t="shared" si="36"/>
        <v>0</v>
      </c>
      <c r="I71" s="87"/>
      <c r="J71" s="85">
        <f t="shared" si="37"/>
        <v>0</v>
      </c>
      <c r="K71" s="87"/>
      <c r="L71" s="85">
        <f t="shared" si="35"/>
        <v>0</v>
      </c>
    </row>
    <row r="72" spans="1:12">
      <c r="A72" s="82"/>
      <c r="B72" s="82"/>
      <c r="C72" s="87"/>
      <c r="D72" s="85">
        <f>+C72*3.276</f>
        <v>0</v>
      </c>
      <c r="E72" s="87"/>
      <c r="F72" s="85">
        <f t="shared" si="34"/>
        <v>0</v>
      </c>
      <c r="G72" s="87"/>
      <c r="H72" s="85">
        <f t="shared" si="36"/>
        <v>0</v>
      </c>
      <c r="I72" s="87"/>
      <c r="J72" s="85">
        <f t="shared" si="37"/>
        <v>0</v>
      </c>
      <c r="K72" s="87"/>
      <c r="L72" s="85">
        <f t="shared" si="35"/>
        <v>0</v>
      </c>
    </row>
    <row r="73" spans="1:12">
      <c r="A73" s="82"/>
      <c r="B73" s="82"/>
      <c r="C73" s="87"/>
      <c r="D73" s="85">
        <f>+C73*3.276</f>
        <v>0</v>
      </c>
      <c r="E73" s="87"/>
      <c r="F73" s="85">
        <f t="shared" si="34"/>
        <v>0</v>
      </c>
      <c r="G73" s="87"/>
      <c r="H73" s="85">
        <f t="shared" si="36"/>
        <v>0</v>
      </c>
      <c r="I73" s="87"/>
      <c r="J73" s="85">
        <f t="shared" si="37"/>
        <v>0</v>
      </c>
      <c r="K73" s="87"/>
      <c r="L73" s="85">
        <f t="shared" si="35"/>
        <v>0</v>
      </c>
    </row>
    <row r="74" spans="1:12">
      <c r="A74" s="82"/>
      <c r="B74" s="82"/>
      <c r="C74" s="87"/>
      <c r="D74" s="85">
        <f>+C74*3.276</f>
        <v>0</v>
      </c>
      <c r="E74" s="87"/>
      <c r="F74" s="85">
        <f t="shared" si="34"/>
        <v>0</v>
      </c>
      <c r="G74" s="87"/>
      <c r="H74" s="85">
        <f t="shared" si="36"/>
        <v>0</v>
      </c>
      <c r="I74" s="87"/>
      <c r="J74" s="85">
        <f t="shared" si="37"/>
        <v>0</v>
      </c>
      <c r="K74" s="87"/>
      <c r="L74" s="85">
        <f t="shared" si="35"/>
        <v>0</v>
      </c>
    </row>
    <row r="75" spans="1:12">
      <c r="A75" s="82"/>
      <c r="B75" s="82"/>
      <c r="C75" s="87"/>
      <c r="D75" s="85">
        <f t="shared" ref="D75:D103" si="38">+C75*3.276</f>
        <v>0</v>
      </c>
      <c r="E75" s="87"/>
      <c r="F75" s="85">
        <f t="shared" si="34"/>
        <v>0</v>
      </c>
      <c r="G75" s="87"/>
      <c r="H75" s="85">
        <f t="shared" si="36"/>
        <v>0</v>
      </c>
      <c r="I75" s="87"/>
      <c r="J75" s="85">
        <f t="shared" si="37"/>
        <v>0</v>
      </c>
      <c r="K75" s="87"/>
      <c r="L75" s="85">
        <f t="shared" si="35"/>
        <v>0</v>
      </c>
    </row>
    <row r="76" spans="1:12">
      <c r="A76" s="82"/>
      <c r="B76" s="82"/>
      <c r="C76" s="87"/>
      <c r="D76" s="85">
        <f t="shared" si="38"/>
        <v>0</v>
      </c>
      <c r="E76" s="87"/>
      <c r="F76" s="85">
        <f t="shared" si="34"/>
        <v>0</v>
      </c>
      <c r="G76" s="87"/>
      <c r="H76" s="85">
        <f t="shared" si="36"/>
        <v>0</v>
      </c>
      <c r="I76" s="87"/>
      <c r="J76" s="85">
        <f t="shared" si="37"/>
        <v>0</v>
      </c>
      <c r="K76" s="87"/>
      <c r="L76" s="85">
        <f t="shared" si="35"/>
        <v>0</v>
      </c>
    </row>
    <row r="77" spans="1:12">
      <c r="A77" s="82"/>
      <c r="B77" s="82"/>
      <c r="C77" s="87"/>
      <c r="D77" s="85">
        <f t="shared" si="38"/>
        <v>0</v>
      </c>
      <c r="E77" s="87"/>
      <c r="F77" s="85">
        <f t="shared" si="34"/>
        <v>0</v>
      </c>
      <c r="G77" s="87"/>
      <c r="H77" s="85">
        <f t="shared" si="36"/>
        <v>0</v>
      </c>
      <c r="I77" s="87"/>
      <c r="J77" s="85">
        <f t="shared" si="37"/>
        <v>0</v>
      </c>
      <c r="K77" s="87"/>
      <c r="L77" s="85">
        <f t="shared" si="35"/>
        <v>0</v>
      </c>
    </row>
    <row r="78" spans="1:12">
      <c r="A78" s="82"/>
      <c r="B78" s="82"/>
      <c r="C78" s="87"/>
      <c r="D78" s="85">
        <f t="shared" si="38"/>
        <v>0</v>
      </c>
      <c r="E78" s="87"/>
      <c r="F78" s="85">
        <f t="shared" si="34"/>
        <v>0</v>
      </c>
      <c r="G78" s="87"/>
      <c r="H78" s="85">
        <f t="shared" ref="H78:H88" si="39">+G78*3.276</f>
        <v>0</v>
      </c>
      <c r="I78" s="87"/>
      <c r="J78" s="85">
        <f t="shared" ref="J78:J88" si="40">+I78*3.276</f>
        <v>0</v>
      </c>
      <c r="K78" s="87"/>
      <c r="L78" s="85">
        <f t="shared" si="35"/>
        <v>0</v>
      </c>
    </row>
    <row r="79" spans="1:12">
      <c r="A79" s="82"/>
      <c r="B79" s="82"/>
      <c r="C79" s="87"/>
      <c r="D79" s="85">
        <f t="shared" si="38"/>
        <v>0</v>
      </c>
      <c r="E79" s="87"/>
      <c r="F79" s="85">
        <f t="shared" si="34"/>
        <v>0</v>
      </c>
      <c r="G79" s="87"/>
      <c r="H79" s="85">
        <f t="shared" si="39"/>
        <v>0</v>
      </c>
      <c r="I79" s="87"/>
      <c r="J79" s="85">
        <f t="shared" si="40"/>
        <v>0</v>
      </c>
      <c r="K79" s="87"/>
      <c r="L79" s="85">
        <f t="shared" si="35"/>
        <v>0</v>
      </c>
    </row>
    <row r="80" spans="1:12">
      <c r="A80" s="82"/>
      <c r="B80" s="82"/>
      <c r="C80" s="87"/>
      <c r="D80" s="85">
        <f t="shared" si="38"/>
        <v>0</v>
      </c>
      <c r="E80" s="87"/>
      <c r="F80" s="85">
        <f t="shared" si="34"/>
        <v>0</v>
      </c>
      <c r="G80" s="87"/>
      <c r="H80" s="85">
        <f t="shared" si="39"/>
        <v>0</v>
      </c>
      <c r="I80" s="87"/>
      <c r="J80" s="85">
        <f t="shared" si="40"/>
        <v>0</v>
      </c>
      <c r="K80" s="87"/>
      <c r="L80" s="85">
        <f t="shared" si="35"/>
        <v>0</v>
      </c>
    </row>
    <row r="81" spans="1:12">
      <c r="A81" s="82"/>
      <c r="B81" s="82"/>
      <c r="C81" s="87"/>
      <c r="D81" s="85">
        <f t="shared" si="38"/>
        <v>0</v>
      </c>
      <c r="E81" s="87"/>
      <c r="F81" s="85">
        <f t="shared" si="34"/>
        <v>0</v>
      </c>
      <c r="G81" s="87"/>
      <c r="H81" s="85">
        <f t="shared" si="39"/>
        <v>0</v>
      </c>
      <c r="I81" s="87"/>
      <c r="J81" s="85">
        <f t="shared" si="40"/>
        <v>0</v>
      </c>
      <c r="K81" s="87"/>
      <c r="L81" s="85">
        <f t="shared" si="35"/>
        <v>0</v>
      </c>
    </row>
    <row r="82" spans="1:12">
      <c r="A82" s="82"/>
      <c r="B82" s="82"/>
      <c r="C82" s="87"/>
      <c r="D82" s="85">
        <f t="shared" si="38"/>
        <v>0</v>
      </c>
      <c r="E82" s="87"/>
      <c r="F82" s="85">
        <f t="shared" si="34"/>
        <v>0</v>
      </c>
      <c r="G82" s="87"/>
      <c r="H82" s="85">
        <f t="shared" si="39"/>
        <v>0</v>
      </c>
      <c r="I82" s="87"/>
      <c r="J82" s="85">
        <f t="shared" si="40"/>
        <v>0</v>
      </c>
      <c r="K82" s="87"/>
      <c r="L82" s="85">
        <f t="shared" si="35"/>
        <v>0</v>
      </c>
    </row>
    <row r="83" spans="1:12">
      <c r="A83" s="82"/>
      <c r="B83" s="82"/>
      <c r="C83" s="87"/>
      <c r="D83" s="85">
        <f t="shared" si="38"/>
        <v>0</v>
      </c>
      <c r="E83" s="87"/>
      <c r="F83" s="85">
        <f t="shared" si="34"/>
        <v>0</v>
      </c>
      <c r="G83" s="87"/>
      <c r="H83" s="85">
        <f t="shared" si="39"/>
        <v>0</v>
      </c>
      <c r="I83" s="87"/>
      <c r="J83" s="85">
        <f t="shared" si="40"/>
        <v>0</v>
      </c>
      <c r="K83" s="87"/>
      <c r="L83" s="85">
        <f t="shared" si="35"/>
        <v>0</v>
      </c>
    </row>
    <row r="84" spans="1:12">
      <c r="A84" s="82"/>
      <c r="B84" s="82"/>
      <c r="C84" s="87"/>
      <c r="D84" s="85">
        <f t="shared" si="38"/>
        <v>0</v>
      </c>
      <c r="E84" s="87"/>
      <c r="F84" s="85">
        <f t="shared" si="34"/>
        <v>0</v>
      </c>
      <c r="G84" s="87"/>
      <c r="H84" s="85">
        <f t="shared" si="39"/>
        <v>0</v>
      </c>
      <c r="I84" s="87"/>
      <c r="J84" s="85">
        <f t="shared" si="40"/>
        <v>0</v>
      </c>
      <c r="K84" s="87"/>
      <c r="L84" s="85">
        <f t="shared" si="35"/>
        <v>0</v>
      </c>
    </row>
    <row r="85" spans="1:12">
      <c r="A85" s="82"/>
      <c r="B85" s="82"/>
      <c r="C85" s="87"/>
      <c r="D85" s="85">
        <f t="shared" si="38"/>
        <v>0</v>
      </c>
      <c r="E85" s="87"/>
      <c r="F85" s="85">
        <f t="shared" si="34"/>
        <v>0</v>
      </c>
      <c r="G85" s="87"/>
      <c r="H85" s="85">
        <f t="shared" si="39"/>
        <v>0</v>
      </c>
      <c r="I85" s="87"/>
      <c r="J85" s="85">
        <f t="shared" si="40"/>
        <v>0</v>
      </c>
      <c r="K85" s="87"/>
      <c r="L85" s="85">
        <f t="shared" si="35"/>
        <v>0</v>
      </c>
    </row>
    <row r="86" spans="1:12">
      <c r="A86" s="82"/>
      <c r="B86" s="82"/>
      <c r="C86" s="87"/>
      <c r="D86" s="85">
        <f t="shared" si="38"/>
        <v>0</v>
      </c>
      <c r="E86" s="87"/>
      <c r="F86" s="85">
        <f t="shared" si="34"/>
        <v>0</v>
      </c>
      <c r="G86" s="87"/>
      <c r="H86" s="85">
        <f t="shared" si="39"/>
        <v>0</v>
      </c>
      <c r="I86" s="87"/>
      <c r="J86" s="85">
        <f t="shared" si="40"/>
        <v>0</v>
      </c>
      <c r="K86" s="87"/>
      <c r="L86" s="85">
        <f t="shared" si="35"/>
        <v>0</v>
      </c>
    </row>
    <row r="87" spans="1:12">
      <c r="A87" s="82"/>
      <c r="B87" s="82"/>
      <c r="C87" s="87"/>
      <c r="D87" s="85">
        <f t="shared" si="38"/>
        <v>0</v>
      </c>
      <c r="E87" s="87"/>
      <c r="F87" s="85">
        <f t="shared" si="34"/>
        <v>0</v>
      </c>
      <c r="G87" s="87"/>
      <c r="H87" s="85">
        <f t="shared" si="39"/>
        <v>0</v>
      </c>
      <c r="I87" s="87"/>
      <c r="J87" s="85">
        <f t="shared" si="40"/>
        <v>0</v>
      </c>
      <c r="K87" s="87"/>
      <c r="L87" s="85">
        <f t="shared" si="35"/>
        <v>0</v>
      </c>
    </row>
    <row r="88" spans="1:12">
      <c r="A88" s="82"/>
      <c r="B88" s="82"/>
      <c r="C88" s="87"/>
      <c r="D88" s="85">
        <f t="shared" si="38"/>
        <v>0</v>
      </c>
      <c r="E88" s="87"/>
      <c r="F88" s="85">
        <f t="shared" si="34"/>
        <v>0</v>
      </c>
      <c r="G88" s="87"/>
      <c r="H88" s="85">
        <f t="shared" si="39"/>
        <v>0</v>
      </c>
      <c r="I88" s="87"/>
      <c r="J88" s="85">
        <f t="shared" si="40"/>
        <v>0</v>
      </c>
      <c r="K88" s="87"/>
      <c r="L88" s="85">
        <f t="shared" si="35"/>
        <v>0</v>
      </c>
    </row>
    <row r="89" spans="1:12">
      <c r="A89" s="82"/>
      <c r="B89" s="82"/>
      <c r="C89" s="87"/>
      <c r="D89" s="85">
        <f t="shared" si="38"/>
        <v>0</v>
      </c>
      <c r="E89" s="87"/>
      <c r="F89" s="85">
        <f t="shared" si="34"/>
        <v>0</v>
      </c>
      <c r="G89" s="87"/>
      <c r="H89" s="85">
        <f t="shared" ref="H89:H105" si="41">+G89*3.276</f>
        <v>0</v>
      </c>
      <c r="I89" s="87"/>
      <c r="J89" s="85">
        <f t="shared" ref="J89:J105" si="42">+I89*3.276</f>
        <v>0</v>
      </c>
      <c r="K89" s="87"/>
      <c r="L89" s="85">
        <f t="shared" si="35"/>
        <v>0</v>
      </c>
    </row>
    <row r="90" spans="1:12">
      <c r="A90" s="82"/>
      <c r="B90" s="82"/>
      <c r="C90" s="87"/>
      <c r="D90" s="85">
        <f t="shared" si="38"/>
        <v>0</v>
      </c>
      <c r="E90" s="87"/>
      <c r="F90" s="85">
        <f t="shared" si="34"/>
        <v>0</v>
      </c>
      <c r="G90" s="87"/>
      <c r="H90" s="85">
        <f t="shared" si="41"/>
        <v>0</v>
      </c>
      <c r="I90" s="87"/>
      <c r="J90" s="85">
        <f t="shared" si="42"/>
        <v>0</v>
      </c>
      <c r="K90" s="87"/>
      <c r="L90" s="85">
        <f t="shared" si="35"/>
        <v>0</v>
      </c>
    </row>
    <row r="91" spans="1:12">
      <c r="A91" s="82"/>
      <c r="B91" s="82"/>
      <c r="C91" s="87"/>
      <c r="D91" s="85">
        <f t="shared" si="38"/>
        <v>0</v>
      </c>
      <c r="E91" s="87"/>
      <c r="F91" s="85">
        <f t="shared" si="34"/>
        <v>0</v>
      </c>
      <c r="G91" s="87"/>
      <c r="H91" s="85">
        <f t="shared" si="41"/>
        <v>0</v>
      </c>
      <c r="I91" s="87"/>
      <c r="J91" s="85">
        <f t="shared" si="42"/>
        <v>0</v>
      </c>
      <c r="K91" s="87"/>
      <c r="L91" s="85">
        <f t="shared" si="35"/>
        <v>0</v>
      </c>
    </row>
    <row r="92" spans="1:12">
      <c r="A92" s="82"/>
      <c r="B92" s="82"/>
      <c r="C92" s="87"/>
      <c r="D92" s="85">
        <f t="shared" si="38"/>
        <v>0</v>
      </c>
      <c r="E92" s="87"/>
      <c r="F92" s="85">
        <f t="shared" si="34"/>
        <v>0</v>
      </c>
      <c r="G92" s="87"/>
      <c r="H92" s="85">
        <f t="shared" si="41"/>
        <v>0</v>
      </c>
      <c r="I92" s="87"/>
      <c r="J92" s="85">
        <f t="shared" si="42"/>
        <v>0</v>
      </c>
      <c r="K92" s="87"/>
      <c r="L92" s="85">
        <f t="shared" si="35"/>
        <v>0</v>
      </c>
    </row>
    <row r="93" spans="1:12">
      <c r="A93" s="82"/>
      <c r="B93" s="82"/>
      <c r="C93" s="87"/>
      <c r="D93" s="85">
        <f t="shared" si="38"/>
        <v>0</v>
      </c>
      <c r="E93" s="87"/>
      <c r="F93" s="85">
        <f t="shared" si="34"/>
        <v>0</v>
      </c>
      <c r="G93" s="87"/>
      <c r="H93" s="85">
        <f t="shared" si="41"/>
        <v>0</v>
      </c>
      <c r="I93" s="87"/>
      <c r="J93" s="85">
        <f t="shared" si="42"/>
        <v>0</v>
      </c>
      <c r="K93" s="87"/>
      <c r="L93" s="85"/>
    </row>
    <row r="94" spans="1:12">
      <c r="A94" s="82"/>
      <c r="B94" s="82"/>
      <c r="C94" s="87"/>
      <c r="D94" s="85">
        <f t="shared" si="38"/>
        <v>0</v>
      </c>
      <c r="E94" s="87"/>
      <c r="F94" s="85">
        <f t="shared" si="34"/>
        <v>0</v>
      </c>
      <c r="G94" s="87"/>
      <c r="H94" s="85">
        <f t="shared" si="41"/>
        <v>0</v>
      </c>
      <c r="I94" s="87"/>
      <c r="J94" s="85">
        <f t="shared" si="42"/>
        <v>0</v>
      </c>
      <c r="K94" s="87"/>
      <c r="L94" s="85"/>
    </row>
    <row r="95" spans="1:12">
      <c r="A95" s="82"/>
      <c r="B95" s="82"/>
      <c r="C95" s="87"/>
      <c r="D95" s="85">
        <f t="shared" si="38"/>
        <v>0</v>
      </c>
      <c r="E95" s="87"/>
      <c r="F95" s="85">
        <f t="shared" si="34"/>
        <v>0</v>
      </c>
      <c r="G95" s="87"/>
      <c r="H95" s="85">
        <f t="shared" si="41"/>
        <v>0</v>
      </c>
      <c r="I95" s="87"/>
      <c r="J95" s="85">
        <f t="shared" si="42"/>
        <v>0</v>
      </c>
      <c r="K95" s="87"/>
      <c r="L95" s="85"/>
    </row>
    <row r="96" spans="1:12">
      <c r="A96" s="82"/>
      <c r="B96" s="82"/>
      <c r="C96" s="87"/>
      <c r="D96" s="85">
        <f t="shared" si="38"/>
        <v>0</v>
      </c>
      <c r="E96" s="87"/>
      <c r="F96" s="85">
        <f t="shared" si="34"/>
        <v>0</v>
      </c>
      <c r="G96" s="87"/>
      <c r="H96" s="85">
        <f t="shared" si="41"/>
        <v>0</v>
      </c>
      <c r="I96" s="87"/>
      <c r="J96" s="85">
        <f t="shared" si="42"/>
        <v>0</v>
      </c>
      <c r="K96" s="87"/>
      <c r="L96" s="85"/>
    </row>
    <row r="97" spans="1:12">
      <c r="A97" s="82"/>
      <c r="B97" s="82"/>
      <c r="C97" s="87"/>
      <c r="D97" s="85">
        <f t="shared" si="38"/>
        <v>0</v>
      </c>
      <c r="E97" s="87"/>
      <c r="F97" s="85">
        <f t="shared" si="34"/>
        <v>0</v>
      </c>
      <c r="G97" s="87"/>
      <c r="H97" s="85">
        <f t="shared" si="41"/>
        <v>0</v>
      </c>
      <c r="I97" s="87"/>
      <c r="J97" s="85">
        <f t="shared" si="42"/>
        <v>0</v>
      </c>
      <c r="K97" s="87"/>
      <c r="L97" s="85"/>
    </row>
    <row r="98" spans="1:12">
      <c r="A98" s="82"/>
      <c r="B98" s="82"/>
      <c r="C98" s="87"/>
      <c r="D98" s="85">
        <f t="shared" si="38"/>
        <v>0</v>
      </c>
      <c r="E98" s="87"/>
      <c r="F98" s="85">
        <f t="shared" si="34"/>
        <v>0</v>
      </c>
      <c r="G98" s="87"/>
      <c r="H98" s="85">
        <f t="shared" si="41"/>
        <v>0</v>
      </c>
      <c r="I98" s="87"/>
      <c r="J98" s="85">
        <f t="shared" si="42"/>
        <v>0</v>
      </c>
      <c r="K98" s="87"/>
      <c r="L98" s="85"/>
    </row>
    <row r="99" spans="1:12">
      <c r="A99" s="82"/>
      <c r="B99" s="82"/>
      <c r="C99" s="87"/>
      <c r="D99" s="85">
        <f t="shared" si="38"/>
        <v>0</v>
      </c>
      <c r="E99" s="87"/>
      <c r="F99" s="85">
        <f t="shared" si="34"/>
        <v>0</v>
      </c>
      <c r="G99" s="87"/>
      <c r="H99" s="85">
        <f t="shared" si="41"/>
        <v>0</v>
      </c>
      <c r="I99" s="87"/>
      <c r="J99" s="85">
        <f t="shared" si="42"/>
        <v>0</v>
      </c>
      <c r="K99" s="87"/>
      <c r="L99" s="85"/>
    </row>
    <row r="100" spans="1:12">
      <c r="A100" s="82"/>
      <c r="B100" s="82"/>
      <c r="C100" s="87"/>
      <c r="D100" s="85">
        <f t="shared" si="38"/>
        <v>0</v>
      </c>
      <c r="E100" s="87"/>
      <c r="F100" s="85">
        <f t="shared" si="34"/>
        <v>0</v>
      </c>
      <c r="G100" s="87"/>
      <c r="H100" s="85">
        <f t="shared" si="41"/>
        <v>0</v>
      </c>
      <c r="I100" s="87"/>
      <c r="J100" s="85">
        <f t="shared" si="42"/>
        <v>0</v>
      </c>
      <c r="K100" s="85"/>
      <c r="L100" s="85"/>
    </row>
    <row r="101" spans="1:12">
      <c r="A101" s="82"/>
      <c r="B101" s="82"/>
      <c r="C101" s="87"/>
      <c r="D101" s="85">
        <f t="shared" si="38"/>
        <v>0</v>
      </c>
      <c r="E101" s="87"/>
      <c r="F101" s="85">
        <f t="shared" si="34"/>
        <v>0</v>
      </c>
      <c r="G101" s="87"/>
      <c r="H101" s="85">
        <f t="shared" si="41"/>
        <v>0</v>
      </c>
      <c r="I101" s="87"/>
      <c r="J101" s="85">
        <f t="shared" si="42"/>
        <v>0</v>
      </c>
      <c r="K101" s="85"/>
      <c r="L101" s="85"/>
    </row>
    <row r="102" spans="1:12">
      <c r="A102" s="82"/>
      <c r="B102" s="82"/>
      <c r="C102" s="87"/>
      <c r="D102" s="85">
        <f t="shared" si="38"/>
        <v>0</v>
      </c>
      <c r="E102" s="87"/>
      <c r="F102" s="85">
        <f t="shared" si="34"/>
        <v>0</v>
      </c>
      <c r="G102" s="87"/>
      <c r="H102" s="85">
        <f t="shared" si="41"/>
        <v>0</v>
      </c>
      <c r="I102" s="87"/>
      <c r="J102" s="85">
        <f t="shared" si="42"/>
        <v>0</v>
      </c>
      <c r="K102" s="85"/>
      <c r="L102" s="85"/>
    </row>
    <row r="103" spans="1:12">
      <c r="A103" s="82"/>
      <c r="B103" s="82"/>
      <c r="C103" s="87"/>
      <c r="D103" s="85">
        <f t="shared" si="38"/>
        <v>0</v>
      </c>
      <c r="E103" s="87"/>
      <c r="F103" s="85">
        <f t="shared" si="34"/>
        <v>0</v>
      </c>
      <c r="G103" s="87"/>
      <c r="H103" s="85">
        <f t="shared" si="41"/>
        <v>0</v>
      </c>
      <c r="I103" s="87"/>
      <c r="J103" s="85">
        <f t="shared" si="42"/>
        <v>0</v>
      </c>
      <c r="K103" s="85"/>
      <c r="L103" s="85"/>
    </row>
    <row r="104" spans="1:12">
      <c r="A104" s="82"/>
      <c r="B104" s="82"/>
      <c r="C104" s="87"/>
      <c r="D104" s="85">
        <f>+C104*3.276</f>
        <v>0</v>
      </c>
      <c r="E104" s="87"/>
      <c r="F104" s="85">
        <f t="shared" si="34"/>
        <v>0</v>
      </c>
      <c r="G104" s="87"/>
      <c r="H104" s="85">
        <f t="shared" si="41"/>
        <v>0</v>
      </c>
      <c r="I104" s="87"/>
      <c r="J104" s="85">
        <f t="shared" si="42"/>
        <v>0</v>
      </c>
      <c r="K104" s="85"/>
      <c r="L104" s="85"/>
    </row>
    <row r="105" spans="1:12">
      <c r="A105" s="82"/>
      <c r="B105" s="82"/>
      <c r="C105" s="87"/>
      <c r="D105" s="85">
        <f>+C105*3.276</f>
        <v>0</v>
      </c>
      <c r="E105" s="87"/>
      <c r="F105" s="85">
        <f t="shared" si="34"/>
        <v>0</v>
      </c>
      <c r="G105" s="87"/>
      <c r="H105" s="85">
        <f t="shared" si="41"/>
        <v>0</v>
      </c>
      <c r="I105" s="87"/>
      <c r="J105" s="85">
        <f t="shared" si="42"/>
        <v>0</v>
      </c>
      <c r="K105" s="85"/>
      <c r="L105" s="85"/>
    </row>
    <row r="106" spans="1:12">
      <c r="A106" s="82"/>
      <c r="B106" s="82"/>
      <c r="C106" s="87"/>
      <c r="D106" s="85">
        <f t="shared" ref="D106:D114" si="43">+C106*3.276</f>
        <v>0</v>
      </c>
      <c r="E106" s="87"/>
      <c r="F106" s="85">
        <f t="shared" si="34"/>
        <v>0</v>
      </c>
      <c r="G106" s="87"/>
      <c r="H106" s="85">
        <f t="shared" ref="H106:H114" si="44">+G106*3.276</f>
        <v>0</v>
      </c>
      <c r="I106" s="87"/>
      <c r="J106" s="85">
        <f t="shared" ref="J106:J114" si="45">+I106*3.276</f>
        <v>0</v>
      </c>
      <c r="K106" s="85"/>
      <c r="L106" s="85"/>
    </row>
    <row r="107" spans="1:12">
      <c r="A107" s="82"/>
      <c r="B107" s="82"/>
      <c r="C107" s="87"/>
      <c r="D107" s="85">
        <f t="shared" si="43"/>
        <v>0</v>
      </c>
      <c r="E107" s="87"/>
      <c r="F107" s="85">
        <f t="shared" si="34"/>
        <v>0</v>
      </c>
      <c r="G107" s="87"/>
      <c r="H107" s="85">
        <f t="shared" si="44"/>
        <v>0</v>
      </c>
      <c r="I107" s="87"/>
      <c r="J107" s="85">
        <f t="shared" si="45"/>
        <v>0</v>
      </c>
      <c r="K107" s="85"/>
      <c r="L107" s="85"/>
    </row>
    <row r="108" spans="1:12">
      <c r="A108" s="82"/>
      <c r="B108" s="82"/>
      <c r="C108" s="87"/>
      <c r="D108" s="85">
        <f t="shared" si="43"/>
        <v>0</v>
      </c>
      <c r="E108" s="87"/>
      <c r="F108" s="85">
        <f t="shared" si="34"/>
        <v>0</v>
      </c>
      <c r="G108" s="87"/>
      <c r="H108" s="85">
        <f t="shared" si="44"/>
        <v>0</v>
      </c>
      <c r="I108" s="87"/>
      <c r="J108" s="85">
        <f t="shared" si="45"/>
        <v>0</v>
      </c>
      <c r="K108" s="85"/>
      <c r="L108" s="85"/>
    </row>
    <row r="109" spans="1:12">
      <c r="A109" s="82"/>
      <c r="B109" s="82"/>
      <c r="C109" s="87"/>
      <c r="D109" s="85">
        <f t="shared" si="43"/>
        <v>0</v>
      </c>
      <c r="E109" s="87"/>
      <c r="F109" s="85">
        <f t="shared" si="34"/>
        <v>0</v>
      </c>
      <c r="G109" s="87"/>
      <c r="H109" s="85">
        <f t="shared" si="44"/>
        <v>0</v>
      </c>
      <c r="I109" s="87"/>
      <c r="J109" s="85">
        <f t="shared" si="45"/>
        <v>0</v>
      </c>
      <c r="K109" s="85"/>
      <c r="L109" s="85"/>
    </row>
    <row r="110" spans="1:12">
      <c r="A110" s="82"/>
      <c r="B110" s="82"/>
      <c r="C110" s="87"/>
      <c r="D110" s="85">
        <f t="shared" si="43"/>
        <v>0</v>
      </c>
      <c r="E110" s="87"/>
      <c r="F110" s="85">
        <f t="shared" si="34"/>
        <v>0</v>
      </c>
      <c r="G110" s="87"/>
      <c r="H110" s="85">
        <f t="shared" si="44"/>
        <v>0</v>
      </c>
      <c r="I110" s="87"/>
      <c r="J110" s="85">
        <f t="shared" si="45"/>
        <v>0</v>
      </c>
      <c r="K110" s="85"/>
      <c r="L110" s="85"/>
    </row>
    <row r="111" spans="1:12">
      <c r="A111" s="82"/>
      <c r="B111" s="82"/>
      <c r="C111" s="87"/>
      <c r="D111" s="85">
        <f t="shared" si="43"/>
        <v>0</v>
      </c>
      <c r="E111" s="87"/>
      <c r="F111" s="85">
        <f t="shared" si="34"/>
        <v>0</v>
      </c>
      <c r="G111" s="87"/>
      <c r="H111" s="85">
        <f t="shared" si="44"/>
        <v>0</v>
      </c>
      <c r="I111" s="87"/>
      <c r="J111" s="85">
        <f t="shared" si="45"/>
        <v>0</v>
      </c>
      <c r="K111" s="85"/>
      <c r="L111" s="85"/>
    </row>
    <row r="112" spans="1:12">
      <c r="A112" s="82"/>
      <c r="B112" s="82"/>
      <c r="C112" s="87"/>
      <c r="D112" s="85">
        <f t="shared" si="43"/>
        <v>0</v>
      </c>
      <c r="E112" s="87"/>
      <c r="F112" s="85">
        <f t="shared" si="34"/>
        <v>0</v>
      </c>
      <c r="G112" s="87"/>
      <c r="H112" s="85">
        <f t="shared" si="44"/>
        <v>0</v>
      </c>
      <c r="I112" s="87"/>
      <c r="J112" s="85">
        <f t="shared" si="45"/>
        <v>0</v>
      </c>
      <c r="K112" s="85"/>
      <c r="L112" s="85"/>
    </row>
    <row r="113" spans="1:12">
      <c r="A113" s="82"/>
      <c r="B113" s="82"/>
      <c r="C113" s="87"/>
      <c r="D113" s="85">
        <f t="shared" si="43"/>
        <v>0</v>
      </c>
      <c r="E113" s="87"/>
      <c r="F113" s="85">
        <f t="shared" si="34"/>
        <v>0</v>
      </c>
      <c r="G113" s="87"/>
      <c r="H113" s="85">
        <f t="shared" si="44"/>
        <v>0</v>
      </c>
      <c r="I113" s="87"/>
      <c r="J113" s="85">
        <f t="shared" si="45"/>
        <v>0</v>
      </c>
      <c r="K113" s="85"/>
      <c r="L113" s="85"/>
    </row>
    <row r="114" spans="1:12">
      <c r="A114" s="82"/>
      <c r="B114" s="82"/>
      <c r="C114" s="87"/>
      <c r="D114" s="85">
        <f t="shared" si="43"/>
        <v>0</v>
      </c>
      <c r="E114" s="87"/>
      <c r="F114" s="85">
        <f t="shared" si="34"/>
        <v>0</v>
      </c>
      <c r="G114" s="87"/>
      <c r="H114" s="85">
        <f t="shared" si="44"/>
        <v>0</v>
      </c>
      <c r="I114" s="87"/>
      <c r="J114" s="85">
        <f t="shared" si="45"/>
        <v>0</v>
      </c>
      <c r="K114" s="85"/>
      <c r="L114" s="85"/>
    </row>
    <row r="115" spans="1:12">
      <c r="A115" s="82"/>
      <c r="B115" s="82"/>
      <c r="C115" s="87"/>
      <c r="D115" s="85">
        <f>+C115*3.276</f>
        <v>0</v>
      </c>
      <c r="E115" s="87"/>
      <c r="F115" s="85">
        <f t="shared" si="34"/>
        <v>0</v>
      </c>
      <c r="G115" s="87"/>
      <c r="H115" s="85">
        <f>+G115*3.276</f>
        <v>0</v>
      </c>
      <c r="I115" s="87"/>
      <c r="J115" s="85">
        <f>+I115*3.276</f>
        <v>0</v>
      </c>
      <c r="K115" s="85"/>
      <c r="L115" s="85"/>
    </row>
    <row r="116" spans="1:12">
      <c r="A116" s="82"/>
      <c r="B116" s="82"/>
      <c r="C116" s="87"/>
      <c r="D116" s="85">
        <f>+C116*3.276</f>
        <v>0</v>
      </c>
      <c r="E116" s="87"/>
      <c r="F116" s="85">
        <f t="shared" si="34"/>
        <v>0</v>
      </c>
      <c r="G116" s="87"/>
      <c r="H116" s="85">
        <f>+G116*3.276</f>
        <v>0</v>
      </c>
      <c r="I116" s="87"/>
      <c r="J116" s="85">
        <f>+I116*3.276</f>
        <v>0</v>
      </c>
      <c r="K116" s="85"/>
      <c r="L116" s="85"/>
    </row>
    <row r="117" spans="1:12">
      <c r="C117" s="85"/>
      <c r="D117" s="85">
        <f>+C117*3.276</f>
        <v>0</v>
      </c>
      <c r="E117" s="87"/>
      <c r="F117" s="85">
        <f t="shared" si="34"/>
        <v>0</v>
      </c>
      <c r="G117" s="87"/>
      <c r="H117" s="85">
        <f>+G117*3.276</f>
        <v>0</v>
      </c>
      <c r="I117" s="87"/>
      <c r="J117" s="85">
        <f>+I117*3.276</f>
        <v>0</v>
      </c>
      <c r="K117" s="85"/>
      <c r="L117" s="85"/>
    </row>
    <row r="118" spans="1:12">
      <c r="C118" s="83">
        <f t="shared" ref="C118:H118" si="46">SUM(C3:C117)</f>
        <v>19847</v>
      </c>
      <c r="D118" s="84">
        <f t="shared" si="46"/>
        <v>65018.772000000004</v>
      </c>
      <c r="E118" s="83">
        <f t="shared" si="46"/>
        <v>32493</v>
      </c>
      <c r="F118" s="84">
        <f t="shared" si="46"/>
        <v>125910.375</v>
      </c>
      <c r="G118" s="83">
        <f t="shared" si="46"/>
        <v>5118</v>
      </c>
      <c r="H118" s="84">
        <f t="shared" si="46"/>
        <v>16766.567999999999</v>
      </c>
      <c r="I118" s="84"/>
      <c r="J118" s="84"/>
      <c r="K118" s="84"/>
      <c r="L118" s="84"/>
    </row>
  </sheetData>
  <mergeCells count="9">
    <mergeCell ref="X2:Z2"/>
    <mergeCell ref="C2:D2"/>
    <mergeCell ref="G2:H2"/>
    <mergeCell ref="E2:F2"/>
    <mergeCell ref="O2:Q2"/>
    <mergeCell ref="U2:W2"/>
    <mergeCell ref="R2:T2"/>
    <mergeCell ref="I2:J2"/>
    <mergeCell ref="K2:L2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Sheet15">
    <tabColor rgb="FFFFC000"/>
  </sheetPr>
  <dimension ref="A1:AI52"/>
  <sheetViews>
    <sheetView workbookViewId="0">
      <pane xSplit="1" ySplit="3" topLeftCell="O13" activePane="bottomRight" state="frozen"/>
      <selection activeCell="EE10" sqref="EE10"/>
      <selection pane="topRight" activeCell="EE10" sqref="EE10"/>
      <selection pane="bottomLeft" activeCell="EE10" sqref="EE10"/>
      <selection pane="bottomRight" activeCell="G31" sqref="G31"/>
    </sheetView>
  </sheetViews>
  <sheetFormatPr defaultRowHeight="12.75"/>
  <cols>
    <col min="1" max="1" width="10.28515625" style="47" customWidth="1"/>
    <col min="2" max="3" width="13.7109375" style="47" customWidth="1"/>
    <col min="4" max="4" width="9.140625" style="47" customWidth="1"/>
    <col min="5" max="5" width="12.7109375" style="47" customWidth="1"/>
    <col min="6" max="6" width="10" style="46" customWidth="1"/>
    <col min="7" max="9" width="12.28515625" style="47" customWidth="1"/>
    <col min="10" max="10" width="11.7109375" style="47" customWidth="1"/>
    <col min="11" max="16" width="9.140625" style="47" customWidth="1"/>
    <col min="17" max="17" width="10" style="47" customWidth="1"/>
    <col min="18" max="18" width="13" style="47" customWidth="1"/>
    <col min="19" max="20" width="9.140625" style="47" customWidth="1"/>
    <col min="21" max="21" width="11.5703125" style="47" customWidth="1"/>
    <col min="22" max="22" width="11.140625" style="47" customWidth="1"/>
    <col min="23" max="23" width="10" style="47" bestFit="1" customWidth="1"/>
    <col min="24" max="24" width="11.5703125" style="47" customWidth="1"/>
    <col min="25" max="28" width="9.140625" style="47"/>
    <col min="29" max="29" width="10.7109375" style="47" customWidth="1"/>
    <col min="30" max="30" width="9.5703125" style="47" bestFit="1" customWidth="1"/>
    <col min="31" max="16384" width="9.140625" style="47"/>
  </cols>
  <sheetData>
    <row r="1" spans="1:34">
      <c r="A1" s="9"/>
      <c r="B1" s="9"/>
      <c r="C1" s="717" t="s">
        <v>10</v>
      </c>
      <c r="D1" s="717"/>
      <c r="E1" s="9"/>
      <c r="G1" s="47">
        <f>+C18/3.75</f>
        <v>0</v>
      </c>
      <c r="H1" s="48"/>
    </row>
    <row r="2" spans="1:34" ht="12.75" customHeight="1">
      <c r="A2" s="718" t="s">
        <v>24</v>
      </c>
      <c r="B2" s="719" t="s">
        <v>7</v>
      </c>
      <c r="C2" s="720" t="s">
        <v>8</v>
      </c>
      <c r="D2" s="720" t="s">
        <v>13</v>
      </c>
      <c r="E2" s="715" t="s">
        <v>23</v>
      </c>
      <c r="F2" s="715"/>
      <c r="G2" s="715"/>
      <c r="H2" s="715"/>
      <c r="I2" s="715"/>
      <c r="J2" s="715"/>
      <c r="K2" s="715"/>
      <c r="L2" s="715"/>
      <c r="M2" s="715"/>
      <c r="N2" s="715"/>
      <c r="O2" s="715"/>
      <c r="P2" s="715"/>
      <c r="Q2" s="715"/>
      <c r="R2" s="715"/>
      <c r="S2" s="715"/>
      <c r="T2" s="22"/>
      <c r="U2" s="115"/>
      <c r="V2" s="22"/>
      <c r="W2" s="721" t="s">
        <v>15</v>
      </c>
      <c r="X2" s="722" t="s">
        <v>9</v>
      </c>
      <c r="AB2" s="716" t="s">
        <v>67</v>
      </c>
      <c r="AC2" s="108" t="s">
        <v>68</v>
      </c>
      <c r="AD2" s="716" t="s">
        <v>69</v>
      </c>
    </row>
    <row r="3" spans="1:34" ht="12.75" customHeight="1">
      <c r="A3" s="718"/>
      <c r="B3" s="719"/>
      <c r="C3" s="719"/>
      <c r="D3" s="719"/>
      <c r="E3" s="96" t="s">
        <v>16</v>
      </c>
      <c r="F3" s="96" t="s">
        <v>17</v>
      </c>
      <c r="G3" s="96" t="s">
        <v>58</v>
      </c>
      <c r="H3" s="96" t="s">
        <v>59</v>
      </c>
      <c r="I3" s="96" t="s">
        <v>18</v>
      </c>
      <c r="J3" s="96" t="s">
        <v>60</v>
      </c>
      <c r="K3" s="96" t="s">
        <v>19</v>
      </c>
      <c r="L3" s="96" t="s">
        <v>55</v>
      </c>
      <c r="M3" s="96" t="s">
        <v>61</v>
      </c>
      <c r="N3" s="96" t="s">
        <v>62</v>
      </c>
      <c r="O3" s="96" t="s">
        <v>63</v>
      </c>
      <c r="P3" s="96" t="s">
        <v>56</v>
      </c>
      <c r="Q3" s="96" t="s">
        <v>20</v>
      </c>
      <c r="R3" s="96" t="s">
        <v>57</v>
      </c>
      <c r="S3" s="272" t="s">
        <v>154</v>
      </c>
      <c r="T3" s="96" t="s">
        <v>21</v>
      </c>
      <c r="U3" s="126" t="s">
        <v>155</v>
      </c>
      <c r="V3" s="118" t="s">
        <v>22</v>
      </c>
      <c r="W3" s="721"/>
      <c r="X3" s="722"/>
      <c r="AB3" s="716"/>
      <c r="AC3" s="108">
        <v>1578.68</v>
      </c>
      <c r="AD3" s="716"/>
      <c r="AF3" s="160" t="s">
        <v>108</v>
      </c>
      <c r="AG3" s="160" t="s">
        <v>109</v>
      </c>
    </row>
    <row r="4" spans="1:34">
      <c r="A4" s="7">
        <f>+'ALL SORTASI'!A6</f>
        <v>46204</v>
      </c>
      <c r="B4" s="8">
        <f>SUMIF('DAILY OKEY AYAM'!$B$10:$B$173,$A4,'DAILY OKEY AYAM'!$D$10:$D$173)</f>
        <v>10210.625</v>
      </c>
      <c r="C4" s="8">
        <f>SUMIF('DAILY OKEY AYAM'!$B$10:$B$173,$A4,'DAILY OKEY AYAM'!I$10:I$173)</f>
        <v>9947.125</v>
      </c>
      <c r="D4" s="8">
        <f>SUMIF('DAILY OKEY AYAM'!$B$10:$B$173,$A4,'DAILY OKEY AYAM'!J$10:J$173)</f>
        <v>0</v>
      </c>
      <c r="E4" s="8">
        <f>SUMIF('DAILY OKEY AYAM'!$B$10:$B$173,$A4,'DAILY OKEY AYAM'!K$10:K$173)</f>
        <v>28.59</v>
      </c>
      <c r="F4" s="8">
        <f>SUMIF('DAILY OKEY AYAM'!$B$10:$B$173,$A4,'DAILY OKEY AYAM'!L$10:L$173)</f>
        <v>48.8</v>
      </c>
      <c r="G4" s="8">
        <f>SUMIF('DAILY OKEY AYAM'!$B$10:$B$173,$A4,'DAILY OKEY AYAM'!M$10:M$173)</f>
        <v>4.4000000000000004</v>
      </c>
      <c r="H4" s="8">
        <f>SUMIF('DAILY OKEY AYAM'!$B$10:$B$173,$A4,'DAILY OKEY AYAM'!N$10:N$173)</f>
        <v>2.0499999999999998</v>
      </c>
      <c r="I4" s="8">
        <f>SUMIF('DAILY OKEY AYAM'!$B$10:$B$173,$A4,'DAILY OKEY AYAM'!O$10:O$173)</f>
        <v>129.35</v>
      </c>
      <c r="J4" s="8">
        <f>SUMIF('DAILY OKEY AYAM'!$B$10:$B$173,$A4,'DAILY OKEY AYAM'!P$10:P$173)</f>
        <v>6.1499999999999995</v>
      </c>
      <c r="K4" s="8">
        <f>SUMIF('DAILY OKEY AYAM'!$B$10:$B$173,$A4,'DAILY OKEY AYAM'!Q$10:Q$173)</f>
        <v>0</v>
      </c>
      <c r="L4" s="8">
        <f>SUMIF('DAILY OKEY AYAM'!$B$10:$B$173,$A4,'DAILY OKEY AYAM'!R$10:R$173)</f>
        <v>10.649999999999999</v>
      </c>
      <c r="M4" s="8">
        <f>SUMIF('DAILY OKEY AYAM'!$B$10:$B$173,$A4,'DAILY OKEY AYAM'!S$10:S$173)</f>
        <v>0</v>
      </c>
      <c r="N4" s="8">
        <f>SUMIF('DAILY OKEY AYAM'!$B$10:$B$173,$A4,'DAILY OKEY AYAM'!T$10:T$173)</f>
        <v>14.2</v>
      </c>
      <c r="O4" s="8">
        <f>SUMIF('DAILY OKEY AYAM'!$B$10:$B$173,$A4,'DAILY OKEY AYAM'!U$10:U$173)</f>
        <v>0</v>
      </c>
      <c r="P4" s="8">
        <f>SUMIF('DAILY OKEY AYAM'!$B$10:$B$173,$A4,'DAILY OKEY AYAM'!V$10:V$173)</f>
        <v>0</v>
      </c>
      <c r="Q4" s="8">
        <f>SUMIF('DAILY OKEY AYAM'!$B$10:$B$173,$A4,'DAILY OKEY AYAM'!W$10:W$173)</f>
        <v>0</v>
      </c>
      <c r="R4" s="8">
        <f>SUMIF('DAILY OKEY AYAM'!$B$10:$B$173,$A4,'DAILY OKEY AYAM'!X$10:X$173)</f>
        <v>0</v>
      </c>
      <c r="S4" s="8">
        <f>SUMIF('DAILY OKEY AYAM'!$B$10:$B$173,$A4,'DAILY OKEY AYAM'!Y$10:Y$173)</f>
        <v>0</v>
      </c>
      <c r="T4" s="8">
        <f>SUMIF('DAILY OKEY AYAM'!$B$10:$B$173,$A4,'DAILY OKEY AYAM'!Z$10:Z$173)</f>
        <v>0</v>
      </c>
      <c r="U4" s="8">
        <f>SUMIF('DAILY OKEY AYAM'!$B$10:$B$173,$A4,'DAILY OKEY AYAM'!AA$10:AA$173)</f>
        <v>0</v>
      </c>
      <c r="V4" s="8">
        <f>SUMIF('DAILY OKEY AYAM'!$B$10:$B$173,$A4,'DAILY OKEY AYAM'!AB$10:AB$173)</f>
        <v>0</v>
      </c>
      <c r="W4" s="59">
        <f>SUM(E4:V4)</f>
        <v>244.19</v>
      </c>
      <c r="X4" s="60">
        <f>+B4-C4-D4-W4</f>
        <v>19.310000000000002</v>
      </c>
      <c r="Y4" s="47">
        <f>+X4/3.75</f>
        <v>5.1493333333333338</v>
      </c>
      <c r="Z4" s="88">
        <f>+C4/B4</f>
        <v>0.97419354838709682</v>
      </c>
      <c r="AA4" s="89">
        <f>100%-Z4</f>
        <v>2.5806451612903181E-2</v>
      </c>
      <c r="AB4" s="112">
        <f>+'Actual VS SAP'!C6</f>
        <v>6.5</v>
      </c>
      <c r="AC4" s="48">
        <f>+AB4*$AC$3</f>
        <v>10261.42</v>
      </c>
      <c r="AD4" s="89">
        <f>+C4/AC4</f>
        <v>0.96937119813826933</v>
      </c>
      <c r="AF4" s="159">
        <f>+AB4*'STD DRY'!$AD$6</f>
        <v>68.40946666666666</v>
      </c>
      <c r="AG4" s="159">
        <f>+AB4*'STD DRY'!$AD$12</f>
        <v>52.210104960000002</v>
      </c>
    </row>
    <row r="5" spans="1:34" s="46" customFormat="1">
      <c r="A5" s="341">
        <f>+'ALL SORTASI'!A7</f>
        <v>46205</v>
      </c>
      <c r="B5" s="8">
        <f>SUMIF('DAILY OKEY AYAM'!$B$10:$B$173,$A5,'DAILY OKEY AYAM'!$D$10:$D$173)</f>
        <v>0</v>
      </c>
      <c r="C5" s="8">
        <f>SUMIF('DAILY OKEY AYAM'!$B$10:$B$173,$A5,'DAILY OKEY AYAM'!I$10:I$173)</f>
        <v>0</v>
      </c>
      <c r="D5" s="8">
        <f>SUMIF('DAILY OKEY AYAM'!$B$10:$B$173,$A5,'DAILY OKEY AYAM'!J$10:J$173)</f>
        <v>0</v>
      </c>
      <c r="E5" s="8">
        <f>SUMIF('DAILY OKEY AYAM'!$B$10:$B$173,$A5,'DAILY OKEY AYAM'!K$10:K$173)</f>
        <v>0</v>
      </c>
      <c r="F5" s="8">
        <f>SUMIF('DAILY OKEY AYAM'!$B$10:$B$173,$A5,'DAILY OKEY AYAM'!L$10:L$173)</f>
        <v>0</v>
      </c>
      <c r="G5" s="8">
        <f>SUMIF('DAILY OKEY AYAM'!$B$10:$B$173,$A5,'DAILY OKEY AYAM'!M$10:M$173)</f>
        <v>0</v>
      </c>
      <c r="H5" s="8">
        <f>SUMIF('DAILY OKEY AYAM'!$B$10:$B$173,$A5,'DAILY OKEY AYAM'!N$10:N$173)</f>
        <v>0</v>
      </c>
      <c r="I5" s="8">
        <f>SUMIF('DAILY OKEY AYAM'!$B$10:$B$173,$A5,'DAILY OKEY AYAM'!O$10:O$173)</f>
        <v>0</v>
      </c>
      <c r="J5" s="8">
        <f>SUMIF('DAILY OKEY AYAM'!$B$10:$B$173,$A5,'DAILY OKEY AYAM'!P$10:P$173)</f>
        <v>0</v>
      </c>
      <c r="K5" s="8">
        <f>SUMIF('DAILY OKEY AYAM'!$B$10:$B$173,$A5,'DAILY OKEY AYAM'!Q$10:Q$173)</f>
        <v>0</v>
      </c>
      <c r="L5" s="8">
        <f>SUMIF('DAILY OKEY AYAM'!$B$10:$B$173,$A5,'DAILY OKEY AYAM'!R$10:R$173)</f>
        <v>0</v>
      </c>
      <c r="M5" s="8">
        <f>SUMIF('DAILY OKEY AYAM'!$B$10:$B$173,$A5,'DAILY OKEY AYAM'!S$10:S$173)</f>
        <v>0</v>
      </c>
      <c r="N5" s="8">
        <f>SUMIF('DAILY OKEY AYAM'!$B$10:$B$173,$A5,'DAILY OKEY AYAM'!T$10:T$173)</f>
        <v>0</v>
      </c>
      <c r="O5" s="8">
        <f>SUMIF('DAILY OKEY AYAM'!$B$10:$B$173,$A5,'DAILY OKEY AYAM'!U$10:U$173)</f>
        <v>0</v>
      </c>
      <c r="P5" s="8">
        <f>SUMIF('DAILY OKEY AYAM'!$B$10:$B$173,$A5,'DAILY OKEY AYAM'!V$10:V$173)</f>
        <v>0</v>
      </c>
      <c r="Q5" s="8">
        <f>SUMIF('DAILY OKEY AYAM'!$B$10:$B$173,$A5,'DAILY OKEY AYAM'!W$10:W$173)</f>
        <v>0</v>
      </c>
      <c r="R5" s="8">
        <f>SUMIF('DAILY OKEY AYAM'!$B$10:$B$173,$A5,'DAILY OKEY AYAM'!X$10:X$173)</f>
        <v>0</v>
      </c>
      <c r="S5" s="8">
        <f>SUMIF('DAILY OKEY AYAM'!$B$10:$B$173,$A5,'DAILY OKEY AYAM'!Y$10:Y$173)</f>
        <v>0</v>
      </c>
      <c r="T5" s="8">
        <f>SUMIF('DAILY OKEY AYAM'!$B$10:$B$173,$A5,'DAILY OKEY AYAM'!Z$10:Z$173)</f>
        <v>0</v>
      </c>
      <c r="U5" s="8">
        <f>SUMIF('DAILY OKEY AYAM'!$B$10:$B$173,$A5,'DAILY OKEY AYAM'!AA$10:AA$173)</f>
        <v>0</v>
      </c>
      <c r="V5" s="8">
        <f>SUMIF('DAILY OKEY AYAM'!$B$10:$B$173,$A5,'DAILY OKEY AYAM'!AB$10:AB$173)</f>
        <v>0</v>
      </c>
      <c r="W5" s="342">
        <f t="shared" ref="W5:W35" si="0">SUM(E5:V5)</f>
        <v>0</v>
      </c>
      <c r="X5" s="343">
        <f t="shared" ref="X5:X35" si="1">+B5-C5-D5-W5</f>
        <v>0</v>
      </c>
      <c r="Y5" s="46">
        <f t="shared" ref="Y5:Y34" si="2">+X5/3.75</f>
        <v>0</v>
      </c>
      <c r="Z5" s="344" t="e">
        <f t="shared" ref="Z5:Z11" si="3">+C5/B5</f>
        <v>#DIV/0!</v>
      </c>
      <c r="AA5" s="345" t="e">
        <f t="shared" ref="AA5:AA12" si="4">100%-Z5</f>
        <v>#DIV/0!</v>
      </c>
      <c r="AB5" s="346">
        <f>+'Actual VS SAP'!C7</f>
        <v>0</v>
      </c>
      <c r="AC5" s="347">
        <f t="shared" ref="AC5:AC31" si="5">+AB5*$AC$3</f>
        <v>0</v>
      </c>
      <c r="AD5" s="345" t="e">
        <f t="shared" ref="AD5:AD31" si="6">+C5/AC5</f>
        <v>#DIV/0!</v>
      </c>
      <c r="AF5" s="348">
        <f>+AB5*'STD DRY'!$AD$6</f>
        <v>0</v>
      </c>
      <c r="AG5" s="348">
        <f>+AB5*'STD DRY'!$AD$12</f>
        <v>0</v>
      </c>
    </row>
    <row r="6" spans="1:34">
      <c r="A6" s="7">
        <f>+'ALL SORTASI'!A8</f>
        <v>46206</v>
      </c>
      <c r="B6" s="8">
        <f>SUMIF('DAILY OKEY AYAM'!$B$10:$B$173,$A6,'DAILY OKEY AYAM'!$D$10:$D$173)</f>
        <v>0</v>
      </c>
      <c r="C6" s="8">
        <f>SUMIF('DAILY OKEY AYAM'!$B$10:$B$173,$A6,'DAILY OKEY AYAM'!I$10:I$173)</f>
        <v>0</v>
      </c>
      <c r="D6" s="8">
        <f>SUMIF('DAILY OKEY AYAM'!$B$10:$B$173,$A6,'DAILY OKEY AYAM'!J$10:J$173)</f>
        <v>0</v>
      </c>
      <c r="E6" s="8">
        <f>SUMIF('DAILY OKEY AYAM'!$B$10:$B$173,$A6,'DAILY OKEY AYAM'!K$10:K$173)</f>
        <v>0</v>
      </c>
      <c r="F6" s="8">
        <f>SUMIF('DAILY OKEY AYAM'!$B$10:$B$173,$A6,'DAILY OKEY AYAM'!L$10:L$173)</f>
        <v>0</v>
      </c>
      <c r="G6" s="8">
        <f>SUMIF('DAILY OKEY AYAM'!$B$10:$B$173,$A6,'DAILY OKEY AYAM'!M$10:M$173)</f>
        <v>0</v>
      </c>
      <c r="H6" s="8">
        <f>SUMIF('DAILY OKEY AYAM'!$B$10:$B$173,$A6,'DAILY OKEY AYAM'!N$10:N$173)</f>
        <v>0</v>
      </c>
      <c r="I6" s="8">
        <f>SUMIF('DAILY OKEY AYAM'!$B$10:$B$173,$A6,'DAILY OKEY AYAM'!O$10:O$173)</f>
        <v>0</v>
      </c>
      <c r="J6" s="8">
        <f>SUMIF('DAILY OKEY AYAM'!$B$10:$B$173,$A6,'DAILY OKEY AYAM'!P$10:P$173)</f>
        <v>0</v>
      </c>
      <c r="K6" s="8">
        <f>SUMIF('DAILY OKEY AYAM'!$B$10:$B$173,$A6,'DAILY OKEY AYAM'!Q$10:Q$173)</f>
        <v>0</v>
      </c>
      <c r="L6" s="8">
        <f>SUMIF('DAILY OKEY AYAM'!$B$10:$B$173,$A6,'DAILY OKEY AYAM'!R$10:R$173)</f>
        <v>0</v>
      </c>
      <c r="M6" s="8">
        <f>SUMIF('DAILY OKEY AYAM'!$B$10:$B$173,$A6,'DAILY OKEY AYAM'!S$10:S$173)</f>
        <v>0</v>
      </c>
      <c r="N6" s="8">
        <f>SUMIF('DAILY OKEY AYAM'!$B$10:$B$173,$A6,'DAILY OKEY AYAM'!T$10:T$173)</f>
        <v>0</v>
      </c>
      <c r="O6" s="8">
        <f>SUMIF('DAILY OKEY AYAM'!$B$10:$B$173,$A6,'DAILY OKEY AYAM'!U$10:U$173)</f>
        <v>0</v>
      </c>
      <c r="P6" s="8">
        <f>SUMIF('DAILY OKEY AYAM'!$B$10:$B$173,$A6,'DAILY OKEY AYAM'!V$10:V$173)</f>
        <v>0</v>
      </c>
      <c r="Q6" s="8">
        <f>SUMIF('DAILY OKEY AYAM'!$B$10:$B$173,$A6,'DAILY OKEY AYAM'!W$10:W$173)</f>
        <v>0</v>
      </c>
      <c r="R6" s="8">
        <f>SUMIF('DAILY OKEY AYAM'!$B$10:$B$173,$A6,'DAILY OKEY AYAM'!X$10:X$173)</f>
        <v>0</v>
      </c>
      <c r="S6" s="8">
        <f>SUMIF('DAILY OKEY AYAM'!$B$10:$B$173,$A6,'DAILY OKEY AYAM'!Y$10:Y$173)</f>
        <v>0</v>
      </c>
      <c r="T6" s="8">
        <f>SUMIF('DAILY OKEY AYAM'!$B$10:$B$173,$A6,'DAILY OKEY AYAM'!Z$10:Z$173)</f>
        <v>0</v>
      </c>
      <c r="U6" s="8">
        <f>SUMIF('DAILY OKEY AYAM'!$B$10:$B$173,$A6,'DAILY OKEY AYAM'!AA$10:AA$173)</f>
        <v>0</v>
      </c>
      <c r="V6" s="8">
        <f>SUMIF('DAILY OKEY AYAM'!$B$10:$B$173,$A6,'DAILY OKEY AYAM'!AB$10:AB$173)</f>
        <v>0</v>
      </c>
      <c r="W6" s="59">
        <f t="shared" si="0"/>
        <v>0</v>
      </c>
      <c r="X6" s="60">
        <f>+B6-C6-D6-W6</f>
        <v>0</v>
      </c>
      <c r="Y6" s="47">
        <f t="shared" si="2"/>
        <v>0</v>
      </c>
      <c r="Z6" s="88" t="e">
        <f t="shared" si="3"/>
        <v>#DIV/0!</v>
      </c>
      <c r="AA6" s="89" t="e">
        <f t="shared" si="4"/>
        <v>#DIV/0!</v>
      </c>
      <c r="AB6" s="112">
        <f>+'Actual VS SAP'!C8</f>
        <v>0</v>
      </c>
      <c r="AC6" s="48">
        <f t="shared" si="5"/>
        <v>0</v>
      </c>
      <c r="AD6" s="89" t="e">
        <f t="shared" si="6"/>
        <v>#DIV/0!</v>
      </c>
      <c r="AF6" s="159">
        <f>+AB6*'STD DRY'!$AD$6</f>
        <v>0</v>
      </c>
      <c r="AG6" s="159">
        <f>+AB6*'STD DRY'!$AD$12</f>
        <v>0</v>
      </c>
    </row>
    <row r="7" spans="1:34">
      <c r="A7" s="7">
        <f>+'ALL SORTASI'!A9</f>
        <v>46207</v>
      </c>
      <c r="B7" s="8">
        <f>SUMIF('DAILY OKEY AYAM'!$B$10:$B$173,$A7,'DAILY OKEY AYAM'!$D$10:$D$173)</f>
        <v>0</v>
      </c>
      <c r="C7" s="8">
        <f>SUMIF('DAILY OKEY AYAM'!$B$10:$B$173,$A7,'DAILY OKEY AYAM'!I$10:I$173)</f>
        <v>0</v>
      </c>
      <c r="D7" s="8">
        <f>SUMIF('DAILY OKEY AYAM'!$B$10:$B$173,$A7,'DAILY OKEY AYAM'!J$10:J$173)</f>
        <v>0</v>
      </c>
      <c r="E7" s="8">
        <f>SUMIF('DAILY OKEY AYAM'!$B$10:$B$173,$A7,'DAILY OKEY AYAM'!K$10:K$173)</f>
        <v>0</v>
      </c>
      <c r="F7" s="8">
        <f>SUMIF('DAILY OKEY AYAM'!$B$10:$B$173,$A7,'DAILY OKEY AYAM'!L$10:L$173)</f>
        <v>0</v>
      </c>
      <c r="G7" s="8">
        <f>SUMIF('DAILY OKEY AYAM'!$B$10:$B$173,$A7,'DAILY OKEY AYAM'!M$10:M$173)</f>
        <v>0</v>
      </c>
      <c r="H7" s="8">
        <f>SUMIF('DAILY OKEY AYAM'!$B$10:$B$173,$A7,'DAILY OKEY AYAM'!N$10:N$173)</f>
        <v>0</v>
      </c>
      <c r="I7" s="8">
        <f>SUMIF('DAILY OKEY AYAM'!$B$10:$B$173,$A7,'DAILY OKEY AYAM'!O$10:O$173)</f>
        <v>0</v>
      </c>
      <c r="J7" s="8">
        <f>SUMIF('DAILY OKEY AYAM'!$B$10:$B$173,$A7,'DAILY OKEY AYAM'!P$10:P$173)</f>
        <v>0</v>
      </c>
      <c r="K7" s="8">
        <f>SUMIF('DAILY OKEY AYAM'!$B$10:$B$173,$A7,'DAILY OKEY AYAM'!Q$10:Q$173)</f>
        <v>0</v>
      </c>
      <c r="L7" s="8">
        <f>SUMIF('DAILY OKEY AYAM'!$B$10:$B$173,$A7,'DAILY OKEY AYAM'!R$10:R$173)</f>
        <v>0</v>
      </c>
      <c r="M7" s="8">
        <f>SUMIF('DAILY OKEY AYAM'!$B$10:$B$173,$A7,'DAILY OKEY AYAM'!S$10:S$173)</f>
        <v>0</v>
      </c>
      <c r="N7" s="8">
        <f>SUMIF('DAILY OKEY AYAM'!$B$10:$B$173,$A7,'DAILY OKEY AYAM'!T$10:T$173)</f>
        <v>0</v>
      </c>
      <c r="O7" s="8">
        <f>SUMIF('DAILY OKEY AYAM'!$B$10:$B$173,$A7,'DAILY OKEY AYAM'!U$10:U$173)</f>
        <v>0</v>
      </c>
      <c r="P7" s="8">
        <f>SUMIF('DAILY OKEY AYAM'!$B$10:$B$173,$A7,'DAILY OKEY AYAM'!V$10:V$173)</f>
        <v>0</v>
      </c>
      <c r="Q7" s="8">
        <f>SUMIF('DAILY OKEY AYAM'!$B$10:$B$173,$A7,'DAILY OKEY AYAM'!W$10:W$173)</f>
        <v>0</v>
      </c>
      <c r="R7" s="8">
        <f>SUMIF('DAILY OKEY AYAM'!$B$10:$B$173,$A7,'DAILY OKEY AYAM'!X$10:X$173)</f>
        <v>0</v>
      </c>
      <c r="S7" s="8">
        <f>SUMIF('DAILY OKEY AYAM'!$B$10:$B$173,$A7,'DAILY OKEY AYAM'!Y$10:Y$173)</f>
        <v>0</v>
      </c>
      <c r="T7" s="8">
        <f>SUMIF('DAILY OKEY AYAM'!$B$10:$B$173,$A7,'DAILY OKEY AYAM'!Z$10:Z$173)</f>
        <v>0</v>
      </c>
      <c r="U7" s="8">
        <f>SUMIF('DAILY OKEY AYAM'!$B$10:$B$173,$A7,'DAILY OKEY AYAM'!AA$10:AA$173)</f>
        <v>0</v>
      </c>
      <c r="V7" s="8">
        <f>SUMIF('DAILY OKEY AYAM'!$B$10:$B$173,$A7,'DAILY OKEY AYAM'!AB$10:AB$173)</f>
        <v>0</v>
      </c>
      <c r="W7" s="59">
        <f t="shared" si="0"/>
        <v>0</v>
      </c>
      <c r="X7" s="60">
        <f t="shared" si="1"/>
        <v>0</v>
      </c>
      <c r="Y7" s="47">
        <f t="shared" si="2"/>
        <v>0</v>
      </c>
      <c r="Z7" s="88" t="e">
        <f t="shared" si="3"/>
        <v>#DIV/0!</v>
      </c>
      <c r="AA7" s="89" t="e">
        <f>100%-Z7</f>
        <v>#DIV/0!</v>
      </c>
      <c r="AB7" s="112">
        <f>+'Actual VS SAP'!C9</f>
        <v>0</v>
      </c>
      <c r="AC7" s="48">
        <f t="shared" si="5"/>
        <v>0</v>
      </c>
      <c r="AD7" s="89" t="e">
        <f t="shared" si="6"/>
        <v>#DIV/0!</v>
      </c>
      <c r="AF7" s="159">
        <f>+AB7*'STD DRY'!$AD$6</f>
        <v>0</v>
      </c>
      <c r="AG7" s="159">
        <f>+AB7*'STD DRY'!$AD$12</f>
        <v>0</v>
      </c>
    </row>
    <row r="8" spans="1:34">
      <c r="A8" s="7">
        <f>+'ALL SORTASI'!A10</f>
        <v>46208</v>
      </c>
      <c r="B8" s="8">
        <f>SUMIF('DAILY OKEY AYAM'!$B$10:$B$173,$A8,'DAILY OKEY AYAM'!$D$10:$D$173)</f>
        <v>0</v>
      </c>
      <c r="C8" s="8">
        <f>SUMIF('DAILY OKEY AYAM'!$B$10:$B$173,$A8,'DAILY OKEY AYAM'!I$10:I$173)</f>
        <v>0</v>
      </c>
      <c r="D8" s="8">
        <f>SUMIF('DAILY OKEY AYAM'!$B$10:$B$173,$A8,'DAILY OKEY AYAM'!J$10:J$173)</f>
        <v>0</v>
      </c>
      <c r="E8" s="8">
        <f>SUMIF('DAILY OKEY AYAM'!$B$10:$B$173,$A8,'DAILY OKEY AYAM'!K$10:K$173)</f>
        <v>0</v>
      </c>
      <c r="F8" s="8">
        <f>SUMIF('DAILY OKEY AYAM'!$B$10:$B$173,$A8,'DAILY OKEY AYAM'!L$10:L$173)</f>
        <v>0</v>
      </c>
      <c r="G8" s="8">
        <f>SUMIF('DAILY OKEY AYAM'!$B$10:$B$173,$A8,'DAILY OKEY AYAM'!M$10:M$173)</f>
        <v>0</v>
      </c>
      <c r="H8" s="8">
        <f>SUMIF('DAILY OKEY AYAM'!$B$10:$B$173,$A8,'DAILY OKEY AYAM'!N$10:N$173)</f>
        <v>0</v>
      </c>
      <c r="I8" s="8">
        <f>SUMIF('DAILY OKEY AYAM'!$B$10:$B$173,$A8,'DAILY OKEY AYAM'!O$10:O$173)</f>
        <v>0</v>
      </c>
      <c r="J8" s="8">
        <f>SUMIF('DAILY OKEY AYAM'!$B$10:$B$173,$A8,'DAILY OKEY AYAM'!P$10:P$173)</f>
        <v>0</v>
      </c>
      <c r="K8" s="8">
        <f>SUMIF('DAILY OKEY AYAM'!$B$10:$B$173,$A8,'DAILY OKEY AYAM'!Q$10:Q$173)</f>
        <v>0</v>
      </c>
      <c r="L8" s="8">
        <f>SUMIF('DAILY OKEY AYAM'!$B$10:$B$173,$A8,'DAILY OKEY AYAM'!R$10:R$173)</f>
        <v>0</v>
      </c>
      <c r="M8" s="8">
        <f>SUMIF('DAILY OKEY AYAM'!$B$10:$B$173,$A8,'DAILY OKEY AYAM'!S$10:S$173)</f>
        <v>0</v>
      </c>
      <c r="N8" s="8">
        <f>SUMIF('DAILY OKEY AYAM'!$B$10:$B$173,$A8,'DAILY OKEY AYAM'!T$10:T$173)</f>
        <v>0</v>
      </c>
      <c r="O8" s="8">
        <f>SUMIF('DAILY OKEY AYAM'!$B$10:$B$173,$A8,'DAILY OKEY AYAM'!U$10:U$173)</f>
        <v>0</v>
      </c>
      <c r="P8" s="8">
        <f>SUMIF('DAILY OKEY AYAM'!$B$10:$B$173,$A8,'DAILY OKEY AYAM'!V$10:V$173)</f>
        <v>0</v>
      </c>
      <c r="Q8" s="8">
        <f>SUMIF('DAILY OKEY AYAM'!$B$10:$B$173,$A8,'DAILY OKEY AYAM'!W$10:W$173)</f>
        <v>0</v>
      </c>
      <c r="R8" s="8">
        <f>SUMIF('DAILY OKEY AYAM'!$B$10:$B$173,$A8,'DAILY OKEY AYAM'!X$10:X$173)</f>
        <v>0</v>
      </c>
      <c r="S8" s="8">
        <f>SUMIF('DAILY OKEY AYAM'!$B$10:$B$173,$A8,'DAILY OKEY AYAM'!Y$10:Y$173)</f>
        <v>0</v>
      </c>
      <c r="T8" s="8">
        <f>SUMIF('DAILY OKEY AYAM'!$B$10:$B$173,$A8,'DAILY OKEY AYAM'!Z$10:Z$173)</f>
        <v>0</v>
      </c>
      <c r="U8" s="8">
        <f>SUMIF('DAILY OKEY AYAM'!$B$10:$B$173,$A8,'DAILY OKEY AYAM'!AA$10:AA$173)</f>
        <v>0</v>
      </c>
      <c r="V8" s="8">
        <f>SUMIF('DAILY OKEY AYAM'!$B$10:$B$173,$A8,'DAILY OKEY AYAM'!AB$10:AB$173)</f>
        <v>0</v>
      </c>
      <c r="W8" s="59">
        <f t="shared" si="0"/>
        <v>0</v>
      </c>
      <c r="X8" s="60">
        <f t="shared" si="1"/>
        <v>0</v>
      </c>
      <c r="Y8" s="47">
        <f t="shared" si="2"/>
        <v>0</v>
      </c>
      <c r="Z8" s="88" t="e">
        <f t="shared" si="3"/>
        <v>#DIV/0!</v>
      </c>
      <c r="AA8" s="89" t="e">
        <f t="shared" si="4"/>
        <v>#DIV/0!</v>
      </c>
      <c r="AB8" s="112">
        <f>+'Actual VS SAP'!C10</f>
        <v>0</v>
      </c>
      <c r="AC8" s="48">
        <f t="shared" si="5"/>
        <v>0</v>
      </c>
      <c r="AD8" s="89" t="e">
        <f t="shared" si="6"/>
        <v>#DIV/0!</v>
      </c>
      <c r="AF8" s="159">
        <f>+AB8*'STD DRY'!$AD$6</f>
        <v>0</v>
      </c>
      <c r="AG8" s="159">
        <f>+AB8*'STD DRY'!$AD$12</f>
        <v>0</v>
      </c>
    </row>
    <row r="9" spans="1:34">
      <c r="A9" s="7">
        <f>+'ALL SORTASI'!A11</f>
        <v>46209</v>
      </c>
      <c r="B9" s="8">
        <f>SUMIF('DAILY OKEY AYAM'!$B$10:$B$173,$A9,'DAILY OKEY AYAM'!$D$10:$D$173)</f>
        <v>1495.75</v>
      </c>
      <c r="C9" s="8">
        <f>SUMIF('DAILY OKEY AYAM'!$B$10:$B$173,$A9,'DAILY OKEY AYAM'!I$10:I$173)</f>
        <v>1464.75</v>
      </c>
      <c r="D9" s="8">
        <f>SUMIF('DAILY OKEY AYAM'!$B$10:$B$173,$A9,'DAILY OKEY AYAM'!J$10:J$173)</f>
        <v>0</v>
      </c>
      <c r="E9" s="8">
        <f>SUMIF('DAILY OKEY AYAM'!$B$10:$B$173,$A9,'DAILY OKEY AYAM'!K$10:K$173)</f>
        <v>0.32</v>
      </c>
      <c r="F9" s="8">
        <f>SUMIF('DAILY OKEY AYAM'!$B$10:$B$173,$A9,'DAILY OKEY AYAM'!L$10:L$173)</f>
        <v>0.5</v>
      </c>
      <c r="G9" s="8">
        <f>SUMIF('DAILY OKEY AYAM'!$B$10:$B$173,$A9,'DAILY OKEY AYAM'!M$10:M$173)</f>
        <v>0</v>
      </c>
      <c r="H9" s="8">
        <f>SUMIF('DAILY OKEY AYAM'!$B$10:$B$173,$A9,'DAILY OKEY AYAM'!N$10:N$173)</f>
        <v>0</v>
      </c>
      <c r="I9" s="8">
        <f>SUMIF('DAILY OKEY AYAM'!$B$10:$B$173,$A9,'DAILY OKEY AYAM'!O$10:O$173)</f>
        <v>1.2</v>
      </c>
      <c r="J9" s="8">
        <f>SUMIF('DAILY OKEY AYAM'!$B$10:$B$173,$A9,'DAILY OKEY AYAM'!P$10:P$173)</f>
        <v>0.5</v>
      </c>
      <c r="K9" s="8">
        <f>SUMIF('DAILY OKEY AYAM'!$B$10:$B$173,$A9,'DAILY OKEY AYAM'!Q$10:Q$173)</f>
        <v>0</v>
      </c>
      <c r="L9" s="8">
        <f>SUMIF('DAILY OKEY AYAM'!$B$10:$B$173,$A9,'DAILY OKEY AYAM'!R$10:R$173)</f>
        <v>4.95</v>
      </c>
      <c r="M9" s="8">
        <f>SUMIF('DAILY OKEY AYAM'!$B$10:$B$173,$A9,'DAILY OKEY AYAM'!S$10:S$173)</f>
        <v>0</v>
      </c>
      <c r="N9" s="8">
        <f>SUMIF('DAILY OKEY AYAM'!$B$10:$B$173,$A9,'DAILY OKEY AYAM'!T$10:T$173)</f>
        <v>1.5</v>
      </c>
      <c r="O9" s="8">
        <f>SUMIF('DAILY OKEY AYAM'!$B$10:$B$173,$A9,'DAILY OKEY AYAM'!U$10:U$173)</f>
        <v>0</v>
      </c>
      <c r="P9" s="8">
        <f>SUMIF('DAILY OKEY AYAM'!$B$10:$B$173,$A9,'DAILY OKEY AYAM'!V$10:V$173)</f>
        <v>0</v>
      </c>
      <c r="Q9" s="8">
        <f>SUMIF('DAILY OKEY AYAM'!$B$10:$B$173,$A9,'DAILY OKEY AYAM'!W$10:W$173)</f>
        <v>0</v>
      </c>
      <c r="R9" s="8">
        <f>SUMIF('DAILY OKEY AYAM'!$B$10:$B$173,$A9,'DAILY OKEY AYAM'!X$10:X$173)</f>
        <v>0</v>
      </c>
      <c r="S9" s="8">
        <f>SUMIF('DAILY OKEY AYAM'!$B$10:$B$173,$A9,'DAILY OKEY AYAM'!Y$10:Y$173)</f>
        <v>0</v>
      </c>
      <c r="T9" s="8">
        <f>SUMIF('DAILY OKEY AYAM'!$B$10:$B$173,$A9,'DAILY OKEY AYAM'!Z$10:Z$173)</f>
        <v>0</v>
      </c>
      <c r="U9" s="8">
        <f>SUMIF('DAILY OKEY AYAM'!$B$10:$B$173,$A9,'DAILY OKEY AYAM'!AA$10:AA$173)</f>
        <v>0</v>
      </c>
      <c r="V9" s="8">
        <f>SUMIF('DAILY OKEY AYAM'!$B$10:$B$173,$A9,'DAILY OKEY AYAM'!AB$10:AB$173)</f>
        <v>0</v>
      </c>
      <c r="W9" s="59">
        <f t="shared" si="0"/>
        <v>8.9700000000000006</v>
      </c>
      <c r="X9" s="60">
        <f t="shared" si="1"/>
        <v>22.03</v>
      </c>
      <c r="Y9" s="47">
        <f t="shared" si="2"/>
        <v>5.8746666666666671</v>
      </c>
      <c r="Z9" s="88">
        <f t="shared" si="3"/>
        <v>0.97927461139896377</v>
      </c>
      <c r="AA9" s="89">
        <f t="shared" si="4"/>
        <v>2.0725388601036232E-2</v>
      </c>
      <c r="AB9" s="112">
        <f>+'Actual VS SAP'!C11</f>
        <v>1</v>
      </c>
      <c r="AC9" s="48">
        <f t="shared" si="5"/>
        <v>1578.68</v>
      </c>
      <c r="AD9" s="89">
        <f>+C9/AC9</f>
        <v>0.92783211290445178</v>
      </c>
      <c r="AF9" s="159">
        <f>+AB9*'STD DRY'!$AD$6</f>
        <v>10.524533333333332</v>
      </c>
      <c r="AG9" s="159">
        <f>+AB9*'STD DRY'!$AD$12</f>
        <v>8.0323238400000001</v>
      </c>
    </row>
    <row r="10" spans="1:34">
      <c r="A10" s="7">
        <f>+'ALL SORTASI'!A12</f>
        <v>46210</v>
      </c>
      <c r="B10" s="8">
        <f>SUMIF('DAILY OKEY AYAM'!$B$10:$B$173,$A10,'DAILY OKEY AYAM'!$D$10:$D$173)</f>
        <v>12775.875</v>
      </c>
      <c r="C10" s="8">
        <f>SUMIF('DAILY OKEY AYAM'!$B$10:$B$173,$A10,'DAILY OKEY AYAM'!I$10:I$173)</f>
        <v>12419.375</v>
      </c>
      <c r="D10" s="8">
        <f>SUMIF('DAILY OKEY AYAM'!$B$10:$B$173,$A10,'DAILY OKEY AYAM'!J$10:J$173)</f>
        <v>0</v>
      </c>
      <c r="E10" s="8">
        <f>SUMIF('DAILY OKEY AYAM'!$B$10:$B$173,$A10,'DAILY OKEY AYAM'!K$10:K$173)</f>
        <v>12.95</v>
      </c>
      <c r="F10" s="8">
        <f>SUMIF('DAILY OKEY AYAM'!$B$10:$B$173,$A10,'DAILY OKEY AYAM'!L$10:L$173)</f>
        <v>20.78</v>
      </c>
      <c r="G10" s="8">
        <f>SUMIF('DAILY OKEY AYAM'!$B$10:$B$173,$A10,'DAILY OKEY AYAM'!M$10:M$173)</f>
        <v>0</v>
      </c>
      <c r="H10" s="8">
        <f>SUMIF('DAILY OKEY AYAM'!$B$10:$B$173,$A10,'DAILY OKEY AYAM'!N$10:N$173)</f>
        <v>3.22</v>
      </c>
      <c r="I10" s="8">
        <f>SUMIF('DAILY OKEY AYAM'!$B$10:$B$173,$A10,'DAILY OKEY AYAM'!O$10:O$173)</f>
        <v>76.069999999999993</v>
      </c>
      <c r="J10" s="8">
        <f>SUMIF('DAILY OKEY AYAM'!$B$10:$B$173,$A10,'DAILY OKEY AYAM'!P$10:P$173)</f>
        <v>6.1199999999999992</v>
      </c>
      <c r="K10" s="8">
        <f>SUMIF('DAILY OKEY AYAM'!$B$10:$B$173,$A10,'DAILY OKEY AYAM'!Q$10:Q$173)</f>
        <v>0</v>
      </c>
      <c r="L10" s="8">
        <f>SUMIF('DAILY OKEY AYAM'!$B$10:$B$173,$A10,'DAILY OKEY AYAM'!R$10:R$173)</f>
        <v>21.5</v>
      </c>
      <c r="M10" s="8">
        <f>SUMIF('DAILY OKEY AYAM'!$B$10:$B$173,$A10,'DAILY OKEY AYAM'!S$10:S$173)</f>
        <v>0.31999999999999995</v>
      </c>
      <c r="N10" s="8">
        <f>SUMIF('DAILY OKEY AYAM'!$B$10:$B$173,$A10,'DAILY OKEY AYAM'!T$10:T$173)</f>
        <v>11.370000000000001</v>
      </c>
      <c r="O10" s="8">
        <f>SUMIF('DAILY OKEY AYAM'!$B$10:$B$173,$A10,'DAILY OKEY AYAM'!U$10:U$173)</f>
        <v>0</v>
      </c>
      <c r="P10" s="8">
        <f>SUMIF('DAILY OKEY AYAM'!$B$10:$B$173,$A10,'DAILY OKEY AYAM'!V$10:V$173)</f>
        <v>0</v>
      </c>
      <c r="Q10" s="8">
        <f>SUMIF('DAILY OKEY AYAM'!$B$10:$B$173,$A10,'DAILY OKEY AYAM'!W$10:W$173)</f>
        <v>0</v>
      </c>
      <c r="R10" s="8">
        <f>SUMIF('DAILY OKEY AYAM'!$B$10:$B$173,$A10,'DAILY OKEY AYAM'!X$10:X$173)</f>
        <v>0</v>
      </c>
      <c r="S10" s="8">
        <f>SUMIF('DAILY OKEY AYAM'!$B$10:$B$173,$A10,'DAILY OKEY AYAM'!Y$10:Y$173)</f>
        <v>0</v>
      </c>
      <c r="T10" s="8">
        <f>SUMIF('DAILY OKEY AYAM'!$B$10:$B$173,$A10,'DAILY OKEY AYAM'!Z$10:Z$173)</f>
        <v>0</v>
      </c>
      <c r="U10" s="8">
        <f>SUMIF('DAILY OKEY AYAM'!$B$10:$B$173,$A10,'DAILY OKEY AYAM'!AA$10:AA$173)</f>
        <v>0</v>
      </c>
      <c r="V10" s="8">
        <f>SUMIF('DAILY OKEY AYAM'!$B$10:$B$173,$A10,'DAILY OKEY AYAM'!AB$10:AB$173)</f>
        <v>0</v>
      </c>
      <c r="W10" s="59">
        <f t="shared" si="0"/>
        <v>152.32999999999998</v>
      </c>
      <c r="X10" s="60">
        <f t="shared" si="1"/>
        <v>204.17000000000002</v>
      </c>
      <c r="Y10" s="47">
        <f t="shared" si="2"/>
        <v>54.445333333333338</v>
      </c>
      <c r="Z10" s="88">
        <f t="shared" si="3"/>
        <v>0.9720958447073097</v>
      </c>
      <c r="AA10" s="89">
        <f t="shared" si="4"/>
        <v>2.7904155292690302E-2</v>
      </c>
      <c r="AB10" s="112">
        <f>+'Actual VS SAP'!C12</f>
        <v>8</v>
      </c>
      <c r="AC10" s="48">
        <f t="shared" si="5"/>
        <v>12629.44</v>
      </c>
      <c r="AD10" s="89">
        <f t="shared" si="6"/>
        <v>0.98336703765170896</v>
      </c>
      <c r="AF10" s="159">
        <f>+AB10*'STD DRY'!$AD$6</f>
        <v>84.196266666666659</v>
      </c>
      <c r="AG10" s="159">
        <f>+AB10*'STD DRY'!$AD$12</f>
        <v>64.258590720000001</v>
      </c>
    </row>
    <row r="11" spans="1:34">
      <c r="A11" s="7">
        <f>+'ALL SORTASI'!A13</f>
        <v>46211</v>
      </c>
      <c r="B11" s="8">
        <f>SUMIF('DAILY OKEY AYAM'!$B$10:$B$173,$A11,'DAILY OKEY AYAM'!$D$10:$D$173)</f>
        <v>14426.625</v>
      </c>
      <c r="C11" s="8">
        <f>SUMIF('DAILY OKEY AYAM'!$B$10:$B$173,$A11,'DAILY OKEY AYAM'!I$10:I$173)</f>
        <v>13984.875</v>
      </c>
      <c r="D11" s="8">
        <f>SUMIF('DAILY OKEY AYAM'!$B$10:$B$173,$A11,'DAILY OKEY AYAM'!J$10:J$173)</f>
        <v>0</v>
      </c>
      <c r="E11" s="8">
        <f>SUMIF('DAILY OKEY AYAM'!$B$10:$B$173,$A11,'DAILY OKEY AYAM'!K$10:K$173)</f>
        <v>13.459999999999999</v>
      </c>
      <c r="F11" s="8">
        <f>SUMIF('DAILY OKEY AYAM'!$B$10:$B$173,$A11,'DAILY OKEY AYAM'!L$10:L$173)</f>
        <v>25.92</v>
      </c>
      <c r="G11" s="8">
        <f>SUMIF('DAILY OKEY AYAM'!$B$10:$B$173,$A11,'DAILY OKEY AYAM'!M$10:M$173)</f>
        <v>0</v>
      </c>
      <c r="H11" s="8">
        <f>SUMIF('DAILY OKEY AYAM'!$B$10:$B$173,$A11,'DAILY OKEY AYAM'!N$10:N$173)</f>
        <v>0.14000000000000001</v>
      </c>
      <c r="I11" s="8">
        <f>SUMIF('DAILY OKEY AYAM'!$B$10:$B$173,$A11,'DAILY OKEY AYAM'!O$10:O$173)</f>
        <v>49.11</v>
      </c>
      <c r="J11" s="8">
        <f>SUMIF('DAILY OKEY AYAM'!$B$10:$B$173,$A11,'DAILY OKEY AYAM'!P$10:P$173)</f>
        <v>5.17</v>
      </c>
      <c r="K11" s="8">
        <f>SUMIF('DAILY OKEY AYAM'!$B$10:$B$173,$A11,'DAILY OKEY AYAM'!Q$10:Q$173)</f>
        <v>0</v>
      </c>
      <c r="L11" s="8">
        <f>SUMIF('DAILY OKEY AYAM'!$B$10:$B$173,$A11,'DAILY OKEY AYAM'!R$10:R$173)</f>
        <v>9.42</v>
      </c>
      <c r="M11" s="8">
        <f>SUMIF('DAILY OKEY AYAM'!$B$10:$B$173,$A11,'DAILY OKEY AYAM'!S$10:S$173)</f>
        <v>1.55</v>
      </c>
      <c r="N11" s="8">
        <f>SUMIF('DAILY OKEY AYAM'!$B$10:$B$173,$A11,'DAILY OKEY AYAM'!T$10:T$173)</f>
        <v>15.159999999999998</v>
      </c>
      <c r="O11" s="8">
        <f>SUMIF('DAILY OKEY AYAM'!$B$10:$B$173,$A11,'DAILY OKEY AYAM'!U$10:U$173)</f>
        <v>0</v>
      </c>
      <c r="P11" s="8">
        <f>SUMIF('DAILY OKEY AYAM'!$B$10:$B$173,$A11,'DAILY OKEY AYAM'!V$10:V$173)</f>
        <v>0</v>
      </c>
      <c r="Q11" s="8">
        <f>SUMIF('DAILY OKEY AYAM'!$B$10:$B$173,$A11,'DAILY OKEY AYAM'!W$10:W$173)</f>
        <v>0</v>
      </c>
      <c r="R11" s="8">
        <f>SUMIF('DAILY OKEY AYAM'!$B$10:$B$173,$A11,'DAILY OKEY AYAM'!X$10:X$173)</f>
        <v>0</v>
      </c>
      <c r="S11" s="8">
        <f>SUMIF('DAILY OKEY AYAM'!$B$10:$B$173,$A11,'DAILY OKEY AYAM'!Y$10:Y$173)</f>
        <v>0</v>
      </c>
      <c r="T11" s="8">
        <f>SUMIF('DAILY OKEY AYAM'!$B$10:$B$173,$A11,'DAILY OKEY AYAM'!Z$10:Z$173)</f>
        <v>0</v>
      </c>
      <c r="U11" s="8">
        <f>SUMIF('DAILY OKEY AYAM'!$B$10:$B$173,$A11,'DAILY OKEY AYAM'!AA$10:AA$173)</f>
        <v>0</v>
      </c>
      <c r="V11" s="8">
        <f>SUMIF('DAILY OKEY AYAM'!$B$10:$B$173,$A11,'DAILY OKEY AYAM'!AB$10:AB$173)</f>
        <v>0</v>
      </c>
      <c r="W11" s="59">
        <f t="shared" si="0"/>
        <v>119.92999999999999</v>
      </c>
      <c r="X11" s="299">
        <f t="shared" si="1"/>
        <v>321.82</v>
      </c>
      <c r="Y11" s="47">
        <f t="shared" si="2"/>
        <v>85.818666666666658</v>
      </c>
      <c r="Z11" s="88">
        <f t="shared" si="3"/>
        <v>0.96937953263497179</v>
      </c>
      <c r="AA11" s="89">
        <f t="shared" si="4"/>
        <v>3.0620467365028214E-2</v>
      </c>
      <c r="AB11" s="112">
        <f>+'Actual VS SAP'!C13</f>
        <v>9</v>
      </c>
      <c r="AC11" s="48">
        <f t="shared" si="5"/>
        <v>14208.12</v>
      </c>
      <c r="AD11" s="89">
        <f t="shared" si="6"/>
        <v>0.98428750601768555</v>
      </c>
      <c r="AF11" s="159">
        <f>+AB11*'STD DRY'!$AD$6</f>
        <v>94.720799999999997</v>
      </c>
      <c r="AG11" s="159">
        <f>+AB11*'STD DRY'!$AD$12</f>
        <v>72.290914560000004</v>
      </c>
    </row>
    <row r="12" spans="1:34">
      <c r="A12" s="7">
        <f>+'ALL SORTASI'!A14</f>
        <v>46212</v>
      </c>
      <c r="B12" s="8">
        <f>SUMIF('DAILY OKEY AYAM'!$B$10:$B$173,$A12,'DAILY OKEY AYAM'!$D$10:$D$173)</f>
        <v>15209.375</v>
      </c>
      <c r="C12" s="8">
        <f>SUMIF('DAILY OKEY AYAM'!$B$10:$B$173,$A12,'DAILY OKEY AYAM'!I$10:I$173)</f>
        <v>14496.375</v>
      </c>
      <c r="D12" s="8">
        <f>SUMIF('DAILY OKEY AYAM'!$B$10:$B$173,$A12,'DAILY OKEY AYAM'!J$10:J$173)</f>
        <v>0</v>
      </c>
      <c r="E12" s="8">
        <f>SUMIF('DAILY OKEY AYAM'!$B$10:$B$173,$A12,'DAILY OKEY AYAM'!K$10:K$173)</f>
        <v>26.859999999999996</v>
      </c>
      <c r="F12" s="8">
        <f>SUMIF('DAILY OKEY AYAM'!$B$10:$B$173,$A12,'DAILY OKEY AYAM'!L$10:L$173)</f>
        <v>49.21</v>
      </c>
      <c r="G12" s="8">
        <f>SUMIF('DAILY OKEY AYAM'!$B$10:$B$173,$A12,'DAILY OKEY AYAM'!M$10:M$173)</f>
        <v>1.7999999999999998</v>
      </c>
      <c r="H12" s="8">
        <f>SUMIF('DAILY OKEY AYAM'!$B$10:$B$173,$A12,'DAILY OKEY AYAM'!N$10:N$173)</f>
        <v>0</v>
      </c>
      <c r="I12" s="8">
        <f>SUMIF('DAILY OKEY AYAM'!$B$10:$B$173,$A12,'DAILY OKEY AYAM'!O$10:O$173)</f>
        <v>77.81</v>
      </c>
      <c r="J12" s="8">
        <f>SUMIF('DAILY OKEY AYAM'!$B$10:$B$173,$A12,'DAILY OKEY AYAM'!P$10:P$173)</f>
        <v>4.6899999999999995</v>
      </c>
      <c r="K12" s="8">
        <f>SUMIF('DAILY OKEY AYAM'!$B$10:$B$173,$A12,'DAILY OKEY AYAM'!Q$10:Q$173)</f>
        <v>0</v>
      </c>
      <c r="L12" s="8">
        <f>SUMIF('DAILY OKEY AYAM'!$B$10:$B$173,$A12,'DAILY OKEY AYAM'!R$10:R$173)</f>
        <v>5.5900000000000007</v>
      </c>
      <c r="M12" s="8">
        <f>SUMIF('DAILY OKEY AYAM'!$B$10:$B$173,$A12,'DAILY OKEY AYAM'!S$10:S$173)</f>
        <v>0.4</v>
      </c>
      <c r="N12" s="8">
        <f>SUMIF('DAILY OKEY AYAM'!$B$10:$B$173,$A12,'DAILY OKEY AYAM'!T$10:T$173)</f>
        <v>15.67</v>
      </c>
      <c r="O12" s="8">
        <f>SUMIF('DAILY OKEY AYAM'!$B$10:$B$173,$A12,'DAILY OKEY AYAM'!U$10:U$173)</f>
        <v>0</v>
      </c>
      <c r="P12" s="8">
        <f>SUMIF('DAILY OKEY AYAM'!$B$10:$B$173,$A12,'DAILY OKEY AYAM'!V$10:V$173)</f>
        <v>0</v>
      </c>
      <c r="Q12" s="8">
        <f>SUMIF('DAILY OKEY AYAM'!$B$10:$B$173,$A12,'DAILY OKEY AYAM'!W$10:W$173)</f>
        <v>0</v>
      </c>
      <c r="R12" s="8">
        <f>SUMIF('DAILY OKEY AYAM'!$B$10:$B$173,$A12,'DAILY OKEY AYAM'!X$10:X$173)</f>
        <v>0</v>
      </c>
      <c r="S12" s="8">
        <f>SUMIF('DAILY OKEY AYAM'!$B$10:$B$173,$A12,'DAILY OKEY AYAM'!Y$10:Y$173)</f>
        <v>0</v>
      </c>
      <c r="T12" s="8">
        <f>SUMIF('DAILY OKEY AYAM'!$B$10:$B$173,$A12,'DAILY OKEY AYAM'!Z$10:Z$173)</f>
        <v>0</v>
      </c>
      <c r="U12" s="8">
        <f>SUMIF('DAILY OKEY AYAM'!$B$10:$B$173,$A12,'DAILY OKEY AYAM'!AA$10:AA$173)</f>
        <v>0</v>
      </c>
      <c r="V12" s="8">
        <f>SUMIF('DAILY OKEY AYAM'!$B$10:$B$173,$A12,'DAILY OKEY AYAM'!AB$10:AB$173)</f>
        <v>0</v>
      </c>
      <c r="W12" s="59">
        <f t="shared" si="0"/>
        <v>182.03</v>
      </c>
      <c r="X12" s="299">
        <f t="shared" si="1"/>
        <v>530.97</v>
      </c>
      <c r="Y12" s="47">
        <f t="shared" si="2"/>
        <v>141.59200000000001</v>
      </c>
      <c r="Z12" s="88">
        <f>+C12/B12</f>
        <v>0.95312101910828029</v>
      </c>
      <c r="AA12" s="89">
        <f t="shared" si="4"/>
        <v>4.6878980891719713E-2</v>
      </c>
      <c r="AB12" s="112">
        <f>+'Actual VS SAP'!C14</f>
        <v>9</v>
      </c>
      <c r="AC12" s="48">
        <f t="shared" si="5"/>
        <v>14208.12</v>
      </c>
      <c r="AD12" s="89">
        <f t="shared" si="6"/>
        <v>1.0202880465536608</v>
      </c>
      <c r="AF12" s="159">
        <f>+AB12*'STD DRY'!$AD$6</f>
        <v>94.720799999999997</v>
      </c>
      <c r="AG12" s="159">
        <f>+AB12*'STD DRY'!$AD$12</f>
        <v>72.290914560000004</v>
      </c>
    </row>
    <row r="13" spans="1:34">
      <c r="A13" s="7">
        <f>+'ALL SORTASI'!A15</f>
        <v>46213</v>
      </c>
      <c r="B13" s="8">
        <f>SUMIF('DAILY OKEY AYAM'!$B$10:$B$173,$A13,'DAILY OKEY AYAM'!$D$10:$D$173)</f>
        <v>14418.875</v>
      </c>
      <c r="C13" s="8">
        <f>SUMIF('DAILY OKEY AYAM'!$B$10:$B$173,$A13,'DAILY OKEY AYAM'!I$10:I$173)</f>
        <v>13202.125</v>
      </c>
      <c r="D13" s="8">
        <f>SUMIF('DAILY OKEY AYAM'!$B$10:$B$173,$A13,'DAILY OKEY AYAM'!J$10:J$173)</f>
        <v>410.75</v>
      </c>
      <c r="E13" s="8">
        <f>SUMIF('DAILY OKEY AYAM'!$B$10:$B$173,$A13,'DAILY OKEY AYAM'!K$10:K$173)</f>
        <v>20.990000000000002</v>
      </c>
      <c r="F13" s="8">
        <f>SUMIF('DAILY OKEY AYAM'!$B$10:$B$173,$A13,'DAILY OKEY AYAM'!L$10:L$173)</f>
        <v>42.56</v>
      </c>
      <c r="G13" s="8">
        <f>SUMIF('DAILY OKEY AYAM'!$B$10:$B$173,$A13,'DAILY OKEY AYAM'!M$10:M$173)</f>
        <v>2.69</v>
      </c>
      <c r="H13" s="8">
        <f>SUMIF('DAILY OKEY AYAM'!$B$10:$B$173,$A13,'DAILY OKEY AYAM'!N$10:N$173)</f>
        <v>2.7199999999999998</v>
      </c>
      <c r="I13" s="8">
        <f>SUMIF('DAILY OKEY AYAM'!$B$10:$B$173,$A13,'DAILY OKEY AYAM'!O$10:O$173)</f>
        <v>30</v>
      </c>
      <c r="J13" s="8">
        <f>SUMIF('DAILY OKEY AYAM'!$B$10:$B$173,$A13,'DAILY OKEY AYAM'!P$10:P$173)</f>
        <v>5.57</v>
      </c>
      <c r="K13" s="8">
        <f>SUMIF('DAILY OKEY AYAM'!$B$10:$B$173,$A13,'DAILY OKEY AYAM'!Q$10:Q$173)</f>
        <v>0</v>
      </c>
      <c r="L13" s="8">
        <f>SUMIF('DAILY OKEY AYAM'!$B$10:$B$173,$A13,'DAILY OKEY AYAM'!R$10:R$173)</f>
        <v>2.7</v>
      </c>
      <c r="M13" s="8">
        <f>SUMIF('DAILY OKEY AYAM'!$B$10:$B$173,$A13,'DAILY OKEY AYAM'!S$10:S$173)</f>
        <v>0</v>
      </c>
      <c r="N13" s="8">
        <f>SUMIF('DAILY OKEY AYAM'!$B$10:$B$173,$A13,'DAILY OKEY AYAM'!T$10:T$173)</f>
        <v>11.08</v>
      </c>
      <c r="O13" s="8">
        <f>SUMIF('DAILY OKEY AYAM'!$B$10:$B$173,$A13,'DAILY OKEY AYAM'!U$10:U$173)</f>
        <v>0.5</v>
      </c>
      <c r="P13" s="8">
        <f>SUMIF('DAILY OKEY AYAM'!$B$10:$B$173,$A13,'DAILY OKEY AYAM'!V$10:V$173)</f>
        <v>0</v>
      </c>
      <c r="Q13" s="8">
        <f>SUMIF('DAILY OKEY AYAM'!$B$10:$B$173,$A13,'DAILY OKEY AYAM'!W$10:W$173)</f>
        <v>0</v>
      </c>
      <c r="R13" s="8">
        <f>SUMIF('DAILY OKEY AYAM'!$B$10:$B$173,$A13,'DAILY OKEY AYAM'!X$10:X$173)</f>
        <v>0</v>
      </c>
      <c r="S13" s="8">
        <f>SUMIF('DAILY OKEY AYAM'!$B$10:$B$173,$A13,'DAILY OKEY AYAM'!Y$10:Y$173)</f>
        <v>0</v>
      </c>
      <c r="T13" s="8">
        <f>SUMIF('DAILY OKEY AYAM'!$B$10:$B$173,$A13,'DAILY OKEY AYAM'!Z$10:Z$173)</f>
        <v>0</v>
      </c>
      <c r="U13" s="8">
        <f>SUMIF('DAILY OKEY AYAM'!$B$10:$B$173,$A13,'DAILY OKEY AYAM'!AA$10:AA$173)</f>
        <v>0</v>
      </c>
      <c r="V13" s="8">
        <f>SUMIF('DAILY OKEY AYAM'!$B$10:$B$173,$A13,'DAILY OKEY AYAM'!AB$10:AB$173)</f>
        <v>0</v>
      </c>
      <c r="W13" s="59">
        <f t="shared" si="0"/>
        <v>118.81</v>
      </c>
      <c r="X13" s="299">
        <f t="shared" si="1"/>
        <v>687.19</v>
      </c>
      <c r="Y13" s="47">
        <f t="shared" si="2"/>
        <v>183.25066666666669</v>
      </c>
      <c r="Z13" s="88">
        <f t="shared" ref="Z13:Z19" si="7">+C13/B13</f>
        <v>0.91561408223595808</v>
      </c>
      <c r="AA13" s="89">
        <f t="shared" ref="AA13:AA19" si="8">100%-Z13</f>
        <v>8.4385917764041918E-2</v>
      </c>
      <c r="AB13" s="112">
        <f>+'Actual VS SAP'!C15</f>
        <v>9</v>
      </c>
      <c r="AC13" s="48">
        <f t="shared" si="5"/>
        <v>14208.12</v>
      </c>
      <c r="AD13" s="89">
        <f t="shared" si="6"/>
        <v>0.92919576974293572</v>
      </c>
      <c r="AF13" s="159">
        <f>+AB13*'STD DRY'!$AD$6</f>
        <v>94.720799999999997</v>
      </c>
      <c r="AG13" s="159">
        <f>+AB13*'STD DRY'!$AD$12</f>
        <v>72.290914560000004</v>
      </c>
    </row>
    <row r="14" spans="1:34">
      <c r="A14" s="7">
        <f>+'ALL SORTASI'!A16</f>
        <v>46214</v>
      </c>
      <c r="B14" s="8">
        <f>SUMIF('DAILY OKEY AYAM'!$B$10:$B$173,$A14,'DAILY OKEY AYAM'!$D$10:$D$173)</f>
        <v>0</v>
      </c>
      <c r="C14" s="8">
        <f>SUMIF('DAILY OKEY AYAM'!$B$10:$B$173,$A14,'DAILY OKEY AYAM'!I$10:I$173)</f>
        <v>0</v>
      </c>
      <c r="D14" s="8">
        <f>SUMIF('DAILY OKEY AYAM'!$B$10:$B$173,$A14,'DAILY OKEY AYAM'!J$10:J$173)</f>
        <v>0</v>
      </c>
      <c r="E14" s="8">
        <f>SUMIF('DAILY OKEY AYAM'!$B$10:$B$173,$A14,'DAILY OKEY AYAM'!K$10:K$173)</f>
        <v>0</v>
      </c>
      <c r="F14" s="8">
        <f>SUMIF('DAILY OKEY AYAM'!$B$10:$B$173,$A14,'DAILY OKEY AYAM'!L$10:L$173)</f>
        <v>0</v>
      </c>
      <c r="G14" s="8">
        <f>SUMIF('DAILY OKEY AYAM'!$B$10:$B$173,$A14,'DAILY OKEY AYAM'!M$10:M$173)</f>
        <v>0</v>
      </c>
      <c r="H14" s="8">
        <f>SUMIF('DAILY OKEY AYAM'!$B$10:$B$173,$A14,'DAILY OKEY AYAM'!N$10:N$173)</f>
        <v>0</v>
      </c>
      <c r="I14" s="8">
        <f>SUMIF('DAILY OKEY AYAM'!$B$10:$B$173,$A14,'DAILY OKEY AYAM'!O$10:O$173)</f>
        <v>0</v>
      </c>
      <c r="J14" s="8">
        <f>SUMIF('DAILY OKEY AYAM'!$B$10:$B$173,$A14,'DAILY OKEY AYAM'!P$10:P$173)</f>
        <v>0</v>
      </c>
      <c r="K14" s="8">
        <f>SUMIF('DAILY OKEY AYAM'!$B$10:$B$173,$A14,'DAILY OKEY AYAM'!Q$10:Q$173)</f>
        <v>0</v>
      </c>
      <c r="L14" s="8">
        <f>SUMIF('DAILY OKEY AYAM'!$B$10:$B$173,$A14,'DAILY OKEY AYAM'!R$10:R$173)</f>
        <v>0</v>
      </c>
      <c r="M14" s="8">
        <f>SUMIF('DAILY OKEY AYAM'!$B$10:$B$173,$A14,'DAILY OKEY AYAM'!S$10:S$173)</f>
        <v>0</v>
      </c>
      <c r="N14" s="8">
        <f>SUMIF('DAILY OKEY AYAM'!$B$10:$B$173,$A14,'DAILY OKEY AYAM'!T$10:T$173)</f>
        <v>0</v>
      </c>
      <c r="O14" s="8">
        <f>SUMIF('DAILY OKEY AYAM'!$B$10:$B$173,$A14,'DAILY OKEY AYAM'!U$10:U$173)</f>
        <v>0</v>
      </c>
      <c r="P14" s="8">
        <f>SUMIF('DAILY OKEY AYAM'!$B$10:$B$173,$A14,'DAILY OKEY AYAM'!V$10:V$173)</f>
        <v>0</v>
      </c>
      <c r="Q14" s="8">
        <f>SUMIF('DAILY OKEY AYAM'!$B$10:$B$173,$A14,'DAILY OKEY AYAM'!W$10:W$173)</f>
        <v>0</v>
      </c>
      <c r="R14" s="8">
        <f>SUMIF('DAILY OKEY AYAM'!$B$10:$B$173,$A14,'DAILY OKEY AYAM'!X$10:X$173)</f>
        <v>0</v>
      </c>
      <c r="S14" s="8">
        <f>SUMIF('DAILY OKEY AYAM'!$B$10:$B$173,$A14,'DAILY OKEY AYAM'!Y$10:Y$173)</f>
        <v>0</v>
      </c>
      <c r="T14" s="8">
        <f>SUMIF('DAILY OKEY AYAM'!$B$10:$B$173,$A14,'DAILY OKEY AYAM'!Z$10:Z$173)</f>
        <v>0</v>
      </c>
      <c r="U14" s="8">
        <f>SUMIF('DAILY OKEY AYAM'!$B$10:$B$173,$A14,'DAILY OKEY AYAM'!AA$10:AA$173)</f>
        <v>0</v>
      </c>
      <c r="V14" s="8">
        <f>SUMIF('DAILY OKEY AYAM'!$B$10:$B$173,$A14,'DAILY OKEY AYAM'!AB$10:AB$173)</f>
        <v>0</v>
      </c>
      <c r="W14" s="59">
        <f t="shared" si="0"/>
        <v>0</v>
      </c>
      <c r="X14" s="299">
        <f t="shared" si="1"/>
        <v>0</v>
      </c>
      <c r="Y14" s="47">
        <f t="shared" si="2"/>
        <v>0</v>
      </c>
      <c r="Z14" s="88" t="e">
        <f t="shared" si="7"/>
        <v>#DIV/0!</v>
      </c>
      <c r="AA14" s="89" t="e">
        <f t="shared" si="8"/>
        <v>#DIV/0!</v>
      </c>
      <c r="AB14" s="112">
        <f>+'Actual VS SAP'!C16</f>
        <v>0</v>
      </c>
      <c r="AC14" s="48">
        <f t="shared" si="5"/>
        <v>0</v>
      </c>
      <c r="AD14" s="89" t="e">
        <f t="shared" si="6"/>
        <v>#DIV/0!</v>
      </c>
      <c r="AF14" s="159">
        <f>+AB14*'STD DRY'!$AD$6</f>
        <v>0</v>
      </c>
      <c r="AG14" s="159">
        <f>+AB14*'STD DRY'!$AD$12</f>
        <v>0</v>
      </c>
    </row>
    <row r="15" spans="1:34" s="46" customFormat="1">
      <c r="A15" s="341">
        <f>+'ALL SORTASI'!A17</f>
        <v>46215</v>
      </c>
      <c r="B15" s="8">
        <f>SUMIF('DAILY OKEY AYAM'!$B$10:$B$173,$A15,'DAILY OKEY AYAM'!$D$10:$D$173)</f>
        <v>0</v>
      </c>
      <c r="C15" s="8">
        <f>SUMIF('DAILY OKEY AYAM'!$B$10:$B$173,$A15,'DAILY OKEY AYAM'!I$10:I$173)</f>
        <v>0</v>
      </c>
      <c r="D15" s="8">
        <f>SUMIF('DAILY OKEY AYAM'!$B$10:$B$173,$A15,'DAILY OKEY AYAM'!J$10:J$173)</f>
        <v>0</v>
      </c>
      <c r="E15" s="8">
        <f>SUMIF('DAILY OKEY AYAM'!$B$10:$B$173,$A15,'DAILY OKEY AYAM'!K$10:K$173)</f>
        <v>0</v>
      </c>
      <c r="F15" s="8">
        <f>SUMIF('DAILY OKEY AYAM'!$B$10:$B$173,$A15,'DAILY OKEY AYAM'!L$10:L$173)</f>
        <v>0</v>
      </c>
      <c r="G15" s="8">
        <f>SUMIF('DAILY OKEY AYAM'!$B$10:$B$173,$A15,'DAILY OKEY AYAM'!M$10:M$173)</f>
        <v>0</v>
      </c>
      <c r="H15" s="8">
        <f>SUMIF('DAILY OKEY AYAM'!$B$10:$B$173,$A15,'DAILY OKEY AYAM'!N$10:N$173)</f>
        <v>0</v>
      </c>
      <c r="I15" s="8">
        <f>SUMIF('DAILY OKEY AYAM'!$B$10:$B$173,$A15,'DAILY OKEY AYAM'!O$10:O$173)</f>
        <v>0</v>
      </c>
      <c r="J15" s="8">
        <f>SUMIF('DAILY OKEY AYAM'!$B$10:$B$173,$A15,'DAILY OKEY AYAM'!P$10:P$173)</f>
        <v>0</v>
      </c>
      <c r="K15" s="8">
        <f>SUMIF('DAILY OKEY AYAM'!$B$10:$B$173,$A15,'DAILY OKEY AYAM'!Q$10:Q$173)</f>
        <v>0</v>
      </c>
      <c r="L15" s="8">
        <f>SUMIF('DAILY OKEY AYAM'!$B$10:$B$173,$A15,'DAILY OKEY AYAM'!R$10:R$173)</f>
        <v>0</v>
      </c>
      <c r="M15" s="8">
        <f>SUMIF('DAILY OKEY AYAM'!$B$10:$B$173,$A15,'DAILY OKEY AYAM'!S$10:S$173)</f>
        <v>0</v>
      </c>
      <c r="N15" s="8">
        <f>SUMIF('DAILY OKEY AYAM'!$B$10:$B$173,$A15,'DAILY OKEY AYAM'!T$10:T$173)</f>
        <v>0</v>
      </c>
      <c r="O15" s="8">
        <f>SUMIF('DAILY OKEY AYAM'!$B$10:$B$173,$A15,'DAILY OKEY AYAM'!U$10:U$173)</f>
        <v>0</v>
      </c>
      <c r="P15" s="8">
        <f>SUMIF('DAILY OKEY AYAM'!$B$10:$B$173,$A15,'DAILY OKEY AYAM'!V$10:V$173)</f>
        <v>0</v>
      </c>
      <c r="Q15" s="8">
        <f>SUMIF('DAILY OKEY AYAM'!$B$10:$B$173,$A15,'DAILY OKEY AYAM'!W$10:W$173)</f>
        <v>0</v>
      </c>
      <c r="R15" s="8">
        <f>SUMIF('DAILY OKEY AYAM'!$B$10:$B$173,$A15,'DAILY OKEY AYAM'!X$10:X$173)</f>
        <v>0</v>
      </c>
      <c r="S15" s="8">
        <f>SUMIF('DAILY OKEY AYAM'!$B$10:$B$173,$A15,'DAILY OKEY AYAM'!Y$10:Y$173)</f>
        <v>0</v>
      </c>
      <c r="T15" s="8">
        <f>SUMIF('DAILY OKEY AYAM'!$B$10:$B$173,$A15,'DAILY OKEY AYAM'!Z$10:Z$173)</f>
        <v>0</v>
      </c>
      <c r="U15" s="8">
        <f>SUMIF('DAILY OKEY AYAM'!$B$10:$B$173,$A15,'DAILY OKEY AYAM'!AA$10:AA$173)</f>
        <v>0</v>
      </c>
      <c r="V15" s="8">
        <f>SUMIF('DAILY OKEY AYAM'!$B$10:$B$173,$A15,'DAILY OKEY AYAM'!AB$10:AB$173)</f>
        <v>0</v>
      </c>
      <c r="W15" s="342">
        <f t="shared" si="0"/>
        <v>0</v>
      </c>
      <c r="X15" s="343">
        <f t="shared" si="1"/>
        <v>0</v>
      </c>
      <c r="Y15" s="46">
        <f t="shared" si="2"/>
        <v>0</v>
      </c>
      <c r="Z15" s="344" t="e">
        <f t="shared" si="7"/>
        <v>#DIV/0!</v>
      </c>
      <c r="AA15" s="345" t="e">
        <f t="shared" si="8"/>
        <v>#DIV/0!</v>
      </c>
      <c r="AB15" s="346">
        <f>+'Actual VS SAP'!C17</f>
        <v>0</v>
      </c>
      <c r="AC15" s="347">
        <f t="shared" si="5"/>
        <v>0</v>
      </c>
      <c r="AD15" s="345" t="e">
        <f t="shared" si="6"/>
        <v>#DIV/0!</v>
      </c>
      <c r="AF15" s="348">
        <f>+AB15*'STD DRY'!$AD$6</f>
        <v>0</v>
      </c>
      <c r="AG15" s="348">
        <f>+AB15*'STD DRY'!$AD$12</f>
        <v>0</v>
      </c>
      <c r="AH15" s="344"/>
    </row>
    <row r="16" spans="1:34" s="46" customFormat="1">
      <c r="A16" s="341">
        <f>+'ALL SORTASI'!A18</f>
        <v>46216</v>
      </c>
      <c r="B16" s="8">
        <f>SUMIF('DAILY OKEY AYAM'!$B$10:$B$173,$A16,'DAILY OKEY AYAM'!$D$10:$D$173)</f>
        <v>0</v>
      </c>
      <c r="C16" s="8">
        <f>SUMIF('DAILY OKEY AYAM'!$B$10:$B$173,$A16,'DAILY OKEY AYAM'!I$10:I$173)</f>
        <v>0</v>
      </c>
      <c r="D16" s="8">
        <f>SUMIF('DAILY OKEY AYAM'!$B$10:$B$173,$A16,'DAILY OKEY AYAM'!J$10:J$173)</f>
        <v>0</v>
      </c>
      <c r="E16" s="8">
        <f>SUMIF('DAILY OKEY AYAM'!$B$10:$B$173,$A16,'DAILY OKEY AYAM'!K$10:K$173)</f>
        <v>0</v>
      </c>
      <c r="F16" s="8">
        <f>SUMIF('DAILY OKEY AYAM'!$B$10:$B$173,$A16,'DAILY OKEY AYAM'!L$10:L$173)</f>
        <v>0</v>
      </c>
      <c r="G16" s="8">
        <f>SUMIF('DAILY OKEY AYAM'!$B$10:$B$173,$A16,'DAILY OKEY AYAM'!M$10:M$173)</f>
        <v>0</v>
      </c>
      <c r="H16" s="8">
        <f>SUMIF('DAILY OKEY AYAM'!$B$10:$B$173,$A16,'DAILY OKEY AYAM'!N$10:N$173)</f>
        <v>0</v>
      </c>
      <c r="I16" s="8">
        <f>SUMIF('DAILY OKEY AYAM'!$B$10:$B$173,$A16,'DAILY OKEY AYAM'!O$10:O$173)</f>
        <v>0</v>
      </c>
      <c r="J16" s="8">
        <f>SUMIF('DAILY OKEY AYAM'!$B$10:$B$173,$A16,'DAILY OKEY AYAM'!P$10:P$173)</f>
        <v>0</v>
      </c>
      <c r="K16" s="8">
        <f>SUMIF('DAILY OKEY AYAM'!$B$10:$B$173,$A16,'DAILY OKEY AYAM'!Q$10:Q$173)</f>
        <v>0</v>
      </c>
      <c r="L16" s="8">
        <f>SUMIF('DAILY OKEY AYAM'!$B$10:$B$173,$A16,'DAILY OKEY AYAM'!R$10:R$173)</f>
        <v>0</v>
      </c>
      <c r="M16" s="8">
        <f>SUMIF('DAILY OKEY AYAM'!$B$10:$B$173,$A16,'DAILY OKEY AYAM'!S$10:S$173)</f>
        <v>0</v>
      </c>
      <c r="N16" s="8">
        <f>SUMIF('DAILY OKEY AYAM'!$B$10:$B$173,$A16,'DAILY OKEY AYAM'!T$10:T$173)</f>
        <v>0</v>
      </c>
      <c r="O16" s="8">
        <f>SUMIF('DAILY OKEY AYAM'!$B$10:$B$173,$A16,'DAILY OKEY AYAM'!U$10:U$173)</f>
        <v>0</v>
      </c>
      <c r="P16" s="8">
        <f>SUMIF('DAILY OKEY AYAM'!$B$10:$B$173,$A16,'DAILY OKEY AYAM'!V$10:V$173)</f>
        <v>0</v>
      </c>
      <c r="Q16" s="8">
        <f>SUMIF('DAILY OKEY AYAM'!$B$10:$B$173,$A16,'DAILY OKEY AYAM'!W$10:W$173)</f>
        <v>0</v>
      </c>
      <c r="R16" s="8">
        <f>SUMIF('DAILY OKEY AYAM'!$B$10:$B$173,$A16,'DAILY OKEY AYAM'!X$10:X$173)</f>
        <v>0</v>
      </c>
      <c r="S16" s="8">
        <f>SUMIF('DAILY OKEY AYAM'!$B$10:$B$173,$A16,'DAILY OKEY AYAM'!Y$10:Y$173)</f>
        <v>0</v>
      </c>
      <c r="T16" s="8">
        <f>SUMIF('DAILY OKEY AYAM'!$B$10:$B$173,$A16,'DAILY OKEY AYAM'!Z$10:Z$173)</f>
        <v>0</v>
      </c>
      <c r="U16" s="8">
        <f>SUMIF('DAILY OKEY AYAM'!$B$10:$B$173,$A16,'DAILY OKEY AYAM'!AA$10:AA$173)</f>
        <v>0</v>
      </c>
      <c r="V16" s="8">
        <f>SUMIF('DAILY OKEY AYAM'!$B$10:$B$173,$A16,'DAILY OKEY AYAM'!AB$10:AB$173)</f>
        <v>0</v>
      </c>
      <c r="W16" s="342">
        <f t="shared" si="0"/>
        <v>0</v>
      </c>
      <c r="X16" s="343">
        <f t="shared" si="1"/>
        <v>0</v>
      </c>
      <c r="Y16" s="46">
        <f t="shared" si="2"/>
        <v>0</v>
      </c>
      <c r="Z16" s="344" t="e">
        <f t="shared" si="7"/>
        <v>#DIV/0!</v>
      </c>
      <c r="AA16" s="345" t="e">
        <f t="shared" si="8"/>
        <v>#DIV/0!</v>
      </c>
      <c r="AB16" s="346">
        <f>+'Actual VS SAP'!C18</f>
        <v>0</v>
      </c>
      <c r="AC16" s="347">
        <f t="shared" si="5"/>
        <v>0</v>
      </c>
      <c r="AD16" s="345" t="e">
        <f t="shared" si="6"/>
        <v>#DIV/0!</v>
      </c>
      <c r="AF16" s="348">
        <f>+AB16*'STD DRY'!$AD$6</f>
        <v>0</v>
      </c>
      <c r="AG16" s="348">
        <f>+AB16*'STD DRY'!$AD$12</f>
        <v>0</v>
      </c>
      <c r="AH16" s="344"/>
    </row>
    <row r="17" spans="1:35" s="46" customFormat="1">
      <c r="A17" s="341">
        <f>+'ALL SORTASI'!A19</f>
        <v>46217</v>
      </c>
      <c r="B17" s="8">
        <f>SUMIF('DAILY OKEY AYAM'!$B$10:$B$173,$A17,'DAILY OKEY AYAM'!$D$10:$D$173)</f>
        <v>0</v>
      </c>
      <c r="C17" s="8">
        <f>SUMIF('DAILY OKEY AYAM'!$B$10:$B$173,$A17,'DAILY OKEY AYAM'!I$10:I$173)</f>
        <v>0</v>
      </c>
      <c r="D17" s="8">
        <f>SUMIF('DAILY OKEY AYAM'!$B$10:$B$173,$A17,'DAILY OKEY AYAM'!J$10:J$173)</f>
        <v>0</v>
      </c>
      <c r="E17" s="8">
        <f>SUMIF('DAILY OKEY AYAM'!$B$10:$B$173,$A17,'DAILY OKEY AYAM'!K$10:K$173)</f>
        <v>0</v>
      </c>
      <c r="F17" s="8">
        <f>SUMIF('DAILY OKEY AYAM'!$B$10:$B$173,$A17,'DAILY OKEY AYAM'!L$10:L$173)</f>
        <v>0</v>
      </c>
      <c r="G17" s="8">
        <f>SUMIF('DAILY OKEY AYAM'!$B$10:$B$173,$A17,'DAILY OKEY AYAM'!M$10:M$173)</f>
        <v>0</v>
      </c>
      <c r="H17" s="8">
        <f>SUMIF('DAILY OKEY AYAM'!$B$10:$B$173,$A17,'DAILY OKEY AYAM'!N$10:N$173)</f>
        <v>0</v>
      </c>
      <c r="I17" s="8">
        <f>SUMIF('DAILY OKEY AYAM'!$B$10:$B$173,$A17,'DAILY OKEY AYAM'!O$10:O$173)</f>
        <v>0</v>
      </c>
      <c r="J17" s="8">
        <f>SUMIF('DAILY OKEY AYAM'!$B$10:$B$173,$A17,'DAILY OKEY AYAM'!P$10:P$173)</f>
        <v>0</v>
      </c>
      <c r="K17" s="8">
        <f>SUMIF('DAILY OKEY AYAM'!$B$10:$B$173,$A17,'DAILY OKEY AYAM'!Q$10:Q$173)</f>
        <v>0</v>
      </c>
      <c r="L17" s="8">
        <f>SUMIF('DAILY OKEY AYAM'!$B$10:$B$173,$A17,'DAILY OKEY AYAM'!R$10:R$173)</f>
        <v>0</v>
      </c>
      <c r="M17" s="8">
        <f>SUMIF('DAILY OKEY AYAM'!$B$10:$B$173,$A17,'DAILY OKEY AYAM'!S$10:S$173)</f>
        <v>0</v>
      </c>
      <c r="N17" s="8">
        <f>SUMIF('DAILY OKEY AYAM'!$B$10:$B$173,$A17,'DAILY OKEY AYAM'!T$10:T$173)</f>
        <v>0</v>
      </c>
      <c r="O17" s="8">
        <f>SUMIF('DAILY OKEY AYAM'!$B$10:$B$173,$A17,'DAILY OKEY AYAM'!U$10:U$173)</f>
        <v>0</v>
      </c>
      <c r="P17" s="8">
        <f>SUMIF('DAILY OKEY AYAM'!$B$10:$B$173,$A17,'DAILY OKEY AYAM'!V$10:V$173)</f>
        <v>0</v>
      </c>
      <c r="Q17" s="8">
        <f>SUMIF('DAILY OKEY AYAM'!$B$10:$B$173,$A17,'DAILY OKEY AYAM'!W$10:W$173)</f>
        <v>0</v>
      </c>
      <c r="R17" s="8">
        <f>SUMIF('DAILY OKEY AYAM'!$B$10:$B$173,$A17,'DAILY OKEY AYAM'!X$10:X$173)</f>
        <v>0</v>
      </c>
      <c r="S17" s="8">
        <f>SUMIF('DAILY OKEY AYAM'!$B$10:$B$173,$A17,'DAILY OKEY AYAM'!Y$10:Y$173)</f>
        <v>0</v>
      </c>
      <c r="T17" s="8">
        <f>SUMIF('DAILY OKEY AYAM'!$B$10:$B$173,$A17,'DAILY OKEY AYAM'!Z$10:Z$173)</f>
        <v>0</v>
      </c>
      <c r="U17" s="8">
        <f>SUMIF('DAILY OKEY AYAM'!$B$10:$B$173,$A17,'DAILY OKEY AYAM'!AA$10:AA$173)</f>
        <v>0</v>
      </c>
      <c r="V17" s="8">
        <f>SUMIF('DAILY OKEY AYAM'!$B$10:$B$173,$A17,'DAILY OKEY AYAM'!AB$10:AB$173)</f>
        <v>0</v>
      </c>
      <c r="W17" s="342">
        <f t="shared" si="0"/>
        <v>0</v>
      </c>
      <c r="X17" s="343">
        <f t="shared" si="1"/>
        <v>0</v>
      </c>
      <c r="Y17" s="46">
        <f t="shared" si="2"/>
        <v>0</v>
      </c>
      <c r="Z17" s="344" t="e">
        <f t="shared" si="7"/>
        <v>#DIV/0!</v>
      </c>
      <c r="AA17" s="345" t="e">
        <f t="shared" si="8"/>
        <v>#DIV/0!</v>
      </c>
      <c r="AB17" s="346">
        <f>+'Actual VS SAP'!C19</f>
        <v>0</v>
      </c>
      <c r="AC17" s="347">
        <f t="shared" si="5"/>
        <v>0</v>
      </c>
      <c r="AD17" s="345" t="e">
        <f t="shared" si="6"/>
        <v>#DIV/0!</v>
      </c>
      <c r="AF17" s="348">
        <f>+AB17*'STD DRY'!$AD$6</f>
        <v>0</v>
      </c>
      <c r="AG17" s="348">
        <f>+AB17*'STD DRY'!$AD$12</f>
        <v>0</v>
      </c>
      <c r="AH17" s="344"/>
    </row>
    <row r="18" spans="1:35" s="46" customFormat="1">
      <c r="A18" s="341">
        <f>+'ALL SORTASI'!A20</f>
        <v>46218</v>
      </c>
      <c r="B18" s="8">
        <f>SUMIF('DAILY OKEY AYAM'!$B$10:$B$173,$A18,'DAILY OKEY AYAM'!$D$10:$D$173)</f>
        <v>0</v>
      </c>
      <c r="C18" s="8">
        <f>SUMIF('DAILY OKEY AYAM'!$B$10:$B$173,$A18,'DAILY OKEY AYAM'!I$10:I$173)</f>
        <v>0</v>
      </c>
      <c r="D18" s="8">
        <f>SUMIF('DAILY OKEY AYAM'!$B$10:$B$173,$A18,'DAILY OKEY AYAM'!J$10:J$173)</f>
        <v>0</v>
      </c>
      <c r="E18" s="8">
        <f>SUMIF('DAILY OKEY AYAM'!$B$10:$B$173,$A18,'DAILY OKEY AYAM'!K$10:K$173)</f>
        <v>0</v>
      </c>
      <c r="F18" s="8">
        <f>SUMIF('DAILY OKEY AYAM'!$B$10:$B$173,$A18,'DAILY OKEY AYAM'!L$10:L$173)</f>
        <v>0</v>
      </c>
      <c r="G18" s="8">
        <f>SUMIF('DAILY OKEY AYAM'!$B$10:$B$173,$A18,'DAILY OKEY AYAM'!M$10:M$173)</f>
        <v>0</v>
      </c>
      <c r="H18" s="8">
        <f>SUMIF('DAILY OKEY AYAM'!$B$10:$B$173,$A18,'DAILY OKEY AYAM'!N$10:N$173)</f>
        <v>0</v>
      </c>
      <c r="I18" s="8">
        <f>SUMIF('DAILY OKEY AYAM'!$B$10:$B$173,$A18,'DAILY OKEY AYAM'!O$10:O$173)</f>
        <v>0</v>
      </c>
      <c r="J18" s="8">
        <f>SUMIF('DAILY OKEY AYAM'!$B$10:$B$173,$A18,'DAILY OKEY AYAM'!P$10:P$173)</f>
        <v>0</v>
      </c>
      <c r="K18" s="8">
        <f>SUMIF('DAILY OKEY AYAM'!$B$10:$B$173,$A18,'DAILY OKEY AYAM'!Q$10:Q$173)</f>
        <v>0</v>
      </c>
      <c r="L18" s="8">
        <f>SUMIF('DAILY OKEY AYAM'!$B$10:$B$173,$A18,'DAILY OKEY AYAM'!R$10:R$173)</f>
        <v>0</v>
      </c>
      <c r="M18" s="8">
        <f>SUMIF('DAILY OKEY AYAM'!$B$10:$B$173,$A18,'DAILY OKEY AYAM'!S$10:S$173)</f>
        <v>0</v>
      </c>
      <c r="N18" s="8">
        <f>SUMIF('DAILY OKEY AYAM'!$B$10:$B$173,$A18,'DAILY OKEY AYAM'!T$10:T$173)</f>
        <v>0</v>
      </c>
      <c r="O18" s="8">
        <f>SUMIF('DAILY OKEY AYAM'!$B$10:$B$173,$A18,'DAILY OKEY AYAM'!U$10:U$173)</f>
        <v>0</v>
      </c>
      <c r="P18" s="8">
        <f>SUMIF('DAILY OKEY AYAM'!$B$10:$B$173,$A18,'DAILY OKEY AYAM'!V$10:V$173)</f>
        <v>0</v>
      </c>
      <c r="Q18" s="8">
        <f>SUMIF('DAILY OKEY AYAM'!$B$10:$B$173,$A18,'DAILY OKEY AYAM'!W$10:W$173)</f>
        <v>0</v>
      </c>
      <c r="R18" s="8">
        <f>SUMIF('DAILY OKEY AYAM'!$B$10:$B$173,$A18,'DAILY OKEY AYAM'!X$10:X$173)</f>
        <v>0</v>
      </c>
      <c r="S18" s="8">
        <f>SUMIF('DAILY OKEY AYAM'!$B$10:$B$173,$A18,'DAILY OKEY AYAM'!Y$10:Y$173)</f>
        <v>0</v>
      </c>
      <c r="T18" s="8">
        <f>SUMIF('DAILY OKEY AYAM'!$B$10:$B$173,$A18,'DAILY OKEY AYAM'!Z$10:Z$173)</f>
        <v>0</v>
      </c>
      <c r="U18" s="8">
        <f>SUMIF('DAILY OKEY AYAM'!$B$10:$B$173,$A18,'DAILY OKEY AYAM'!AA$10:AA$173)</f>
        <v>0</v>
      </c>
      <c r="V18" s="8">
        <f>SUMIF('DAILY OKEY AYAM'!$B$10:$B$173,$A18,'DAILY OKEY AYAM'!AB$10:AB$173)</f>
        <v>0</v>
      </c>
      <c r="W18" s="342">
        <f t="shared" si="0"/>
        <v>0</v>
      </c>
      <c r="X18" s="343">
        <f t="shared" si="1"/>
        <v>0</v>
      </c>
      <c r="Y18" s="46">
        <f t="shared" si="2"/>
        <v>0</v>
      </c>
      <c r="Z18" s="344" t="e">
        <f t="shared" si="7"/>
        <v>#DIV/0!</v>
      </c>
      <c r="AA18" s="345" t="e">
        <f t="shared" si="8"/>
        <v>#DIV/0!</v>
      </c>
      <c r="AB18" s="346">
        <f>+'Actual VS SAP'!C20</f>
        <v>0</v>
      </c>
      <c r="AC18" s="347">
        <f t="shared" si="5"/>
        <v>0</v>
      </c>
      <c r="AD18" s="345" t="e">
        <f t="shared" si="6"/>
        <v>#DIV/0!</v>
      </c>
      <c r="AF18" s="348">
        <f>+AB18*'STD DRY'!$AD$6</f>
        <v>0</v>
      </c>
      <c r="AG18" s="348">
        <f>+AB18*'STD DRY'!$AD$12</f>
        <v>0</v>
      </c>
      <c r="AH18" s="344"/>
    </row>
    <row r="19" spans="1:35" s="46" customFormat="1">
      <c r="A19" s="341">
        <f>+'ALL SORTASI'!A21</f>
        <v>46219</v>
      </c>
      <c r="B19" s="8">
        <f>SUMIF('DAILY OKEY AYAM'!$B$10:$B$173,$A19,'DAILY OKEY AYAM'!$D$10:$D$173)</f>
        <v>0</v>
      </c>
      <c r="C19" s="8">
        <f>SUMIF('DAILY OKEY AYAM'!$B$10:$B$173,$A19,'DAILY OKEY AYAM'!I$10:I$173)</f>
        <v>0</v>
      </c>
      <c r="D19" s="8">
        <f>SUMIF('DAILY OKEY AYAM'!$B$10:$B$173,$A19,'DAILY OKEY AYAM'!J$10:J$173)</f>
        <v>0</v>
      </c>
      <c r="E19" s="8">
        <f>SUMIF('DAILY OKEY AYAM'!$B$10:$B$173,$A19,'DAILY OKEY AYAM'!K$10:K$173)</f>
        <v>0</v>
      </c>
      <c r="F19" s="8">
        <f>SUMIF('DAILY OKEY AYAM'!$B$10:$B$173,$A19,'DAILY OKEY AYAM'!L$10:L$173)</f>
        <v>0</v>
      </c>
      <c r="G19" s="8">
        <f>SUMIF('DAILY OKEY AYAM'!$B$10:$B$173,$A19,'DAILY OKEY AYAM'!M$10:M$173)</f>
        <v>0</v>
      </c>
      <c r="H19" s="8">
        <f>SUMIF('DAILY OKEY AYAM'!$B$10:$B$173,$A19,'DAILY OKEY AYAM'!N$10:N$173)</f>
        <v>0</v>
      </c>
      <c r="I19" s="8">
        <f>SUMIF('DAILY OKEY AYAM'!$B$10:$B$173,$A19,'DAILY OKEY AYAM'!O$10:O$173)</f>
        <v>0</v>
      </c>
      <c r="J19" s="8">
        <f>SUMIF('DAILY OKEY AYAM'!$B$10:$B$173,$A19,'DAILY OKEY AYAM'!P$10:P$173)</f>
        <v>0</v>
      </c>
      <c r="K19" s="8">
        <f>SUMIF('DAILY OKEY AYAM'!$B$10:$B$173,$A19,'DAILY OKEY AYAM'!Q$10:Q$173)</f>
        <v>0</v>
      </c>
      <c r="L19" s="8">
        <f>SUMIF('DAILY OKEY AYAM'!$B$10:$B$173,$A19,'DAILY OKEY AYAM'!R$10:R$173)</f>
        <v>0</v>
      </c>
      <c r="M19" s="8">
        <f>SUMIF('DAILY OKEY AYAM'!$B$10:$B$173,$A19,'DAILY OKEY AYAM'!S$10:S$173)</f>
        <v>0</v>
      </c>
      <c r="N19" s="8">
        <f>SUMIF('DAILY OKEY AYAM'!$B$10:$B$173,$A19,'DAILY OKEY AYAM'!T$10:T$173)</f>
        <v>0</v>
      </c>
      <c r="O19" s="8">
        <f>SUMIF('DAILY OKEY AYAM'!$B$10:$B$173,$A19,'DAILY OKEY AYAM'!U$10:U$173)</f>
        <v>0</v>
      </c>
      <c r="P19" s="8">
        <f>SUMIF('DAILY OKEY AYAM'!$B$10:$B$173,$A19,'DAILY OKEY AYAM'!V$10:V$173)</f>
        <v>0</v>
      </c>
      <c r="Q19" s="8">
        <f>SUMIF('DAILY OKEY AYAM'!$B$10:$B$173,$A19,'DAILY OKEY AYAM'!W$10:W$173)</f>
        <v>0</v>
      </c>
      <c r="R19" s="8">
        <f>SUMIF('DAILY OKEY AYAM'!$B$10:$B$173,$A19,'DAILY OKEY AYAM'!X$10:X$173)</f>
        <v>0</v>
      </c>
      <c r="S19" s="8">
        <f>SUMIF('DAILY OKEY AYAM'!$B$10:$B$173,$A19,'DAILY OKEY AYAM'!Y$10:Y$173)</f>
        <v>0</v>
      </c>
      <c r="T19" s="8">
        <f>SUMIF('DAILY OKEY AYAM'!$B$10:$B$173,$A19,'DAILY OKEY AYAM'!Z$10:Z$173)</f>
        <v>0</v>
      </c>
      <c r="U19" s="8">
        <f>SUMIF('DAILY OKEY AYAM'!$B$10:$B$173,$A19,'DAILY OKEY AYAM'!AA$10:AA$173)</f>
        <v>0</v>
      </c>
      <c r="V19" s="8">
        <f>SUMIF('DAILY OKEY AYAM'!$B$10:$B$173,$A19,'DAILY OKEY AYAM'!AB$10:AB$173)</f>
        <v>0</v>
      </c>
      <c r="W19" s="342">
        <f t="shared" si="0"/>
        <v>0</v>
      </c>
      <c r="X19" s="343">
        <f t="shared" si="1"/>
        <v>0</v>
      </c>
      <c r="Y19" s="46">
        <f t="shared" si="2"/>
        <v>0</v>
      </c>
      <c r="Z19" s="344" t="e">
        <f t="shared" si="7"/>
        <v>#DIV/0!</v>
      </c>
      <c r="AA19" s="345" t="e">
        <f t="shared" si="8"/>
        <v>#DIV/0!</v>
      </c>
      <c r="AB19" s="346">
        <f>+'Actual VS SAP'!C21</f>
        <v>0</v>
      </c>
      <c r="AC19" s="347">
        <f t="shared" si="5"/>
        <v>0</v>
      </c>
      <c r="AD19" s="345" t="e">
        <f t="shared" si="6"/>
        <v>#DIV/0!</v>
      </c>
      <c r="AF19" s="348">
        <f>+AB19*'STD DRY'!$AD$6</f>
        <v>0</v>
      </c>
      <c r="AG19" s="348">
        <f>+AB19*'STD DRY'!$AD$12</f>
        <v>0</v>
      </c>
    </row>
    <row r="20" spans="1:35" s="46" customFormat="1">
      <c r="A20" s="341">
        <f>+'ALL SORTASI'!A22</f>
        <v>46220</v>
      </c>
      <c r="B20" s="8">
        <f>SUMIF('DAILY OKEY AYAM'!$B$10:$B$173,$A20,'DAILY OKEY AYAM'!$D$10:$D$173)</f>
        <v>8610.25</v>
      </c>
      <c r="C20" s="8">
        <f>SUMIF('DAILY OKEY AYAM'!$B$10:$B$173,$A20,'DAILY OKEY AYAM'!I$10:I$173)</f>
        <v>8238.25</v>
      </c>
      <c r="D20" s="8">
        <f>SUMIF('DAILY OKEY AYAM'!$B$10:$B$173,$A20,'DAILY OKEY AYAM'!J$10:J$173)</f>
        <v>0</v>
      </c>
      <c r="E20" s="8">
        <f>SUMIF('DAILY OKEY AYAM'!$B$10:$B$173,$A20,'DAILY OKEY AYAM'!K$10:K$173)</f>
        <v>11.629999999999999</v>
      </c>
      <c r="F20" s="8">
        <f>SUMIF('DAILY OKEY AYAM'!$B$10:$B$173,$A20,'DAILY OKEY AYAM'!L$10:L$173)</f>
        <v>20.2</v>
      </c>
      <c r="G20" s="8">
        <f>SUMIF('DAILY OKEY AYAM'!$B$10:$B$173,$A20,'DAILY OKEY AYAM'!M$10:M$173)</f>
        <v>0</v>
      </c>
      <c r="H20" s="8">
        <f>SUMIF('DAILY OKEY AYAM'!$B$10:$B$173,$A20,'DAILY OKEY AYAM'!N$10:N$173)</f>
        <v>0.76</v>
      </c>
      <c r="I20" s="8">
        <f>SUMIF('DAILY OKEY AYAM'!$B$10:$B$173,$A20,'DAILY OKEY AYAM'!O$10:O$173)</f>
        <v>26.09</v>
      </c>
      <c r="J20" s="8">
        <f>SUMIF('DAILY OKEY AYAM'!$B$10:$B$173,$A20,'DAILY OKEY AYAM'!P$10:P$173)</f>
        <v>2.3499999999999996</v>
      </c>
      <c r="K20" s="8">
        <f>SUMIF('DAILY OKEY AYAM'!$B$10:$B$173,$A20,'DAILY OKEY AYAM'!Q$10:Q$173)</f>
        <v>0</v>
      </c>
      <c r="L20" s="8">
        <f>SUMIF('DAILY OKEY AYAM'!$B$10:$B$173,$A20,'DAILY OKEY AYAM'!R$10:R$173)</f>
        <v>3.3000000000000003</v>
      </c>
      <c r="M20" s="8">
        <f>SUMIF('DAILY OKEY AYAM'!$B$10:$B$173,$A20,'DAILY OKEY AYAM'!S$10:S$173)</f>
        <v>0</v>
      </c>
      <c r="N20" s="8">
        <f>SUMIF('DAILY OKEY AYAM'!$B$10:$B$173,$A20,'DAILY OKEY AYAM'!T$10:T$173)</f>
        <v>9.99</v>
      </c>
      <c r="O20" s="8">
        <f>SUMIF('DAILY OKEY AYAM'!$B$10:$B$173,$A20,'DAILY OKEY AYAM'!U$10:U$173)</f>
        <v>0</v>
      </c>
      <c r="P20" s="8">
        <f>SUMIF('DAILY OKEY AYAM'!$B$10:$B$173,$A20,'DAILY OKEY AYAM'!V$10:V$173)</f>
        <v>0.4</v>
      </c>
      <c r="Q20" s="8">
        <f>SUMIF('DAILY OKEY AYAM'!$B$10:$B$173,$A20,'DAILY OKEY AYAM'!W$10:W$173)</f>
        <v>0</v>
      </c>
      <c r="R20" s="8">
        <f>SUMIF('DAILY OKEY AYAM'!$B$10:$B$173,$A20,'DAILY OKEY AYAM'!X$10:X$173)</f>
        <v>0</v>
      </c>
      <c r="S20" s="8">
        <f>SUMIF('DAILY OKEY AYAM'!$B$10:$B$173,$A20,'DAILY OKEY AYAM'!Y$10:Y$173)</f>
        <v>0</v>
      </c>
      <c r="T20" s="8">
        <f>SUMIF('DAILY OKEY AYAM'!$B$10:$B$173,$A20,'DAILY OKEY AYAM'!Z$10:Z$173)</f>
        <v>0</v>
      </c>
      <c r="U20" s="8">
        <f>SUMIF('DAILY OKEY AYAM'!$B$10:$B$173,$A20,'DAILY OKEY AYAM'!AA$10:AA$173)</f>
        <v>0</v>
      </c>
      <c r="V20" s="8">
        <f>SUMIF('DAILY OKEY AYAM'!$B$10:$B$173,$A20,'DAILY OKEY AYAM'!AB$10:AB$173)</f>
        <v>0</v>
      </c>
      <c r="W20" s="342">
        <f t="shared" si="0"/>
        <v>74.72</v>
      </c>
      <c r="X20" s="343">
        <f t="shared" si="1"/>
        <v>297.27999999999997</v>
      </c>
      <c r="Y20" s="46">
        <f t="shared" si="2"/>
        <v>79.274666666666661</v>
      </c>
      <c r="Z20" s="344">
        <f t="shared" ref="Z20:Z30" si="9">+C20/B20</f>
        <v>0.95679567956795675</v>
      </c>
      <c r="AA20" s="345">
        <f t="shared" ref="AA20:AA30" si="10">100%-Z20</f>
        <v>4.3204320432043253E-2</v>
      </c>
      <c r="AB20" s="346">
        <f>+'Actual VS SAP'!C22</f>
        <v>5</v>
      </c>
      <c r="AC20" s="347">
        <f t="shared" si="5"/>
        <v>7893.4000000000005</v>
      </c>
      <c r="AD20" s="345">
        <f>+C20/AC20</f>
        <v>1.0436883979020446</v>
      </c>
      <c r="AF20" s="348">
        <f>+AB20*'STD DRY'!$AD$6</f>
        <v>52.62266666666666</v>
      </c>
      <c r="AG20" s="348">
        <f>+AB20*'STD DRY'!$AD$12</f>
        <v>40.161619200000004</v>
      </c>
    </row>
    <row r="21" spans="1:35" s="46" customFormat="1">
      <c r="A21" s="341">
        <f>+'ALL SORTASI'!A23</f>
        <v>46221</v>
      </c>
      <c r="B21" s="8">
        <f>SUMIF('DAILY OKEY AYAM'!$B$10:$B$173,$A21,'DAILY OKEY AYAM'!$D$10:$D$173)</f>
        <v>0</v>
      </c>
      <c r="C21" s="8">
        <f>SUMIF('DAILY OKEY AYAM'!$B$10:$B$173,$A21,'DAILY OKEY AYAM'!I$10:I$173)</f>
        <v>0</v>
      </c>
      <c r="D21" s="8">
        <f>SUMIF('DAILY OKEY AYAM'!$B$10:$B$173,$A21,'DAILY OKEY AYAM'!J$10:J$173)</f>
        <v>0</v>
      </c>
      <c r="E21" s="8">
        <f>SUMIF('DAILY OKEY AYAM'!$B$10:$B$173,$A21,'DAILY OKEY AYAM'!K$10:K$173)</f>
        <v>0</v>
      </c>
      <c r="F21" s="8">
        <f>SUMIF('DAILY OKEY AYAM'!$B$10:$B$173,$A21,'DAILY OKEY AYAM'!L$10:L$173)</f>
        <v>0</v>
      </c>
      <c r="G21" s="8">
        <f>SUMIF('DAILY OKEY AYAM'!$B$10:$B$173,$A21,'DAILY OKEY AYAM'!M$10:M$173)</f>
        <v>0</v>
      </c>
      <c r="H21" s="8">
        <f>SUMIF('DAILY OKEY AYAM'!$B$10:$B$173,$A21,'DAILY OKEY AYAM'!N$10:N$173)</f>
        <v>0</v>
      </c>
      <c r="I21" s="8">
        <f>SUMIF('DAILY OKEY AYAM'!$B$10:$B$173,$A21,'DAILY OKEY AYAM'!O$10:O$173)</f>
        <v>0</v>
      </c>
      <c r="J21" s="8">
        <f>SUMIF('DAILY OKEY AYAM'!$B$10:$B$173,$A21,'DAILY OKEY AYAM'!P$10:P$173)</f>
        <v>0</v>
      </c>
      <c r="K21" s="8">
        <f>SUMIF('DAILY OKEY AYAM'!$B$10:$B$173,$A21,'DAILY OKEY AYAM'!Q$10:Q$173)</f>
        <v>0</v>
      </c>
      <c r="L21" s="8">
        <f>SUMIF('DAILY OKEY AYAM'!$B$10:$B$173,$A21,'DAILY OKEY AYAM'!R$10:R$173)</f>
        <v>0</v>
      </c>
      <c r="M21" s="8">
        <f>SUMIF('DAILY OKEY AYAM'!$B$10:$B$173,$A21,'DAILY OKEY AYAM'!S$10:S$173)</f>
        <v>0</v>
      </c>
      <c r="N21" s="8">
        <f>SUMIF('DAILY OKEY AYAM'!$B$10:$B$173,$A21,'DAILY OKEY AYAM'!T$10:T$173)</f>
        <v>0</v>
      </c>
      <c r="O21" s="8">
        <f>SUMIF('DAILY OKEY AYAM'!$B$10:$B$173,$A21,'DAILY OKEY AYAM'!U$10:U$173)</f>
        <v>0</v>
      </c>
      <c r="P21" s="8">
        <f>SUMIF('DAILY OKEY AYAM'!$B$10:$B$173,$A21,'DAILY OKEY AYAM'!V$10:V$173)</f>
        <v>0</v>
      </c>
      <c r="Q21" s="8">
        <f>SUMIF('DAILY OKEY AYAM'!$B$10:$B$173,$A21,'DAILY OKEY AYAM'!W$10:W$173)</f>
        <v>0</v>
      </c>
      <c r="R21" s="8">
        <f>SUMIF('DAILY OKEY AYAM'!$B$10:$B$173,$A21,'DAILY OKEY AYAM'!X$10:X$173)</f>
        <v>0</v>
      </c>
      <c r="S21" s="8">
        <f>SUMIF('DAILY OKEY AYAM'!$B$10:$B$173,$A21,'DAILY OKEY AYAM'!Y$10:Y$173)</f>
        <v>0</v>
      </c>
      <c r="T21" s="8">
        <f>SUMIF('DAILY OKEY AYAM'!$B$10:$B$173,$A21,'DAILY OKEY AYAM'!Z$10:Z$173)</f>
        <v>0</v>
      </c>
      <c r="U21" s="8">
        <f>SUMIF('DAILY OKEY AYAM'!$B$10:$B$173,$A21,'DAILY OKEY AYAM'!AA$10:AA$173)</f>
        <v>0</v>
      </c>
      <c r="V21" s="8">
        <f>SUMIF('DAILY OKEY AYAM'!$B$10:$B$173,$A21,'DAILY OKEY AYAM'!AB$10:AB$173)</f>
        <v>0</v>
      </c>
      <c r="W21" s="342">
        <f t="shared" si="0"/>
        <v>0</v>
      </c>
      <c r="X21" s="343">
        <f t="shared" si="1"/>
        <v>0</v>
      </c>
      <c r="Y21" s="46">
        <f t="shared" si="2"/>
        <v>0</v>
      </c>
      <c r="Z21" s="344" t="e">
        <f t="shared" si="9"/>
        <v>#DIV/0!</v>
      </c>
      <c r="AA21" s="345" t="e">
        <f t="shared" si="10"/>
        <v>#DIV/0!</v>
      </c>
      <c r="AB21" s="346">
        <f>+'Actual VS SAP'!C23</f>
        <v>0</v>
      </c>
      <c r="AC21" s="347">
        <f t="shared" si="5"/>
        <v>0</v>
      </c>
      <c r="AD21" s="345" t="e">
        <f t="shared" si="6"/>
        <v>#DIV/0!</v>
      </c>
      <c r="AF21" s="348">
        <f>+AB21*'STD DRY'!$AD$6</f>
        <v>0</v>
      </c>
      <c r="AG21" s="348">
        <f>+AB21*'STD DRY'!$AD$12</f>
        <v>0</v>
      </c>
    </row>
    <row r="22" spans="1:35" s="46" customFormat="1">
      <c r="A22" s="341">
        <f>+'ALL SORTASI'!A24</f>
        <v>46222</v>
      </c>
      <c r="B22" s="8">
        <f>SUMIF('DAILY OKEY AYAM'!$B$10:$B$173,$A22,'DAILY OKEY AYAM'!$D$10:$D$173)</f>
        <v>0</v>
      </c>
      <c r="C22" s="8">
        <f>SUMIF('DAILY OKEY AYAM'!$B$10:$B$173,$A22,'DAILY OKEY AYAM'!I$10:I$173)</f>
        <v>0</v>
      </c>
      <c r="D22" s="8">
        <f>SUMIF('DAILY OKEY AYAM'!$B$10:$B$173,$A22,'DAILY OKEY AYAM'!J$10:J$173)</f>
        <v>0</v>
      </c>
      <c r="E22" s="8">
        <f>SUMIF('DAILY OKEY AYAM'!$B$10:$B$173,$A22,'DAILY OKEY AYAM'!K$10:K$173)</f>
        <v>0</v>
      </c>
      <c r="F22" s="8">
        <f>SUMIF('DAILY OKEY AYAM'!$B$10:$B$173,$A22,'DAILY OKEY AYAM'!L$10:L$173)</f>
        <v>0</v>
      </c>
      <c r="G22" s="8">
        <f>SUMIF('DAILY OKEY AYAM'!$B$10:$B$173,$A22,'DAILY OKEY AYAM'!M$10:M$173)</f>
        <v>0</v>
      </c>
      <c r="H22" s="8">
        <f>SUMIF('DAILY OKEY AYAM'!$B$10:$B$173,$A22,'DAILY OKEY AYAM'!N$10:N$173)</f>
        <v>0</v>
      </c>
      <c r="I22" s="8">
        <f>SUMIF('DAILY OKEY AYAM'!$B$10:$B$173,$A22,'DAILY OKEY AYAM'!O$10:O$173)</f>
        <v>0</v>
      </c>
      <c r="J22" s="8">
        <f>SUMIF('DAILY OKEY AYAM'!$B$10:$B$173,$A22,'DAILY OKEY AYAM'!P$10:P$173)</f>
        <v>0</v>
      </c>
      <c r="K22" s="8">
        <f>SUMIF('DAILY OKEY AYAM'!$B$10:$B$173,$A22,'DAILY OKEY AYAM'!Q$10:Q$173)</f>
        <v>0</v>
      </c>
      <c r="L22" s="8">
        <f>SUMIF('DAILY OKEY AYAM'!$B$10:$B$173,$A22,'DAILY OKEY AYAM'!R$10:R$173)</f>
        <v>0</v>
      </c>
      <c r="M22" s="8">
        <f>SUMIF('DAILY OKEY AYAM'!$B$10:$B$173,$A22,'DAILY OKEY AYAM'!S$10:S$173)</f>
        <v>0</v>
      </c>
      <c r="N22" s="8">
        <f>SUMIF('DAILY OKEY AYAM'!$B$10:$B$173,$A22,'DAILY OKEY AYAM'!T$10:T$173)</f>
        <v>0</v>
      </c>
      <c r="O22" s="8">
        <f>SUMIF('DAILY OKEY AYAM'!$B$10:$B$173,$A22,'DAILY OKEY AYAM'!U$10:U$173)</f>
        <v>0</v>
      </c>
      <c r="P22" s="8">
        <f>SUMIF('DAILY OKEY AYAM'!$B$10:$B$173,$A22,'DAILY OKEY AYAM'!V$10:V$173)</f>
        <v>0</v>
      </c>
      <c r="Q22" s="8">
        <f>SUMIF('DAILY OKEY AYAM'!$B$10:$B$173,$A22,'DAILY OKEY AYAM'!W$10:W$173)</f>
        <v>0</v>
      </c>
      <c r="R22" s="8">
        <f>SUMIF('DAILY OKEY AYAM'!$B$10:$B$173,$A22,'DAILY OKEY AYAM'!X$10:X$173)</f>
        <v>0</v>
      </c>
      <c r="S22" s="8">
        <f>SUMIF('DAILY OKEY AYAM'!$B$10:$B$173,$A22,'DAILY OKEY AYAM'!Y$10:Y$173)</f>
        <v>0</v>
      </c>
      <c r="T22" s="8">
        <f>SUMIF('DAILY OKEY AYAM'!$B$10:$B$173,$A22,'DAILY OKEY AYAM'!Z$10:Z$173)</f>
        <v>0</v>
      </c>
      <c r="U22" s="8">
        <f>SUMIF('DAILY OKEY AYAM'!$B$10:$B$173,$A22,'DAILY OKEY AYAM'!AA$10:AA$173)</f>
        <v>0</v>
      </c>
      <c r="V22" s="8">
        <f>SUMIF('DAILY OKEY AYAM'!$B$10:$B$173,$A22,'DAILY OKEY AYAM'!AB$10:AB$173)</f>
        <v>0</v>
      </c>
      <c r="W22" s="342">
        <f t="shared" si="0"/>
        <v>0</v>
      </c>
      <c r="X22" s="343">
        <f t="shared" si="1"/>
        <v>0</v>
      </c>
      <c r="Y22" s="46">
        <f t="shared" si="2"/>
        <v>0</v>
      </c>
      <c r="Z22" s="344" t="e">
        <f t="shared" si="9"/>
        <v>#DIV/0!</v>
      </c>
      <c r="AA22" s="345" t="e">
        <f t="shared" si="10"/>
        <v>#DIV/0!</v>
      </c>
      <c r="AB22" s="346">
        <f>+'Actual VS SAP'!C24</f>
        <v>0</v>
      </c>
      <c r="AC22" s="347">
        <f>+AB22*$AC$3</f>
        <v>0</v>
      </c>
      <c r="AD22" s="345" t="e">
        <f t="shared" si="6"/>
        <v>#DIV/0!</v>
      </c>
      <c r="AF22" s="348">
        <f>+AB22*'STD DRY'!$AD$6</f>
        <v>0</v>
      </c>
      <c r="AG22" s="348">
        <f>+AB22*'STD DRY'!$AD$12</f>
        <v>0</v>
      </c>
    </row>
    <row r="23" spans="1:35" s="46" customFormat="1">
      <c r="A23" s="341">
        <f>+'ALL SORTASI'!A25</f>
        <v>46223</v>
      </c>
      <c r="B23" s="8">
        <f>SUMIF('DAILY OKEY AYAM'!$B$10:$B$173,$A23,'DAILY OKEY AYAM'!$D$10:$D$173)</f>
        <v>1553.875</v>
      </c>
      <c r="C23" s="8">
        <f>SUMIF('DAILY OKEY AYAM'!$B$10:$B$173,$A23,'DAILY OKEY AYAM'!I$10:I$173)</f>
        <v>1488</v>
      </c>
      <c r="D23" s="8">
        <f>SUMIF('DAILY OKEY AYAM'!$B$10:$B$173,$A23,'DAILY OKEY AYAM'!J$10:J$173)</f>
        <v>0</v>
      </c>
      <c r="E23" s="8">
        <f>SUMIF('DAILY OKEY AYAM'!$B$10:$B$173,$A23,'DAILY OKEY AYAM'!K$10:K$173)</f>
        <v>1.5</v>
      </c>
      <c r="F23" s="8">
        <f>SUMIF('DAILY OKEY AYAM'!$B$10:$B$173,$A23,'DAILY OKEY AYAM'!L$10:L$173)</f>
        <v>1.4</v>
      </c>
      <c r="G23" s="8">
        <f>SUMIF('DAILY OKEY AYAM'!$B$10:$B$173,$A23,'DAILY OKEY AYAM'!M$10:M$173)</f>
        <v>2.2000000000000002</v>
      </c>
      <c r="H23" s="8">
        <f>SUMIF('DAILY OKEY AYAM'!$B$10:$B$173,$A23,'DAILY OKEY AYAM'!N$10:N$173)</f>
        <v>0</v>
      </c>
      <c r="I23" s="8">
        <f>SUMIF('DAILY OKEY AYAM'!$B$10:$B$173,$A23,'DAILY OKEY AYAM'!O$10:O$173)</f>
        <v>3</v>
      </c>
      <c r="J23" s="8">
        <f>SUMIF('DAILY OKEY AYAM'!$B$10:$B$173,$A23,'DAILY OKEY AYAM'!P$10:P$173)</f>
        <v>0.37</v>
      </c>
      <c r="K23" s="8">
        <f>SUMIF('DAILY OKEY AYAM'!$B$10:$B$173,$A23,'DAILY OKEY AYAM'!Q$10:Q$173)</f>
        <v>0</v>
      </c>
      <c r="L23" s="8">
        <f>SUMIF('DAILY OKEY AYAM'!$B$10:$B$173,$A23,'DAILY OKEY AYAM'!R$10:R$173)</f>
        <v>0.68</v>
      </c>
      <c r="M23" s="8">
        <f>SUMIF('DAILY OKEY AYAM'!$B$10:$B$173,$A23,'DAILY OKEY AYAM'!S$10:S$173)</f>
        <v>2.2999999999999998</v>
      </c>
      <c r="N23" s="8">
        <f>SUMIF('DAILY OKEY AYAM'!$B$10:$B$173,$A23,'DAILY OKEY AYAM'!T$10:T$173)</f>
        <v>0.9</v>
      </c>
      <c r="O23" s="8">
        <f>SUMIF('DAILY OKEY AYAM'!$B$10:$B$173,$A23,'DAILY OKEY AYAM'!U$10:U$173)</f>
        <v>0</v>
      </c>
      <c r="P23" s="8">
        <f>SUMIF('DAILY OKEY AYAM'!$B$10:$B$173,$A23,'DAILY OKEY AYAM'!V$10:V$173)</f>
        <v>0</v>
      </c>
      <c r="Q23" s="8">
        <f>SUMIF('DAILY OKEY AYAM'!$B$10:$B$173,$A23,'DAILY OKEY AYAM'!W$10:W$173)</f>
        <v>0</v>
      </c>
      <c r="R23" s="8">
        <f>SUMIF('DAILY OKEY AYAM'!$B$10:$B$173,$A23,'DAILY OKEY AYAM'!X$10:X$173)</f>
        <v>0</v>
      </c>
      <c r="S23" s="8">
        <f>SUMIF('DAILY OKEY AYAM'!$B$10:$B$173,$A23,'DAILY OKEY AYAM'!Y$10:Y$173)</f>
        <v>0</v>
      </c>
      <c r="T23" s="8">
        <f>SUMIF('DAILY OKEY AYAM'!$B$10:$B$173,$A23,'DAILY OKEY AYAM'!Z$10:Z$173)</f>
        <v>0</v>
      </c>
      <c r="U23" s="8">
        <f>SUMIF('DAILY OKEY AYAM'!$B$10:$B$173,$A23,'DAILY OKEY AYAM'!AA$10:AA$173)</f>
        <v>0</v>
      </c>
      <c r="V23" s="8">
        <f>SUMIF('DAILY OKEY AYAM'!$B$10:$B$173,$A23,'DAILY OKEY AYAM'!AB$10:AB$173)</f>
        <v>0</v>
      </c>
      <c r="W23" s="342">
        <f t="shared" si="0"/>
        <v>12.35</v>
      </c>
      <c r="X23" s="343">
        <f t="shared" si="1"/>
        <v>53.524999999999999</v>
      </c>
      <c r="Y23" s="46">
        <f t="shared" si="2"/>
        <v>14.273333333333333</v>
      </c>
      <c r="Z23" s="344">
        <f t="shared" si="9"/>
        <v>0.95760598503740646</v>
      </c>
      <c r="AA23" s="345">
        <f t="shared" si="10"/>
        <v>4.239401496259354E-2</v>
      </c>
      <c r="AB23" s="346">
        <f>+'Actual VS SAP'!C25</f>
        <v>1</v>
      </c>
      <c r="AC23" s="347">
        <f t="shared" si="5"/>
        <v>1578.68</v>
      </c>
      <c r="AD23" s="345">
        <f t="shared" si="6"/>
        <v>0.94255960676007799</v>
      </c>
      <c r="AF23" s="348">
        <f>+AB23*'STD DRY'!$AD$6</f>
        <v>10.524533333333332</v>
      </c>
      <c r="AG23" s="348">
        <f>+AB23*'STD DRY'!$AD$12</f>
        <v>8.0323238400000001</v>
      </c>
    </row>
    <row r="24" spans="1:35" s="46" customFormat="1">
      <c r="A24" s="341">
        <f>+'ALL SORTASI'!A26</f>
        <v>46224</v>
      </c>
      <c r="B24" s="8">
        <f>SUMIF('DAILY OKEY AYAM'!$B$10:$B$173,$A24,'DAILY OKEY AYAM'!$D$10:$D$173)</f>
        <v>14666.875</v>
      </c>
      <c r="C24" s="8">
        <f>SUMIF('DAILY OKEY AYAM'!$B$10:$B$173,$A24,'DAILY OKEY AYAM'!I$10:I$173)</f>
        <v>14147.625</v>
      </c>
      <c r="D24" s="8">
        <f>SUMIF('DAILY OKEY AYAM'!$B$10:$B$173,$A24,'DAILY OKEY AYAM'!J$10:J$173)</f>
        <v>193.75</v>
      </c>
      <c r="E24" s="8">
        <f>SUMIF('DAILY OKEY AYAM'!$B$10:$B$173,$A24,'DAILY OKEY AYAM'!K$10:K$173)</f>
        <v>11.38</v>
      </c>
      <c r="F24" s="8">
        <f>SUMIF('DAILY OKEY AYAM'!$B$10:$B$173,$A24,'DAILY OKEY AYAM'!L$10:L$173)</f>
        <v>34.89</v>
      </c>
      <c r="G24" s="8">
        <f>SUMIF('DAILY OKEY AYAM'!$B$10:$B$173,$A24,'DAILY OKEY AYAM'!M$10:M$173)</f>
        <v>2.4500000000000002</v>
      </c>
      <c r="H24" s="8">
        <f>SUMIF('DAILY OKEY AYAM'!$B$10:$B$173,$A24,'DAILY OKEY AYAM'!N$10:N$173)</f>
        <v>0</v>
      </c>
      <c r="I24" s="8">
        <f>SUMIF('DAILY OKEY AYAM'!$B$10:$B$173,$A24,'DAILY OKEY AYAM'!O$10:O$173)</f>
        <v>94.440000000000012</v>
      </c>
      <c r="J24" s="8">
        <f>SUMIF('DAILY OKEY AYAM'!$B$10:$B$173,$A24,'DAILY OKEY AYAM'!P$10:P$173)</f>
        <v>3</v>
      </c>
      <c r="K24" s="8">
        <f>SUMIF('DAILY OKEY AYAM'!$B$10:$B$173,$A24,'DAILY OKEY AYAM'!Q$10:Q$173)</f>
        <v>0</v>
      </c>
      <c r="L24" s="8">
        <f>SUMIF('DAILY OKEY AYAM'!$B$10:$B$173,$A24,'DAILY OKEY AYAM'!R$10:R$173)</f>
        <v>4.3500000000000005</v>
      </c>
      <c r="M24" s="8">
        <f>SUMIF('DAILY OKEY AYAM'!$B$10:$B$173,$A24,'DAILY OKEY AYAM'!S$10:S$173)</f>
        <v>1.96</v>
      </c>
      <c r="N24" s="8">
        <f>SUMIF('DAILY OKEY AYAM'!$B$10:$B$173,$A24,'DAILY OKEY AYAM'!T$10:T$173)</f>
        <v>17.05</v>
      </c>
      <c r="O24" s="8">
        <f>SUMIF('DAILY OKEY AYAM'!$B$10:$B$173,$A24,'DAILY OKEY AYAM'!U$10:U$173)</f>
        <v>0</v>
      </c>
      <c r="P24" s="8">
        <f>SUMIF('DAILY OKEY AYAM'!$B$10:$B$173,$A24,'DAILY OKEY AYAM'!V$10:V$173)</f>
        <v>0</v>
      </c>
      <c r="Q24" s="8">
        <f>SUMIF('DAILY OKEY AYAM'!$B$10:$B$173,$A24,'DAILY OKEY AYAM'!W$10:W$173)</f>
        <v>0</v>
      </c>
      <c r="R24" s="8">
        <f>SUMIF('DAILY OKEY AYAM'!$B$10:$B$173,$A24,'DAILY OKEY AYAM'!X$10:X$173)</f>
        <v>0</v>
      </c>
      <c r="S24" s="8">
        <f>SUMIF('DAILY OKEY AYAM'!$B$10:$B$173,$A24,'DAILY OKEY AYAM'!Y$10:Y$173)</f>
        <v>0</v>
      </c>
      <c r="T24" s="8">
        <f>SUMIF('DAILY OKEY AYAM'!$B$10:$B$173,$A24,'DAILY OKEY AYAM'!Z$10:Z$173)</f>
        <v>0</v>
      </c>
      <c r="U24" s="8">
        <f>SUMIF('DAILY OKEY AYAM'!$B$10:$B$173,$A24,'DAILY OKEY AYAM'!AA$10:AA$173)</f>
        <v>0</v>
      </c>
      <c r="V24" s="8">
        <f>SUMIF('DAILY OKEY AYAM'!$B$10:$B$173,$A24,'DAILY OKEY AYAM'!AB$10:AB$173)</f>
        <v>0</v>
      </c>
      <c r="W24" s="342">
        <f t="shared" si="0"/>
        <v>169.52000000000004</v>
      </c>
      <c r="X24" s="343">
        <f t="shared" si="1"/>
        <v>155.97999999999996</v>
      </c>
      <c r="Y24" s="46">
        <f t="shared" si="2"/>
        <v>41.594666666666654</v>
      </c>
      <c r="Z24" s="344">
        <f t="shared" si="9"/>
        <v>0.96459709379128133</v>
      </c>
      <c r="AA24" s="345">
        <f t="shared" si="10"/>
        <v>3.5402906208718665E-2</v>
      </c>
      <c r="AB24" s="346">
        <f>+'Actual VS SAP'!C26</f>
        <v>9</v>
      </c>
      <c r="AC24" s="347">
        <f t="shared" si="5"/>
        <v>14208.12</v>
      </c>
      <c r="AD24" s="345">
        <f t="shared" si="6"/>
        <v>0.99574222346095043</v>
      </c>
      <c r="AF24" s="348">
        <f>+AB24*'STD DRY'!$AD$6</f>
        <v>94.720799999999997</v>
      </c>
      <c r="AG24" s="348">
        <f>+AB24*'STD DRY'!$AD$12</f>
        <v>72.290914560000004</v>
      </c>
    </row>
    <row r="25" spans="1:35" s="46" customFormat="1">
      <c r="A25" s="341">
        <f>+'ALL SORTASI'!A27</f>
        <v>46225</v>
      </c>
      <c r="B25" s="8">
        <f>SUMIF('DAILY OKEY AYAM'!$B$10:$B$173,$A25,'DAILY OKEY AYAM'!$D$10:$D$173)</f>
        <v>13674.875</v>
      </c>
      <c r="C25" s="8">
        <f>SUMIF('DAILY OKEY AYAM'!$B$10:$B$173,$A25,'DAILY OKEY AYAM'!I$10:I$173)</f>
        <v>13229.25</v>
      </c>
      <c r="D25" s="8">
        <f>SUMIF('DAILY OKEY AYAM'!$B$10:$B$173,$A25,'DAILY OKEY AYAM'!J$10:J$173)</f>
        <v>135.625</v>
      </c>
      <c r="E25" s="8">
        <f>SUMIF('DAILY OKEY AYAM'!$B$10:$B$173,$A25,'DAILY OKEY AYAM'!K$10:K$173)</f>
        <v>15.649999999999999</v>
      </c>
      <c r="F25" s="8">
        <f>SUMIF('DAILY OKEY AYAM'!$B$10:$B$173,$A25,'DAILY OKEY AYAM'!L$10:L$173)</f>
        <v>26.099999999999998</v>
      </c>
      <c r="G25" s="8">
        <f>SUMIF('DAILY OKEY AYAM'!$B$10:$B$173,$A25,'DAILY OKEY AYAM'!M$10:M$173)</f>
        <v>0</v>
      </c>
      <c r="H25" s="8">
        <f>SUMIF('DAILY OKEY AYAM'!$B$10:$B$173,$A25,'DAILY OKEY AYAM'!N$10:N$173)</f>
        <v>0</v>
      </c>
      <c r="I25" s="8">
        <f>SUMIF('DAILY OKEY AYAM'!$B$10:$B$173,$A25,'DAILY OKEY AYAM'!O$10:O$173)</f>
        <v>42.470000000000006</v>
      </c>
      <c r="J25" s="8">
        <f>SUMIF('DAILY OKEY AYAM'!$B$10:$B$173,$A25,'DAILY OKEY AYAM'!P$10:P$173)</f>
        <v>1.83</v>
      </c>
      <c r="K25" s="8">
        <f>SUMIF('DAILY OKEY AYAM'!$B$10:$B$173,$A25,'DAILY OKEY AYAM'!Q$10:Q$173)</f>
        <v>0</v>
      </c>
      <c r="L25" s="8">
        <f>SUMIF('DAILY OKEY AYAM'!$B$10:$B$173,$A25,'DAILY OKEY AYAM'!R$10:R$173)</f>
        <v>6.66</v>
      </c>
      <c r="M25" s="8">
        <f>SUMIF('DAILY OKEY AYAM'!$B$10:$B$173,$A25,'DAILY OKEY AYAM'!S$10:S$173)</f>
        <v>0</v>
      </c>
      <c r="N25" s="8">
        <f>SUMIF('DAILY OKEY AYAM'!$B$10:$B$173,$A25,'DAILY OKEY AYAM'!T$10:T$173)</f>
        <v>9.6</v>
      </c>
      <c r="O25" s="8">
        <f>SUMIF('DAILY OKEY AYAM'!$B$10:$B$173,$A25,'DAILY OKEY AYAM'!U$10:U$173)</f>
        <v>0</v>
      </c>
      <c r="P25" s="8">
        <f>SUMIF('DAILY OKEY AYAM'!$B$10:$B$173,$A25,'DAILY OKEY AYAM'!V$10:V$173)</f>
        <v>0</v>
      </c>
      <c r="Q25" s="8">
        <f>SUMIF('DAILY OKEY AYAM'!$B$10:$B$173,$A25,'DAILY OKEY AYAM'!W$10:W$173)</f>
        <v>0</v>
      </c>
      <c r="R25" s="8">
        <f>SUMIF('DAILY OKEY AYAM'!$B$10:$B$173,$A25,'DAILY OKEY AYAM'!X$10:X$173)</f>
        <v>0</v>
      </c>
      <c r="S25" s="8">
        <f>SUMIF('DAILY OKEY AYAM'!$B$10:$B$173,$A25,'DAILY OKEY AYAM'!Y$10:Y$173)</f>
        <v>0</v>
      </c>
      <c r="T25" s="8">
        <f>SUMIF('DAILY OKEY AYAM'!$B$10:$B$173,$A25,'DAILY OKEY AYAM'!Z$10:Z$173)</f>
        <v>0</v>
      </c>
      <c r="U25" s="8">
        <f>SUMIF('DAILY OKEY AYAM'!$B$10:$B$173,$A25,'DAILY OKEY AYAM'!AA$10:AA$173)</f>
        <v>0</v>
      </c>
      <c r="V25" s="8">
        <f>SUMIF('DAILY OKEY AYAM'!$B$10:$B$173,$A25,'DAILY OKEY AYAM'!AB$10:AB$173)</f>
        <v>0</v>
      </c>
      <c r="W25" s="342">
        <f t="shared" si="0"/>
        <v>102.30999999999999</v>
      </c>
      <c r="X25" s="343">
        <f t="shared" si="1"/>
        <v>207.69</v>
      </c>
      <c r="Y25" s="46">
        <f t="shared" si="2"/>
        <v>55.384</v>
      </c>
      <c r="Z25" s="344">
        <f t="shared" si="9"/>
        <v>0.96741286483423061</v>
      </c>
      <c r="AA25" s="345">
        <f t="shared" si="10"/>
        <v>3.2587135165769388E-2</v>
      </c>
      <c r="AB25" s="346">
        <f>+'Actual VS SAP'!C27</f>
        <v>8</v>
      </c>
      <c r="AC25" s="347">
        <f t="shared" si="5"/>
        <v>12629.44</v>
      </c>
      <c r="AD25" s="345">
        <f t="shared" si="6"/>
        <v>1.0474930004814149</v>
      </c>
      <c r="AF25" s="348">
        <f>+AB25*'STD DRY'!$AD$6</f>
        <v>84.196266666666659</v>
      </c>
      <c r="AG25" s="348">
        <f>+AB25*'STD DRY'!$AD$12</f>
        <v>64.258590720000001</v>
      </c>
      <c r="AI25" s="349"/>
    </row>
    <row r="26" spans="1:35" s="46" customFormat="1">
      <c r="A26" s="341">
        <f>+'ALL SORTASI'!A28</f>
        <v>46226</v>
      </c>
      <c r="B26" s="8">
        <f>SUMIF('DAILY OKEY AYAM'!$B$10:$B$173,$A26,'DAILY OKEY AYAM'!$D$10:$D$173)</f>
        <v>16278.875</v>
      </c>
      <c r="C26" s="8">
        <f>SUMIF('DAILY OKEY AYAM'!$B$10:$B$173,$A26,'DAILY OKEY AYAM'!I$10:I$173)</f>
        <v>15399.25</v>
      </c>
      <c r="D26" s="8">
        <f>SUMIF('DAILY OKEY AYAM'!$B$10:$B$173,$A26,'DAILY OKEY AYAM'!J$10:J$173)</f>
        <v>151.125</v>
      </c>
      <c r="E26" s="8">
        <f>SUMIF('DAILY OKEY AYAM'!$B$10:$B$173,$A26,'DAILY OKEY AYAM'!K$10:K$173)</f>
        <v>22.34</v>
      </c>
      <c r="F26" s="8">
        <f>SUMIF('DAILY OKEY AYAM'!$B$10:$B$173,$A26,'DAILY OKEY AYAM'!L$10:L$173)</f>
        <v>30.5</v>
      </c>
      <c r="G26" s="8">
        <f>SUMIF('DAILY OKEY AYAM'!$B$10:$B$173,$A26,'DAILY OKEY AYAM'!M$10:M$173)</f>
        <v>0</v>
      </c>
      <c r="H26" s="8">
        <f>SUMIF('DAILY OKEY AYAM'!$B$10:$B$173,$A26,'DAILY OKEY AYAM'!N$10:N$173)</f>
        <v>0</v>
      </c>
      <c r="I26" s="8">
        <f>SUMIF('DAILY OKEY AYAM'!$B$10:$B$173,$A26,'DAILY OKEY AYAM'!O$10:O$173)</f>
        <v>60.379999999999995</v>
      </c>
      <c r="J26" s="8">
        <f>SUMIF('DAILY OKEY AYAM'!$B$10:$B$173,$A26,'DAILY OKEY AYAM'!P$10:P$173)</f>
        <v>1.9000000000000001</v>
      </c>
      <c r="K26" s="8">
        <f>SUMIF('DAILY OKEY AYAM'!$B$10:$B$173,$A26,'DAILY OKEY AYAM'!Q$10:Q$173)</f>
        <v>0</v>
      </c>
      <c r="L26" s="8">
        <f>SUMIF('DAILY OKEY AYAM'!$B$10:$B$173,$A26,'DAILY OKEY AYAM'!R$10:R$173)</f>
        <v>3.8000000000000003</v>
      </c>
      <c r="M26" s="8">
        <f>SUMIF('DAILY OKEY AYAM'!$B$10:$B$173,$A26,'DAILY OKEY AYAM'!S$10:S$173)</f>
        <v>0.84</v>
      </c>
      <c r="N26" s="8">
        <f>SUMIF('DAILY OKEY AYAM'!$B$10:$B$173,$A26,'DAILY OKEY AYAM'!T$10:T$173)</f>
        <v>19.350000000000001</v>
      </c>
      <c r="O26" s="8">
        <f>SUMIF('DAILY OKEY AYAM'!$B$10:$B$173,$A26,'DAILY OKEY AYAM'!U$10:U$173)</f>
        <v>1</v>
      </c>
      <c r="P26" s="8">
        <f>SUMIF('DAILY OKEY AYAM'!$B$10:$B$173,$A26,'DAILY OKEY AYAM'!V$10:V$173)</f>
        <v>0</v>
      </c>
      <c r="Q26" s="8">
        <f>SUMIF('DAILY OKEY AYAM'!$B$10:$B$173,$A26,'DAILY OKEY AYAM'!W$10:W$173)</f>
        <v>0</v>
      </c>
      <c r="R26" s="8">
        <f>SUMIF('DAILY OKEY AYAM'!$B$10:$B$173,$A26,'DAILY OKEY AYAM'!X$10:X$173)</f>
        <v>0</v>
      </c>
      <c r="S26" s="8">
        <f>SUMIF('DAILY OKEY AYAM'!$B$10:$B$173,$A26,'DAILY OKEY AYAM'!Y$10:Y$173)</f>
        <v>0</v>
      </c>
      <c r="T26" s="8">
        <f>SUMIF('DAILY OKEY AYAM'!$B$10:$B$173,$A26,'DAILY OKEY AYAM'!Z$10:Z$173)</f>
        <v>0</v>
      </c>
      <c r="U26" s="8">
        <f>SUMIF('DAILY OKEY AYAM'!$B$10:$B$173,$A26,'DAILY OKEY AYAM'!AA$10:AA$173)</f>
        <v>0</v>
      </c>
      <c r="V26" s="8">
        <f>SUMIF('DAILY OKEY AYAM'!$B$10:$B$173,$A26,'DAILY OKEY AYAM'!AB$10:AB$173)</f>
        <v>0</v>
      </c>
      <c r="W26" s="342">
        <f t="shared" si="0"/>
        <v>140.11000000000001</v>
      </c>
      <c r="X26" s="343">
        <f t="shared" si="1"/>
        <v>588.39</v>
      </c>
      <c r="Y26" s="46">
        <f t="shared" si="2"/>
        <v>156.904</v>
      </c>
      <c r="Z26" s="344">
        <f t="shared" si="9"/>
        <v>0.94596524636991197</v>
      </c>
      <c r="AA26" s="345">
        <f t="shared" si="10"/>
        <v>5.4034753630088028E-2</v>
      </c>
      <c r="AB26" s="346">
        <f>+'Actual VS SAP'!C28</f>
        <v>10</v>
      </c>
      <c r="AC26" s="347">
        <f t="shared" si="5"/>
        <v>15786.800000000001</v>
      </c>
      <c r="AD26" s="345">
        <f t="shared" si="6"/>
        <v>0.97545100970430987</v>
      </c>
      <c r="AF26" s="348">
        <f>+AB26*'STD DRY'!$AD$6</f>
        <v>105.24533333333332</v>
      </c>
      <c r="AG26" s="348">
        <f>+AB26*'STD DRY'!$AD$12</f>
        <v>80.323238400000008</v>
      </c>
    </row>
    <row r="27" spans="1:35" s="46" customFormat="1">
      <c r="A27" s="341">
        <f>+'ALL SORTASI'!A29</f>
        <v>46227</v>
      </c>
      <c r="B27" s="8">
        <f>SUMIF('DAILY OKEY AYAM'!$B$10:$B$173,$A27,'DAILY OKEY AYAM'!$D$10:$D$173)</f>
        <v>14705.625</v>
      </c>
      <c r="C27" s="8">
        <f>SUMIF('DAILY OKEY AYAM'!$B$10:$B$173,$A27,'DAILY OKEY AYAM'!I$10:I$173)</f>
        <v>5335.875</v>
      </c>
      <c r="D27" s="8">
        <f>SUMIF('DAILY OKEY AYAM'!$B$10:$B$173,$A27,'DAILY OKEY AYAM'!J$10:J$173)</f>
        <v>81.375</v>
      </c>
      <c r="E27" s="8">
        <f>SUMIF('DAILY OKEY AYAM'!$B$10:$B$173,$A27,'DAILY OKEY AYAM'!K$10:K$173)</f>
        <v>24.789999999999996</v>
      </c>
      <c r="F27" s="8">
        <f>SUMIF('DAILY OKEY AYAM'!$B$10:$B$173,$A27,'DAILY OKEY AYAM'!L$10:L$173)</f>
        <v>34.910000000000004</v>
      </c>
      <c r="G27" s="8">
        <f>SUMIF('DAILY OKEY AYAM'!$B$10:$B$173,$A27,'DAILY OKEY AYAM'!M$10:M$173)</f>
        <v>0.1</v>
      </c>
      <c r="H27" s="8">
        <f>SUMIF('DAILY OKEY AYAM'!$B$10:$B$173,$A27,'DAILY OKEY AYAM'!N$10:N$173)</f>
        <v>0</v>
      </c>
      <c r="I27" s="8">
        <f>SUMIF('DAILY OKEY AYAM'!$B$10:$B$173,$A27,'DAILY OKEY AYAM'!O$10:O$173)</f>
        <v>59.16</v>
      </c>
      <c r="J27" s="8">
        <f>SUMIF('DAILY OKEY AYAM'!$B$10:$B$173,$A27,'DAILY OKEY AYAM'!P$10:P$173)</f>
        <v>0</v>
      </c>
      <c r="K27" s="8">
        <f>SUMIF('DAILY OKEY AYAM'!$B$10:$B$173,$A27,'DAILY OKEY AYAM'!Q$10:Q$173)</f>
        <v>0</v>
      </c>
      <c r="L27" s="8">
        <f>SUMIF('DAILY OKEY AYAM'!$B$10:$B$173,$A27,'DAILY OKEY AYAM'!R$10:R$173)</f>
        <v>5.74</v>
      </c>
      <c r="M27" s="8">
        <f>SUMIF('DAILY OKEY AYAM'!$B$10:$B$173,$A27,'DAILY OKEY AYAM'!S$10:S$173)</f>
        <v>20.900000000000002</v>
      </c>
      <c r="N27" s="8">
        <f>SUMIF('DAILY OKEY AYAM'!$B$10:$B$173,$A27,'DAILY OKEY AYAM'!T$10:T$173)</f>
        <v>19</v>
      </c>
      <c r="O27" s="8">
        <f>SUMIF('DAILY OKEY AYAM'!$B$10:$B$173,$A27,'DAILY OKEY AYAM'!U$10:U$173)</f>
        <v>0</v>
      </c>
      <c r="P27" s="8">
        <f>SUMIF('DAILY OKEY AYAM'!$B$10:$B$173,$A27,'DAILY OKEY AYAM'!V$10:V$173)</f>
        <v>0</v>
      </c>
      <c r="Q27" s="8">
        <f>SUMIF('DAILY OKEY AYAM'!$B$10:$B$173,$A27,'DAILY OKEY AYAM'!W$10:W$173)</f>
        <v>0</v>
      </c>
      <c r="R27" s="8">
        <f>SUMIF('DAILY OKEY AYAM'!$B$10:$B$173,$A27,'DAILY OKEY AYAM'!X$10:X$173)</f>
        <v>0</v>
      </c>
      <c r="S27" s="8">
        <f>SUMIF('DAILY OKEY AYAM'!$B$10:$B$173,$A27,'DAILY OKEY AYAM'!Y$10:Y$173)</f>
        <v>0</v>
      </c>
      <c r="T27" s="8">
        <f>SUMIF('DAILY OKEY AYAM'!$B$10:$B$173,$A27,'DAILY OKEY AYAM'!Z$10:Z$173)</f>
        <v>0</v>
      </c>
      <c r="U27" s="8">
        <f>SUMIF('DAILY OKEY AYAM'!$B$10:$B$173,$A27,'DAILY OKEY AYAM'!AA$10:AA$173)</f>
        <v>0</v>
      </c>
      <c r="V27" s="8">
        <f>SUMIF('DAILY OKEY AYAM'!$B$10:$B$173,$A27,'DAILY OKEY AYAM'!AB$10:AB$173)</f>
        <v>0</v>
      </c>
      <c r="W27" s="342">
        <f t="shared" si="0"/>
        <v>164.6</v>
      </c>
      <c r="X27" s="343">
        <f t="shared" si="1"/>
        <v>9123.7749999999996</v>
      </c>
      <c r="Y27" s="46">
        <f t="shared" si="2"/>
        <v>2433.0066666666667</v>
      </c>
      <c r="Z27" s="344">
        <f t="shared" si="9"/>
        <v>0.36284584980237156</v>
      </c>
      <c r="AA27" s="345">
        <f t="shared" si="10"/>
        <v>0.63715415019762844</v>
      </c>
      <c r="AB27" s="346">
        <f>+'Actual VS SAP'!C29</f>
        <v>9</v>
      </c>
      <c r="AC27" s="347">
        <f t="shared" si="5"/>
        <v>14208.12</v>
      </c>
      <c r="AD27" s="345">
        <f t="shared" si="6"/>
        <v>0.37555109331846859</v>
      </c>
      <c r="AF27" s="348">
        <f>+AB27*'STD DRY'!$AD$6</f>
        <v>94.720799999999997</v>
      </c>
      <c r="AG27" s="348">
        <f>+AB27*'STD DRY'!$AD$12</f>
        <v>72.290914560000004</v>
      </c>
    </row>
    <row r="28" spans="1:35" s="46" customFormat="1">
      <c r="A28" s="341">
        <f>+'ALL SORTASI'!A30</f>
        <v>46228</v>
      </c>
      <c r="B28" s="8">
        <f>SUMIF('DAILY OKEY AYAM'!$B$10:$B$173,$A28,'DAILY OKEY AYAM'!$D$10:$D$173)</f>
        <v>12741</v>
      </c>
      <c r="C28" s="8">
        <f>SUMIF('DAILY OKEY AYAM'!$B$10:$B$173,$A28,'DAILY OKEY AYAM'!I$10:I$173)</f>
        <v>2557.5</v>
      </c>
      <c r="D28" s="8">
        <f>SUMIF('DAILY OKEY AYAM'!$B$10:$B$173,$A28,'DAILY OKEY AYAM'!J$10:J$173)</f>
        <v>0</v>
      </c>
      <c r="E28" s="8">
        <f>SUMIF('DAILY OKEY AYAM'!$B$10:$B$173,$A28,'DAILY OKEY AYAM'!K$10:K$173)</f>
        <v>0.82</v>
      </c>
      <c r="F28" s="8">
        <f>SUMIF('DAILY OKEY AYAM'!$B$10:$B$173,$A28,'DAILY OKEY AYAM'!L$10:L$173)</f>
        <v>8.0599999999999987</v>
      </c>
      <c r="G28" s="8">
        <f>SUMIF('DAILY OKEY AYAM'!$B$10:$B$173,$A28,'DAILY OKEY AYAM'!M$10:M$173)</f>
        <v>0</v>
      </c>
      <c r="H28" s="8">
        <f>SUMIF('DAILY OKEY AYAM'!$B$10:$B$173,$A28,'DAILY OKEY AYAM'!N$10:N$173)</f>
        <v>0</v>
      </c>
      <c r="I28" s="8">
        <f>SUMIF('DAILY OKEY AYAM'!$B$10:$B$173,$A28,'DAILY OKEY AYAM'!O$10:O$173)</f>
        <v>14.36</v>
      </c>
      <c r="J28" s="8">
        <f>SUMIF('DAILY OKEY AYAM'!$B$10:$B$173,$A28,'DAILY OKEY AYAM'!P$10:P$173)</f>
        <v>0</v>
      </c>
      <c r="K28" s="8">
        <f>SUMIF('DAILY OKEY AYAM'!$B$10:$B$173,$A28,'DAILY OKEY AYAM'!Q$10:Q$173)</f>
        <v>0</v>
      </c>
      <c r="L28" s="8">
        <f>SUMIF('DAILY OKEY AYAM'!$B$10:$B$173,$A28,'DAILY OKEY AYAM'!R$10:R$173)</f>
        <v>0.38</v>
      </c>
      <c r="M28" s="8">
        <f>SUMIF('DAILY OKEY AYAM'!$B$10:$B$173,$A28,'DAILY OKEY AYAM'!S$10:S$173)</f>
        <v>0.86</v>
      </c>
      <c r="N28" s="8">
        <f>SUMIF('DAILY OKEY AYAM'!$B$10:$B$173,$A28,'DAILY OKEY AYAM'!T$10:T$173)</f>
        <v>2.2999999999999998</v>
      </c>
      <c r="O28" s="8">
        <f>SUMIF('DAILY OKEY AYAM'!$B$10:$B$173,$A28,'DAILY OKEY AYAM'!U$10:U$173)</f>
        <v>0</v>
      </c>
      <c r="P28" s="8">
        <f>SUMIF('DAILY OKEY AYAM'!$B$10:$B$173,$A28,'DAILY OKEY AYAM'!V$10:V$173)</f>
        <v>0</v>
      </c>
      <c r="Q28" s="8">
        <f>SUMIF('DAILY OKEY AYAM'!$B$10:$B$173,$A28,'DAILY OKEY AYAM'!W$10:W$173)</f>
        <v>0</v>
      </c>
      <c r="R28" s="8">
        <f>SUMIF('DAILY OKEY AYAM'!$B$10:$B$173,$A28,'DAILY OKEY AYAM'!X$10:X$173)</f>
        <v>4.8</v>
      </c>
      <c r="S28" s="8">
        <f>SUMIF('DAILY OKEY AYAM'!$B$10:$B$173,$A28,'DAILY OKEY AYAM'!Y$10:Y$173)</f>
        <v>0</v>
      </c>
      <c r="T28" s="8">
        <f>SUMIF('DAILY OKEY AYAM'!$B$10:$B$173,$A28,'DAILY OKEY AYAM'!Z$10:Z$173)</f>
        <v>0</v>
      </c>
      <c r="U28" s="8">
        <f>SUMIF('DAILY OKEY AYAM'!$B$10:$B$173,$A28,'DAILY OKEY AYAM'!AA$10:AA$173)</f>
        <v>0</v>
      </c>
      <c r="V28" s="8">
        <f>SUMIF('DAILY OKEY AYAM'!$B$10:$B$173,$A28,'DAILY OKEY AYAM'!AB$10:AB$173)</f>
        <v>0</v>
      </c>
      <c r="W28" s="342">
        <f t="shared" si="0"/>
        <v>31.58</v>
      </c>
      <c r="X28" s="343">
        <f t="shared" si="1"/>
        <v>10151.92</v>
      </c>
      <c r="Y28" s="46">
        <f t="shared" si="2"/>
        <v>2707.1786666666667</v>
      </c>
      <c r="Z28" s="344">
        <f t="shared" si="9"/>
        <v>0.20072992700729927</v>
      </c>
      <c r="AA28" s="345">
        <f t="shared" si="10"/>
        <v>0.7992700729927007</v>
      </c>
      <c r="AB28" s="346">
        <f>+'Actual VS SAP'!C30</f>
        <v>8</v>
      </c>
      <c r="AC28" s="347">
        <f t="shared" si="5"/>
        <v>12629.44</v>
      </c>
      <c r="AD28" s="345">
        <f t="shared" si="6"/>
        <v>0.20250304051486051</v>
      </c>
      <c r="AF28" s="348">
        <f>+AB28*'STD DRY'!$AD$6</f>
        <v>84.196266666666659</v>
      </c>
      <c r="AG28" s="348">
        <f>+AB28*'STD DRY'!$AD$12</f>
        <v>64.258590720000001</v>
      </c>
    </row>
    <row r="29" spans="1:35" s="46" customFormat="1">
      <c r="A29" s="341">
        <f>+'ALL SORTASI'!A31</f>
        <v>46229</v>
      </c>
      <c r="B29" s="8">
        <f>SUMIF('DAILY OKEY AYAM'!$B$10:$B$173,$A29,'DAILY OKEY AYAM'!$D$10:$D$173)</f>
        <v>0</v>
      </c>
      <c r="C29" s="8">
        <f>SUMIF('DAILY OKEY AYAM'!$B$10:$B$173,$A29,'DAILY OKEY AYAM'!I$10:I$173)</f>
        <v>0</v>
      </c>
      <c r="D29" s="8">
        <f>SUMIF('DAILY OKEY AYAM'!$B$10:$B$173,$A29,'DAILY OKEY AYAM'!J$10:J$173)</f>
        <v>0</v>
      </c>
      <c r="E29" s="8">
        <f>SUMIF('DAILY OKEY AYAM'!$B$10:$B$173,$A29,'DAILY OKEY AYAM'!K$10:K$173)</f>
        <v>0</v>
      </c>
      <c r="F29" s="8">
        <f>SUMIF('DAILY OKEY AYAM'!$B$10:$B$173,$A29,'DAILY OKEY AYAM'!L$10:L$173)</f>
        <v>0</v>
      </c>
      <c r="G29" s="8">
        <f>SUMIF('DAILY OKEY AYAM'!$B$10:$B$173,$A29,'DAILY OKEY AYAM'!M$10:M$173)</f>
        <v>0</v>
      </c>
      <c r="H29" s="8">
        <f>SUMIF('DAILY OKEY AYAM'!$B$10:$B$173,$A29,'DAILY OKEY AYAM'!N$10:N$173)</f>
        <v>0</v>
      </c>
      <c r="I29" s="8">
        <f>SUMIF('DAILY OKEY AYAM'!$B$10:$B$173,$A29,'DAILY OKEY AYAM'!O$10:O$173)</f>
        <v>0</v>
      </c>
      <c r="J29" s="8">
        <f>SUMIF('DAILY OKEY AYAM'!$B$10:$B$173,$A29,'DAILY OKEY AYAM'!P$10:P$173)</f>
        <v>0</v>
      </c>
      <c r="K29" s="8">
        <f>SUMIF('DAILY OKEY AYAM'!$B$10:$B$173,$A29,'DAILY OKEY AYAM'!Q$10:Q$173)</f>
        <v>0</v>
      </c>
      <c r="L29" s="8">
        <f>SUMIF('DAILY OKEY AYAM'!$B$10:$B$173,$A29,'DAILY OKEY AYAM'!R$10:R$173)</f>
        <v>0</v>
      </c>
      <c r="M29" s="8">
        <f>SUMIF('DAILY OKEY AYAM'!$B$10:$B$173,$A29,'DAILY OKEY AYAM'!S$10:S$173)</f>
        <v>0</v>
      </c>
      <c r="N29" s="8">
        <f>SUMIF('DAILY OKEY AYAM'!$B$10:$B$173,$A29,'DAILY OKEY AYAM'!T$10:T$173)</f>
        <v>0</v>
      </c>
      <c r="O29" s="8">
        <f>SUMIF('DAILY OKEY AYAM'!$B$10:$B$173,$A29,'DAILY OKEY AYAM'!U$10:U$173)</f>
        <v>0</v>
      </c>
      <c r="P29" s="8">
        <f>SUMIF('DAILY OKEY AYAM'!$B$10:$B$173,$A29,'DAILY OKEY AYAM'!V$10:V$173)</f>
        <v>0</v>
      </c>
      <c r="Q29" s="8">
        <f>SUMIF('DAILY OKEY AYAM'!$B$10:$B$173,$A29,'DAILY OKEY AYAM'!W$10:W$173)</f>
        <v>0</v>
      </c>
      <c r="R29" s="8">
        <f>SUMIF('DAILY OKEY AYAM'!$B$10:$B$173,$A29,'DAILY OKEY AYAM'!X$10:X$173)</f>
        <v>0</v>
      </c>
      <c r="S29" s="8">
        <f>SUMIF('DAILY OKEY AYAM'!$B$10:$B$173,$A29,'DAILY OKEY AYAM'!Y$10:Y$173)</f>
        <v>0</v>
      </c>
      <c r="T29" s="8">
        <f>SUMIF('DAILY OKEY AYAM'!$B$10:$B$173,$A29,'DAILY OKEY AYAM'!Z$10:Z$173)</f>
        <v>0</v>
      </c>
      <c r="U29" s="8">
        <f>SUMIF('DAILY OKEY AYAM'!$B$10:$B$173,$A29,'DAILY OKEY AYAM'!AA$10:AA$173)</f>
        <v>0</v>
      </c>
      <c r="V29" s="8">
        <f>SUMIF('DAILY OKEY AYAM'!$B$10:$B$173,$A29,'DAILY OKEY AYAM'!AB$10:AB$173)</f>
        <v>0</v>
      </c>
      <c r="W29" s="342">
        <f t="shared" si="0"/>
        <v>0</v>
      </c>
      <c r="X29" s="343">
        <f t="shared" si="1"/>
        <v>0</v>
      </c>
      <c r="Y29" s="46">
        <f t="shared" si="2"/>
        <v>0</v>
      </c>
      <c r="Z29" s="344" t="e">
        <f t="shared" si="9"/>
        <v>#DIV/0!</v>
      </c>
      <c r="AA29" s="345" t="e">
        <f t="shared" si="10"/>
        <v>#DIV/0!</v>
      </c>
      <c r="AB29" s="346">
        <f>+'Actual VS SAP'!C31</f>
        <v>0</v>
      </c>
      <c r="AC29" s="347">
        <f t="shared" si="5"/>
        <v>0</v>
      </c>
      <c r="AD29" s="345" t="e">
        <f t="shared" si="6"/>
        <v>#DIV/0!</v>
      </c>
      <c r="AF29" s="348">
        <f>+AB29*'STD DRY'!$AD$6</f>
        <v>0</v>
      </c>
      <c r="AG29" s="348">
        <f>+AB29*'STD DRY'!$AD$12</f>
        <v>0</v>
      </c>
    </row>
    <row r="30" spans="1:35" s="46" customFormat="1">
      <c r="A30" s="341">
        <f>+'ALL SORTASI'!A32</f>
        <v>46230</v>
      </c>
      <c r="B30" s="8">
        <f>SUMIF('DAILY OKEY AYAM'!$B$10:$B$173,$A30,'DAILY OKEY AYAM'!$D$10:$D$173)</f>
        <v>0</v>
      </c>
      <c r="C30" s="8">
        <f>SUMIF('DAILY OKEY AYAM'!$B$10:$B$173,$A30,'DAILY OKEY AYAM'!I$10:I$173)</f>
        <v>0</v>
      </c>
      <c r="D30" s="8">
        <f>SUMIF('DAILY OKEY AYAM'!$B$10:$B$173,$A30,'DAILY OKEY AYAM'!J$10:J$173)</f>
        <v>0</v>
      </c>
      <c r="E30" s="8">
        <f>SUMIF('DAILY OKEY AYAM'!$B$10:$B$173,$A30,'DAILY OKEY AYAM'!K$10:K$173)</f>
        <v>0</v>
      </c>
      <c r="F30" s="8">
        <f>SUMIF('DAILY OKEY AYAM'!$B$10:$B$173,$A30,'DAILY OKEY AYAM'!L$10:L$173)</f>
        <v>0</v>
      </c>
      <c r="G30" s="8">
        <f>SUMIF('DAILY OKEY AYAM'!$B$10:$B$173,$A30,'DAILY OKEY AYAM'!M$10:M$173)</f>
        <v>0</v>
      </c>
      <c r="H30" s="8">
        <f>SUMIF('DAILY OKEY AYAM'!$B$10:$B$173,$A30,'DAILY OKEY AYAM'!N$10:N$173)</f>
        <v>0</v>
      </c>
      <c r="I30" s="8">
        <f>SUMIF('DAILY OKEY AYAM'!$B$10:$B$173,$A30,'DAILY OKEY AYAM'!O$10:O$173)</f>
        <v>0</v>
      </c>
      <c r="J30" s="8">
        <f>SUMIF('DAILY OKEY AYAM'!$B$10:$B$173,$A30,'DAILY OKEY AYAM'!P$10:P$173)</f>
        <v>0</v>
      </c>
      <c r="K30" s="8">
        <f>SUMIF('DAILY OKEY AYAM'!$B$10:$B$173,$A30,'DAILY OKEY AYAM'!Q$10:Q$173)</f>
        <v>0</v>
      </c>
      <c r="L30" s="8">
        <f>SUMIF('DAILY OKEY AYAM'!$B$10:$B$173,$A30,'DAILY OKEY AYAM'!R$10:R$173)</f>
        <v>0</v>
      </c>
      <c r="M30" s="8">
        <f>SUMIF('DAILY OKEY AYAM'!$B$10:$B$173,$A30,'DAILY OKEY AYAM'!S$10:S$173)</f>
        <v>0</v>
      </c>
      <c r="N30" s="8">
        <f>SUMIF('DAILY OKEY AYAM'!$B$10:$B$173,$A30,'DAILY OKEY AYAM'!T$10:T$173)</f>
        <v>0</v>
      </c>
      <c r="O30" s="8">
        <f>SUMIF('DAILY OKEY AYAM'!$B$10:$B$173,$A30,'DAILY OKEY AYAM'!U$10:U$173)</f>
        <v>0</v>
      </c>
      <c r="P30" s="8">
        <f>SUMIF('DAILY OKEY AYAM'!$B$10:$B$173,$A30,'DAILY OKEY AYAM'!V$10:V$173)</f>
        <v>0</v>
      </c>
      <c r="Q30" s="8">
        <f>SUMIF('DAILY OKEY AYAM'!$B$10:$B$173,$A30,'DAILY OKEY AYAM'!W$10:W$173)</f>
        <v>0</v>
      </c>
      <c r="R30" s="8">
        <f>SUMIF('DAILY OKEY AYAM'!$B$10:$B$173,$A30,'DAILY OKEY AYAM'!X$10:X$173)</f>
        <v>0</v>
      </c>
      <c r="S30" s="8">
        <f>SUMIF('DAILY OKEY AYAM'!$B$10:$B$173,$A30,'DAILY OKEY AYAM'!Y$10:Y$173)</f>
        <v>0</v>
      </c>
      <c r="T30" s="8">
        <f>SUMIF('DAILY OKEY AYAM'!$B$10:$B$173,$A30,'DAILY OKEY AYAM'!Z$10:Z$173)</f>
        <v>0</v>
      </c>
      <c r="U30" s="8">
        <f>SUMIF('DAILY OKEY AYAM'!$B$10:$B$173,$A30,'DAILY OKEY AYAM'!AA$10:AA$173)</f>
        <v>0</v>
      </c>
      <c r="V30" s="8">
        <f>SUMIF('DAILY OKEY AYAM'!$B$10:$B$173,$A30,'DAILY OKEY AYAM'!AB$10:AB$173)</f>
        <v>0</v>
      </c>
      <c r="W30" s="342">
        <f t="shared" si="0"/>
        <v>0</v>
      </c>
      <c r="X30" s="343">
        <f t="shared" si="1"/>
        <v>0</v>
      </c>
      <c r="Y30" s="46">
        <f t="shared" si="2"/>
        <v>0</v>
      </c>
      <c r="Z30" s="344" t="e">
        <f t="shared" si="9"/>
        <v>#DIV/0!</v>
      </c>
      <c r="AA30" s="345" t="e">
        <f t="shared" si="10"/>
        <v>#DIV/0!</v>
      </c>
      <c r="AB30" s="346">
        <f>+'Actual VS SAP'!C32</f>
        <v>0</v>
      </c>
      <c r="AC30" s="347">
        <f t="shared" si="5"/>
        <v>0</v>
      </c>
      <c r="AD30" s="345" t="e">
        <f t="shared" si="6"/>
        <v>#DIV/0!</v>
      </c>
      <c r="AF30" s="348">
        <f>+AB30*'STD DRY'!$AD$6</f>
        <v>0</v>
      </c>
      <c r="AG30" s="348">
        <f>+AB30*'STD DRY'!$AD$12</f>
        <v>0</v>
      </c>
    </row>
    <row r="31" spans="1:35">
      <c r="A31" s="7">
        <f>+'ALL SORTASI'!A33</f>
        <v>46231</v>
      </c>
      <c r="B31" s="8">
        <f>SUMIF('DAILY OKEY AYAM'!$B$10:$B$173,$A31,'DAILY OKEY AYAM'!$D$10:$D$173)</f>
        <v>0</v>
      </c>
      <c r="C31" s="8">
        <f>SUMIF('DAILY OKEY AYAM'!$B$10:$B$173,$A31,'DAILY OKEY AYAM'!I$10:I$173)</f>
        <v>0</v>
      </c>
      <c r="D31" s="8">
        <f>SUMIF('DAILY OKEY AYAM'!$B$10:$B$173,$A31,'DAILY OKEY AYAM'!J$10:J$173)</f>
        <v>0</v>
      </c>
      <c r="E31" s="8">
        <f>SUMIF('DAILY OKEY AYAM'!$B$10:$B$173,$A31,'DAILY OKEY AYAM'!K$10:K$173)</f>
        <v>0</v>
      </c>
      <c r="F31" s="8">
        <f>SUMIF('DAILY OKEY AYAM'!$B$10:$B$173,$A31,'DAILY OKEY AYAM'!L$10:L$173)</f>
        <v>0</v>
      </c>
      <c r="G31" s="8">
        <f>SUMIF('DAILY OKEY AYAM'!$B$10:$B$173,$A31,'DAILY OKEY AYAM'!M$10:M$173)</f>
        <v>0</v>
      </c>
      <c r="H31" s="8">
        <f>SUMIF('DAILY OKEY AYAM'!$B$10:$B$173,$A31,'DAILY OKEY AYAM'!N$10:N$173)</f>
        <v>0</v>
      </c>
      <c r="I31" s="8">
        <f>SUMIF('DAILY OKEY AYAM'!$B$10:$B$173,$A31,'DAILY OKEY AYAM'!O$10:O$173)</f>
        <v>0</v>
      </c>
      <c r="J31" s="8">
        <f>SUMIF('DAILY OKEY AYAM'!$B$10:$B$173,$A31,'DAILY OKEY AYAM'!P$10:P$173)</f>
        <v>0</v>
      </c>
      <c r="K31" s="8">
        <f>SUMIF('DAILY OKEY AYAM'!$B$10:$B$173,$A31,'DAILY OKEY AYAM'!Q$10:Q$173)</f>
        <v>0</v>
      </c>
      <c r="L31" s="8">
        <f>SUMIF('DAILY OKEY AYAM'!$B$10:$B$173,$A31,'DAILY OKEY AYAM'!R$10:R$173)</f>
        <v>0</v>
      </c>
      <c r="M31" s="8">
        <f>SUMIF('DAILY OKEY AYAM'!$B$10:$B$173,$A31,'DAILY OKEY AYAM'!S$10:S$173)</f>
        <v>0</v>
      </c>
      <c r="N31" s="8">
        <f>SUMIF('DAILY OKEY AYAM'!$B$10:$B$173,$A31,'DAILY OKEY AYAM'!T$10:T$173)</f>
        <v>0</v>
      </c>
      <c r="O31" s="8">
        <f>SUMIF('DAILY OKEY AYAM'!$B$10:$B$173,$A31,'DAILY OKEY AYAM'!U$10:U$173)</f>
        <v>0</v>
      </c>
      <c r="P31" s="8">
        <f>SUMIF('DAILY OKEY AYAM'!$B$10:$B$173,$A31,'DAILY OKEY AYAM'!V$10:V$173)</f>
        <v>0</v>
      </c>
      <c r="Q31" s="8">
        <f>SUMIF('DAILY OKEY AYAM'!$B$10:$B$173,$A31,'DAILY OKEY AYAM'!W$10:W$173)</f>
        <v>0</v>
      </c>
      <c r="R31" s="8">
        <f>SUMIF('DAILY OKEY AYAM'!$B$10:$B$173,$A31,'DAILY OKEY AYAM'!X$10:X$173)</f>
        <v>0</v>
      </c>
      <c r="S31" s="8">
        <f>SUMIF('DAILY OKEY AYAM'!$B$10:$B$173,$A31,'DAILY OKEY AYAM'!Y$10:Y$173)</f>
        <v>0</v>
      </c>
      <c r="T31" s="8">
        <f>SUMIF('DAILY OKEY AYAM'!$B$10:$B$173,$A31,'DAILY OKEY AYAM'!Z$10:Z$173)</f>
        <v>0</v>
      </c>
      <c r="U31" s="8">
        <f>SUMIF('DAILY OKEY AYAM'!$B$10:$B$173,$A31,'DAILY OKEY AYAM'!AA$10:AA$173)</f>
        <v>0</v>
      </c>
      <c r="V31" s="8">
        <f>SUMIF('DAILY OKEY AYAM'!$B$10:$B$173,$A31,'DAILY OKEY AYAM'!AB$10:AB$173)</f>
        <v>0</v>
      </c>
      <c r="W31" s="59">
        <f t="shared" si="0"/>
        <v>0</v>
      </c>
      <c r="X31" s="60">
        <f t="shared" si="1"/>
        <v>0</v>
      </c>
      <c r="Y31" s="47">
        <f t="shared" si="2"/>
        <v>0</v>
      </c>
      <c r="AB31" s="112">
        <f>+'Actual VS SAP'!C33</f>
        <v>0</v>
      </c>
      <c r="AC31" s="48">
        <f t="shared" si="5"/>
        <v>0</v>
      </c>
      <c r="AD31" s="89" t="e">
        <f t="shared" si="6"/>
        <v>#DIV/0!</v>
      </c>
      <c r="AF31" s="159">
        <f>+AB31*'STD DRY'!$AD$6</f>
        <v>0</v>
      </c>
      <c r="AG31" s="159">
        <f>+AB31*'STD DRY'!$AD$12</f>
        <v>0</v>
      </c>
    </row>
    <row r="32" spans="1:35">
      <c r="A32" s="7">
        <f>+'ALL SORTASI'!A34</f>
        <v>46232</v>
      </c>
      <c r="B32" s="8">
        <f>SUMIF('DAILY OKEY AYAM'!$B$10:$B$173,$A32,'DAILY OKEY AYAM'!$D$10:$D$173)</f>
        <v>0</v>
      </c>
      <c r="C32" s="8">
        <f>SUMIF('DAILY OKEY AYAM'!$B$10:$B$173,$A32,'DAILY OKEY AYAM'!I$10:I$173)</f>
        <v>0</v>
      </c>
      <c r="D32" s="8">
        <f>SUMIF('DAILY OKEY AYAM'!$B$10:$B$173,$A32,'DAILY OKEY AYAM'!J$10:J$173)</f>
        <v>0</v>
      </c>
      <c r="E32" s="8">
        <f>SUMIF('DAILY OKEY AYAM'!$B$10:$B$173,$A32,'DAILY OKEY AYAM'!K$10:K$173)</f>
        <v>0</v>
      </c>
      <c r="F32" s="8">
        <f>SUMIF('DAILY OKEY AYAM'!$B$10:$B$173,$A32,'DAILY OKEY AYAM'!L$10:L$173)</f>
        <v>0</v>
      </c>
      <c r="G32" s="8">
        <f>SUMIF('DAILY OKEY AYAM'!$B$10:$B$173,$A32,'DAILY OKEY AYAM'!M$10:M$173)</f>
        <v>0</v>
      </c>
      <c r="H32" s="8">
        <f>SUMIF('DAILY OKEY AYAM'!$B$10:$B$173,$A32,'DAILY OKEY AYAM'!N$10:N$173)</f>
        <v>0</v>
      </c>
      <c r="I32" s="8">
        <f>SUMIF('DAILY OKEY AYAM'!$B$10:$B$173,$A32,'DAILY OKEY AYAM'!O$10:O$173)</f>
        <v>0</v>
      </c>
      <c r="J32" s="8">
        <f>SUMIF('DAILY OKEY AYAM'!$B$10:$B$173,$A32,'DAILY OKEY AYAM'!P$10:P$173)</f>
        <v>0</v>
      </c>
      <c r="K32" s="8">
        <f>SUMIF('DAILY OKEY AYAM'!$B$10:$B$173,$A32,'DAILY OKEY AYAM'!Q$10:Q$173)</f>
        <v>0</v>
      </c>
      <c r="L32" s="8">
        <f>SUMIF('DAILY OKEY AYAM'!$B$10:$B$173,$A32,'DAILY OKEY AYAM'!R$10:R$173)</f>
        <v>0</v>
      </c>
      <c r="M32" s="8">
        <f>SUMIF('DAILY OKEY AYAM'!$B$10:$B$173,$A32,'DAILY OKEY AYAM'!S$10:S$173)</f>
        <v>0</v>
      </c>
      <c r="N32" s="8">
        <f>SUMIF('DAILY OKEY AYAM'!$B$10:$B$173,$A32,'DAILY OKEY AYAM'!T$10:T$173)</f>
        <v>0</v>
      </c>
      <c r="O32" s="8">
        <f>SUMIF('DAILY OKEY AYAM'!$B$10:$B$173,$A32,'DAILY OKEY AYAM'!U$10:U$173)</f>
        <v>0</v>
      </c>
      <c r="P32" s="8">
        <f>SUMIF('DAILY OKEY AYAM'!$B$10:$B$173,$A32,'DAILY OKEY AYAM'!V$10:V$173)</f>
        <v>0</v>
      </c>
      <c r="Q32" s="8">
        <f>SUMIF('DAILY OKEY AYAM'!$B$10:$B$173,$A32,'DAILY OKEY AYAM'!W$10:W$173)</f>
        <v>0</v>
      </c>
      <c r="R32" s="8">
        <f>SUMIF('DAILY OKEY AYAM'!$B$10:$B$173,$A32,'DAILY OKEY AYAM'!X$10:X$173)</f>
        <v>0</v>
      </c>
      <c r="S32" s="8">
        <f>SUMIF('DAILY OKEY AYAM'!$B$10:$B$173,$A32,'DAILY OKEY AYAM'!Y$10:Y$173)</f>
        <v>0</v>
      </c>
      <c r="T32" s="8">
        <f>SUMIF('DAILY OKEY AYAM'!$B$10:$B$173,$A32,'DAILY OKEY AYAM'!Z$10:Z$173)</f>
        <v>0</v>
      </c>
      <c r="U32" s="8">
        <f>SUMIF('DAILY OKEY AYAM'!$B$10:$B$173,$A32,'DAILY OKEY AYAM'!AA$10:AA$173)</f>
        <v>0</v>
      </c>
      <c r="V32" s="8">
        <f>SUMIF('DAILY OKEY AYAM'!$B$10:$B$173,$A32,'DAILY OKEY AYAM'!AB$10:AB$173)</f>
        <v>0</v>
      </c>
      <c r="W32" s="59">
        <f t="shared" si="0"/>
        <v>0</v>
      </c>
      <c r="X32" s="60">
        <f t="shared" si="1"/>
        <v>0</v>
      </c>
      <c r="Y32" s="47">
        <f t="shared" si="2"/>
        <v>0</v>
      </c>
      <c r="AB32" s="112">
        <f>+'Actual VS SAP'!C34</f>
        <v>0</v>
      </c>
      <c r="AC32" s="48">
        <f>+AB32*$AC$3</f>
        <v>0</v>
      </c>
      <c r="AD32" s="89" t="e">
        <f>+C32/AC32</f>
        <v>#DIV/0!</v>
      </c>
    </row>
    <row r="33" spans="1:30">
      <c r="A33" s="7">
        <f>+'ALL SORTASI'!A35</f>
        <v>46233</v>
      </c>
      <c r="B33" s="8">
        <f>SUMIF('DAILY OKEY AYAM'!$B$10:$B$173,$A33,'DAILY OKEY AYAM'!$D$10:$D$173)</f>
        <v>0</v>
      </c>
      <c r="C33" s="8">
        <f>SUMIF('DAILY OKEY AYAM'!$B$10:$B$173,$A33,'DAILY OKEY AYAM'!I$10:I$173)</f>
        <v>0</v>
      </c>
      <c r="D33" s="8">
        <f>SUMIF('DAILY OKEY AYAM'!$B$10:$B$173,$A33,'DAILY OKEY AYAM'!J$10:J$173)</f>
        <v>0</v>
      </c>
      <c r="E33" s="8">
        <f>SUMIF('DAILY OKEY AYAM'!$B$10:$B$173,$A33,'DAILY OKEY AYAM'!K$10:K$173)</f>
        <v>0</v>
      </c>
      <c r="F33" s="8">
        <f>SUMIF('DAILY OKEY AYAM'!$B$10:$B$173,$A33,'DAILY OKEY AYAM'!L$10:L$173)</f>
        <v>0</v>
      </c>
      <c r="G33" s="8">
        <f>SUMIF('DAILY OKEY AYAM'!$B$10:$B$173,$A33,'DAILY OKEY AYAM'!M$10:M$173)</f>
        <v>0</v>
      </c>
      <c r="H33" s="8">
        <f>SUMIF('DAILY OKEY AYAM'!$B$10:$B$173,$A33,'DAILY OKEY AYAM'!N$10:N$173)</f>
        <v>0</v>
      </c>
      <c r="I33" s="8">
        <f>SUMIF('DAILY OKEY AYAM'!$B$10:$B$173,$A33,'DAILY OKEY AYAM'!O$10:O$173)</f>
        <v>0</v>
      </c>
      <c r="J33" s="8">
        <f>SUMIF('DAILY OKEY AYAM'!$B$10:$B$173,$A33,'DAILY OKEY AYAM'!P$10:P$173)</f>
        <v>0</v>
      </c>
      <c r="K33" s="8">
        <f>SUMIF('DAILY OKEY AYAM'!$B$10:$B$173,$A33,'DAILY OKEY AYAM'!Q$10:Q$173)</f>
        <v>0</v>
      </c>
      <c r="L33" s="8">
        <f>SUMIF('DAILY OKEY AYAM'!$B$10:$B$173,$A33,'DAILY OKEY AYAM'!R$10:R$173)</f>
        <v>0</v>
      </c>
      <c r="M33" s="8">
        <f>SUMIF('DAILY OKEY AYAM'!$B$10:$B$173,$A33,'DAILY OKEY AYAM'!S$10:S$173)</f>
        <v>0</v>
      </c>
      <c r="N33" s="8">
        <f>SUMIF('DAILY OKEY AYAM'!$B$10:$B$173,$A33,'DAILY OKEY AYAM'!T$10:T$173)</f>
        <v>0</v>
      </c>
      <c r="O33" s="8">
        <f>SUMIF('DAILY OKEY AYAM'!$B$10:$B$173,$A33,'DAILY OKEY AYAM'!U$10:U$173)</f>
        <v>0</v>
      </c>
      <c r="P33" s="8">
        <f>SUMIF('DAILY OKEY AYAM'!$B$10:$B$173,$A33,'DAILY OKEY AYAM'!V$10:V$173)</f>
        <v>0</v>
      </c>
      <c r="Q33" s="8">
        <f>SUMIF('DAILY OKEY AYAM'!$B$10:$B$173,$A33,'DAILY OKEY AYAM'!W$10:W$173)</f>
        <v>0</v>
      </c>
      <c r="R33" s="8">
        <f>SUMIF('DAILY OKEY AYAM'!$B$10:$B$173,$A33,'DAILY OKEY AYAM'!X$10:X$173)</f>
        <v>0</v>
      </c>
      <c r="S33" s="8">
        <f>SUMIF('DAILY OKEY AYAM'!$B$10:$B$173,$A33,'DAILY OKEY AYAM'!Y$10:Y$173)</f>
        <v>0</v>
      </c>
      <c r="T33" s="8">
        <f>SUMIF('DAILY OKEY AYAM'!$B$10:$B$173,$A33,'DAILY OKEY AYAM'!Z$10:Z$173)</f>
        <v>0</v>
      </c>
      <c r="U33" s="8">
        <f>SUMIF('DAILY OKEY AYAM'!$B$10:$B$173,$A33,'DAILY OKEY AYAM'!AA$10:AA$173)</f>
        <v>0</v>
      </c>
      <c r="V33" s="8">
        <f>SUMIF('DAILY OKEY AYAM'!$B$10:$B$173,$A33,'DAILY OKEY AYAM'!AB$10:AB$173)</f>
        <v>0</v>
      </c>
      <c r="W33" s="59">
        <f t="shared" si="0"/>
        <v>0</v>
      </c>
      <c r="X33" s="60">
        <f t="shared" si="1"/>
        <v>0</v>
      </c>
      <c r="Y33" s="47">
        <f t="shared" si="2"/>
        <v>0</v>
      </c>
      <c r="AB33" s="112">
        <f>+'Actual VS SAP'!C35</f>
        <v>0</v>
      </c>
      <c r="AC33" s="48">
        <f>+AB33*$AC$3</f>
        <v>0</v>
      </c>
      <c r="AD33" s="89" t="e">
        <f>+C33/AC33</f>
        <v>#DIV/0!</v>
      </c>
    </row>
    <row r="34" spans="1:30">
      <c r="A34" s="7">
        <f>+'ALL SORTASI'!A36</f>
        <v>46234</v>
      </c>
      <c r="B34" s="8">
        <f>SUMIF('DAILY OKEY AYAM'!$B$10:$B$173,$A34,'DAILY OKEY AYAM'!$D$10:$D$173)</f>
        <v>0</v>
      </c>
      <c r="C34" s="8">
        <f>SUMIF('DAILY OKEY AYAM'!$B$10:$B$173,$A34,'DAILY OKEY AYAM'!I$10:I$173)</f>
        <v>0</v>
      </c>
      <c r="D34" s="8">
        <f>SUMIF('DAILY OKEY AYAM'!$B$10:$B$173,$A34,'DAILY OKEY AYAM'!J$10:J$173)</f>
        <v>0</v>
      </c>
      <c r="E34" s="8">
        <f>SUMIF('DAILY OKEY AYAM'!$B$10:$B$173,$A34,'DAILY OKEY AYAM'!K$10:K$173)</f>
        <v>0</v>
      </c>
      <c r="F34" s="8">
        <f>SUMIF('DAILY OKEY AYAM'!$B$10:$B$173,$A34,'DAILY OKEY AYAM'!L$10:L$173)</f>
        <v>0</v>
      </c>
      <c r="G34" s="8">
        <f>SUMIF('DAILY OKEY AYAM'!$B$10:$B$173,$A34,'DAILY OKEY AYAM'!M$10:M$173)</f>
        <v>0</v>
      </c>
      <c r="H34" s="8">
        <f>SUMIF('DAILY OKEY AYAM'!$B$10:$B$173,$A34,'DAILY OKEY AYAM'!N$10:N$173)</f>
        <v>0</v>
      </c>
      <c r="I34" s="8">
        <f>SUMIF('DAILY OKEY AYAM'!$B$10:$B$173,$A34,'DAILY OKEY AYAM'!O$10:O$173)</f>
        <v>0</v>
      </c>
      <c r="J34" s="8">
        <f>SUMIF('DAILY OKEY AYAM'!$B$10:$B$173,$A34,'DAILY OKEY AYAM'!P$10:P$173)</f>
        <v>0</v>
      </c>
      <c r="K34" s="8">
        <f>SUMIF('DAILY OKEY AYAM'!$B$10:$B$173,$A34,'DAILY OKEY AYAM'!Q$10:Q$173)</f>
        <v>0</v>
      </c>
      <c r="L34" s="8">
        <f>SUMIF('DAILY OKEY AYAM'!$B$10:$B$173,$A34,'DAILY OKEY AYAM'!R$10:R$173)</f>
        <v>0</v>
      </c>
      <c r="M34" s="8">
        <f>SUMIF('DAILY OKEY AYAM'!$B$10:$B$173,$A34,'DAILY OKEY AYAM'!S$10:S$173)</f>
        <v>0</v>
      </c>
      <c r="N34" s="8">
        <f>SUMIF('DAILY OKEY AYAM'!$B$10:$B$173,$A34,'DAILY OKEY AYAM'!T$10:T$173)</f>
        <v>0</v>
      </c>
      <c r="O34" s="8">
        <f>SUMIF('DAILY OKEY AYAM'!$B$10:$B$173,$A34,'DAILY OKEY AYAM'!U$10:U$173)</f>
        <v>0</v>
      </c>
      <c r="P34" s="8">
        <f>SUMIF('DAILY OKEY AYAM'!$B$10:$B$173,$A34,'DAILY OKEY AYAM'!V$10:V$173)</f>
        <v>0</v>
      </c>
      <c r="Q34" s="8">
        <f>SUMIF('DAILY OKEY AYAM'!$B$10:$B$173,$A34,'DAILY OKEY AYAM'!W$10:W$173)</f>
        <v>0</v>
      </c>
      <c r="R34" s="8">
        <f>SUMIF('DAILY OKEY AYAM'!$B$10:$B$173,$A34,'DAILY OKEY AYAM'!X$10:X$173)</f>
        <v>0</v>
      </c>
      <c r="S34" s="8">
        <f>SUMIF('DAILY OKEY AYAM'!$B$10:$B$173,$A34,'DAILY OKEY AYAM'!Y$10:Y$173)</f>
        <v>0</v>
      </c>
      <c r="T34" s="8">
        <f>SUMIF('DAILY OKEY AYAM'!$B$10:$B$173,$A34,'DAILY OKEY AYAM'!Z$10:Z$173)</f>
        <v>0</v>
      </c>
      <c r="U34" s="8">
        <f>SUMIF('DAILY OKEY AYAM'!$B$10:$B$173,$A34,'DAILY OKEY AYAM'!AA$10:AA$173)</f>
        <v>0</v>
      </c>
      <c r="V34" s="8">
        <f>SUMIF('DAILY OKEY AYAM'!$B$10:$B$173,$A34,'DAILY OKEY AYAM'!AB$10:AB$173)</f>
        <v>0</v>
      </c>
      <c r="W34" s="59">
        <f t="shared" si="0"/>
        <v>0</v>
      </c>
      <c r="X34" s="60">
        <f t="shared" si="1"/>
        <v>0</v>
      </c>
      <c r="Y34" s="47">
        <f t="shared" si="2"/>
        <v>0</v>
      </c>
      <c r="AB34" s="112"/>
      <c r="AC34" s="48">
        <f>+AB34*$AC$3</f>
        <v>0</v>
      </c>
      <c r="AD34" s="89" t="e">
        <f>+C34/AC34</f>
        <v>#DIV/0!</v>
      </c>
    </row>
    <row r="35" spans="1:30">
      <c r="A35" s="7"/>
      <c r="B35" s="8">
        <f>SUMIF('DAILY OKEY AYAM'!$B$20:$B$150,$A35,'DAILY OKEY AYAM'!$D$20:$D$172)</f>
        <v>0</v>
      </c>
      <c r="C35" s="8">
        <f>SUMIF('DAILY OKEY AYAM'!$B$20:$B$150,$A35,'DAILY OKEY AYAM'!I$20:I$150)</f>
        <v>0</v>
      </c>
      <c r="D35" s="8">
        <f>SUMIF('DAILY OKEY AYAM'!$B$20:$B$150,$A35,'DAILY OKEY AYAM'!J$20:J$150)</f>
        <v>0</v>
      </c>
      <c r="E35" s="8">
        <f>SUMIF('DAILY OKEY AYAM'!$B$20:$B$150,$A35,'DAILY OKEY AYAM'!K$20:K$150)</f>
        <v>0</v>
      </c>
      <c r="F35" s="8">
        <f>SUMIF('DAILY OKEY AYAM'!$B$20:$B$150,$A35,'DAILY OKEY AYAM'!L$20:L$150)</f>
        <v>0</v>
      </c>
      <c r="G35" s="8">
        <f>SUMIF('DAILY OKEY AYAM'!$B$20:$B$150,$A35,'DAILY OKEY AYAM'!M$20:M$150)</f>
        <v>0</v>
      </c>
      <c r="H35" s="8">
        <f>SUMIF('DAILY OKEY AYAM'!$B$20:$B$150,$A35,'DAILY OKEY AYAM'!N$20:N$150)</f>
        <v>0</v>
      </c>
      <c r="I35" s="8">
        <f>SUMIF('DAILY OKEY AYAM'!$B$20:$B$150,$A35,'DAILY OKEY AYAM'!O$20:O$150)</f>
        <v>0</v>
      </c>
      <c r="J35" s="8">
        <f>SUMIF('DAILY OKEY AYAM'!$B$20:$B$150,$A35,'DAILY OKEY AYAM'!P$20:P$150)</f>
        <v>0</v>
      </c>
      <c r="K35" s="8">
        <f>SUMIF('DAILY OKEY AYAM'!$B$20:$B$150,$A35,'DAILY OKEY AYAM'!Q$20:Q$150)</f>
        <v>0</v>
      </c>
      <c r="L35" s="8">
        <f>SUMIF('DAILY OKEY AYAM'!$B$20:$B$150,$A35,'DAILY OKEY AYAM'!R$20:R$150)</f>
        <v>0</v>
      </c>
      <c r="M35" s="8">
        <f>SUMIF('DAILY OKEY AYAM'!$B$20:$B$150,$A35,'DAILY OKEY AYAM'!S$20:S$150)</f>
        <v>0</v>
      </c>
      <c r="N35" s="8">
        <f>SUMIF('DAILY OKEY AYAM'!$B$20:$B$150,$A35,'DAILY OKEY AYAM'!T$20:T$150)</f>
        <v>0</v>
      </c>
      <c r="O35" s="8">
        <f>SUMIF('DAILY OKEY AYAM'!$B$20:$B$150,$A35,'DAILY OKEY AYAM'!U$20:U$150)</f>
        <v>0</v>
      </c>
      <c r="P35" s="8">
        <f>SUMIF('DAILY OKEY AYAM'!$B$20:$B$150,$A35,'DAILY OKEY AYAM'!V$20:V$150)</f>
        <v>0</v>
      </c>
      <c r="Q35" s="8">
        <f>SUMIF('DAILY OKEY AYAM'!$B$20:$B$150,$A35,'DAILY OKEY AYAM'!W$20:W$150)</f>
        <v>0</v>
      </c>
      <c r="R35" s="8">
        <f>SUMIF('DAILY OKEY AYAM'!$B$20:$B$150,$A35,'DAILY OKEY AYAM'!X$20:X$150)</f>
        <v>0</v>
      </c>
      <c r="S35" s="8">
        <f>SUMIF('DAILY OKEY AYAM'!$B$20:$B$150,$A35,'DAILY OKEY AYAM'!Y$20:Y$150)</f>
        <v>0</v>
      </c>
      <c r="T35" s="8">
        <f>SUMIF('DAILY OKEY AYAM'!$B$20:$B$150,$A35,'DAILY OKEY AYAM'!Z$20:Z$150)</f>
        <v>0</v>
      </c>
      <c r="U35" s="8">
        <f>SUMIF('DAILY OKEY AYAM'!$B$20:$B$150,$A35,'DAILY OKEY AYAM'!AA$20:AA$150)</f>
        <v>0</v>
      </c>
      <c r="V35" s="8">
        <f>SUMIF('DAILY OKEY AYAM'!$B$20:$B$150,$A35,'DAILY OKEY AYAM'!AB$20:AB$150)</f>
        <v>0</v>
      </c>
      <c r="W35" s="59">
        <f t="shared" si="0"/>
        <v>0</v>
      </c>
      <c r="X35" s="60">
        <f t="shared" si="1"/>
        <v>0</v>
      </c>
      <c r="Y35" s="47">
        <f t="shared" ref="Y35" si="11">+X35/3.312</f>
        <v>0</v>
      </c>
      <c r="AB35" s="112"/>
      <c r="AC35" s="48"/>
      <c r="AD35" s="89" t="e">
        <f>+C35/AC35</f>
        <v>#DIV/0!</v>
      </c>
    </row>
    <row r="36" spans="1:30">
      <c r="B36" s="59">
        <f t="shared" ref="B36:X36" si="12">SUM(B4:B35)</f>
        <v>150768.5</v>
      </c>
      <c r="C36" s="59">
        <f t="shared" si="12"/>
        <v>125910.375</v>
      </c>
      <c r="D36" s="59">
        <f t="shared" si="12"/>
        <v>972.625</v>
      </c>
      <c r="E36" s="59">
        <f t="shared" si="12"/>
        <v>191.27999999999997</v>
      </c>
      <c r="F36" s="59">
        <f t="shared" si="12"/>
        <v>343.83000000000004</v>
      </c>
      <c r="G36" s="59">
        <f t="shared" si="12"/>
        <v>13.639999999999999</v>
      </c>
      <c r="H36" s="59">
        <f t="shared" si="12"/>
        <v>8.8899999999999988</v>
      </c>
      <c r="I36" s="59">
        <f t="shared" si="12"/>
        <v>663.43999999999994</v>
      </c>
      <c r="J36" s="59">
        <f t="shared" si="12"/>
        <v>37.65</v>
      </c>
      <c r="K36" s="59">
        <f t="shared" si="12"/>
        <v>0</v>
      </c>
      <c r="L36" s="59">
        <f t="shared" si="12"/>
        <v>79.719999999999985</v>
      </c>
      <c r="M36" s="59">
        <f t="shared" si="12"/>
        <v>29.130000000000003</v>
      </c>
      <c r="N36" s="59">
        <f t="shared" si="12"/>
        <v>147.17000000000002</v>
      </c>
      <c r="O36" s="59">
        <f t="shared" si="12"/>
        <v>1.5</v>
      </c>
      <c r="P36" s="59">
        <f t="shared" si="12"/>
        <v>0.4</v>
      </c>
      <c r="Q36" s="59">
        <f t="shared" si="12"/>
        <v>0</v>
      </c>
      <c r="R36" s="59">
        <f t="shared" si="12"/>
        <v>4.8</v>
      </c>
      <c r="S36" s="59">
        <f t="shared" si="12"/>
        <v>0</v>
      </c>
      <c r="T36" s="59">
        <f t="shared" si="12"/>
        <v>0</v>
      </c>
      <c r="U36" s="59">
        <f t="shared" si="12"/>
        <v>0</v>
      </c>
      <c r="V36" s="59">
        <f t="shared" si="12"/>
        <v>0</v>
      </c>
      <c r="W36" s="59">
        <f t="shared" si="12"/>
        <v>1521.4499999999998</v>
      </c>
      <c r="X36" s="59">
        <f t="shared" si="12"/>
        <v>22364.050000000003</v>
      </c>
      <c r="AB36" s="113">
        <f>SUM(AB4:AB33)</f>
        <v>92.5</v>
      </c>
      <c r="AC36" s="109">
        <f>SUM(AC4:AC35)</f>
        <v>146027.9</v>
      </c>
      <c r="AD36" s="110">
        <f>SUM(C36:D36)/AC36</f>
        <v>0.86889560145698186</v>
      </c>
    </row>
    <row r="37" spans="1:30">
      <c r="C37" s="61">
        <f t="shared" ref="C37:W37" si="13">+C36/$B$36</f>
        <v>0.83512388197799936</v>
      </c>
      <c r="D37" s="61">
        <f t="shared" si="13"/>
        <v>6.4511154518350983E-3</v>
      </c>
      <c r="E37" s="61">
        <f t="shared" si="13"/>
        <v>1.2687000268623749E-3</v>
      </c>
      <c r="F37" s="61">
        <f t="shared" si="13"/>
        <v>2.2805161555629993E-3</v>
      </c>
      <c r="G37" s="61">
        <f t="shared" si="13"/>
        <v>9.0469826256810927E-5</v>
      </c>
      <c r="H37" s="61">
        <f t="shared" si="13"/>
        <v>5.8964571511953749E-5</v>
      </c>
      <c r="I37" s="61">
        <f t="shared" si="13"/>
        <v>4.4003886753532732E-3</v>
      </c>
      <c r="J37" s="61">
        <f t="shared" si="13"/>
        <v>2.497205981355522E-4</v>
      </c>
      <c r="K37" s="61">
        <f t="shared" si="13"/>
        <v>0</v>
      </c>
      <c r="L37" s="61">
        <f t="shared" si="13"/>
        <v>5.2875766489684508E-4</v>
      </c>
      <c r="M37" s="61">
        <f t="shared" si="13"/>
        <v>1.9321012015109258E-4</v>
      </c>
      <c r="N37" s="61">
        <f t="shared" si="13"/>
        <v>9.7613228227381727E-4</v>
      </c>
      <c r="O37" s="61">
        <f t="shared" si="13"/>
        <v>9.9490278141654258E-6</v>
      </c>
      <c r="P37" s="61">
        <f t="shared" si="13"/>
        <v>2.6530740837774468E-6</v>
      </c>
      <c r="Q37" s="61">
        <f t="shared" si="13"/>
        <v>0</v>
      </c>
      <c r="R37" s="61">
        <f t="shared" si="13"/>
        <v>3.1836889005329358E-5</v>
      </c>
      <c r="S37" s="61">
        <f t="shared" si="13"/>
        <v>0</v>
      </c>
      <c r="T37" s="61">
        <f t="shared" si="13"/>
        <v>0</v>
      </c>
      <c r="U37" s="61">
        <f>+U36/$B$36</f>
        <v>0</v>
      </c>
      <c r="V37" s="61">
        <f>+V36/$B$36</f>
        <v>0</v>
      </c>
      <c r="W37" s="62">
        <f t="shared" si="13"/>
        <v>1.009129891190799E-2</v>
      </c>
      <c r="X37" s="61">
        <f>+X36/$B$36</f>
        <v>0.14833370365825754</v>
      </c>
    </row>
    <row r="38" spans="1:30">
      <c r="B38" s="78"/>
    </row>
    <row r="39" spans="1:30">
      <c r="B39" s="78" t="s">
        <v>163</v>
      </c>
    </row>
    <row r="40" spans="1:30" ht="15">
      <c r="B40" s="47">
        <v>1</v>
      </c>
      <c r="M40" s="339"/>
    </row>
    <row r="41" spans="1:30">
      <c r="B41" s="47">
        <v>2</v>
      </c>
      <c r="Y41" s="322"/>
    </row>
    <row r="42" spans="1:30">
      <c r="B42" s="47">
        <v>3</v>
      </c>
    </row>
    <row r="43" spans="1:30">
      <c r="B43" s="47">
        <v>4</v>
      </c>
    </row>
    <row r="44" spans="1:30">
      <c r="B44" s="47">
        <v>5</v>
      </c>
    </row>
    <row r="45" spans="1:30">
      <c r="B45" s="47">
        <v>6</v>
      </c>
    </row>
    <row r="46" spans="1:30">
      <c r="B46" s="47">
        <v>7</v>
      </c>
    </row>
    <row r="47" spans="1:30">
      <c r="B47" s="47">
        <v>8</v>
      </c>
    </row>
    <row r="48" spans="1:30">
      <c r="B48" s="47">
        <v>9</v>
      </c>
    </row>
    <row r="49" spans="2:11">
      <c r="B49" s="47">
        <v>10</v>
      </c>
      <c r="J49" s="340"/>
      <c r="K49" s="340"/>
    </row>
    <row r="50" spans="2:11">
      <c r="B50" s="47">
        <v>11</v>
      </c>
    </row>
    <row r="51" spans="2:11">
      <c r="B51" s="47">
        <v>12</v>
      </c>
    </row>
    <row r="52" spans="2:11">
      <c r="B52" s="47">
        <v>13</v>
      </c>
    </row>
  </sheetData>
  <mergeCells count="10">
    <mergeCell ref="E2:S2"/>
    <mergeCell ref="AB2:AB3"/>
    <mergeCell ref="AD2:AD3"/>
    <mergeCell ref="C1:D1"/>
    <mergeCell ref="A2:A3"/>
    <mergeCell ref="B2:B3"/>
    <mergeCell ref="C2:C3"/>
    <mergeCell ref="D2:D3"/>
    <mergeCell ref="W2:W3"/>
    <mergeCell ref="X2:X3"/>
  </mergeCells>
  <pageMargins left="0.7" right="0.7" top="0.75" bottom="0.75" header="0.3" footer="0.3"/>
  <pageSetup paperSize="9" orientation="portrait" r:id="rId1"/>
  <legacyDrawing r:id="rId2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heet16">
    <tabColor rgb="FFFFC000"/>
  </sheetPr>
  <dimension ref="A1:AG39"/>
  <sheetViews>
    <sheetView zoomScale="90" zoomScaleNormal="90" workbookViewId="0">
      <pane xSplit="1" ySplit="3" topLeftCell="B7" activePane="bottomRight" state="frozen"/>
      <selection activeCell="EE10" sqref="EE10"/>
      <selection pane="topRight" activeCell="EE10" sqref="EE10"/>
      <selection pane="bottomLeft" activeCell="EE10" sqref="EE10"/>
      <selection pane="bottomRight" activeCell="F154" sqref="F154"/>
    </sheetView>
  </sheetViews>
  <sheetFormatPr defaultRowHeight="12.75"/>
  <cols>
    <col min="1" max="1" width="10.28515625" style="47" customWidth="1"/>
    <col min="2" max="3" width="13.7109375" style="47" customWidth="1"/>
    <col min="4" max="4" width="11.5703125" style="47" customWidth="1"/>
    <col min="5" max="5" width="12.7109375" style="47" customWidth="1"/>
    <col min="6" max="6" width="10" style="46" bestFit="1" customWidth="1"/>
    <col min="7" max="9" width="12.28515625" style="47" customWidth="1"/>
    <col min="10" max="10" width="11.7109375" style="47" customWidth="1"/>
    <col min="11" max="14" width="9.140625" style="47" customWidth="1"/>
    <col min="15" max="16" width="9.140625" style="47" hidden="1" customWidth="1"/>
    <col min="17" max="17" width="10" style="47" hidden="1" customWidth="1"/>
    <col min="18" max="18" width="13" style="47" hidden="1" customWidth="1"/>
    <col min="19" max="20" width="9.140625" style="47" hidden="1" customWidth="1"/>
    <col min="21" max="21" width="10.5703125" style="47" hidden="1" customWidth="1"/>
    <col min="22" max="22" width="11.140625" style="47" hidden="1" customWidth="1"/>
    <col min="23" max="23" width="10" style="47" bestFit="1" customWidth="1"/>
    <col min="24" max="24" width="12.7109375" style="47" customWidth="1"/>
    <col min="25" max="28" width="9.140625" style="47"/>
    <col min="29" max="29" width="10.5703125" style="47" customWidth="1"/>
    <col min="30" max="16384" width="9.140625" style="47"/>
  </cols>
  <sheetData>
    <row r="1" spans="1:33">
      <c r="A1" s="9"/>
      <c r="B1" s="9"/>
      <c r="C1" s="717" t="s">
        <v>10</v>
      </c>
      <c r="D1" s="717"/>
      <c r="E1" s="9"/>
      <c r="H1" s="48"/>
    </row>
    <row r="2" spans="1:33" ht="12.75" customHeight="1">
      <c r="A2" s="718" t="s">
        <v>24</v>
      </c>
      <c r="B2" s="719" t="s">
        <v>7</v>
      </c>
      <c r="C2" s="720" t="s">
        <v>8</v>
      </c>
      <c r="D2" s="720" t="s">
        <v>13</v>
      </c>
      <c r="E2" s="715" t="s">
        <v>23</v>
      </c>
      <c r="F2" s="715"/>
      <c r="G2" s="715"/>
      <c r="H2" s="715"/>
      <c r="I2" s="715"/>
      <c r="J2" s="715"/>
      <c r="K2" s="715"/>
      <c r="L2" s="715"/>
      <c r="M2" s="715"/>
      <c r="N2" s="715"/>
      <c r="O2" s="715"/>
      <c r="P2" s="715"/>
      <c r="Q2" s="715"/>
      <c r="R2" s="715"/>
      <c r="S2" s="715"/>
      <c r="T2" s="22"/>
      <c r="U2" s="115"/>
      <c r="V2" s="22"/>
      <c r="AB2" s="716" t="s">
        <v>67</v>
      </c>
      <c r="AC2" s="108" t="s">
        <v>68</v>
      </c>
      <c r="AD2" s="716" t="s">
        <v>69</v>
      </c>
    </row>
    <row r="3" spans="1:33" ht="27.75" customHeight="1">
      <c r="A3" s="718"/>
      <c r="B3" s="719"/>
      <c r="C3" s="719"/>
      <c r="D3" s="719"/>
      <c r="E3" s="96" t="s">
        <v>16</v>
      </c>
      <c r="F3" s="96" t="s">
        <v>17</v>
      </c>
      <c r="G3" s="96" t="s">
        <v>58</v>
      </c>
      <c r="H3" s="96" t="s">
        <v>59</v>
      </c>
      <c r="I3" s="96" t="s">
        <v>18</v>
      </c>
      <c r="J3" s="96" t="s">
        <v>60</v>
      </c>
      <c r="K3" s="96" t="s">
        <v>19</v>
      </c>
      <c r="L3" s="96" t="s">
        <v>55</v>
      </c>
      <c r="M3" s="96" t="s">
        <v>61</v>
      </c>
      <c r="N3" s="96" t="s">
        <v>62</v>
      </c>
      <c r="O3" s="96" t="s">
        <v>63</v>
      </c>
      <c r="P3" s="96" t="s">
        <v>56</v>
      </c>
      <c r="Q3" s="96" t="s">
        <v>20</v>
      </c>
      <c r="R3" s="96" t="s">
        <v>57</v>
      </c>
      <c r="S3" s="272" t="s">
        <v>154</v>
      </c>
      <c r="T3" s="96" t="s">
        <v>21</v>
      </c>
      <c r="U3" s="126" t="s">
        <v>155</v>
      </c>
      <c r="V3" s="118" t="s">
        <v>22</v>
      </c>
      <c r="W3" s="96" t="s">
        <v>15</v>
      </c>
      <c r="X3" s="117" t="s">
        <v>9</v>
      </c>
      <c r="AB3" s="716"/>
      <c r="AC3" s="108">
        <v>1688.72</v>
      </c>
      <c r="AD3" s="716"/>
      <c r="AF3" s="160" t="s">
        <v>108</v>
      </c>
      <c r="AG3" s="160" t="s">
        <v>109</v>
      </c>
    </row>
    <row r="4" spans="1:33">
      <c r="A4" s="7">
        <f>+'ALL SORTASI'!A6</f>
        <v>46204</v>
      </c>
      <c r="B4" s="8">
        <f>SUMIF('DAILY CHAMP AYAM'!$B$10:$B$121,$A4,'DAILY CHAMP AYAM'!$D$10:$D$143)</f>
        <v>1516.788</v>
      </c>
      <c r="C4" s="8">
        <f>SUMIF('DAILY CHAMP AYAM'!$B$10:$B$121,$A4,'DAILY CHAMP AYAM'!I$10:I$121)</f>
        <v>1447.992</v>
      </c>
      <c r="D4" s="8">
        <f>SUMIF('DAILY CHAMP AYAM'!$B$10:$B$121,$A4,'DAILY CHAMP AYAM'!J$10:J$121)</f>
        <v>0</v>
      </c>
      <c r="E4" s="8">
        <f>SUMIF('DAILY CHAMP AYAM'!$B$10:$B$121,$A4,'DAILY CHAMP AYAM'!K$10:K$121)</f>
        <v>3.75</v>
      </c>
      <c r="F4" s="8">
        <f>SUMIF('DAILY CHAMP AYAM'!$B$10:$B$121,$A4,'DAILY CHAMP AYAM'!L$10:L$121)</f>
        <v>6.45</v>
      </c>
      <c r="G4" s="8">
        <f>SUMIF('DAILY CHAMP AYAM'!$B$10:$B$121,$A4,'DAILY CHAMP AYAM'!M$10:M$121)</f>
        <v>0</v>
      </c>
      <c r="H4" s="8">
        <f>SUMIF('DAILY CHAMP AYAM'!$B$10:$B$121,$A4,'DAILY CHAMP AYAM'!N$10:N$121)</f>
        <v>0</v>
      </c>
      <c r="I4" s="8">
        <f>SUMIF('DAILY CHAMP AYAM'!$B$10:$B$121,$A4,'DAILY CHAMP AYAM'!O$10:O$121)</f>
        <v>10.45</v>
      </c>
      <c r="J4" s="8">
        <f>SUMIF('DAILY CHAMP AYAM'!$B$10:$B$121,$A4,'DAILY CHAMP AYAM'!P$10:P$121)</f>
        <v>1.1000000000000001</v>
      </c>
      <c r="K4" s="8">
        <f>SUMIF('DAILY CHAMP AYAM'!$B$10:$B$121,$A4,'DAILY CHAMP AYAM'!Q$10:Q$121)</f>
        <v>0</v>
      </c>
      <c r="L4" s="8">
        <f>SUMIF('DAILY CHAMP AYAM'!$B$10:$B$121,$A4,'DAILY CHAMP AYAM'!R$10:R$121)</f>
        <v>0</v>
      </c>
      <c r="M4" s="8">
        <f>SUMIF('DAILY CHAMP AYAM'!$B$10:$B$121,$A4,'DAILY CHAMP AYAM'!S$10:S$121)</f>
        <v>7.85</v>
      </c>
      <c r="N4" s="8">
        <f>SUMIF('DAILY CHAMP AYAM'!$B$10:$B$121,$A4,'DAILY CHAMP AYAM'!T$10:T$121)</f>
        <v>1.4</v>
      </c>
      <c r="O4" s="8">
        <f>SUMIF('DAILY CHAMP AYAM'!$B$10:$B$121,$A4,'DAILY CHAMP AYAM'!U$10:U$121)</f>
        <v>0</v>
      </c>
      <c r="P4" s="8">
        <f>SUMIF('DAILY CHAMP AYAM'!$B$10:$B$121,$A4,'DAILY CHAMP AYAM'!V$10:V$121)</f>
        <v>0</v>
      </c>
      <c r="Q4" s="8">
        <f>SUMIF('DAILY CHAMP AYAM'!$B$10:$B$121,$A4,'DAILY CHAMP AYAM'!W$10:W$121)</f>
        <v>0</v>
      </c>
      <c r="R4" s="8">
        <f>SUMIF('DAILY CHAMP AYAM'!$B$10:$B$121,$A4,'DAILY CHAMP AYAM'!X$10:X$121)</f>
        <v>0</v>
      </c>
      <c r="S4" s="8">
        <f>SUMIF('DAILY CHAMP AYAM'!$B$10:$B$121,$A4,'DAILY CHAMP AYAM'!Y$10:Y$121)</f>
        <v>0</v>
      </c>
      <c r="T4" s="8">
        <f>SUMIF('DAILY CHAMP AYAM'!$B$10:$B$121,$A4,'DAILY CHAMP AYAM'!Z$10:Z$121)</f>
        <v>0</v>
      </c>
      <c r="U4" s="8">
        <f>SUMIF('DAILY CHAMP AYAM'!$B$10:$B$121,$A4,'DAILY CHAMP AYAM'!AA$10:AA$121)</f>
        <v>0</v>
      </c>
      <c r="V4" s="8">
        <f>SUMIF('DAILY CHAMP AYAM'!$B$10:$B$121,$A4,'DAILY CHAMP AYAM'!AB$10:AB$121)</f>
        <v>0</v>
      </c>
      <c r="W4" s="59">
        <f>SUM(E4:V4)</f>
        <v>31</v>
      </c>
      <c r="X4" s="60">
        <f>+B4-C4-D4-W4</f>
        <v>37.796000000000049</v>
      </c>
      <c r="Y4" s="47">
        <f>+X4/3.276</f>
        <v>11.537240537240553</v>
      </c>
      <c r="AB4" s="112">
        <f>+'Actual VS SAP'!I6</f>
        <v>1</v>
      </c>
      <c r="AC4" s="48">
        <f>+AB4*$AC$3</f>
        <v>1688.72</v>
      </c>
      <c r="AD4" s="89">
        <f>+C4/AC4</f>
        <v>0.85744942915344158</v>
      </c>
      <c r="AF4" s="159">
        <f>+AB4*'STD DRY'!$F$6</f>
        <v>9.7889079365079361</v>
      </c>
      <c r="AG4" s="159">
        <f>+AB4*'STD DRY'!$F$12</f>
        <v>5.0479017142857128</v>
      </c>
    </row>
    <row r="5" spans="1:33">
      <c r="A5" s="7">
        <f>+'ALL SORTASI'!A7</f>
        <v>46205</v>
      </c>
      <c r="B5" s="8">
        <f>SUMIF('DAILY CHAMP AYAM'!$B$10:$B$121,$A5,'DAILY CHAMP AYAM'!$D$10:$D$143)</f>
        <v>14447.16</v>
      </c>
      <c r="C5" s="8">
        <f>SUMIF('DAILY CHAMP AYAM'!$B$10:$B$121,$A5,'DAILY CHAMP AYAM'!I$10:I$121)</f>
        <v>13746.095999999996</v>
      </c>
      <c r="D5" s="8">
        <f>SUMIF('DAILY CHAMP AYAM'!$B$10:$B$121,$A5,'DAILY CHAMP AYAM'!J$10:J$121)</f>
        <v>592.9559999999999</v>
      </c>
      <c r="E5" s="8">
        <f>SUMIF('DAILY CHAMP AYAM'!$B$10:$B$121,$A5,'DAILY CHAMP AYAM'!K$10:K$121)</f>
        <v>31.47</v>
      </c>
      <c r="F5" s="8">
        <f>SUMIF('DAILY CHAMP AYAM'!$B$10:$B$121,$A5,'DAILY CHAMP AYAM'!L$10:L$121)</f>
        <v>39.97</v>
      </c>
      <c r="G5" s="8">
        <f>SUMIF('DAILY CHAMP AYAM'!$B$10:$B$121,$A5,'DAILY CHAMP AYAM'!M$10:M$121)</f>
        <v>0</v>
      </c>
      <c r="H5" s="8">
        <f>SUMIF('DAILY CHAMP AYAM'!$B$10:$B$121,$A5,'DAILY CHAMP AYAM'!N$10:N$121)</f>
        <v>1.4</v>
      </c>
      <c r="I5" s="8">
        <f>SUMIF('DAILY CHAMP AYAM'!$B$10:$B$121,$A5,'DAILY CHAMP AYAM'!O$10:O$121)</f>
        <v>61.209999999999994</v>
      </c>
      <c r="J5" s="8">
        <f>SUMIF('DAILY CHAMP AYAM'!$B$10:$B$121,$A5,'DAILY CHAMP AYAM'!P$10:P$121)</f>
        <v>4.6800000000000006</v>
      </c>
      <c r="K5" s="8">
        <f>SUMIF('DAILY CHAMP AYAM'!$B$10:$B$121,$A5,'DAILY CHAMP AYAM'!Q$10:Q$121)</f>
        <v>0</v>
      </c>
      <c r="L5" s="8">
        <f>SUMIF('DAILY CHAMP AYAM'!$B$10:$B$121,$A5,'DAILY CHAMP AYAM'!R$10:R$121)</f>
        <v>2.91</v>
      </c>
      <c r="M5" s="8">
        <f>SUMIF('DAILY CHAMP AYAM'!$B$10:$B$121,$A5,'DAILY CHAMP AYAM'!S$10:S$121)</f>
        <v>13.309999999999999</v>
      </c>
      <c r="N5" s="8">
        <f>SUMIF('DAILY CHAMP AYAM'!$B$10:$B$121,$A5,'DAILY CHAMP AYAM'!T$10:T$121)</f>
        <v>10.629999999999999</v>
      </c>
      <c r="O5" s="8">
        <f>SUMIF('DAILY CHAMP AYAM'!$B$10:$B$121,$A5,'DAILY CHAMP AYAM'!U$10:U$121)</f>
        <v>0</v>
      </c>
      <c r="P5" s="8">
        <f>SUMIF('DAILY CHAMP AYAM'!$B$10:$B$121,$A5,'DAILY CHAMP AYAM'!V$10:V$121)</f>
        <v>0</v>
      </c>
      <c r="Q5" s="8">
        <f>SUMIF('DAILY CHAMP AYAM'!$B$10:$B$121,$A5,'DAILY CHAMP AYAM'!W$10:W$121)</f>
        <v>0</v>
      </c>
      <c r="R5" s="8">
        <f>SUMIF('DAILY CHAMP AYAM'!$B$10:$B$121,$A5,'DAILY CHAMP AYAM'!X$10:X$121)</f>
        <v>0</v>
      </c>
      <c r="S5" s="8">
        <f>SUMIF('DAILY CHAMP AYAM'!$B$10:$B$121,$A5,'DAILY CHAMP AYAM'!Y$10:Y$121)</f>
        <v>0</v>
      </c>
      <c r="T5" s="8">
        <f>SUMIF('DAILY CHAMP AYAM'!$B$10:$B$121,$A5,'DAILY CHAMP AYAM'!Z$10:Z$121)</f>
        <v>0</v>
      </c>
      <c r="U5" s="8">
        <f>SUMIF('DAILY CHAMP AYAM'!$B$10:$B$121,$A5,'DAILY CHAMP AYAM'!AA$10:AA$121)</f>
        <v>0</v>
      </c>
      <c r="V5" s="8">
        <f>SUMIF('DAILY CHAMP AYAM'!$B$10:$B$121,$A5,'DAILY CHAMP AYAM'!AB$10:AB$121)</f>
        <v>0</v>
      </c>
      <c r="W5" s="59">
        <f t="shared" ref="W5:W21" si="0">SUM(E5:V5)</f>
        <v>165.58</v>
      </c>
      <c r="X5" s="60">
        <f t="shared" ref="X5:X21" si="1">+B5-C5-D5-W5</f>
        <v>-57.471999999995973</v>
      </c>
      <c r="Y5" s="47">
        <f t="shared" ref="Y5:Y34" si="2">+X5/3.276</f>
        <v>-17.543345543344316</v>
      </c>
      <c r="AB5" s="112">
        <f>+'Actual VS SAP'!I7</f>
        <v>9</v>
      </c>
      <c r="AC5" s="48">
        <f t="shared" ref="AC5:AC30" si="3">+AB5*$AC$3</f>
        <v>15198.48</v>
      </c>
      <c r="AD5" s="89">
        <f t="shared" ref="AD5:AD30" si="4">+C5/AC5</f>
        <v>0.90443886493912529</v>
      </c>
      <c r="AF5" s="159">
        <f>+AB5*'STD DRY'!$F$6</f>
        <v>88.100171428571429</v>
      </c>
      <c r="AG5" s="159">
        <f>+AB5*'STD DRY'!$F$12</f>
        <v>45.431115428571417</v>
      </c>
    </row>
    <row r="6" spans="1:33">
      <c r="A6" s="7">
        <f>+'ALL SORTASI'!A8</f>
        <v>46206</v>
      </c>
      <c r="B6" s="8">
        <f>SUMIF('DAILY CHAMP AYAM'!$B$10:$B$121,$A6,'DAILY CHAMP AYAM'!$D$10:$D$143)</f>
        <v>14155.596</v>
      </c>
      <c r="C6" s="8">
        <f>SUMIF('DAILY CHAMP AYAM'!$B$10:$B$121,$A6,'DAILY CHAMP AYAM'!I$10:I$121)</f>
        <v>13644.539999999997</v>
      </c>
      <c r="D6" s="8">
        <f>SUMIF('DAILY CHAMP AYAM'!$B$10:$B$121,$A6,'DAILY CHAMP AYAM'!J$10:J$121)</f>
        <v>0</v>
      </c>
      <c r="E6" s="8">
        <f>SUMIF('DAILY CHAMP AYAM'!$B$10:$B$121,$A6,'DAILY CHAMP AYAM'!K$10:K$121)</f>
        <v>60.440000000000005</v>
      </c>
      <c r="F6" s="8">
        <f>SUMIF('DAILY CHAMP AYAM'!$B$10:$B$121,$A6,'DAILY CHAMP AYAM'!L$10:L$121)</f>
        <v>77.050000000000011</v>
      </c>
      <c r="G6" s="8">
        <f>SUMIF('DAILY CHAMP AYAM'!$B$10:$B$121,$A6,'DAILY CHAMP AYAM'!M$10:M$121)</f>
        <v>0</v>
      </c>
      <c r="H6" s="8">
        <f>SUMIF('DAILY CHAMP AYAM'!$B$10:$B$121,$A6,'DAILY CHAMP AYAM'!N$10:N$121)</f>
        <v>29.3</v>
      </c>
      <c r="I6" s="8">
        <f>SUMIF('DAILY CHAMP AYAM'!$B$10:$B$121,$A6,'DAILY CHAMP AYAM'!O$10:O$121)</f>
        <v>71.2</v>
      </c>
      <c r="J6" s="8">
        <f>SUMIF('DAILY CHAMP AYAM'!$B$10:$B$121,$A6,'DAILY CHAMP AYAM'!P$10:P$121)</f>
        <v>2.8899999999999997</v>
      </c>
      <c r="K6" s="8">
        <f>SUMIF('DAILY CHAMP AYAM'!$B$10:$B$121,$A6,'DAILY CHAMP AYAM'!Q$10:Q$121)</f>
        <v>0</v>
      </c>
      <c r="L6" s="8">
        <f>SUMIF('DAILY CHAMP AYAM'!$B$10:$B$121,$A6,'DAILY CHAMP AYAM'!R$10:R$121)</f>
        <v>1.1000000000000001</v>
      </c>
      <c r="M6" s="8">
        <f>SUMIF('DAILY CHAMP AYAM'!$B$10:$B$121,$A6,'DAILY CHAMP AYAM'!S$10:S$121)</f>
        <v>1.8499999999999999</v>
      </c>
      <c r="N6" s="8">
        <f>SUMIF('DAILY CHAMP AYAM'!$B$10:$B$121,$A6,'DAILY CHAMP AYAM'!T$10:T$121)</f>
        <v>10.100000000000001</v>
      </c>
      <c r="O6" s="8">
        <f>SUMIF('DAILY CHAMP AYAM'!$B$10:$B$121,$A6,'DAILY CHAMP AYAM'!U$10:U$121)</f>
        <v>0</v>
      </c>
      <c r="P6" s="8">
        <f>SUMIF('DAILY CHAMP AYAM'!$B$10:$B$121,$A6,'DAILY CHAMP AYAM'!V$10:V$121)</f>
        <v>0</v>
      </c>
      <c r="Q6" s="8">
        <f>SUMIF('DAILY CHAMP AYAM'!$B$10:$B$121,$A6,'DAILY CHAMP AYAM'!W$10:W$121)</f>
        <v>0</v>
      </c>
      <c r="R6" s="8">
        <f>SUMIF('DAILY CHAMP AYAM'!$B$10:$B$121,$A6,'DAILY CHAMP AYAM'!X$10:X$121)</f>
        <v>0</v>
      </c>
      <c r="S6" s="8">
        <f>SUMIF('DAILY CHAMP AYAM'!$B$10:$B$121,$A6,'DAILY CHAMP AYAM'!Y$10:Y$121)</f>
        <v>0</v>
      </c>
      <c r="T6" s="8">
        <f>SUMIF('DAILY CHAMP AYAM'!$B$10:$B$121,$A6,'DAILY CHAMP AYAM'!Z$10:Z$121)</f>
        <v>0</v>
      </c>
      <c r="U6" s="8">
        <f>SUMIF('DAILY CHAMP AYAM'!$B$10:$B$121,$A6,'DAILY CHAMP AYAM'!AA$10:AA$121)</f>
        <v>0</v>
      </c>
      <c r="V6" s="8">
        <f>SUMIF('DAILY CHAMP AYAM'!$B$10:$B$121,$A6,'DAILY CHAMP AYAM'!AB$10:AB$121)</f>
        <v>0</v>
      </c>
      <c r="W6" s="59">
        <f t="shared" si="0"/>
        <v>253.92999999999998</v>
      </c>
      <c r="X6" s="60">
        <f t="shared" si="1"/>
        <v>257.12600000000236</v>
      </c>
      <c r="Y6" s="47">
        <f t="shared" si="2"/>
        <v>78.48778998779072</v>
      </c>
      <c r="Z6" s="88">
        <f>+C6/B6</f>
        <v>0.96389724600786841</v>
      </c>
      <c r="AA6" s="89">
        <f>100%-Z6</f>
        <v>3.6102753992131587E-2</v>
      </c>
      <c r="AB6" s="112">
        <f>+'Actual VS SAP'!I8</f>
        <v>8</v>
      </c>
      <c r="AC6" s="48">
        <f t="shared" si="3"/>
        <v>13509.76</v>
      </c>
      <c r="AD6" s="89">
        <f t="shared" si="4"/>
        <v>1.0099764910701594</v>
      </c>
      <c r="AF6" s="159">
        <f>+AB6*'STD DRY'!$F$6</f>
        <v>78.311263492063489</v>
      </c>
      <c r="AG6" s="159">
        <f>+AB6*'STD DRY'!$F$12</f>
        <v>40.383213714285702</v>
      </c>
    </row>
    <row r="7" spans="1:33">
      <c r="A7" s="7">
        <f>+'ALL SORTASI'!A9</f>
        <v>46207</v>
      </c>
      <c r="B7" s="8">
        <f>SUMIF('DAILY CHAMP AYAM'!$B$10:$B$121,$A7,'DAILY CHAMP AYAM'!$D$10:$D$143)</f>
        <v>0</v>
      </c>
      <c r="C7" s="8">
        <f>SUMIF('DAILY CHAMP AYAM'!$B$10:$B$121,$A7,'DAILY CHAMP AYAM'!I$10:I$121)</f>
        <v>0</v>
      </c>
      <c r="D7" s="8">
        <f>SUMIF('DAILY CHAMP AYAM'!$B$10:$B$121,$A7,'DAILY CHAMP AYAM'!J$10:J$121)</f>
        <v>0</v>
      </c>
      <c r="E7" s="8">
        <f>SUMIF('DAILY CHAMP AYAM'!$B$10:$B$121,$A7,'DAILY CHAMP AYAM'!K$10:K$121)</f>
        <v>0</v>
      </c>
      <c r="F7" s="8">
        <f>SUMIF('DAILY CHAMP AYAM'!$B$10:$B$121,$A7,'DAILY CHAMP AYAM'!L$10:L$121)</f>
        <v>0</v>
      </c>
      <c r="G7" s="8">
        <f>SUMIF('DAILY CHAMP AYAM'!$B$10:$B$121,$A7,'DAILY CHAMP AYAM'!M$10:M$121)</f>
        <v>0</v>
      </c>
      <c r="H7" s="8">
        <f>SUMIF('DAILY CHAMP AYAM'!$B$10:$B$121,$A7,'DAILY CHAMP AYAM'!N$10:N$121)</f>
        <v>0</v>
      </c>
      <c r="I7" s="8">
        <f>SUMIF('DAILY CHAMP AYAM'!$B$10:$B$121,$A7,'DAILY CHAMP AYAM'!O$10:O$121)</f>
        <v>0</v>
      </c>
      <c r="J7" s="8">
        <f>SUMIF('DAILY CHAMP AYAM'!$B$10:$B$121,$A7,'DAILY CHAMP AYAM'!P$10:P$121)</f>
        <v>0</v>
      </c>
      <c r="K7" s="8">
        <f>SUMIF('DAILY CHAMP AYAM'!$B$10:$B$121,$A7,'DAILY CHAMP AYAM'!Q$10:Q$121)</f>
        <v>0</v>
      </c>
      <c r="L7" s="8">
        <f>SUMIF('DAILY CHAMP AYAM'!$B$10:$B$121,$A7,'DAILY CHAMP AYAM'!R$10:R$121)</f>
        <v>0</v>
      </c>
      <c r="M7" s="8">
        <f>SUMIF('DAILY CHAMP AYAM'!$B$10:$B$121,$A7,'DAILY CHAMP AYAM'!S$10:S$121)</f>
        <v>0</v>
      </c>
      <c r="N7" s="8">
        <f>SUMIF('DAILY CHAMP AYAM'!$B$10:$B$121,$A7,'DAILY CHAMP AYAM'!T$10:T$121)</f>
        <v>0</v>
      </c>
      <c r="O7" s="8">
        <f>SUMIF('DAILY CHAMP AYAM'!$B$10:$B$121,$A7,'DAILY CHAMP AYAM'!U$10:U$121)</f>
        <v>0</v>
      </c>
      <c r="P7" s="8">
        <f>SUMIF('DAILY CHAMP AYAM'!$B$10:$B$121,$A7,'DAILY CHAMP AYAM'!V$10:V$121)</f>
        <v>0</v>
      </c>
      <c r="Q7" s="8">
        <f>SUMIF('DAILY CHAMP AYAM'!$B$10:$B$121,$A7,'DAILY CHAMP AYAM'!W$10:W$121)</f>
        <v>0</v>
      </c>
      <c r="R7" s="8">
        <f>SUMIF('DAILY CHAMP AYAM'!$B$10:$B$121,$A7,'DAILY CHAMP AYAM'!X$10:X$121)</f>
        <v>0</v>
      </c>
      <c r="S7" s="8">
        <f>SUMIF('DAILY CHAMP AYAM'!$B$10:$B$121,$A7,'DAILY CHAMP AYAM'!Y$10:Y$121)</f>
        <v>0</v>
      </c>
      <c r="T7" s="8">
        <f>SUMIF('DAILY CHAMP AYAM'!$B$10:$B$121,$A7,'DAILY CHAMP AYAM'!Z$10:Z$121)</f>
        <v>0</v>
      </c>
      <c r="U7" s="8">
        <f>SUMIF('DAILY CHAMP AYAM'!$B$10:$B$121,$A7,'DAILY CHAMP AYAM'!AA$10:AA$121)</f>
        <v>0</v>
      </c>
      <c r="V7" s="8">
        <f>SUMIF('DAILY CHAMP AYAM'!$B$10:$B$121,$A7,'DAILY CHAMP AYAM'!AB$10:AB$121)</f>
        <v>0</v>
      </c>
      <c r="W7" s="59">
        <f t="shared" si="0"/>
        <v>0</v>
      </c>
      <c r="X7" s="60">
        <f t="shared" si="1"/>
        <v>0</v>
      </c>
      <c r="Y7" s="47">
        <f t="shared" si="2"/>
        <v>0</v>
      </c>
      <c r="Z7" s="88" t="e">
        <f t="shared" ref="Z7:Z17" si="5">+C7/B7</f>
        <v>#DIV/0!</v>
      </c>
      <c r="AA7" s="89" t="e">
        <f t="shared" ref="AA7:AA17" si="6">100%-Z7</f>
        <v>#DIV/0!</v>
      </c>
      <c r="AB7" s="112">
        <f>+'Actual VS SAP'!I9</f>
        <v>0</v>
      </c>
      <c r="AC7" s="48">
        <f t="shared" si="3"/>
        <v>0</v>
      </c>
      <c r="AD7" s="89" t="e">
        <f t="shared" si="4"/>
        <v>#DIV/0!</v>
      </c>
      <c r="AF7" s="159">
        <f>+AB7*'STD DRY'!$F$6</f>
        <v>0</v>
      </c>
      <c r="AG7" s="159">
        <f>+AB7*'STD DRY'!$F$12</f>
        <v>0</v>
      </c>
    </row>
    <row r="8" spans="1:33">
      <c r="A8" s="7">
        <f>+'ALL SORTASI'!A10</f>
        <v>46208</v>
      </c>
      <c r="B8" s="8">
        <f>SUMIF('DAILY CHAMP AYAM'!$B$10:$B$121,$A8,'DAILY CHAMP AYAM'!$D$10:$D$143)</f>
        <v>0</v>
      </c>
      <c r="C8" s="8">
        <f>SUMIF('DAILY CHAMP AYAM'!$B$10:$B$121,$A8,'DAILY CHAMP AYAM'!I$10:I$121)</f>
        <v>0</v>
      </c>
      <c r="D8" s="8">
        <f>SUMIF('DAILY CHAMP AYAM'!$B$10:$B$121,$A8,'DAILY CHAMP AYAM'!J$10:J$121)</f>
        <v>0</v>
      </c>
      <c r="E8" s="8">
        <f>SUMIF('DAILY CHAMP AYAM'!$B$10:$B$121,$A8,'DAILY CHAMP AYAM'!K$10:K$121)</f>
        <v>0</v>
      </c>
      <c r="F8" s="8">
        <f>SUMIF('DAILY CHAMP AYAM'!$B$10:$B$121,$A8,'DAILY CHAMP AYAM'!L$10:L$121)</f>
        <v>0</v>
      </c>
      <c r="G8" s="8">
        <f>SUMIF('DAILY CHAMP AYAM'!$B$10:$B$121,$A8,'DAILY CHAMP AYAM'!M$10:M$121)</f>
        <v>0</v>
      </c>
      <c r="H8" s="8">
        <f>SUMIF('DAILY CHAMP AYAM'!$B$10:$B$121,$A8,'DAILY CHAMP AYAM'!N$10:N$121)</f>
        <v>0</v>
      </c>
      <c r="I8" s="8">
        <f>SUMIF('DAILY CHAMP AYAM'!$B$10:$B$121,$A8,'DAILY CHAMP AYAM'!O$10:O$121)</f>
        <v>0</v>
      </c>
      <c r="J8" s="8">
        <f>SUMIF('DAILY CHAMP AYAM'!$B$10:$B$121,$A8,'DAILY CHAMP AYAM'!P$10:P$121)</f>
        <v>0</v>
      </c>
      <c r="K8" s="8">
        <f>SUMIF('DAILY CHAMP AYAM'!$B$10:$B$121,$A8,'DAILY CHAMP AYAM'!Q$10:Q$121)</f>
        <v>0</v>
      </c>
      <c r="L8" s="8">
        <f>SUMIF('DAILY CHAMP AYAM'!$B$10:$B$121,$A8,'DAILY CHAMP AYAM'!R$10:R$121)</f>
        <v>0</v>
      </c>
      <c r="M8" s="8">
        <f>SUMIF('DAILY CHAMP AYAM'!$B$10:$B$121,$A8,'DAILY CHAMP AYAM'!S$10:S$121)</f>
        <v>0</v>
      </c>
      <c r="N8" s="8">
        <f>SUMIF('DAILY CHAMP AYAM'!$B$10:$B$121,$A8,'DAILY CHAMP AYAM'!T$10:T$121)</f>
        <v>0</v>
      </c>
      <c r="O8" s="8">
        <f>SUMIF('DAILY CHAMP AYAM'!$B$10:$B$121,$A8,'DAILY CHAMP AYAM'!U$10:U$121)</f>
        <v>0</v>
      </c>
      <c r="P8" s="8">
        <f>SUMIF('DAILY CHAMP AYAM'!$B$10:$B$121,$A8,'DAILY CHAMP AYAM'!V$10:V$121)</f>
        <v>0</v>
      </c>
      <c r="Q8" s="8">
        <f>SUMIF('DAILY CHAMP AYAM'!$B$10:$B$121,$A8,'DAILY CHAMP AYAM'!W$10:W$121)</f>
        <v>0</v>
      </c>
      <c r="R8" s="8">
        <f>SUMIF('DAILY CHAMP AYAM'!$B$10:$B$121,$A8,'DAILY CHAMP AYAM'!X$10:X$121)</f>
        <v>0</v>
      </c>
      <c r="S8" s="8">
        <f>SUMIF('DAILY CHAMP AYAM'!$B$10:$B$121,$A8,'DAILY CHAMP AYAM'!Y$10:Y$121)</f>
        <v>0</v>
      </c>
      <c r="T8" s="8">
        <f>SUMIF('DAILY CHAMP AYAM'!$B$10:$B$121,$A8,'DAILY CHAMP AYAM'!Z$10:Z$121)</f>
        <v>0</v>
      </c>
      <c r="U8" s="8">
        <f>SUMIF('DAILY CHAMP AYAM'!$B$10:$B$121,$A8,'DAILY CHAMP AYAM'!AA$10:AA$121)</f>
        <v>0</v>
      </c>
      <c r="V8" s="8">
        <f>SUMIF('DAILY CHAMP AYAM'!$B$10:$B$121,$A8,'DAILY CHAMP AYAM'!AB$10:AB$121)</f>
        <v>0</v>
      </c>
      <c r="W8" s="59">
        <f t="shared" si="0"/>
        <v>0</v>
      </c>
      <c r="X8" s="60">
        <f t="shared" si="1"/>
        <v>0</v>
      </c>
      <c r="Y8" s="47">
        <f t="shared" si="2"/>
        <v>0</v>
      </c>
      <c r="Z8" s="88" t="e">
        <f t="shared" si="5"/>
        <v>#DIV/0!</v>
      </c>
      <c r="AA8" s="89" t="e">
        <f t="shared" si="6"/>
        <v>#DIV/0!</v>
      </c>
      <c r="AB8" s="112">
        <f>+'Actual VS SAP'!I10</f>
        <v>0</v>
      </c>
      <c r="AC8" s="48">
        <f t="shared" si="3"/>
        <v>0</v>
      </c>
      <c r="AD8" s="89" t="e">
        <f t="shared" si="4"/>
        <v>#DIV/0!</v>
      </c>
      <c r="AF8" s="159">
        <f>+AB8*'STD DRY'!$F$6</f>
        <v>0</v>
      </c>
      <c r="AG8" s="159">
        <f>+AB8*'STD DRY'!$F$12</f>
        <v>0</v>
      </c>
    </row>
    <row r="9" spans="1:33">
      <c r="A9" s="7">
        <f>+'ALL SORTASI'!A11</f>
        <v>46209</v>
      </c>
      <c r="B9" s="8">
        <f>SUMIF('DAILY CHAMP AYAM'!$B$10:$B$121,$A9,'DAILY CHAMP AYAM'!$D$10:$D$143)</f>
        <v>0</v>
      </c>
      <c r="C9" s="8">
        <f>SUMIF('DAILY CHAMP AYAM'!$B$10:$B$121,$A9,'DAILY CHAMP AYAM'!I$10:I$121)</f>
        <v>0</v>
      </c>
      <c r="D9" s="8">
        <f>SUMIF('DAILY CHAMP AYAM'!$B$10:$B$121,$A9,'DAILY CHAMP AYAM'!J$10:J$121)</f>
        <v>0</v>
      </c>
      <c r="E9" s="8">
        <f>SUMIF('DAILY CHAMP AYAM'!$B$10:$B$121,$A9,'DAILY CHAMP AYAM'!K$10:K$121)</f>
        <v>0</v>
      </c>
      <c r="F9" s="8">
        <f>SUMIF('DAILY CHAMP AYAM'!$B$10:$B$121,$A9,'DAILY CHAMP AYAM'!L$10:L$121)</f>
        <v>0</v>
      </c>
      <c r="G9" s="8">
        <f>SUMIF('DAILY CHAMP AYAM'!$B$10:$B$121,$A9,'DAILY CHAMP AYAM'!M$10:M$121)</f>
        <v>0</v>
      </c>
      <c r="H9" s="8">
        <f>SUMIF('DAILY CHAMP AYAM'!$B$10:$B$121,$A9,'DAILY CHAMP AYAM'!N$10:N$121)</f>
        <v>0</v>
      </c>
      <c r="I9" s="8">
        <f>SUMIF('DAILY CHAMP AYAM'!$B$10:$B$121,$A9,'DAILY CHAMP AYAM'!O$10:O$121)</f>
        <v>0</v>
      </c>
      <c r="J9" s="8">
        <f>SUMIF('DAILY CHAMP AYAM'!$B$10:$B$121,$A9,'DAILY CHAMP AYAM'!P$10:P$121)</f>
        <v>0</v>
      </c>
      <c r="K9" s="8">
        <f>SUMIF('DAILY CHAMP AYAM'!$B$10:$B$121,$A9,'DAILY CHAMP AYAM'!Q$10:Q$121)</f>
        <v>0</v>
      </c>
      <c r="L9" s="8">
        <f>SUMIF('DAILY CHAMP AYAM'!$B$10:$B$121,$A9,'DAILY CHAMP AYAM'!R$10:R$121)</f>
        <v>0</v>
      </c>
      <c r="M9" s="8">
        <f>SUMIF('DAILY CHAMP AYAM'!$B$10:$B$121,$A9,'DAILY CHAMP AYAM'!S$10:S$121)</f>
        <v>0</v>
      </c>
      <c r="N9" s="8">
        <f>SUMIF('DAILY CHAMP AYAM'!$B$10:$B$121,$A9,'DAILY CHAMP AYAM'!T$10:T$121)</f>
        <v>0</v>
      </c>
      <c r="O9" s="8">
        <f>SUMIF('DAILY CHAMP AYAM'!$B$10:$B$121,$A9,'DAILY CHAMP AYAM'!U$10:U$121)</f>
        <v>0</v>
      </c>
      <c r="P9" s="8">
        <f>SUMIF('DAILY CHAMP AYAM'!$B$10:$B$121,$A9,'DAILY CHAMP AYAM'!V$10:V$121)</f>
        <v>0</v>
      </c>
      <c r="Q9" s="8">
        <f>SUMIF('DAILY CHAMP AYAM'!$B$10:$B$121,$A9,'DAILY CHAMP AYAM'!W$10:W$121)</f>
        <v>0</v>
      </c>
      <c r="R9" s="8">
        <f>SUMIF('DAILY CHAMP AYAM'!$B$10:$B$121,$A9,'DAILY CHAMP AYAM'!X$10:X$121)</f>
        <v>0</v>
      </c>
      <c r="S9" s="8">
        <f>SUMIF('DAILY CHAMP AYAM'!$B$10:$B$121,$A9,'DAILY CHAMP AYAM'!Y$10:Y$121)</f>
        <v>0</v>
      </c>
      <c r="T9" s="8">
        <f>SUMIF('DAILY CHAMP AYAM'!$B$10:$B$121,$A9,'DAILY CHAMP AYAM'!Z$10:Z$121)</f>
        <v>0</v>
      </c>
      <c r="U9" s="8">
        <f>SUMIF('DAILY CHAMP AYAM'!$B$10:$B$121,$A9,'DAILY CHAMP AYAM'!AA$10:AA$121)</f>
        <v>0</v>
      </c>
      <c r="V9" s="8">
        <f>SUMIF('DAILY CHAMP AYAM'!$B$10:$B$121,$A9,'DAILY CHAMP AYAM'!AB$10:AB$121)</f>
        <v>0</v>
      </c>
      <c r="W9" s="59">
        <f t="shared" si="0"/>
        <v>0</v>
      </c>
      <c r="X9" s="60">
        <f t="shared" si="1"/>
        <v>0</v>
      </c>
      <c r="Y9" s="47">
        <f t="shared" si="2"/>
        <v>0</v>
      </c>
      <c r="Z9" s="88" t="e">
        <f t="shared" si="5"/>
        <v>#DIV/0!</v>
      </c>
      <c r="AA9" s="89" t="e">
        <f t="shared" si="6"/>
        <v>#DIV/0!</v>
      </c>
      <c r="AB9" s="112">
        <f>+'Actual VS SAP'!I11</f>
        <v>0</v>
      </c>
      <c r="AC9" s="48">
        <f t="shared" si="3"/>
        <v>0</v>
      </c>
      <c r="AD9" s="89" t="e">
        <f t="shared" si="4"/>
        <v>#DIV/0!</v>
      </c>
      <c r="AF9" s="159">
        <f>+AB9*'STD DRY'!$F$6</f>
        <v>0</v>
      </c>
      <c r="AG9" s="159">
        <f>+AB9*'STD DRY'!$F$12</f>
        <v>0</v>
      </c>
    </row>
    <row r="10" spans="1:33">
      <c r="A10" s="7">
        <f>+'ALL SORTASI'!A12</f>
        <v>46210</v>
      </c>
      <c r="B10" s="8">
        <f>SUMIF('DAILY CHAMP AYAM'!$B$10:$B$121,$A10,'DAILY CHAMP AYAM'!$D$10:$D$143)</f>
        <v>0</v>
      </c>
      <c r="C10" s="8">
        <f>SUMIF('DAILY CHAMP AYAM'!$B$10:$B$121,$A10,'DAILY CHAMP AYAM'!I$10:I$121)</f>
        <v>0</v>
      </c>
      <c r="D10" s="8">
        <f>SUMIF('DAILY CHAMP AYAM'!$B$10:$B$121,$A10,'DAILY CHAMP AYAM'!J$10:J$121)</f>
        <v>0</v>
      </c>
      <c r="E10" s="8">
        <f>SUMIF('DAILY CHAMP AYAM'!$B$10:$B$121,$A10,'DAILY CHAMP AYAM'!K$10:K$121)</f>
        <v>0</v>
      </c>
      <c r="F10" s="8">
        <f>SUMIF('DAILY CHAMP AYAM'!$B$10:$B$121,$A10,'DAILY CHAMP AYAM'!L$10:L$121)</f>
        <v>0</v>
      </c>
      <c r="G10" s="8">
        <f>SUMIF('DAILY CHAMP AYAM'!$B$10:$B$121,$A10,'DAILY CHAMP AYAM'!M$10:M$121)</f>
        <v>0</v>
      </c>
      <c r="H10" s="8">
        <f>SUMIF('DAILY CHAMP AYAM'!$B$10:$B$121,$A10,'DAILY CHAMP AYAM'!N$10:N$121)</f>
        <v>0</v>
      </c>
      <c r="I10" s="8">
        <f>SUMIF('DAILY CHAMP AYAM'!$B$10:$B$121,$A10,'DAILY CHAMP AYAM'!O$10:O$121)</f>
        <v>0</v>
      </c>
      <c r="J10" s="8">
        <f>SUMIF('DAILY CHAMP AYAM'!$B$10:$B$121,$A10,'DAILY CHAMP AYAM'!P$10:P$121)</f>
        <v>0</v>
      </c>
      <c r="K10" s="8">
        <f>SUMIF('DAILY CHAMP AYAM'!$B$10:$B$121,$A10,'DAILY CHAMP AYAM'!Q$10:Q$121)</f>
        <v>0</v>
      </c>
      <c r="L10" s="8">
        <f>SUMIF('DAILY CHAMP AYAM'!$B$10:$B$121,$A10,'DAILY CHAMP AYAM'!R$10:R$121)</f>
        <v>0</v>
      </c>
      <c r="M10" s="8">
        <f>SUMIF('DAILY CHAMP AYAM'!$B$10:$B$121,$A10,'DAILY CHAMP AYAM'!S$10:S$121)</f>
        <v>0</v>
      </c>
      <c r="N10" s="8">
        <f>SUMIF('DAILY CHAMP AYAM'!$B$10:$B$121,$A10,'DAILY CHAMP AYAM'!T$10:T$121)</f>
        <v>0</v>
      </c>
      <c r="O10" s="8">
        <f>SUMIF('DAILY CHAMP AYAM'!$B$10:$B$121,$A10,'DAILY CHAMP AYAM'!U$10:U$121)</f>
        <v>0</v>
      </c>
      <c r="P10" s="8">
        <f>SUMIF('DAILY CHAMP AYAM'!$B$10:$B$121,$A10,'DAILY CHAMP AYAM'!V$10:V$121)</f>
        <v>0</v>
      </c>
      <c r="Q10" s="8">
        <f>SUMIF('DAILY CHAMP AYAM'!$B$10:$B$121,$A10,'DAILY CHAMP AYAM'!W$10:W$121)</f>
        <v>0</v>
      </c>
      <c r="R10" s="8">
        <f>SUMIF('DAILY CHAMP AYAM'!$B$10:$B$121,$A10,'DAILY CHAMP AYAM'!X$10:X$121)</f>
        <v>0</v>
      </c>
      <c r="S10" s="8">
        <f>SUMIF('DAILY CHAMP AYAM'!$B$10:$B$121,$A10,'DAILY CHAMP AYAM'!Y$10:Y$121)</f>
        <v>0</v>
      </c>
      <c r="T10" s="8">
        <f>SUMIF('DAILY CHAMP AYAM'!$B$10:$B$121,$A10,'DAILY CHAMP AYAM'!Z$10:Z$121)</f>
        <v>0</v>
      </c>
      <c r="U10" s="8">
        <f>SUMIF('DAILY CHAMP AYAM'!$B$10:$B$121,$A10,'DAILY CHAMP AYAM'!AA$10:AA$121)</f>
        <v>0</v>
      </c>
      <c r="V10" s="8">
        <f>SUMIF('DAILY CHAMP AYAM'!$B$10:$B$121,$A10,'DAILY CHAMP AYAM'!AB$10:AB$121)</f>
        <v>0</v>
      </c>
      <c r="W10" s="59">
        <f t="shared" si="0"/>
        <v>0</v>
      </c>
      <c r="X10" s="60">
        <f t="shared" si="1"/>
        <v>0</v>
      </c>
      <c r="Y10" s="47">
        <f t="shared" si="2"/>
        <v>0</v>
      </c>
      <c r="Z10" s="88" t="e">
        <f t="shared" si="5"/>
        <v>#DIV/0!</v>
      </c>
      <c r="AA10" s="89" t="e">
        <f t="shared" si="6"/>
        <v>#DIV/0!</v>
      </c>
      <c r="AB10" s="112">
        <f>+'Actual VS SAP'!I12</f>
        <v>0</v>
      </c>
      <c r="AC10" s="48">
        <f t="shared" si="3"/>
        <v>0</v>
      </c>
      <c r="AD10" s="89" t="e">
        <f t="shared" si="4"/>
        <v>#DIV/0!</v>
      </c>
      <c r="AF10" s="159">
        <f>+AB10*'STD DRY'!$F$6</f>
        <v>0</v>
      </c>
      <c r="AG10" s="159">
        <f>+AB10*'STD DRY'!$F$12</f>
        <v>0</v>
      </c>
    </row>
    <row r="11" spans="1:33">
      <c r="A11" s="7">
        <f>+'ALL SORTASI'!A13</f>
        <v>46211</v>
      </c>
      <c r="B11" s="8">
        <f>SUMIF('DAILY CHAMP AYAM'!$B$10:$B$121,$A11,'DAILY CHAMP AYAM'!$D$10:$D$143)</f>
        <v>0</v>
      </c>
      <c r="C11" s="8">
        <f>SUMIF('DAILY CHAMP AYAM'!$B$10:$B$121,$A11,'DAILY CHAMP AYAM'!I$10:I$121)</f>
        <v>0</v>
      </c>
      <c r="D11" s="8">
        <f>SUMIF('DAILY CHAMP AYAM'!$B$10:$B$121,$A11,'DAILY CHAMP AYAM'!J$10:J$121)</f>
        <v>0</v>
      </c>
      <c r="E11" s="8">
        <f>SUMIF('DAILY CHAMP AYAM'!$B$10:$B$121,$A11,'DAILY CHAMP AYAM'!K$10:K$121)</f>
        <v>0</v>
      </c>
      <c r="F11" s="8">
        <f>SUMIF('DAILY CHAMP AYAM'!$B$10:$B$121,$A11,'DAILY CHAMP AYAM'!L$10:L$121)</f>
        <v>0</v>
      </c>
      <c r="G11" s="8">
        <f>SUMIF('DAILY CHAMP AYAM'!$B$10:$B$121,$A11,'DAILY CHAMP AYAM'!M$10:M$121)</f>
        <v>0</v>
      </c>
      <c r="H11" s="8">
        <f>SUMIF('DAILY CHAMP AYAM'!$B$10:$B$121,$A11,'DAILY CHAMP AYAM'!N$10:N$121)</f>
        <v>0</v>
      </c>
      <c r="I11" s="8">
        <f>SUMIF('DAILY CHAMP AYAM'!$B$10:$B$121,$A11,'DAILY CHAMP AYAM'!O$10:O$121)</f>
        <v>0</v>
      </c>
      <c r="J11" s="8">
        <f>SUMIF('DAILY CHAMP AYAM'!$B$10:$B$121,$A11,'DAILY CHAMP AYAM'!P$10:P$121)</f>
        <v>0</v>
      </c>
      <c r="K11" s="8">
        <f>SUMIF('DAILY CHAMP AYAM'!$B$10:$B$121,$A11,'DAILY CHAMP AYAM'!Q$10:Q$121)</f>
        <v>0</v>
      </c>
      <c r="L11" s="8">
        <f>SUMIF('DAILY CHAMP AYAM'!$B$10:$B$121,$A11,'DAILY CHAMP AYAM'!R$10:R$121)</f>
        <v>0</v>
      </c>
      <c r="M11" s="8">
        <f>SUMIF('DAILY CHAMP AYAM'!$B$10:$B$121,$A11,'DAILY CHAMP AYAM'!S$10:S$121)</f>
        <v>0</v>
      </c>
      <c r="N11" s="8">
        <f>SUMIF('DAILY CHAMP AYAM'!$B$10:$B$121,$A11,'DAILY CHAMP AYAM'!T$10:T$121)</f>
        <v>0</v>
      </c>
      <c r="O11" s="8">
        <f>SUMIF('DAILY CHAMP AYAM'!$B$10:$B$121,$A11,'DAILY CHAMP AYAM'!U$10:U$121)</f>
        <v>0</v>
      </c>
      <c r="P11" s="8">
        <f>SUMIF('DAILY CHAMP AYAM'!$B$10:$B$121,$A11,'DAILY CHAMP AYAM'!V$10:V$121)</f>
        <v>0</v>
      </c>
      <c r="Q11" s="8">
        <f>SUMIF('DAILY CHAMP AYAM'!$B$10:$B$121,$A11,'DAILY CHAMP AYAM'!W$10:W$121)</f>
        <v>0</v>
      </c>
      <c r="R11" s="8">
        <f>SUMIF('DAILY CHAMP AYAM'!$B$10:$B$121,$A11,'DAILY CHAMP AYAM'!X$10:X$121)</f>
        <v>0</v>
      </c>
      <c r="S11" s="8">
        <f>SUMIF('DAILY CHAMP AYAM'!$B$10:$B$121,$A11,'DAILY CHAMP AYAM'!Y$10:Y$121)</f>
        <v>0</v>
      </c>
      <c r="T11" s="8">
        <f>SUMIF('DAILY CHAMP AYAM'!$B$10:$B$121,$A11,'DAILY CHAMP AYAM'!Z$10:Z$121)</f>
        <v>0</v>
      </c>
      <c r="U11" s="8">
        <f>SUMIF('DAILY CHAMP AYAM'!$B$10:$B$121,$A11,'DAILY CHAMP AYAM'!AA$10:AA$121)</f>
        <v>0</v>
      </c>
      <c r="V11" s="8">
        <f>SUMIF('DAILY CHAMP AYAM'!$B$10:$B$121,$A11,'DAILY CHAMP AYAM'!AB$10:AB$121)</f>
        <v>0</v>
      </c>
      <c r="W11" s="59">
        <f t="shared" si="0"/>
        <v>0</v>
      </c>
      <c r="X11" s="60">
        <f t="shared" si="1"/>
        <v>0</v>
      </c>
      <c r="Y11" s="47">
        <f t="shared" si="2"/>
        <v>0</v>
      </c>
      <c r="Z11" s="88" t="e">
        <f t="shared" si="5"/>
        <v>#DIV/0!</v>
      </c>
      <c r="AA11" s="89" t="e">
        <f t="shared" si="6"/>
        <v>#DIV/0!</v>
      </c>
      <c r="AB11" s="112">
        <f>+'Actual VS SAP'!I13</f>
        <v>0</v>
      </c>
      <c r="AC11" s="48">
        <f t="shared" si="3"/>
        <v>0</v>
      </c>
      <c r="AD11" s="89" t="e">
        <f t="shared" si="4"/>
        <v>#DIV/0!</v>
      </c>
      <c r="AF11" s="159">
        <f>+AB11*'STD DRY'!$F$6</f>
        <v>0</v>
      </c>
      <c r="AG11" s="159">
        <f>+AB11*'STD DRY'!$F$12</f>
        <v>0</v>
      </c>
    </row>
    <row r="12" spans="1:33">
      <c r="A12" s="7">
        <f>+'ALL SORTASI'!A14</f>
        <v>46212</v>
      </c>
      <c r="B12" s="8">
        <f>SUMIF('DAILY CHAMP AYAM'!$B$10:$B$121,$A12,'DAILY CHAMP AYAM'!$D$10:$D$143)</f>
        <v>0</v>
      </c>
      <c r="C12" s="8">
        <f>SUMIF('DAILY CHAMP AYAM'!$B$10:$B$121,$A12,'DAILY CHAMP AYAM'!I$10:I$121)</f>
        <v>0</v>
      </c>
      <c r="D12" s="8">
        <f>SUMIF('DAILY CHAMP AYAM'!$B$10:$B$121,$A12,'DAILY CHAMP AYAM'!J$10:J$121)</f>
        <v>0</v>
      </c>
      <c r="E12" s="8">
        <f>SUMIF('DAILY CHAMP AYAM'!$B$10:$B$121,$A12,'DAILY CHAMP AYAM'!K$10:K$121)</f>
        <v>0</v>
      </c>
      <c r="F12" s="8">
        <f>SUMIF('DAILY CHAMP AYAM'!$B$10:$B$121,$A12,'DAILY CHAMP AYAM'!L$10:L$121)</f>
        <v>0</v>
      </c>
      <c r="G12" s="8">
        <f>SUMIF('DAILY CHAMP AYAM'!$B$10:$B$121,$A12,'DAILY CHAMP AYAM'!M$10:M$121)</f>
        <v>0</v>
      </c>
      <c r="H12" s="8">
        <f>SUMIF('DAILY CHAMP AYAM'!$B$10:$B$121,$A12,'DAILY CHAMP AYAM'!N$10:N$121)</f>
        <v>0</v>
      </c>
      <c r="I12" s="8">
        <f>SUMIF('DAILY CHAMP AYAM'!$B$10:$B$121,$A12,'DAILY CHAMP AYAM'!O$10:O$121)</f>
        <v>0</v>
      </c>
      <c r="J12" s="8">
        <f>SUMIF('DAILY CHAMP AYAM'!$B$10:$B$121,$A12,'DAILY CHAMP AYAM'!P$10:P$121)</f>
        <v>0</v>
      </c>
      <c r="K12" s="8">
        <f>SUMIF('DAILY CHAMP AYAM'!$B$10:$B$121,$A12,'DAILY CHAMP AYAM'!Q$10:Q$121)</f>
        <v>0</v>
      </c>
      <c r="L12" s="8">
        <f>SUMIF('DAILY CHAMP AYAM'!$B$10:$B$121,$A12,'DAILY CHAMP AYAM'!R$10:R$121)</f>
        <v>0</v>
      </c>
      <c r="M12" s="8">
        <f>SUMIF('DAILY CHAMP AYAM'!$B$10:$B$121,$A12,'DAILY CHAMP AYAM'!S$10:S$121)</f>
        <v>0</v>
      </c>
      <c r="N12" s="8">
        <f>SUMIF('DAILY CHAMP AYAM'!$B$10:$B$121,$A12,'DAILY CHAMP AYAM'!T$10:T$121)</f>
        <v>0</v>
      </c>
      <c r="O12" s="8">
        <f>SUMIF('DAILY CHAMP AYAM'!$B$10:$B$121,$A12,'DAILY CHAMP AYAM'!U$10:U$121)</f>
        <v>0</v>
      </c>
      <c r="P12" s="8">
        <f>SUMIF('DAILY CHAMP AYAM'!$B$10:$B$121,$A12,'DAILY CHAMP AYAM'!V$10:V$121)</f>
        <v>0</v>
      </c>
      <c r="Q12" s="8">
        <f>SUMIF('DAILY CHAMP AYAM'!$B$10:$B$121,$A12,'DAILY CHAMP AYAM'!W$10:W$121)</f>
        <v>0</v>
      </c>
      <c r="R12" s="8">
        <f>SUMIF('DAILY CHAMP AYAM'!$B$10:$B$121,$A12,'DAILY CHAMP AYAM'!X$10:X$121)</f>
        <v>0</v>
      </c>
      <c r="S12" s="8">
        <f>SUMIF('DAILY CHAMP AYAM'!$B$10:$B$121,$A12,'DAILY CHAMP AYAM'!Y$10:Y$121)</f>
        <v>0</v>
      </c>
      <c r="T12" s="8">
        <f>SUMIF('DAILY CHAMP AYAM'!$B$10:$B$121,$A12,'DAILY CHAMP AYAM'!Z$10:Z$121)</f>
        <v>0</v>
      </c>
      <c r="U12" s="8">
        <f>SUMIF('DAILY CHAMP AYAM'!$B$10:$B$121,$A12,'DAILY CHAMP AYAM'!AA$10:AA$121)</f>
        <v>0</v>
      </c>
      <c r="V12" s="8">
        <f>SUMIF('DAILY CHAMP AYAM'!$B$10:$B$121,$A12,'DAILY CHAMP AYAM'!AB$10:AB$121)</f>
        <v>0</v>
      </c>
      <c r="W12" s="59">
        <f t="shared" si="0"/>
        <v>0</v>
      </c>
      <c r="X12" s="60">
        <f t="shared" si="1"/>
        <v>0</v>
      </c>
      <c r="Y12" s="47">
        <f t="shared" si="2"/>
        <v>0</v>
      </c>
      <c r="Z12" s="88" t="e">
        <f t="shared" si="5"/>
        <v>#DIV/0!</v>
      </c>
      <c r="AA12" s="89" t="e">
        <f t="shared" si="6"/>
        <v>#DIV/0!</v>
      </c>
      <c r="AB12" s="112">
        <f>+'Actual VS SAP'!I14</f>
        <v>0</v>
      </c>
      <c r="AC12" s="48">
        <f t="shared" si="3"/>
        <v>0</v>
      </c>
      <c r="AD12" s="89" t="e">
        <f t="shared" si="4"/>
        <v>#DIV/0!</v>
      </c>
      <c r="AF12" s="159">
        <f>+AB12*'STD DRY'!$F$6</f>
        <v>0</v>
      </c>
      <c r="AG12" s="159">
        <f>+AB12*'STD DRY'!$F$12</f>
        <v>0</v>
      </c>
    </row>
    <row r="13" spans="1:33">
      <c r="A13" s="7">
        <f>+'ALL SORTASI'!A15</f>
        <v>46213</v>
      </c>
      <c r="B13" s="8">
        <f>SUMIF('DAILY CHAMP AYAM'!$B$10:$B$121,$A13,'DAILY CHAMP AYAM'!$D$10:$D$143)</f>
        <v>0</v>
      </c>
      <c r="C13" s="8">
        <f>SUMIF('DAILY CHAMP AYAM'!$B$10:$B$121,$A13,'DAILY CHAMP AYAM'!I$10:I$121)</f>
        <v>0</v>
      </c>
      <c r="D13" s="8">
        <f>SUMIF('DAILY CHAMP AYAM'!$B$10:$B$121,$A13,'DAILY CHAMP AYAM'!J$10:J$121)</f>
        <v>0</v>
      </c>
      <c r="E13" s="8">
        <f>SUMIF('DAILY CHAMP AYAM'!$B$10:$B$121,$A13,'DAILY CHAMP AYAM'!K$10:K$121)</f>
        <v>0</v>
      </c>
      <c r="F13" s="8">
        <f>SUMIF('DAILY CHAMP AYAM'!$B$10:$B$121,$A13,'DAILY CHAMP AYAM'!L$10:L$121)</f>
        <v>0</v>
      </c>
      <c r="G13" s="8">
        <f>SUMIF('DAILY CHAMP AYAM'!$B$10:$B$121,$A13,'DAILY CHAMP AYAM'!M$10:M$121)</f>
        <v>0</v>
      </c>
      <c r="H13" s="8">
        <f>SUMIF('DAILY CHAMP AYAM'!$B$10:$B$121,$A13,'DAILY CHAMP AYAM'!N$10:N$121)</f>
        <v>0</v>
      </c>
      <c r="I13" s="8">
        <f>SUMIF('DAILY CHAMP AYAM'!$B$10:$B$121,$A13,'DAILY CHAMP AYAM'!O$10:O$121)</f>
        <v>0</v>
      </c>
      <c r="J13" s="8">
        <f>SUMIF('DAILY CHAMP AYAM'!$B$10:$B$121,$A13,'DAILY CHAMP AYAM'!P$10:P$121)</f>
        <v>0</v>
      </c>
      <c r="K13" s="8">
        <f>SUMIF('DAILY CHAMP AYAM'!$B$10:$B$121,$A13,'DAILY CHAMP AYAM'!Q$10:Q$121)</f>
        <v>0</v>
      </c>
      <c r="L13" s="8">
        <f>SUMIF('DAILY CHAMP AYAM'!$B$10:$B$121,$A13,'DAILY CHAMP AYAM'!R$10:R$121)</f>
        <v>0</v>
      </c>
      <c r="M13" s="8">
        <f>SUMIF('DAILY CHAMP AYAM'!$B$10:$B$121,$A13,'DAILY CHAMP AYAM'!S$10:S$121)</f>
        <v>0</v>
      </c>
      <c r="N13" s="8">
        <f>SUMIF('DAILY CHAMP AYAM'!$B$10:$B$121,$A13,'DAILY CHAMP AYAM'!T$10:T$121)</f>
        <v>0</v>
      </c>
      <c r="O13" s="8">
        <f>SUMIF('DAILY CHAMP AYAM'!$B$10:$B$121,$A13,'DAILY CHAMP AYAM'!U$10:U$121)</f>
        <v>0</v>
      </c>
      <c r="P13" s="8">
        <f>SUMIF('DAILY CHAMP AYAM'!$B$10:$B$121,$A13,'DAILY CHAMP AYAM'!V$10:V$121)</f>
        <v>0</v>
      </c>
      <c r="Q13" s="8">
        <f>SUMIF('DAILY CHAMP AYAM'!$B$10:$B$121,$A13,'DAILY CHAMP AYAM'!W$10:W$121)</f>
        <v>0</v>
      </c>
      <c r="R13" s="8">
        <f>SUMIF('DAILY CHAMP AYAM'!$B$10:$B$121,$A13,'DAILY CHAMP AYAM'!X$10:X$121)</f>
        <v>0</v>
      </c>
      <c r="S13" s="8">
        <f>SUMIF('DAILY CHAMP AYAM'!$B$10:$B$121,$A13,'DAILY CHAMP AYAM'!Y$10:Y$121)</f>
        <v>0</v>
      </c>
      <c r="T13" s="8">
        <f>SUMIF('DAILY CHAMP AYAM'!$B$10:$B$121,$A13,'DAILY CHAMP AYAM'!Z$10:Z$121)</f>
        <v>0</v>
      </c>
      <c r="U13" s="8">
        <f>SUMIF('DAILY CHAMP AYAM'!$B$10:$B$121,$A13,'DAILY CHAMP AYAM'!AA$10:AA$121)</f>
        <v>0</v>
      </c>
      <c r="V13" s="8">
        <f>SUMIF('DAILY CHAMP AYAM'!$B$10:$B$121,$A13,'DAILY CHAMP AYAM'!AB$10:AB$121)</f>
        <v>0</v>
      </c>
      <c r="W13" s="59">
        <f t="shared" si="0"/>
        <v>0</v>
      </c>
      <c r="X13" s="60">
        <f t="shared" si="1"/>
        <v>0</v>
      </c>
      <c r="Y13" s="47">
        <f t="shared" si="2"/>
        <v>0</v>
      </c>
      <c r="Z13" s="88" t="e">
        <f t="shared" si="5"/>
        <v>#DIV/0!</v>
      </c>
      <c r="AA13" s="89" t="e">
        <f t="shared" si="6"/>
        <v>#DIV/0!</v>
      </c>
      <c r="AB13" s="112">
        <f>+'Actual VS SAP'!I15</f>
        <v>0</v>
      </c>
      <c r="AC13" s="48">
        <f t="shared" si="3"/>
        <v>0</v>
      </c>
      <c r="AD13" s="89" t="e">
        <f t="shared" si="4"/>
        <v>#DIV/0!</v>
      </c>
      <c r="AF13" s="159">
        <f>+AB13*'STD DRY'!$F$6</f>
        <v>0</v>
      </c>
      <c r="AG13" s="159">
        <f>+AB13*'STD DRY'!$F$12</f>
        <v>0</v>
      </c>
    </row>
    <row r="14" spans="1:33">
      <c r="A14" s="7">
        <f>+'ALL SORTASI'!A16</f>
        <v>46214</v>
      </c>
      <c r="B14" s="8">
        <f>SUMIF('DAILY CHAMP AYAM'!$B$10:$B$121,$A14,'DAILY CHAMP AYAM'!$D$10:$D$143)</f>
        <v>0</v>
      </c>
      <c r="C14" s="8">
        <f>SUMIF('DAILY CHAMP AYAM'!$B$10:$B$121,$A14,'DAILY CHAMP AYAM'!I$10:I$121)</f>
        <v>0</v>
      </c>
      <c r="D14" s="8">
        <f>SUMIF('DAILY CHAMP AYAM'!$B$10:$B$121,$A14,'DAILY CHAMP AYAM'!J$10:J$121)</f>
        <v>0</v>
      </c>
      <c r="E14" s="8">
        <f>SUMIF('DAILY CHAMP AYAM'!$B$10:$B$121,$A14,'DAILY CHAMP AYAM'!K$10:K$121)</f>
        <v>0</v>
      </c>
      <c r="F14" s="8">
        <f>SUMIF('DAILY CHAMP AYAM'!$B$10:$B$121,$A14,'DAILY CHAMP AYAM'!L$10:L$121)</f>
        <v>0</v>
      </c>
      <c r="G14" s="8">
        <f>SUMIF('DAILY CHAMP AYAM'!$B$10:$B$121,$A14,'DAILY CHAMP AYAM'!M$10:M$121)</f>
        <v>0</v>
      </c>
      <c r="H14" s="8">
        <f>SUMIF('DAILY CHAMP AYAM'!$B$10:$B$121,$A14,'DAILY CHAMP AYAM'!N$10:N$121)</f>
        <v>0</v>
      </c>
      <c r="I14" s="8">
        <f>SUMIF('DAILY CHAMP AYAM'!$B$10:$B$121,$A14,'DAILY CHAMP AYAM'!O$10:O$121)</f>
        <v>0</v>
      </c>
      <c r="J14" s="8">
        <f>SUMIF('DAILY CHAMP AYAM'!$B$10:$B$121,$A14,'DAILY CHAMP AYAM'!P$10:P$121)</f>
        <v>0</v>
      </c>
      <c r="K14" s="8">
        <f>SUMIF('DAILY CHAMP AYAM'!$B$10:$B$121,$A14,'DAILY CHAMP AYAM'!Q$10:Q$121)</f>
        <v>0</v>
      </c>
      <c r="L14" s="8">
        <f>SUMIF('DAILY CHAMP AYAM'!$B$10:$B$121,$A14,'DAILY CHAMP AYAM'!R$10:R$121)</f>
        <v>0</v>
      </c>
      <c r="M14" s="8">
        <f>SUMIF('DAILY CHAMP AYAM'!$B$10:$B$121,$A14,'DAILY CHAMP AYAM'!S$10:S$121)</f>
        <v>0</v>
      </c>
      <c r="N14" s="8">
        <f>SUMIF('DAILY CHAMP AYAM'!$B$10:$B$121,$A14,'DAILY CHAMP AYAM'!T$10:T$121)</f>
        <v>0</v>
      </c>
      <c r="O14" s="8">
        <f>SUMIF('DAILY CHAMP AYAM'!$B$10:$B$121,$A14,'DAILY CHAMP AYAM'!U$10:U$121)</f>
        <v>0</v>
      </c>
      <c r="P14" s="8">
        <f>SUMIF('DAILY CHAMP AYAM'!$B$10:$B$121,$A14,'DAILY CHAMP AYAM'!V$10:V$121)</f>
        <v>0</v>
      </c>
      <c r="Q14" s="8">
        <f>SUMIF('DAILY CHAMP AYAM'!$B$10:$B$121,$A14,'DAILY CHAMP AYAM'!W$10:W$121)</f>
        <v>0</v>
      </c>
      <c r="R14" s="8">
        <f>SUMIF('DAILY CHAMP AYAM'!$B$10:$B$121,$A14,'DAILY CHAMP AYAM'!X$10:X$121)</f>
        <v>0</v>
      </c>
      <c r="S14" s="8">
        <f>SUMIF('DAILY CHAMP AYAM'!$B$10:$B$121,$A14,'DAILY CHAMP AYAM'!Y$10:Y$121)</f>
        <v>0</v>
      </c>
      <c r="T14" s="8">
        <f>SUMIF('DAILY CHAMP AYAM'!$B$10:$B$121,$A14,'DAILY CHAMP AYAM'!Z$10:Z$121)</f>
        <v>0</v>
      </c>
      <c r="U14" s="8">
        <f>SUMIF('DAILY CHAMP AYAM'!$B$10:$B$121,$A14,'DAILY CHAMP AYAM'!AA$10:AA$121)</f>
        <v>0</v>
      </c>
      <c r="V14" s="8">
        <f>SUMIF('DAILY CHAMP AYAM'!$B$10:$B$121,$A14,'DAILY CHAMP AYAM'!AB$10:AB$121)</f>
        <v>0</v>
      </c>
      <c r="W14" s="59">
        <f t="shared" si="0"/>
        <v>0</v>
      </c>
      <c r="X14" s="60">
        <f t="shared" si="1"/>
        <v>0</v>
      </c>
      <c r="Y14" s="47">
        <f t="shared" si="2"/>
        <v>0</v>
      </c>
      <c r="Z14" s="88" t="e">
        <f t="shared" si="5"/>
        <v>#DIV/0!</v>
      </c>
      <c r="AA14" s="89" t="e">
        <f t="shared" si="6"/>
        <v>#DIV/0!</v>
      </c>
      <c r="AB14" s="112">
        <f>+'Actual VS SAP'!I16</f>
        <v>0</v>
      </c>
      <c r="AC14" s="48">
        <f t="shared" si="3"/>
        <v>0</v>
      </c>
      <c r="AD14" s="89" t="e">
        <f t="shared" si="4"/>
        <v>#DIV/0!</v>
      </c>
      <c r="AF14" s="159">
        <f>+AB14*'STD DRY'!$F$6</f>
        <v>0</v>
      </c>
      <c r="AG14" s="159">
        <f>+AB14*'STD DRY'!$F$12</f>
        <v>0</v>
      </c>
    </row>
    <row r="15" spans="1:33">
      <c r="A15" s="7">
        <f>+'ALL SORTASI'!A17</f>
        <v>46215</v>
      </c>
      <c r="B15" s="8">
        <f>SUMIF('DAILY CHAMP AYAM'!$B$10:$B$121,$A15,'DAILY CHAMP AYAM'!$D$10:$D$143)</f>
        <v>0</v>
      </c>
      <c r="C15" s="8">
        <f>SUMIF('DAILY CHAMP AYAM'!$B$10:$B$121,$A15,'DAILY CHAMP AYAM'!I$10:I$121)</f>
        <v>0</v>
      </c>
      <c r="D15" s="8">
        <f>SUMIF('DAILY CHAMP AYAM'!$B$10:$B$121,$A15,'DAILY CHAMP AYAM'!J$10:J$121)</f>
        <v>0</v>
      </c>
      <c r="E15" s="8">
        <f>SUMIF('DAILY CHAMP AYAM'!$B$10:$B$121,$A15,'DAILY CHAMP AYAM'!K$10:K$121)</f>
        <v>0</v>
      </c>
      <c r="F15" s="8">
        <f>SUMIF('DAILY CHAMP AYAM'!$B$10:$B$121,$A15,'DAILY CHAMP AYAM'!L$10:L$121)</f>
        <v>0</v>
      </c>
      <c r="G15" s="8">
        <f>SUMIF('DAILY CHAMP AYAM'!$B$10:$B$121,$A15,'DAILY CHAMP AYAM'!M$10:M$121)</f>
        <v>0</v>
      </c>
      <c r="H15" s="8">
        <f>SUMIF('DAILY CHAMP AYAM'!$B$10:$B$121,$A15,'DAILY CHAMP AYAM'!N$10:N$121)</f>
        <v>0</v>
      </c>
      <c r="I15" s="8">
        <f>SUMIF('DAILY CHAMP AYAM'!$B$10:$B$121,$A15,'DAILY CHAMP AYAM'!O$10:O$121)</f>
        <v>0</v>
      </c>
      <c r="J15" s="8">
        <f>SUMIF('DAILY CHAMP AYAM'!$B$10:$B$121,$A15,'DAILY CHAMP AYAM'!P$10:P$121)</f>
        <v>0</v>
      </c>
      <c r="K15" s="8">
        <f>SUMIF('DAILY CHAMP AYAM'!$B$10:$B$121,$A15,'DAILY CHAMP AYAM'!Q$10:Q$121)</f>
        <v>0</v>
      </c>
      <c r="L15" s="8">
        <f>SUMIF('DAILY CHAMP AYAM'!$B$10:$B$121,$A15,'DAILY CHAMP AYAM'!R$10:R$121)</f>
        <v>0</v>
      </c>
      <c r="M15" s="8">
        <f>SUMIF('DAILY CHAMP AYAM'!$B$10:$B$121,$A15,'DAILY CHAMP AYAM'!S$10:S$121)</f>
        <v>0</v>
      </c>
      <c r="N15" s="8">
        <f>SUMIF('DAILY CHAMP AYAM'!$B$10:$B$121,$A15,'DAILY CHAMP AYAM'!T$10:T$121)</f>
        <v>0</v>
      </c>
      <c r="O15" s="8">
        <f>SUMIF('DAILY CHAMP AYAM'!$B$10:$B$121,$A15,'DAILY CHAMP AYAM'!U$10:U$121)</f>
        <v>0</v>
      </c>
      <c r="P15" s="8">
        <f>SUMIF('DAILY CHAMP AYAM'!$B$10:$B$121,$A15,'DAILY CHAMP AYAM'!V$10:V$121)</f>
        <v>0</v>
      </c>
      <c r="Q15" s="8">
        <f>SUMIF('DAILY CHAMP AYAM'!$B$10:$B$121,$A15,'DAILY CHAMP AYAM'!W$10:W$121)</f>
        <v>0</v>
      </c>
      <c r="R15" s="8">
        <f>SUMIF('DAILY CHAMP AYAM'!$B$10:$B$121,$A15,'DAILY CHAMP AYAM'!X$10:X$121)</f>
        <v>0</v>
      </c>
      <c r="S15" s="8">
        <f>SUMIF('DAILY CHAMP AYAM'!$B$10:$B$121,$A15,'DAILY CHAMP AYAM'!Y$10:Y$121)</f>
        <v>0</v>
      </c>
      <c r="T15" s="8">
        <f>SUMIF('DAILY CHAMP AYAM'!$B$10:$B$121,$A15,'DAILY CHAMP AYAM'!Z$10:Z$121)</f>
        <v>0</v>
      </c>
      <c r="U15" s="8">
        <f>SUMIF('DAILY CHAMP AYAM'!$B$10:$B$121,$A15,'DAILY CHAMP AYAM'!AA$10:AA$121)</f>
        <v>0</v>
      </c>
      <c r="V15" s="8">
        <f>SUMIF('DAILY CHAMP AYAM'!$B$10:$B$121,$A15,'DAILY CHAMP AYAM'!AB$10:AB$121)</f>
        <v>0</v>
      </c>
      <c r="W15" s="59">
        <f t="shared" si="0"/>
        <v>0</v>
      </c>
      <c r="X15" s="60">
        <f t="shared" si="1"/>
        <v>0</v>
      </c>
      <c r="Y15" s="47">
        <f t="shared" si="2"/>
        <v>0</v>
      </c>
      <c r="Z15" s="88" t="e">
        <f t="shared" si="5"/>
        <v>#DIV/0!</v>
      </c>
      <c r="AA15" s="89" t="e">
        <f t="shared" si="6"/>
        <v>#DIV/0!</v>
      </c>
      <c r="AB15" s="112">
        <f>+'Actual VS SAP'!I17</f>
        <v>0</v>
      </c>
      <c r="AC15" s="48">
        <f t="shared" si="3"/>
        <v>0</v>
      </c>
      <c r="AD15" s="89" t="e">
        <f t="shared" si="4"/>
        <v>#DIV/0!</v>
      </c>
      <c r="AF15" s="159">
        <f>+AB15*'STD DRY'!$F$6</f>
        <v>0</v>
      </c>
      <c r="AG15" s="159">
        <f>+AB15*'STD DRY'!$F$12</f>
        <v>0</v>
      </c>
    </row>
    <row r="16" spans="1:33">
      <c r="A16" s="7">
        <f>+'ALL SORTASI'!A18</f>
        <v>46216</v>
      </c>
      <c r="B16" s="8">
        <f>SUMIF('DAILY CHAMP AYAM'!$B$10:$B$121,$A16,'DAILY CHAMP AYAM'!$D$10:$D$143)</f>
        <v>1434.8879999999999</v>
      </c>
      <c r="C16" s="8">
        <f>SUMIF('DAILY CHAMP AYAM'!$B$10:$B$121,$A16,'DAILY CHAMP AYAM'!I$10:I$121)</f>
        <v>1395.576</v>
      </c>
      <c r="D16" s="8">
        <f>SUMIF('DAILY CHAMP AYAM'!$B$10:$B$121,$A16,'DAILY CHAMP AYAM'!J$10:J$121)</f>
        <v>0</v>
      </c>
      <c r="E16" s="8">
        <f>SUMIF('DAILY CHAMP AYAM'!$B$10:$B$121,$A16,'DAILY CHAMP AYAM'!K$10:K$121)</f>
        <v>4.2</v>
      </c>
      <c r="F16" s="8">
        <f>SUMIF('DAILY CHAMP AYAM'!$B$10:$B$121,$A16,'DAILY CHAMP AYAM'!L$10:L$121)</f>
        <v>13.37</v>
      </c>
      <c r="G16" s="8">
        <f>SUMIF('DAILY CHAMP AYAM'!$B$10:$B$121,$A16,'DAILY CHAMP AYAM'!M$10:M$121)</f>
        <v>17.5</v>
      </c>
      <c r="H16" s="8">
        <f>SUMIF('DAILY CHAMP AYAM'!$B$10:$B$121,$A16,'DAILY CHAMP AYAM'!N$10:N$121)</f>
        <v>0</v>
      </c>
      <c r="I16" s="8">
        <f>SUMIF('DAILY CHAMP AYAM'!$B$10:$B$121,$A16,'DAILY CHAMP AYAM'!O$10:O$121)</f>
        <v>4.5</v>
      </c>
      <c r="J16" s="8">
        <f>SUMIF('DAILY CHAMP AYAM'!$B$10:$B$121,$A16,'DAILY CHAMP AYAM'!P$10:P$121)</f>
        <v>0.6</v>
      </c>
      <c r="K16" s="8">
        <f>SUMIF('DAILY CHAMP AYAM'!$B$10:$B$121,$A16,'DAILY CHAMP AYAM'!Q$10:Q$121)</f>
        <v>0</v>
      </c>
      <c r="L16" s="8">
        <f>SUMIF('DAILY CHAMP AYAM'!$B$10:$B$121,$A16,'DAILY CHAMP AYAM'!R$10:R$121)</f>
        <v>1.95</v>
      </c>
      <c r="M16" s="8">
        <f>SUMIF('DAILY CHAMP AYAM'!$B$10:$B$121,$A16,'DAILY CHAMP AYAM'!S$10:S$121)</f>
        <v>0</v>
      </c>
      <c r="N16" s="8">
        <f>SUMIF('DAILY CHAMP AYAM'!$B$10:$B$121,$A16,'DAILY CHAMP AYAM'!T$10:T$121)</f>
        <v>0.49</v>
      </c>
      <c r="O16" s="8">
        <f>SUMIF('DAILY CHAMP AYAM'!$B$10:$B$121,$A16,'DAILY CHAMP AYAM'!U$10:U$121)</f>
        <v>0</v>
      </c>
      <c r="P16" s="8">
        <f>SUMIF('DAILY CHAMP AYAM'!$B$10:$B$121,$A16,'DAILY CHAMP AYAM'!V$10:V$121)</f>
        <v>0</v>
      </c>
      <c r="Q16" s="8">
        <f>SUMIF('DAILY CHAMP AYAM'!$B$10:$B$121,$A16,'DAILY CHAMP AYAM'!W$10:W$121)</f>
        <v>0</v>
      </c>
      <c r="R16" s="8">
        <f>SUMIF('DAILY CHAMP AYAM'!$B$10:$B$121,$A16,'DAILY CHAMP AYAM'!X$10:X$121)</f>
        <v>0</v>
      </c>
      <c r="S16" s="8">
        <f>SUMIF('DAILY CHAMP AYAM'!$B$10:$B$121,$A16,'DAILY CHAMP AYAM'!Y$10:Y$121)</f>
        <v>0</v>
      </c>
      <c r="T16" s="8">
        <f>SUMIF('DAILY CHAMP AYAM'!$B$10:$B$121,$A16,'DAILY CHAMP AYAM'!Z$10:Z$121)</f>
        <v>0</v>
      </c>
      <c r="U16" s="8">
        <f>SUMIF('DAILY CHAMP AYAM'!$B$10:$B$121,$A16,'DAILY CHAMP AYAM'!AA$10:AA$121)</f>
        <v>0</v>
      </c>
      <c r="V16" s="8">
        <f>SUMIF('DAILY CHAMP AYAM'!$B$10:$B$121,$A16,'DAILY CHAMP AYAM'!AB$10:AB$121)</f>
        <v>0</v>
      </c>
      <c r="W16" s="59">
        <f t="shared" si="0"/>
        <v>42.610000000000007</v>
      </c>
      <c r="X16" s="60">
        <f t="shared" si="1"/>
        <v>-3.2980000000001084</v>
      </c>
      <c r="Y16" s="47">
        <f t="shared" si="2"/>
        <v>-1.0067155067155398</v>
      </c>
      <c r="Z16" s="88">
        <f t="shared" si="5"/>
        <v>0.97260273972602751</v>
      </c>
      <c r="AA16" s="89">
        <f t="shared" si="6"/>
        <v>2.739726027397249E-2</v>
      </c>
      <c r="AB16" s="112">
        <f>+'Actual VS SAP'!I18</f>
        <v>1</v>
      </c>
      <c r="AC16" s="48">
        <f t="shared" si="3"/>
        <v>1688.72</v>
      </c>
      <c r="AD16" s="89">
        <f t="shared" si="4"/>
        <v>0.82641053579042112</v>
      </c>
      <c r="AF16" s="159">
        <f>+AB16*'STD DRY'!$F$6</f>
        <v>9.7889079365079361</v>
      </c>
      <c r="AG16" s="159">
        <f>+AB16*'STD DRY'!$F$12</f>
        <v>5.0479017142857128</v>
      </c>
    </row>
    <row r="17" spans="1:33">
      <c r="A17" s="7">
        <f>+'ALL SORTASI'!A19</f>
        <v>46217</v>
      </c>
      <c r="B17" s="8">
        <f>SUMIF('DAILY CHAMP AYAM'!$B$10:$B$121,$A17,'DAILY CHAMP AYAM'!$D$10:$D$143)</f>
        <v>15452.892</v>
      </c>
      <c r="C17" s="8">
        <f>SUMIF('DAILY CHAMP AYAM'!$B$10:$B$121,$A17,'DAILY CHAMP AYAM'!I$10:I$121)</f>
        <v>15131.843999999999</v>
      </c>
      <c r="D17" s="8">
        <f>SUMIF('DAILY CHAMP AYAM'!$B$10:$B$121,$A17,'DAILY CHAMP AYAM'!J$10:J$121)</f>
        <v>0</v>
      </c>
      <c r="E17" s="8">
        <f>SUMIF('DAILY CHAMP AYAM'!$B$10:$B$121,$A17,'DAILY CHAMP AYAM'!K$10:K$121)</f>
        <v>51.91</v>
      </c>
      <c r="F17" s="8">
        <f>SUMIF('DAILY CHAMP AYAM'!$B$10:$B$121,$A17,'DAILY CHAMP AYAM'!L$10:L$121)</f>
        <v>100.98</v>
      </c>
      <c r="G17" s="8">
        <f>SUMIF('DAILY CHAMP AYAM'!$B$10:$B$121,$A17,'DAILY CHAMP AYAM'!M$10:M$121)</f>
        <v>8.8000000000000007</v>
      </c>
      <c r="H17" s="8">
        <f>SUMIF('DAILY CHAMP AYAM'!$B$10:$B$121,$A17,'DAILY CHAMP AYAM'!N$10:N$121)</f>
        <v>0</v>
      </c>
      <c r="I17" s="8">
        <f>SUMIF('DAILY CHAMP AYAM'!$B$10:$B$121,$A17,'DAILY CHAMP AYAM'!O$10:O$121)</f>
        <v>127.13000000000002</v>
      </c>
      <c r="J17" s="8">
        <f>SUMIF('DAILY CHAMP AYAM'!$B$10:$B$121,$A17,'DAILY CHAMP AYAM'!P$10:P$121)</f>
        <v>3.41</v>
      </c>
      <c r="K17" s="8">
        <f>SUMIF('DAILY CHAMP AYAM'!$B$10:$B$121,$A17,'DAILY CHAMP AYAM'!Q$10:Q$121)</f>
        <v>0</v>
      </c>
      <c r="L17" s="8">
        <f>SUMIF('DAILY CHAMP AYAM'!$B$10:$B$121,$A17,'DAILY CHAMP AYAM'!R$10:R$121)</f>
        <v>10.95</v>
      </c>
      <c r="M17" s="8">
        <f>SUMIF('DAILY CHAMP AYAM'!$B$10:$B$121,$A17,'DAILY CHAMP AYAM'!S$10:S$121)</f>
        <v>5.3</v>
      </c>
      <c r="N17" s="8">
        <f>SUMIF('DAILY CHAMP AYAM'!$B$10:$B$121,$A17,'DAILY CHAMP AYAM'!T$10:T$121)</f>
        <v>12.770000000000001</v>
      </c>
      <c r="O17" s="8">
        <f>SUMIF('DAILY CHAMP AYAM'!$B$10:$B$121,$A17,'DAILY CHAMP AYAM'!U$10:U$121)</f>
        <v>0</v>
      </c>
      <c r="P17" s="8">
        <f>SUMIF('DAILY CHAMP AYAM'!$B$10:$B$121,$A17,'DAILY CHAMP AYAM'!V$10:V$121)</f>
        <v>0</v>
      </c>
      <c r="Q17" s="8">
        <f>SUMIF('DAILY CHAMP AYAM'!$B$10:$B$121,$A17,'DAILY CHAMP AYAM'!W$10:W$121)</f>
        <v>0</v>
      </c>
      <c r="R17" s="8">
        <f>SUMIF('DAILY CHAMP AYAM'!$B$10:$B$121,$A17,'DAILY CHAMP AYAM'!X$10:X$121)</f>
        <v>0</v>
      </c>
      <c r="S17" s="8">
        <f>SUMIF('DAILY CHAMP AYAM'!$B$10:$B$121,$A17,'DAILY CHAMP AYAM'!Y$10:Y$121)</f>
        <v>0</v>
      </c>
      <c r="T17" s="8">
        <f>SUMIF('DAILY CHAMP AYAM'!$B$10:$B$121,$A17,'DAILY CHAMP AYAM'!Z$10:Z$121)</f>
        <v>0</v>
      </c>
      <c r="U17" s="8">
        <f>SUMIF('DAILY CHAMP AYAM'!$B$10:$B$121,$A17,'DAILY CHAMP AYAM'!AA$10:AA$121)</f>
        <v>0</v>
      </c>
      <c r="V17" s="8">
        <f>SUMIF('DAILY CHAMP AYAM'!$B$10:$B$121,$A17,'DAILY CHAMP AYAM'!AB$10:AB$121)</f>
        <v>0</v>
      </c>
      <c r="W17" s="59">
        <f t="shared" si="0"/>
        <v>321.25000000000006</v>
      </c>
      <c r="X17" s="60">
        <f t="shared" si="1"/>
        <v>-0.2019999999993729</v>
      </c>
      <c r="Y17" s="47">
        <f t="shared" si="2"/>
        <v>-6.166056166037024E-2</v>
      </c>
      <c r="Z17" s="88">
        <f t="shared" si="5"/>
        <v>0.97922408310366749</v>
      </c>
      <c r="AA17" s="89">
        <f t="shared" si="6"/>
        <v>2.0775916896332514E-2</v>
      </c>
      <c r="AB17" s="112">
        <f>+'Actual VS SAP'!I19</f>
        <v>9</v>
      </c>
      <c r="AC17" s="48">
        <f t="shared" si="3"/>
        <v>15198.48</v>
      </c>
      <c r="AD17" s="89">
        <f t="shared" si="4"/>
        <v>0.99561561419299827</v>
      </c>
      <c r="AF17" s="159">
        <f>+AB17*'STD DRY'!$F$6</f>
        <v>88.100171428571429</v>
      </c>
      <c r="AG17" s="159">
        <f>+AB17*'STD DRY'!$F$12</f>
        <v>45.431115428571417</v>
      </c>
    </row>
    <row r="18" spans="1:33">
      <c r="A18" s="7">
        <f>+'ALL SORTASI'!A20</f>
        <v>46218</v>
      </c>
      <c r="B18" s="8">
        <f>SUMIF('DAILY CHAMP AYAM'!$B$10:$B$121,$A18,'DAILY CHAMP AYAM'!$D$10:$D$143)</f>
        <v>15135.119999999999</v>
      </c>
      <c r="C18" s="8">
        <f>SUMIF('DAILY CHAMP AYAM'!$B$10:$B$121,$A18,'DAILY CHAMP AYAM'!I$10:I$121)</f>
        <v>14859.936</v>
      </c>
      <c r="D18" s="8">
        <f>SUMIF('DAILY CHAMP AYAM'!$B$10:$B$121,$A18,'DAILY CHAMP AYAM'!J$10:J$121)</f>
        <v>0</v>
      </c>
      <c r="E18" s="8">
        <f>SUMIF('DAILY CHAMP AYAM'!$B$10:$B$121,$A18,'DAILY CHAMP AYAM'!K$10:K$121)</f>
        <v>49.480000000000004</v>
      </c>
      <c r="F18" s="8">
        <f>SUMIF('DAILY CHAMP AYAM'!$B$10:$B$121,$A18,'DAILY CHAMP AYAM'!L$10:L$121)</f>
        <v>83.56</v>
      </c>
      <c r="G18" s="8">
        <f>SUMIF('DAILY CHAMP AYAM'!$B$10:$B$121,$A18,'DAILY CHAMP AYAM'!M$10:M$121)</f>
        <v>1.8</v>
      </c>
      <c r="H18" s="8">
        <f>SUMIF('DAILY CHAMP AYAM'!$B$10:$B$121,$A18,'DAILY CHAMP AYAM'!N$10:N$121)</f>
        <v>0</v>
      </c>
      <c r="I18" s="8">
        <f>SUMIF('DAILY CHAMP AYAM'!$B$10:$B$121,$A18,'DAILY CHAMP AYAM'!O$10:O$121)</f>
        <v>142.52000000000001</v>
      </c>
      <c r="J18" s="8">
        <f>SUMIF('DAILY CHAMP AYAM'!$B$10:$B$121,$A18,'DAILY CHAMP AYAM'!P$10:P$121)</f>
        <v>3.3820000000000001</v>
      </c>
      <c r="K18" s="8">
        <f>SUMIF('DAILY CHAMP AYAM'!$B$10:$B$121,$A18,'DAILY CHAMP AYAM'!Q$10:Q$121)</f>
        <v>0</v>
      </c>
      <c r="L18" s="8">
        <f>SUMIF('DAILY CHAMP AYAM'!$B$10:$B$121,$A18,'DAILY CHAMP AYAM'!R$10:R$121)</f>
        <v>4.21</v>
      </c>
      <c r="M18" s="8">
        <f>SUMIF('DAILY CHAMP AYAM'!$B$10:$B$121,$A18,'DAILY CHAMP AYAM'!S$10:S$121)</f>
        <v>7.4</v>
      </c>
      <c r="N18" s="8">
        <f>SUMIF('DAILY CHAMP AYAM'!$B$10:$B$121,$A18,'DAILY CHAMP AYAM'!T$10:T$121)</f>
        <v>15.55</v>
      </c>
      <c r="O18" s="8">
        <f>SUMIF('DAILY CHAMP AYAM'!$B$10:$B$121,$A18,'DAILY CHAMP AYAM'!U$10:U$121)</f>
        <v>0</v>
      </c>
      <c r="P18" s="8">
        <f>SUMIF('DAILY CHAMP AYAM'!$B$10:$B$121,$A18,'DAILY CHAMP AYAM'!V$10:V$121)</f>
        <v>0</v>
      </c>
      <c r="Q18" s="8">
        <f>SUMIF('DAILY CHAMP AYAM'!$B$10:$B$121,$A18,'DAILY CHAMP AYAM'!W$10:W$121)</f>
        <v>0</v>
      </c>
      <c r="R18" s="8">
        <f>SUMIF('DAILY CHAMP AYAM'!$B$10:$B$121,$A18,'DAILY CHAMP AYAM'!X$10:X$121)</f>
        <v>0</v>
      </c>
      <c r="S18" s="8">
        <f>SUMIF('DAILY CHAMP AYAM'!$B$10:$B$121,$A18,'DAILY CHAMP AYAM'!Y$10:Y$121)</f>
        <v>0</v>
      </c>
      <c r="T18" s="8">
        <f>SUMIF('DAILY CHAMP AYAM'!$B$10:$B$121,$A18,'DAILY CHAMP AYAM'!Z$10:Z$121)</f>
        <v>0</v>
      </c>
      <c r="U18" s="8">
        <f>SUMIF('DAILY CHAMP AYAM'!$B$10:$B$121,$A18,'DAILY CHAMP AYAM'!AA$10:AA$121)</f>
        <v>0</v>
      </c>
      <c r="V18" s="8">
        <f>SUMIF('DAILY CHAMP AYAM'!$B$10:$B$121,$A18,'DAILY CHAMP AYAM'!AB$10:AB$121)</f>
        <v>0</v>
      </c>
      <c r="W18" s="59">
        <f t="shared" si="0"/>
        <v>307.90199999999999</v>
      </c>
      <c r="X18" s="60">
        <f t="shared" si="1"/>
        <v>-32.7180000000007</v>
      </c>
      <c r="Y18" s="47">
        <f t="shared" si="2"/>
        <v>-9.9871794871797022</v>
      </c>
      <c r="Z18" s="88">
        <f t="shared" ref="Z18" si="7">+C18/B18</f>
        <v>0.98181818181818181</v>
      </c>
      <c r="AA18" s="89">
        <f t="shared" ref="AA18" si="8">100%-Z18</f>
        <v>1.8181818181818188E-2</v>
      </c>
      <c r="AB18" s="112">
        <f>+'Actual VS SAP'!I20</f>
        <v>9</v>
      </c>
      <c r="AC18" s="48">
        <f t="shared" si="3"/>
        <v>15198.48</v>
      </c>
      <c r="AD18" s="89">
        <f t="shared" si="4"/>
        <v>0.97772514093514618</v>
      </c>
      <c r="AF18" s="159">
        <f>+AB18*'STD DRY'!$F$6</f>
        <v>88.100171428571429</v>
      </c>
      <c r="AG18" s="159">
        <f>+AB18*'STD DRY'!$F$12</f>
        <v>45.431115428571417</v>
      </c>
    </row>
    <row r="19" spans="1:33">
      <c r="A19" s="7">
        <f>+'ALL SORTASI'!A21</f>
        <v>46219</v>
      </c>
      <c r="B19" s="8">
        <f>SUMIF('DAILY CHAMP AYAM'!$B$10:$B$121,$A19,'DAILY CHAMP AYAM'!$D$10:$D$143)</f>
        <v>1513.5119999999999</v>
      </c>
      <c r="C19" s="8">
        <f>SUMIF('DAILY CHAMP AYAM'!$B$10:$B$121,$A19,'DAILY CHAMP AYAM'!I$10:I$121)</f>
        <v>1467.6479999999999</v>
      </c>
      <c r="D19" s="8">
        <f>SUMIF('DAILY CHAMP AYAM'!$B$10:$B$121,$A19,'DAILY CHAMP AYAM'!J$10:J$121)</f>
        <v>0</v>
      </c>
      <c r="E19" s="8">
        <f>SUMIF('DAILY CHAMP AYAM'!$B$10:$B$121,$A19,'DAILY CHAMP AYAM'!K$10:K$121)</f>
        <v>1.6</v>
      </c>
      <c r="F19" s="8">
        <f>SUMIF('DAILY CHAMP AYAM'!$B$10:$B$121,$A19,'DAILY CHAMP AYAM'!L$10:L$121)</f>
        <v>3.45</v>
      </c>
      <c r="G19" s="8">
        <f>SUMIF('DAILY CHAMP AYAM'!$B$10:$B$121,$A19,'DAILY CHAMP AYAM'!M$10:M$121)</f>
        <v>3.7</v>
      </c>
      <c r="H19" s="8">
        <f>SUMIF('DAILY CHAMP AYAM'!$B$10:$B$121,$A19,'DAILY CHAMP AYAM'!N$10:N$121)</f>
        <v>0</v>
      </c>
      <c r="I19" s="8">
        <f>SUMIF('DAILY CHAMP AYAM'!$B$10:$B$121,$A19,'DAILY CHAMP AYAM'!O$10:O$121)</f>
        <v>2.72</v>
      </c>
      <c r="J19" s="8">
        <f>SUMIF('DAILY CHAMP AYAM'!$B$10:$B$121,$A19,'DAILY CHAMP AYAM'!P$10:P$121)</f>
        <v>0.6</v>
      </c>
      <c r="K19" s="8">
        <f>SUMIF('DAILY CHAMP AYAM'!$B$10:$B$121,$A19,'DAILY CHAMP AYAM'!Q$10:Q$121)</f>
        <v>0</v>
      </c>
      <c r="L19" s="8">
        <f>SUMIF('DAILY CHAMP AYAM'!$B$10:$B$121,$A19,'DAILY CHAMP AYAM'!R$10:R$121)</f>
        <v>1.38</v>
      </c>
      <c r="M19" s="8">
        <f>SUMIF('DAILY CHAMP AYAM'!$B$10:$B$121,$A19,'DAILY CHAMP AYAM'!S$10:S$121)</f>
        <v>0</v>
      </c>
      <c r="N19" s="8">
        <f>SUMIF('DAILY CHAMP AYAM'!$B$10:$B$121,$A19,'DAILY CHAMP AYAM'!T$10:T$121)</f>
        <v>1.9</v>
      </c>
      <c r="O19" s="8">
        <f>SUMIF('DAILY CHAMP AYAM'!$B$10:$B$121,$A19,'DAILY CHAMP AYAM'!U$10:U$121)</f>
        <v>0</v>
      </c>
      <c r="P19" s="8">
        <f>SUMIF('DAILY CHAMP AYAM'!$B$10:$B$121,$A19,'DAILY CHAMP AYAM'!V$10:V$121)</f>
        <v>0</v>
      </c>
      <c r="Q19" s="8">
        <f>SUMIF('DAILY CHAMP AYAM'!$B$10:$B$121,$A19,'DAILY CHAMP AYAM'!W$10:W$121)</f>
        <v>0</v>
      </c>
      <c r="R19" s="8">
        <f>SUMIF('DAILY CHAMP AYAM'!$B$10:$B$121,$A19,'DAILY CHAMP AYAM'!X$10:X$121)</f>
        <v>0</v>
      </c>
      <c r="S19" s="8">
        <f>SUMIF('DAILY CHAMP AYAM'!$B$10:$B$121,$A19,'DAILY CHAMP AYAM'!Y$10:Y$121)</f>
        <v>0</v>
      </c>
      <c r="T19" s="8">
        <f>SUMIF('DAILY CHAMP AYAM'!$B$10:$B$121,$A19,'DAILY CHAMP AYAM'!Z$10:Z$121)</f>
        <v>0</v>
      </c>
      <c r="U19" s="8">
        <f>SUMIF('DAILY CHAMP AYAM'!$B$10:$B$121,$A19,'DAILY CHAMP AYAM'!AA$10:AA$121)</f>
        <v>0</v>
      </c>
      <c r="V19" s="8">
        <f>SUMIF('DAILY CHAMP AYAM'!$B$10:$B$121,$A19,'DAILY CHAMP AYAM'!AB$10:AB$121)</f>
        <v>0</v>
      </c>
      <c r="W19" s="59">
        <f>SUM(E19:V19)</f>
        <v>15.35</v>
      </c>
      <c r="X19" s="60">
        <f t="shared" si="1"/>
        <v>30.514000000000031</v>
      </c>
      <c r="Y19" s="47">
        <f t="shared" si="2"/>
        <v>9.3144078144078239</v>
      </c>
      <c r="Z19" s="88">
        <f t="shared" ref="Z19:Z34" si="9">+C19/B19</f>
        <v>0.96969696969696972</v>
      </c>
      <c r="AA19" s="89">
        <f t="shared" ref="AA19:AA34" si="10">100%-Z19</f>
        <v>3.0303030303030276E-2</v>
      </c>
      <c r="AB19" s="112">
        <f>+'Actual VS SAP'!I21</f>
        <v>1</v>
      </c>
      <c r="AC19" s="48">
        <f t="shared" si="3"/>
        <v>1688.72</v>
      </c>
      <c r="AD19" s="89">
        <f t="shared" si="4"/>
        <v>0.86908901416457429</v>
      </c>
      <c r="AF19" s="159">
        <f>+AB19*'STD DRY'!$F$6</f>
        <v>9.7889079365079361</v>
      </c>
      <c r="AG19" s="159">
        <f>+AB19*'STD DRY'!$F$12</f>
        <v>5.0479017142857128</v>
      </c>
    </row>
    <row r="20" spans="1:33">
      <c r="A20" s="7">
        <f>+'ALL SORTASI'!A22</f>
        <v>46220</v>
      </c>
      <c r="B20" s="8">
        <f>SUMIF('DAILY CHAMP AYAM'!$B$10:$B$121,$A20,'DAILY CHAMP AYAM'!$D$10:$D$143)</f>
        <v>3397.212</v>
      </c>
      <c r="C20" s="8">
        <f>SUMIF('DAILY CHAMP AYAM'!$B$10:$B$121,$A20,'DAILY CHAMP AYAM'!I$10:I$121)</f>
        <v>3325.1399999999994</v>
      </c>
      <c r="D20" s="8">
        <f>SUMIF('DAILY CHAMP AYAM'!$B$10:$B$121,$A20,'DAILY CHAMP AYAM'!J$10:J$121)</f>
        <v>0</v>
      </c>
      <c r="E20" s="8">
        <f>SUMIF('DAILY CHAMP AYAM'!$B$10:$B$121,$A20,'DAILY CHAMP AYAM'!K$10:K$121)</f>
        <v>5.9</v>
      </c>
      <c r="F20" s="8">
        <f>SUMIF('DAILY CHAMP AYAM'!$B$10:$B$121,$A20,'DAILY CHAMP AYAM'!L$10:L$121)</f>
        <v>14.649999999999999</v>
      </c>
      <c r="G20" s="8">
        <f>SUMIF('DAILY CHAMP AYAM'!$B$10:$B$121,$A20,'DAILY CHAMP AYAM'!M$10:M$121)</f>
        <v>2.27</v>
      </c>
      <c r="H20" s="8">
        <f>SUMIF('DAILY CHAMP AYAM'!$B$10:$B$121,$A20,'DAILY CHAMP AYAM'!N$10:N$121)</f>
        <v>0</v>
      </c>
      <c r="I20" s="8">
        <f>SUMIF('DAILY CHAMP AYAM'!$B$10:$B$121,$A20,'DAILY CHAMP AYAM'!O$10:O$121)</f>
        <v>9.9499999999999993</v>
      </c>
      <c r="J20" s="8">
        <f>SUMIF('DAILY CHAMP AYAM'!$B$10:$B$121,$A20,'DAILY CHAMP AYAM'!P$10:P$121)</f>
        <v>0.6</v>
      </c>
      <c r="K20" s="8">
        <f>SUMIF('DAILY CHAMP AYAM'!$B$10:$B$121,$A20,'DAILY CHAMP AYAM'!Q$10:Q$121)</f>
        <v>0</v>
      </c>
      <c r="L20" s="8">
        <f>SUMIF('DAILY CHAMP AYAM'!$B$10:$B$121,$A20,'DAILY CHAMP AYAM'!R$10:R$121)</f>
        <v>3.1799999999999997</v>
      </c>
      <c r="M20" s="8">
        <f>SUMIF('DAILY CHAMP AYAM'!$B$10:$B$121,$A20,'DAILY CHAMP AYAM'!S$10:S$121)</f>
        <v>1.9500000000000002</v>
      </c>
      <c r="N20" s="8">
        <f>SUMIF('DAILY CHAMP AYAM'!$B$10:$B$121,$A20,'DAILY CHAMP AYAM'!T$10:T$121)</f>
        <v>1.96</v>
      </c>
      <c r="O20" s="8">
        <f>SUMIF('DAILY CHAMP AYAM'!$B$10:$B$121,$A20,'DAILY CHAMP AYAM'!U$10:U$121)</f>
        <v>0</v>
      </c>
      <c r="P20" s="8">
        <f>SUMIF('DAILY CHAMP AYAM'!$B$10:$B$121,$A20,'DAILY CHAMP AYAM'!V$10:V$121)</f>
        <v>0</v>
      </c>
      <c r="Q20" s="8">
        <f>SUMIF('DAILY CHAMP AYAM'!$B$10:$B$121,$A20,'DAILY CHAMP AYAM'!W$10:W$121)</f>
        <v>0</v>
      </c>
      <c r="R20" s="8">
        <f>SUMIF('DAILY CHAMP AYAM'!$B$10:$B$121,$A20,'DAILY CHAMP AYAM'!X$10:X$121)</f>
        <v>0</v>
      </c>
      <c r="S20" s="8">
        <f>SUMIF('DAILY CHAMP AYAM'!$B$10:$B$121,$A20,'DAILY CHAMP AYAM'!Y$10:Y$121)</f>
        <v>0</v>
      </c>
      <c r="T20" s="8">
        <f>SUMIF('DAILY CHAMP AYAM'!$B$10:$B$121,$A20,'DAILY CHAMP AYAM'!Z$10:Z$121)</f>
        <v>0</v>
      </c>
      <c r="U20" s="8">
        <f>SUMIF('DAILY CHAMP AYAM'!$B$10:$B$121,$A20,'DAILY CHAMP AYAM'!AA$10:AA$121)</f>
        <v>0</v>
      </c>
      <c r="V20" s="8">
        <f>SUMIF('DAILY CHAMP AYAM'!$B$10:$B$121,$A20,'DAILY CHAMP AYAM'!AB$10:AB$121)</f>
        <v>0</v>
      </c>
      <c r="W20" s="59">
        <f t="shared" si="0"/>
        <v>40.46</v>
      </c>
      <c r="X20" s="60">
        <f t="shared" si="1"/>
        <v>31.61200000000057</v>
      </c>
      <c r="Y20" s="47">
        <f t="shared" si="2"/>
        <v>9.6495726495728249</v>
      </c>
      <c r="Z20" s="88">
        <f t="shared" si="9"/>
        <v>0.97878495660559284</v>
      </c>
      <c r="AA20" s="89">
        <f t="shared" si="10"/>
        <v>2.1215043394407163E-2</v>
      </c>
      <c r="AB20" s="112">
        <f>+'Actual VS SAP'!I22</f>
        <v>2</v>
      </c>
      <c r="AC20" s="48">
        <f t="shared" si="3"/>
        <v>3377.44</v>
      </c>
      <c r="AD20" s="89">
        <f t="shared" si="4"/>
        <v>0.98451489885830668</v>
      </c>
      <c r="AF20" s="159">
        <f>+AB20*'STD DRY'!$F$6</f>
        <v>19.577815873015872</v>
      </c>
      <c r="AG20" s="159">
        <f>+AB20*'STD DRY'!$F$12</f>
        <v>10.095803428571426</v>
      </c>
    </row>
    <row r="21" spans="1:33">
      <c r="A21" s="7">
        <f>+'ALL SORTASI'!A23</f>
        <v>46221</v>
      </c>
      <c r="B21" s="8">
        <f>SUMIF('DAILY CHAMP AYAM'!$B$10:$B$121,$A21,'DAILY CHAMP AYAM'!$D$10:$D$143)</f>
        <v>0</v>
      </c>
      <c r="C21" s="8">
        <f>SUMIF('DAILY CHAMP AYAM'!$B$10:$B$121,$A21,'DAILY CHAMP AYAM'!I$10:I$121)</f>
        <v>0</v>
      </c>
      <c r="D21" s="8">
        <f>SUMIF('DAILY CHAMP AYAM'!$B$10:$B$121,$A21,'DAILY CHAMP AYAM'!J$10:J$121)</f>
        <v>0</v>
      </c>
      <c r="E21" s="8">
        <f>SUMIF('DAILY CHAMP AYAM'!$B$10:$B$121,$A21,'DAILY CHAMP AYAM'!K$10:K$121)</f>
        <v>0</v>
      </c>
      <c r="F21" s="8">
        <f>SUMIF('DAILY CHAMP AYAM'!$B$10:$B$121,$A21,'DAILY CHAMP AYAM'!L$10:L$121)</f>
        <v>0</v>
      </c>
      <c r="G21" s="8">
        <f>SUMIF('DAILY CHAMP AYAM'!$B$10:$B$121,$A21,'DAILY CHAMP AYAM'!M$10:M$121)</f>
        <v>0</v>
      </c>
      <c r="H21" s="8">
        <f>SUMIF('DAILY CHAMP AYAM'!$B$10:$B$121,$A21,'DAILY CHAMP AYAM'!N$10:N$121)</f>
        <v>0</v>
      </c>
      <c r="I21" s="8">
        <f>SUMIF('DAILY CHAMP AYAM'!$B$10:$B$121,$A21,'DAILY CHAMP AYAM'!O$10:O$121)</f>
        <v>0</v>
      </c>
      <c r="J21" s="8">
        <f>SUMIF('DAILY CHAMP AYAM'!$B$10:$B$121,$A21,'DAILY CHAMP AYAM'!P$10:P$121)</f>
        <v>0</v>
      </c>
      <c r="K21" s="8">
        <f>SUMIF('DAILY CHAMP AYAM'!$B$10:$B$121,$A21,'DAILY CHAMP AYAM'!Q$10:Q$121)</f>
        <v>0</v>
      </c>
      <c r="L21" s="8">
        <f>SUMIF('DAILY CHAMP AYAM'!$B$10:$B$121,$A21,'DAILY CHAMP AYAM'!R$10:R$121)</f>
        <v>0</v>
      </c>
      <c r="M21" s="8">
        <f>SUMIF('DAILY CHAMP AYAM'!$B$10:$B$121,$A21,'DAILY CHAMP AYAM'!S$10:S$121)</f>
        <v>0</v>
      </c>
      <c r="N21" s="8">
        <f>SUMIF('DAILY CHAMP AYAM'!$B$10:$B$121,$A21,'DAILY CHAMP AYAM'!T$10:T$121)</f>
        <v>0</v>
      </c>
      <c r="O21" s="8">
        <f>SUMIF('DAILY CHAMP AYAM'!$B$10:$B$121,$A21,'DAILY CHAMP AYAM'!U$10:U$121)</f>
        <v>0</v>
      </c>
      <c r="P21" s="8">
        <f>SUMIF('DAILY CHAMP AYAM'!$B$10:$B$121,$A21,'DAILY CHAMP AYAM'!V$10:V$121)</f>
        <v>0</v>
      </c>
      <c r="Q21" s="8">
        <f>SUMIF('DAILY CHAMP AYAM'!$B$10:$B$121,$A21,'DAILY CHAMP AYAM'!W$10:W$121)</f>
        <v>0</v>
      </c>
      <c r="R21" s="8">
        <f>SUMIF('DAILY CHAMP AYAM'!$B$10:$B$121,$A21,'DAILY CHAMP AYAM'!X$10:X$121)</f>
        <v>0</v>
      </c>
      <c r="S21" s="8">
        <f>SUMIF('DAILY CHAMP AYAM'!$B$10:$B$121,$A21,'DAILY CHAMP AYAM'!Y$10:Y$121)</f>
        <v>0</v>
      </c>
      <c r="T21" s="8">
        <f>SUMIF('DAILY CHAMP AYAM'!$B$10:$B$121,$A21,'DAILY CHAMP AYAM'!Z$10:Z$121)</f>
        <v>0</v>
      </c>
      <c r="U21" s="8">
        <f>SUMIF('DAILY CHAMP AYAM'!$B$10:$B$121,$A21,'DAILY CHAMP AYAM'!AA$10:AA$121)</f>
        <v>0</v>
      </c>
      <c r="V21" s="8">
        <f>SUMIF('DAILY CHAMP AYAM'!$B$10:$B$121,$A21,'DAILY CHAMP AYAM'!AB$10:AB$121)</f>
        <v>0</v>
      </c>
      <c r="W21" s="59">
        <f t="shared" si="0"/>
        <v>0</v>
      </c>
      <c r="X21" s="60">
        <f t="shared" si="1"/>
        <v>0</v>
      </c>
      <c r="Y21" s="47">
        <f t="shared" si="2"/>
        <v>0</v>
      </c>
      <c r="Z21" s="88" t="e">
        <f t="shared" si="9"/>
        <v>#DIV/0!</v>
      </c>
      <c r="AA21" s="89" t="e">
        <f t="shared" si="10"/>
        <v>#DIV/0!</v>
      </c>
      <c r="AB21" s="112">
        <f>+'Actual VS SAP'!I23</f>
        <v>0</v>
      </c>
      <c r="AC21" s="48">
        <f t="shared" si="3"/>
        <v>0</v>
      </c>
      <c r="AD21" s="89" t="e">
        <f t="shared" si="4"/>
        <v>#DIV/0!</v>
      </c>
      <c r="AF21" s="159">
        <f>+AB21*'STD DRY'!$F$6</f>
        <v>0</v>
      </c>
      <c r="AG21" s="159">
        <f>+AB21*'STD DRY'!$F$12</f>
        <v>0</v>
      </c>
    </row>
    <row r="22" spans="1:33">
      <c r="A22" s="7">
        <f>+'ALL SORTASI'!A24</f>
        <v>46222</v>
      </c>
      <c r="B22" s="8">
        <f>SUMIF('DAILY CHAMP AYAM'!$B$10:$B$121,$A22,'DAILY CHAMP AYAM'!$D$10:$D$143)</f>
        <v>0</v>
      </c>
      <c r="C22" s="8">
        <f>SUMIF('DAILY CHAMP AYAM'!$B$10:$B$121,$A22,'DAILY CHAMP AYAM'!I$10:I$121)</f>
        <v>0</v>
      </c>
      <c r="D22" s="8">
        <f>SUMIF('DAILY CHAMP AYAM'!$B$10:$B$121,$A22,'DAILY CHAMP AYAM'!J$10:J$121)</f>
        <v>0</v>
      </c>
      <c r="E22" s="8">
        <f>SUMIF('DAILY CHAMP AYAM'!$B$10:$B$121,$A22,'DAILY CHAMP AYAM'!K$10:K$121)</f>
        <v>0</v>
      </c>
      <c r="F22" s="8">
        <f>SUMIF('DAILY CHAMP AYAM'!$B$10:$B$121,$A22,'DAILY CHAMP AYAM'!L$10:L$121)</f>
        <v>0</v>
      </c>
      <c r="G22" s="8">
        <f>SUMIF('DAILY CHAMP AYAM'!$B$10:$B$121,$A22,'DAILY CHAMP AYAM'!M$10:M$121)</f>
        <v>0</v>
      </c>
      <c r="H22" s="8">
        <f>SUMIF('DAILY CHAMP AYAM'!$B$10:$B$121,$A22,'DAILY CHAMP AYAM'!N$10:N$121)</f>
        <v>0</v>
      </c>
      <c r="I22" s="8">
        <f>SUMIF('DAILY CHAMP AYAM'!$B$10:$B$121,$A22,'DAILY CHAMP AYAM'!O$10:O$121)</f>
        <v>0</v>
      </c>
      <c r="J22" s="8">
        <f>SUMIF('DAILY CHAMP AYAM'!$B$10:$B$121,$A22,'DAILY CHAMP AYAM'!P$10:P$121)</f>
        <v>0</v>
      </c>
      <c r="K22" s="8">
        <f>SUMIF('DAILY CHAMP AYAM'!$B$10:$B$121,$A22,'DAILY CHAMP AYAM'!Q$10:Q$121)</f>
        <v>0</v>
      </c>
      <c r="L22" s="8">
        <f>SUMIF('DAILY CHAMP AYAM'!$B$10:$B$121,$A22,'DAILY CHAMP AYAM'!R$10:R$121)</f>
        <v>0</v>
      </c>
      <c r="M22" s="8">
        <f>SUMIF('DAILY CHAMP AYAM'!$B$10:$B$121,$A22,'DAILY CHAMP AYAM'!S$10:S$121)</f>
        <v>0</v>
      </c>
      <c r="N22" s="8">
        <f>SUMIF('DAILY CHAMP AYAM'!$B$10:$B$121,$A22,'DAILY CHAMP AYAM'!T$10:T$121)</f>
        <v>0</v>
      </c>
      <c r="O22" s="8">
        <f>SUMIF('DAILY CHAMP AYAM'!$B$10:$B$121,$A22,'DAILY CHAMP AYAM'!U$10:U$121)</f>
        <v>0</v>
      </c>
      <c r="P22" s="8">
        <f>SUMIF('DAILY CHAMP AYAM'!$B$10:$B$121,$A22,'DAILY CHAMP AYAM'!V$10:V$121)</f>
        <v>0</v>
      </c>
      <c r="Q22" s="8">
        <f>SUMIF('DAILY CHAMP AYAM'!$B$10:$B$121,$A22,'DAILY CHAMP AYAM'!W$10:W$121)</f>
        <v>0</v>
      </c>
      <c r="R22" s="8">
        <f>SUMIF('DAILY CHAMP AYAM'!$B$10:$B$121,$A22,'DAILY CHAMP AYAM'!X$10:X$121)</f>
        <v>0</v>
      </c>
      <c r="S22" s="8">
        <f>SUMIF('DAILY CHAMP AYAM'!$B$10:$B$121,$A22,'DAILY CHAMP AYAM'!Y$10:Y$121)</f>
        <v>0</v>
      </c>
      <c r="T22" s="8">
        <f>SUMIF('DAILY CHAMP AYAM'!$B$10:$B$121,$A22,'DAILY CHAMP AYAM'!Z$10:Z$121)</f>
        <v>0</v>
      </c>
      <c r="U22" s="8">
        <f>SUMIF('DAILY CHAMP AYAM'!$B$10:$B$121,$A22,'DAILY CHAMP AYAM'!AA$10:AA$121)</f>
        <v>0</v>
      </c>
      <c r="V22" s="8">
        <f>SUMIF('DAILY CHAMP AYAM'!$B$10:$B$121,$A22,'DAILY CHAMP AYAM'!AB$10:AB$121)</f>
        <v>0</v>
      </c>
      <c r="W22" s="59">
        <f t="shared" ref="W22:W34" si="11">SUM(E22:V22)</f>
        <v>0</v>
      </c>
      <c r="X22" s="60">
        <f t="shared" ref="X22:X34" si="12">+B22-C22-D22-W22</f>
        <v>0</v>
      </c>
      <c r="Y22" s="47">
        <f t="shared" si="2"/>
        <v>0</v>
      </c>
      <c r="Z22" s="88" t="e">
        <f t="shared" si="9"/>
        <v>#DIV/0!</v>
      </c>
      <c r="AA22" s="89" t="e">
        <f t="shared" si="10"/>
        <v>#DIV/0!</v>
      </c>
      <c r="AB22" s="112">
        <f>+'Actual VS SAP'!I24</f>
        <v>0</v>
      </c>
      <c r="AC22" s="48">
        <f t="shared" si="3"/>
        <v>0</v>
      </c>
      <c r="AD22" s="89" t="e">
        <f t="shared" si="4"/>
        <v>#DIV/0!</v>
      </c>
      <c r="AF22" s="159">
        <f>+AB22*'STD DRY'!$F$6</f>
        <v>0</v>
      </c>
      <c r="AG22" s="159">
        <f>+AB22*'STD DRY'!$F$12</f>
        <v>0</v>
      </c>
    </row>
    <row r="23" spans="1:33">
      <c r="A23" s="7">
        <f>+'ALL SORTASI'!A25</f>
        <v>46223</v>
      </c>
      <c r="B23" s="8">
        <f>SUMIF('DAILY CHAMP AYAM'!$B$10:$B$121,$A23,'DAILY CHAMP AYAM'!$D$10:$D$143)</f>
        <v>0</v>
      </c>
      <c r="C23" s="8">
        <f>SUMIF('DAILY CHAMP AYAM'!$B$10:$B$121,$A23,'DAILY CHAMP AYAM'!I$10:I$121)</f>
        <v>0</v>
      </c>
      <c r="D23" s="8">
        <f>SUMIF('DAILY CHAMP AYAM'!$B$10:$B$121,$A23,'DAILY CHAMP AYAM'!J$10:J$121)</f>
        <v>0</v>
      </c>
      <c r="E23" s="8">
        <f>SUMIF('DAILY CHAMP AYAM'!$B$10:$B$121,$A23,'DAILY CHAMP AYAM'!K$10:K$121)</f>
        <v>0</v>
      </c>
      <c r="F23" s="8">
        <f>SUMIF('DAILY CHAMP AYAM'!$B$10:$B$121,$A23,'DAILY CHAMP AYAM'!L$10:L$121)</f>
        <v>0</v>
      </c>
      <c r="G23" s="8">
        <f>SUMIF('DAILY CHAMP AYAM'!$B$10:$B$121,$A23,'DAILY CHAMP AYAM'!M$10:M$121)</f>
        <v>0</v>
      </c>
      <c r="H23" s="8">
        <f>SUMIF('DAILY CHAMP AYAM'!$B$10:$B$121,$A23,'DAILY CHAMP AYAM'!N$10:N$121)</f>
        <v>0</v>
      </c>
      <c r="I23" s="8">
        <f>SUMIF('DAILY CHAMP AYAM'!$B$10:$B$121,$A23,'DAILY CHAMP AYAM'!O$10:O$121)</f>
        <v>0</v>
      </c>
      <c r="J23" s="8">
        <f>SUMIF('DAILY CHAMP AYAM'!$B$10:$B$121,$A23,'DAILY CHAMP AYAM'!P$10:P$121)</f>
        <v>0</v>
      </c>
      <c r="K23" s="8">
        <f>SUMIF('DAILY CHAMP AYAM'!$B$10:$B$121,$A23,'DAILY CHAMP AYAM'!Q$10:Q$121)</f>
        <v>0</v>
      </c>
      <c r="L23" s="8">
        <f>SUMIF('DAILY CHAMP AYAM'!$B$10:$B$121,$A23,'DAILY CHAMP AYAM'!R$10:R$121)</f>
        <v>0</v>
      </c>
      <c r="M23" s="8">
        <f>SUMIF('DAILY CHAMP AYAM'!$B$10:$B$121,$A23,'DAILY CHAMP AYAM'!S$10:S$121)</f>
        <v>0</v>
      </c>
      <c r="N23" s="8">
        <f>SUMIF('DAILY CHAMP AYAM'!$B$10:$B$121,$A23,'DAILY CHAMP AYAM'!T$10:T$121)</f>
        <v>0</v>
      </c>
      <c r="O23" s="8">
        <f>SUMIF('DAILY CHAMP AYAM'!$B$10:$B$121,$A23,'DAILY CHAMP AYAM'!U$10:U$121)</f>
        <v>0</v>
      </c>
      <c r="P23" s="8">
        <f>SUMIF('DAILY CHAMP AYAM'!$B$10:$B$121,$A23,'DAILY CHAMP AYAM'!V$10:V$121)</f>
        <v>0</v>
      </c>
      <c r="Q23" s="8">
        <f>SUMIF('DAILY CHAMP AYAM'!$B$10:$B$121,$A23,'DAILY CHAMP AYAM'!W$10:W$121)</f>
        <v>0</v>
      </c>
      <c r="R23" s="8">
        <f>SUMIF('DAILY CHAMP AYAM'!$B$10:$B$121,$A23,'DAILY CHAMP AYAM'!X$10:X$121)</f>
        <v>0</v>
      </c>
      <c r="S23" s="8">
        <f>SUMIF('DAILY CHAMP AYAM'!$B$10:$B$121,$A23,'DAILY CHAMP AYAM'!Y$10:Y$121)</f>
        <v>0</v>
      </c>
      <c r="T23" s="8">
        <f>SUMIF('DAILY CHAMP AYAM'!$B$10:$B$121,$A23,'DAILY CHAMP AYAM'!Z$10:Z$121)</f>
        <v>0</v>
      </c>
      <c r="U23" s="8">
        <f>SUMIF('DAILY CHAMP AYAM'!$B$10:$B$121,$A23,'DAILY CHAMP AYAM'!AA$10:AA$121)</f>
        <v>0</v>
      </c>
      <c r="V23" s="8">
        <f>SUMIF('DAILY CHAMP AYAM'!$B$10:$B$121,$A23,'DAILY CHAMP AYAM'!AB$10:AB$121)</f>
        <v>0</v>
      </c>
      <c r="W23" s="59">
        <f t="shared" si="11"/>
        <v>0</v>
      </c>
      <c r="X23" s="60">
        <f t="shared" si="12"/>
        <v>0</v>
      </c>
      <c r="Y23" s="47">
        <f t="shared" si="2"/>
        <v>0</v>
      </c>
      <c r="Z23" s="88" t="e">
        <f t="shared" si="9"/>
        <v>#DIV/0!</v>
      </c>
      <c r="AA23" s="89" t="e">
        <f t="shared" si="10"/>
        <v>#DIV/0!</v>
      </c>
      <c r="AB23" s="112">
        <f>+'Actual VS SAP'!I25</f>
        <v>0</v>
      </c>
      <c r="AC23" s="48">
        <f t="shared" si="3"/>
        <v>0</v>
      </c>
      <c r="AD23" s="89" t="e">
        <f t="shared" si="4"/>
        <v>#DIV/0!</v>
      </c>
      <c r="AF23" s="159">
        <f>+AB23*'STD DRY'!$F$6</f>
        <v>0</v>
      </c>
      <c r="AG23" s="159">
        <f>+AB23*'STD DRY'!$F$12</f>
        <v>0</v>
      </c>
    </row>
    <row r="24" spans="1:33">
      <c r="A24" s="7">
        <f>+'ALL SORTASI'!A26</f>
        <v>46224</v>
      </c>
      <c r="B24" s="8">
        <f>SUMIF('DAILY CHAMP AYAM'!$B$10:$B$121,$A24,'DAILY CHAMP AYAM'!$D$10:$D$143)</f>
        <v>0</v>
      </c>
      <c r="C24" s="8">
        <f>SUMIF('DAILY CHAMP AYAM'!$B$10:$B$121,$A24,'DAILY CHAMP AYAM'!I$10:I$121)</f>
        <v>0</v>
      </c>
      <c r="D24" s="8">
        <f>SUMIF('DAILY CHAMP AYAM'!$B$10:$B$121,$A24,'DAILY CHAMP AYAM'!J$10:J$121)</f>
        <v>0</v>
      </c>
      <c r="E24" s="8">
        <f>SUMIF('DAILY CHAMP AYAM'!$B$10:$B$121,$A24,'DAILY CHAMP AYAM'!K$10:K$121)</f>
        <v>0</v>
      </c>
      <c r="F24" s="8">
        <f>SUMIF('DAILY CHAMP AYAM'!$B$10:$B$121,$A24,'DAILY CHAMP AYAM'!L$10:L$121)</f>
        <v>0</v>
      </c>
      <c r="G24" s="8">
        <f>SUMIF('DAILY CHAMP AYAM'!$B$10:$B$121,$A24,'DAILY CHAMP AYAM'!M$10:M$121)</f>
        <v>0</v>
      </c>
      <c r="H24" s="8">
        <f>SUMIF('DAILY CHAMP AYAM'!$B$10:$B$121,$A24,'DAILY CHAMP AYAM'!N$10:N$121)</f>
        <v>0</v>
      </c>
      <c r="I24" s="8">
        <f>SUMIF('DAILY CHAMP AYAM'!$B$10:$B$121,$A24,'DAILY CHAMP AYAM'!O$10:O$121)</f>
        <v>0</v>
      </c>
      <c r="J24" s="8">
        <f>SUMIF('DAILY CHAMP AYAM'!$B$10:$B$121,$A24,'DAILY CHAMP AYAM'!P$10:P$121)</f>
        <v>0</v>
      </c>
      <c r="K24" s="8">
        <f>SUMIF('DAILY CHAMP AYAM'!$B$10:$B$121,$A24,'DAILY CHAMP AYAM'!Q$10:Q$121)</f>
        <v>0</v>
      </c>
      <c r="L24" s="8">
        <f>SUMIF('DAILY CHAMP AYAM'!$B$10:$B$121,$A24,'DAILY CHAMP AYAM'!R$10:R$121)</f>
        <v>0</v>
      </c>
      <c r="M24" s="8">
        <f>SUMIF('DAILY CHAMP AYAM'!$B$10:$B$121,$A24,'DAILY CHAMP AYAM'!S$10:S$121)</f>
        <v>0</v>
      </c>
      <c r="N24" s="8">
        <f>SUMIF('DAILY CHAMP AYAM'!$B$10:$B$121,$A24,'DAILY CHAMP AYAM'!T$10:T$121)</f>
        <v>0</v>
      </c>
      <c r="O24" s="8">
        <f>SUMIF('DAILY CHAMP AYAM'!$B$10:$B$121,$A24,'DAILY CHAMP AYAM'!U$10:U$121)</f>
        <v>0</v>
      </c>
      <c r="P24" s="8">
        <f>SUMIF('DAILY CHAMP AYAM'!$B$10:$B$121,$A24,'DAILY CHAMP AYAM'!V$10:V$121)</f>
        <v>0</v>
      </c>
      <c r="Q24" s="8">
        <f>SUMIF('DAILY CHAMP AYAM'!$B$10:$B$121,$A24,'DAILY CHAMP AYAM'!W$10:W$121)</f>
        <v>0</v>
      </c>
      <c r="R24" s="8">
        <f>SUMIF('DAILY CHAMP AYAM'!$B$10:$B$121,$A24,'DAILY CHAMP AYAM'!X$10:X$121)</f>
        <v>0</v>
      </c>
      <c r="S24" s="8">
        <f>SUMIF('DAILY CHAMP AYAM'!$B$10:$B$121,$A24,'DAILY CHAMP AYAM'!Y$10:Y$121)</f>
        <v>0</v>
      </c>
      <c r="T24" s="8">
        <f>SUMIF('DAILY CHAMP AYAM'!$B$10:$B$121,$A24,'DAILY CHAMP AYAM'!Z$10:Z$121)</f>
        <v>0</v>
      </c>
      <c r="U24" s="8">
        <f>SUMIF('DAILY CHAMP AYAM'!$B$10:$B$121,$A24,'DAILY CHAMP AYAM'!AA$10:AA$121)</f>
        <v>0</v>
      </c>
      <c r="V24" s="8">
        <f>SUMIF('DAILY CHAMP AYAM'!$B$10:$B$121,$A24,'DAILY CHAMP AYAM'!AB$10:AB$121)</f>
        <v>0</v>
      </c>
      <c r="W24" s="59">
        <f t="shared" si="11"/>
        <v>0</v>
      </c>
      <c r="X24" s="60">
        <f t="shared" si="12"/>
        <v>0</v>
      </c>
      <c r="Y24" s="47">
        <f t="shared" si="2"/>
        <v>0</v>
      </c>
      <c r="Z24" s="88" t="e">
        <f t="shared" si="9"/>
        <v>#DIV/0!</v>
      </c>
      <c r="AA24" s="89" t="e">
        <f t="shared" si="10"/>
        <v>#DIV/0!</v>
      </c>
      <c r="AB24" s="112">
        <f>+'Actual VS SAP'!I26</f>
        <v>0</v>
      </c>
      <c r="AC24" s="48">
        <f t="shared" si="3"/>
        <v>0</v>
      </c>
      <c r="AD24" s="89" t="e">
        <f t="shared" si="4"/>
        <v>#DIV/0!</v>
      </c>
      <c r="AF24" s="159">
        <f>+AB24*'STD DRY'!$F$6</f>
        <v>0</v>
      </c>
      <c r="AG24" s="159">
        <f>+AB24*'STD DRY'!$F$12</f>
        <v>0</v>
      </c>
    </row>
    <row r="25" spans="1:33">
      <c r="A25" s="7">
        <f>+'ALL SORTASI'!A27</f>
        <v>46225</v>
      </c>
      <c r="B25" s="8">
        <f>SUMIF('DAILY CHAMP AYAM'!$B$10:$B$121,$A25,'DAILY CHAMP AYAM'!$D$10:$D$143)</f>
        <v>0</v>
      </c>
      <c r="C25" s="8">
        <f>SUMIF('DAILY CHAMP AYAM'!$B$10:$B$121,$A25,'DAILY CHAMP AYAM'!I$10:I$121)</f>
        <v>0</v>
      </c>
      <c r="D25" s="8">
        <f>SUMIF('DAILY CHAMP AYAM'!$B$10:$B$121,$A25,'DAILY CHAMP AYAM'!J$10:J$121)</f>
        <v>0</v>
      </c>
      <c r="E25" s="8">
        <f>SUMIF('DAILY CHAMP AYAM'!$B$10:$B$121,$A25,'DAILY CHAMP AYAM'!K$10:K$121)</f>
        <v>0</v>
      </c>
      <c r="F25" s="8">
        <f>SUMIF('DAILY CHAMP AYAM'!$B$10:$B$121,$A25,'DAILY CHAMP AYAM'!L$10:L$121)</f>
        <v>0</v>
      </c>
      <c r="G25" s="8">
        <f>SUMIF('DAILY CHAMP AYAM'!$B$10:$B$121,$A25,'DAILY CHAMP AYAM'!M$10:M$121)</f>
        <v>0</v>
      </c>
      <c r="H25" s="8">
        <f>SUMIF('DAILY CHAMP AYAM'!$B$10:$B$121,$A25,'DAILY CHAMP AYAM'!N$10:N$121)</f>
        <v>0</v>
      </c>
      <c r="I25" s="8">
        <f>SUMIF('DAILY CHAMP AYAM'!$B$10:$B$121,$A25,'DAILY CHAMP AYAM'!O$10:O$121)</f>
        <v>0</v>
      </c>
      <c r="J25" s="8">
        <f>SUMIF('DAILY CHAMP AYAM'!$B$10:$B$121,$A25,'DAILY CHAMP AYAM'!P$10:P$121)</f>
        <v>0</v>
      </c>
      <c r="K25" s="8">
        <f>SUMIF('DAILY CHAMP AYAM'!$B$10:$B$121,$A25,'DAILY CHAMP AYAM'!Q$10:Q$121)</f>
        <v>0</v>
      </c>
      <c r="L25" s="8">
        <f>SUMIF('DAILY CHAMP AYAM'!$B$10:$B$121,$A25,'DAILY CHAMP AYAM'!R$10:R$121)</f>
        <v>0</v>
      </c>
      <c r="M25" s="8">
        <f>SUMIF('DAILY CHAMP AYAM'!$B$10:$B$121,$A25,'DAILY CHAMP AYAM'!S$10:S$121)</f>
        <v>0</v>
      </c>
      <c r="N25" s="8">
        <f>SUMIF('DAILY CHAMP AYAM'!$B$10:$B$121,$A25,'DAILY CHAMP AYAM'!T$10:T$121)</f>
        <v>0</v>
      </c>
      <c r="O25" s="8">
        <f>SUMIF('DAILY CHAMP AYAM'!$B$10:$B$121,$A25,'DAILY CHAMP AYAM'!U$10:U$121)</f>
        <v>0</v>
      </c>
      <c r="P25" s="8">
        <f>SUMIF('DAILY CHAMP AYAM'!$B$10:$B$121,$A25,'DAILY CHAMP AYAM'!V$10:V$121)</f>
        <v>0</v>
      </c>
      <c r="Q25" s="8">
        <f>SUMIF('DAILY CHAMP AYAM'!$B$10:$B$121,$A25,'DAILY CHAMP AYAM'!W$10:W$121)</f>
        <v>0</v>
      </c>
      <c r="R25" s="8">
        <f>SUMIF('DAILY CHAMP AYAM'!$B$10:$B$121,$A25,'DAILY CHAMP AYAM'!X$10:X$121)</f>
        <v>0</v>
      </c>
      <c r="S25" s="8">
        <f>SUMIF('DAILY CHAMP AYAM'!$B$10:$B$121,$A25,'DAILY CHAMP AYAM'!Y$10:Y$121)</f>
        <v>0</v>
      </c>
      <c r="T25" s="8">
        <f>SUMIF('DAILY CHAMP AYAM'!$B$10:$B$121,$A25,'DAILY CHAMP AYAM'!Z$10:Z$121)</f>
        <v>0</v>
      </c>
      <c r="U25" s="8">
        <f>SUMIF('DAILY CHAMP AYAM'!$B$10:$B$121,$A25,'DAILY CHAMP AYAM'!AA$10:AA$121)</f>
        <v>0</v>
      </c>
      <c r="V25" s="8">
        <f>SUMIF('DAILY CHAMP AYAM'!$B$10:$B$121,$A25,'DAILY CHAMP AYAM'!AB$10:AB$121)</f>
        <v>0</v>
      </c>
      <c r="W25" s="59">
        <f t="shared" si="11"/>
        <v>0</v>
      </c>
      <c r="X25" s="60">
        <f t="shared" si="12"/>
        <v>0</v>
      </c>
      <c r="Y25" s="47">
        <f t="shared" si="2"/>
        <v>0</v>
      </c>
      <c r="Z25" s="88" t="e">
        <f t="shared" si="9"/>
        <v>#DIV/0!</v>
      </c>
      <c r="AA25" s="89" t="e">
        <f t="shared" si="10"/>
        <v>#DIV/0!</v>
      </c>
      <c r="AB25" s="112">
        <f>+'Actual VS SAP'!I27</f>
        <v>0</v>
      </c>
      <c r="AC25" s="48">
        <f t="shared" si="3"/>
        <v>0</v>
      </c>
      <c r="AD25" s="89" t="e">
        <f t="shared" si="4"/>
        <v>#DIV/0!</v>
      </c>
      <c r="AF25" s="159">
        <f>+AB25*'STD DRY'!$F$6</f>
        <v>0</v>
      </c>
      <c r="AG25" s="159">
        <f>+AB25*'STD DRY'!$F$12</f>
        <v>0</v>
      </c>
    </row>
    <row r="26" spans="1:33">
      <c r="A26" s="7">
        <f>+'ALL SORTASI'!A28</f>
        <v>46226</v>
      </c>
      <c r="B26" s="8">
        <f>SUMIF('DAILY CHAMP AYAM'!$B$10:$B$121,$A26,'DAILY CHAMP AYAM'!$D$10:$D$143)</f>
        <v>0</v>
      </c>
      <c r="C26" s="8">
        <f>SUMIF('DAILY CHAMP AYAM'!$B$10:$B$121,$A26,'DAILY CHAMP AYAM'!I$10:I$121)</f>
        <v>0</v>
      </c>
      <c r="D26" s="8">
        <f>SUMIF('DAILY CHAMP AYAM'!$B$10:$B$121,$A26,'DAILY CHAMP AYAM'!J$10:J$121)</f>
        <v>0</v>
      </c>
      <c r="E26" s="8">
        <f>SUMIF('DAILY CHAMP AYAM'!$B$10:$B$121,$A26,'DAILY CHAMP AYAM'!K$10:K$121)</f>
        <v>0</v>
      </c>
      <c r="F26" s="8">
        <f>SUMIF('DAILY CHAMP AYAM'!$B$10:$B$121,$A26,'DAILY CHAMP AYAM'!L$10:L$121)</f>
        <v>0</v>
      </c>
      <c r="G26" s="8">
        <f>SUMIF('DAILY CHAMP AYAM'!$B$10:$B$121,$A26,'DAILY CHAMP AYAM'!M$10:M$121)</f>
        <v>0</v>
      </c>
      <c r="H26" s="8">
        <f>SUMIF('DAILY CHAMP AYAM'!$B$10:$B$121,$A26,'DAILY CHAMP AYAM'!N$10:N$121)</f>
        <v>0</v>
      </c>
      <c r="I26" s="8">
        <f>SUMIF('DAILY CHAMP AYAM'!$B$10:$B$121,$A26,'DAILY CHAMP AYAM'!O$10:O$121)</f>
        <v>0</v>
      </c>
      <c r="J26" s="8">
        <f>SUMIF('DAILY CHAMP AYAM'!$B$10:$B$121,$A26,'DAILY CHAMP AYAM'!P$10:P$121)</f>
        <v>0</v>
      </c>
      <c r="K26" s="8">
        <f>SUMIF('DAILY CHAMP AYAM'!$B$10:$B$121,$A26,'DAILY CHAMP AYAM'!Q$10:Q$121)</f>
        <v>0</v>
      </c>
      <c r="L26" s="8">
        <f>SUMIF('DAILY CHAMP AYAM'!$B$10:$B$121,$A26,'DAILY CHAMP AYAM'!R$10:R$121)</f>
        <v>0</v>
      </c>
      <c r="M26" s="8">
        <f>SUMIF('DAILY CHAMP AYAM'!$B$10:$B$121,$A26,'DAILY CHAMP AYAM'!S$10:S$121)</f>
        <v>0</v>
      </c>
      <c r="N26" s="8">
        <f>SUMIF('DAILY CHAMP AYAM'!$B$10:$B$121,$A26,'DAILY CHAMP AYAM'!T$10:T$121)</f>
        <v>0</v>
      </c>
      <c r="O26" s="8">
        <f>SUMIF('DAILY CHAMP AYAM'!$B$10:$B$121,$A26,'DAILY CHAMP AYAM'!U$10:U$121)</f>
        <v>0</v>
      </c>
      <c r="P26" s="8">
        <f>SUMIF('DAILY CHAMP AYAM'!$B$10:$B$121,$A26,'DAILY CHAMP AYAM'!V$10:V$121)</f>
        <v>0</v>
      </c>
      <c r="Q26" s="8">
        <f>SUMIF('DAILY CHAMP AYAM'!$B$10:$B$121,$A26,'DAILY CHAMP AYAM'!W$10:W$121)</f>
        <v>0</v>
      </c>
      <c r="R26" s="8">
        <f>SUMIF('DAILY CHAMP AYAM'!$B$10:$B$121,$A26,'DAILY CHAMP AYAM'!X$10:X$121)</f>
        <v>0</v>
      </c>
      <c r="S26" s="8">
        <f>SUMIF('DAILY CHAMP AYAM'!$B$10:$B$121,$A26,'DAILY CHAMP AYAM'!Y$10:Y$121)</f>
        <v>0</v>
      </c>
      <c r="T26" s="8">
        <f>SUMIF('DAILY CHAMP AYAM'!$B$10:$B$121,$A26,'DAILY CHAMP AYAM'!Z$10:Z$121)</f>
        <v>0</v>
      </c>
      <c r="U26" s="8">
        <f>SUMIF('DAILY CHAMP AYAM'!$B$10:$B$121,$A26,'DAILY CHAMP AYAM'!AA$10:AA$121)</f>
        <v>0</v>
      </c>
      <c r="V26" s="8">
        <f>SUMIF('DAILY CHAMP AYAM'!$B$10:$B$121,$A26,'DAILY CHAMP AYAM'!AB$10:AB$121)</f>
        <v>0</v>
      </c>
      <c r="W26" s="59">
        <f t="shared" si="11"/>
        <v>0</v>
      </c>
      <c r="X26" s="60">
        <f t="shared" si="12"/>
        <v>0</v>
      </c>
      <c r="Y26" s="47">
        <f t="shared" si="2"/>
        <v>0</v>
      </c>
      <c r="Z26" s="88" t="e">
        <f t="shared" si="9"/>
        <v>#DIV/0!</v>
      </c>
      <c r="AA26" s="89" t="e">
        <f t="shared" si="10"/>
        <v>#DIV/0!</v>
      </c>
      <c r="AB26" s="112">
        <f>+'Actual VS SAP'!I28</f>
        <v>0</v>
      </c>
      <c r="AC26" s="48">
        <f t="shared" si="3"/>
        <v>0</v>
      </c>
      <c r="AD26" s="89" t="e">
        <f t="shared" si="4"/>
        <v>#DIV/0!</v>
      </c>
      <c r="AF26" s="159">
        <f>+AB26*'STD DRY'!$F$6</f>
        <v>0</v>
      </c>
      <c r="AG26" s="159">
        <f>+AB26*'STD DRY'!$F$12</f>
        <v>0</v>
      </c>
    </row>
    <row r="27" spans="1:33">
      <c r="A27" s="7">
        <f>+'ALL SORTASI'!A29</f>
        <v>46227</v>
      </c>
      <c r="B27" s="8">
        <f>SUMIF('DAILY CHAMP AYAM'!$B$10:$B$121,$A27,'DAILY CHAMP AYAM'!$D$10:$D$143)</f>
        <v>0</v>
      </c>
      <c r="C27" s="8">
        <f>SUMIF('DAILY CHAMP AYAM'!$B$10:$B$121,$A27,'DAILY CHAMP AYAM'!I$10:I$121)</f>
        <v>0</v>
      </c>
      <c r="D27" s="8">
        <f>SUMIF('DAILY CHAMP AYAM'!$B$10:$B$121,$A27,'DAILY CHAMP AYAM'!J$10:J$121)</f>
        <v>0</v>
      </c>
      <c r="E27" s="8">
        <f>SUMIF('DAILY CHAMP AYAM'!$B$10:$B$121,$A27,'DAILY CHAMP AYAM'!K$10:K$121)</f>
        <v>0</v>
      </c>
      <c r="F27" s="8">
        <f>SUMIF('DAILY CHAMP AYAM'!$B$10:$B$121,$A27,'DAILY CHAMP AYAM'!L$10:L$121)</f>
        <v>0</v>
      </c>
      <c r="G27" s="8">
        <f>SUMIF('DAILY CHAMP AYAM'!$B$10:$B$121,$A27,'DAILY CHAMP AYAM'!M$10:M$121)</f>
        <v>0</v>
      </c>
      <c r="H27" s="8">
        <f>SUMIF('DAILY CHAMP AYAM'!$B$10:$B$121,$A27,'DAILY CHAMP AYAM'!N$10:N$121)</f>
        <v>0</v>
      </c>
      <c r="I27" s="8">
        <f>SUMIF('DAILY CHAMP AYAM'!$B$10:$B$121,$A27,'DAILY CHAMP AYAM'!O$10:O$121)</f>
        <v>0</v>
      </c>
      <c r="J27" s="8">
        <f>SUMIF('DAILY CHAMP AYAM'!$B$10:$B$121,$A27,'DAILY CHAMP AYAM'!P$10:P$121)</f>
        <v>0</v>
      </c>
      <c r="K27" s="8">
        <f>SUMIF('DAILY CHAMP AYAM'!$B$10:$B$121,$A27,'DAILY CHAMP AYAM'!Q$10:Q$121)</f>
        <v>0</v>
      </c>
      <c r="L27" s="8">
        <f>SUMIF('DAILY CHAMP AYAM'!$B$10:$B$121,$A27,'DAILY CHAMP AYAM'!R$10:R$121)</f>
        <v>0</v>
      </c>
      <c r="M27" s="8">
        <f>SUMIF('DAILY CHAMP AYAM'!$B$10:$B$121,$A27,'DAILY CHAMP AYAM'!S$10:S$121)</f>
        <v>0</v>
      </c>
      <c r="N27" s="8">
        <f>SUMIF('DAILY CHAMP AYAM'!$B$10:$B$121,$A27,'DAILY CHAMP AYAM'!T$10:T$121)</f>
        <v>0</v>
      </c>
      <c r="O27" s="8">
        <f>SUMIF('DAILY CHAMP AYAM'!$B$10:$B$121,$A27,'DAILY CHAMP AYAM'!U$10:U$121)</f>
        <v>0</v>
      </c>
      <c r="P27" s="8">
        <f>SUMIF('DAILY CHAMP AYAM'!$B$10:$B$121,$A27,'DAILY CHAMP AYAM'!V$10:V$121)</f>
        <v>0</v>
      </c>
      <c r="Q27" s="8">
        <f>SUMIF('DAILY CHAMP AYAM'!$B$10:$B$121,$A27,'DAILY CHAMP AYAM'!W$10:W$121)</f>
        <v>0</v>
      </c>
      <c r="R27" s="8">
        <f>SUMIF('DAILY CHAMP AYAM'!$B$10:$B$121,$A27,'DAILY CHAMP AYAM'!X$10:X$121)</f>
        <v>0</v>
      </c>
      <c r="S27" s="8">
        <f>SUMIF('DAILY CHAMP AYAM'!$B$10:$B$121,$A27,'DAILY CHAMP AYAM'!Y$10:Y$121)</f>
        <v>0</v>
      </c>
      <c r="T27" s="8">
        <f>SUMIF('DAILY CHAMP AYAM'!$B$10:$B$121,$A27,'DAILY CHAMP AYAM'!Z$10:Z$121)</f>
        <v>0</v>
      </c>
      <c r="U27" s="8">
        <f>SUMIF('DAILY CHAMP AYAM'!$B$10:$B$121,$A27,'DAILY CHAMP AYAM'!AA$10:AA$121)</f>
        <v>0</v>
      </c>
      <c r="V27" s="8">
        <f>SUMIF('DAILY CHAMP AYAM'!$B$10:$B$121,$A27,'DAILY CHAMP AYAM'!AB$10:AB$121)</f>
        <v>0</v>
      </c>
      <c r="W27" s="59">
        <f t="shared" si="11"/>
        <v>0</v>
      </c>
      <c r="X27" s="60">
        <f t="shared" si="12"/>
        <v>0</v>
      </c>
      <c r="Y27" s="47">
        <f t="shared" si="2"/>
        <v>0</v>
      </c>
      <c r="Z27" s="88" t="e">
        <f t="shared" si="9"/>
        <v>#DIV/0!</v>
      </c>
      <c r="AA27" s="89" t="e">
        <f t="shared" si="10"/>
        <v>#DIV/0!</v>
      </c>
      <c r="AB27" s="112">
        <f>+'Actual VS SAP'!I29</f>
        <v>0</v>
      </c>
      <c r="AC27" s="48">
        <f t="shared" si="3"/>
        <v>0</v>
      </c>
      <c r="AD27" s="89" t="e">
        <f t="shared" si="4"/>
        <v>#DIV/0!</v>
      </c>
      <c r="AF27" s="159">
        <f>+AB27*'STD DRY'!$F$6</f>
        <v>0</v>
      </c>
      <c r="AG27" s="159">
        <f>+AB27*'STD DRY'!$F$12</f>
        <v>0</v>
      </c>
    </row>
    <row r="28" spans="1:33">
      <c r="A28" s="7">
        <f>+'ALL SORTASI'!A30</f>
        <v>46228</v>
      </c>
      <c r="B28" s="8">
        <f>SUMIF('DAILY CHAMP AYAM'!$B$10:$B$121,$A28,'DAILY CHAMP AYAM'!$D$10:$D$143)</f>
        <v>0</v>
      </c>
      <c r="C28" s="8">
        <f>SUMIF('DAILY CHAMP AYAM'!$B$10:$B$121,$A28,'DAILY CHAMP AYAM'!I$10:I$121)</f>
        <v>0</v>
      </c>
      <c r="D28" s="8">
        <f>SUMIF('DAILY CHAMP AYAM'!$B$10:$B$121,$A28,'DAILY CHAMP AYAM'!J$10:J$121)</f>
        <v>0</v>
      </c>
      <c r="E28" s="8">
        <f>SUMIF('DAILY CHAMP AYAM'!$B$10:$B$121,$A28,'DAILY CHAMP AYAM'!K$10:K$121)</f>
        <v>0</v>
      </c>
      <c r="F28" s="8">
        <f>SUMIF('DAILY CHAMP AYAM'!$B$10:$B$121,$A28,'DAILY CHAMP AYAM'!L$10:L$121)</f>
        <v>0</v>
      </c>
      <c r="G28" s="8">
        <f>SUMIF('DAILY CHAMP AYAM'!$B$10:$B$121,$A28,'DAILY CHAMP AYAM'!M$10:M$121)</f>
        <v>0</v>
      </c>
      <c r="H28" s="8">
        <f>SUMIF('DAILY CHAMP AYAM'!$B$10:$B$121,$A28,'DAILY CHAMP AYAM'!N$10:N$121)</f>
        <v>0</v>
      </c>
      <c r="I28" s="8">
        <f>SUMIF('DAILY CHAMP AYAM'!$B$10:$B$121,$A28,'DAILY CHAMP AYAM'!O$10:O$121)</f>
        <v>0</v>
      </c>
      <c r="J28" s="8">
        <f>SUMIF('DAILY CHAMP AYAM'!$B$10:$B$121,$A28,'DAILY CHAMP AYAM'!P$10:P$121)</f>
        <v>0</v>
      </c>
      <c r="K28" s="8">
        <f>SUMIF('DAILY CHAMP AYAM'!$B$10:$B$121,$A28,'DAILY CHAMP AYAM'!Q$10:Q$121)</f>
        <v>0</v>
      </c>
      <c r="L28" s="8">
        <f>SUMIF('DAILY CHAMP AYAM'!$B$10:$B$121,$A28,'DAILY CHAMP AYAM'!R$10:R$121)</f>
        <v>0</v>
      </c>
      <c r="M28" s="8">
        <f>SUMIF('DAILY CHAMP AYAM'!$B$10:$B$121,$A28,'DAILY CHAMP AYAM'!S$10:S$121)</f>
        <v>0</v>
      </c>
      <c r="N28" s="8">
        <f>SUMIF('DAILY CHAMP AYAM'!$B$10:$B$121,$A28,'DAILY CHAMP AYAM'!T$10:T$121)</f>
        <v>0</v>
      </c>
      <c r="O28" s="8">
        <f>SUMIF('DAILY CHAMP AYAM'!$B$10:$B$121,$A28,'DAILY CHAMP AYAM'!U$10:U$121)</f>
        <v>0</v>
      </c>
      <c r="P28" s="8">
        <f>SUMIF('DAILY CHAMP AYAM'!$B$10:$B$121,$A28,'DAILY CHAMP AYAM'!V$10:V$121)</f>
        <v>0</v>
      </c>
      <c r="Q28" s="8">
        <f>SUMIF('DAILY CHAMP AYAM'!$B$10:$B$121,$A28,'DAILY CHAMP AYAM'!W$10:W$121)</f>
        <v>0</v>
      </c>
      <c r="R28" s="8">
        <f>SUMIF('DAILY CHAMP AYAM'!$B$10:$B$121,$A28,'DAILY CHAMP AYAM'!X$10:X$121)</f>
        <v>0</v>
      </c>
      <c r="S28" s="8">
        <f>SUMIF('DAILY CHAMP AYAM'!$B$10:$B$121,$A28,'DAILY CHAMP AYAM'!Y$10:Y$121)</f>
        <v>0</v>
      </c>
      <c r="T28" s="8">
        <f>SUMIF('DAILY CHAMP AYAM'!$B$10:$B$121,$A28,'DAILY CHAMP AYAM'!Z$10:Z$121)</f>
        <v>0</v>
      </c>
      <c r="U28" s="8">
        <f>SUMIF('DAILY CHAMP AYAM'!$B$10:$B$121,$A28,'DAILY CHAMP AYAM'!AA$10:AA$121)</f>
        <v>0</v>
      </c>
      <c r="V28" s="8">
        <f>SUMIF('DAILY CHAMP AYAM'!$B$10:$B$121,$A28,'DAILY CHAMP AYAM'!AB$10:AB$121)</f>
        <v>0</v>
      </c>
      <c r="W28" s="59">
        <f t="shared" si="11"/>
        <v>0</v>
      </c>
      <c r="X28" s="60">
        <f t="shared" si="12"/>
        <v>0</v>
      </c>
      <c r="Y28" s="47">
        <f t="shared" si="2"/>
        <v>0</v>
      </c>
      <c r="Z28" s="88" t="e">
        <f t="shared" si="9"/>
        <v>#DIV/0!</v>
      </c>
      <c r="AA28" s="89" t="e">
        <f t="shared" si="10"/>
        <v>#DIV/0!</v>
      </c>
      <c r="AB28" s="112">
        <f>+'Actual VS SAP'!I30</f>
        <v>0</v>
      </c>
      <c r="AC28" s="48">
        <f t="shared" si="3"/>
        <v>0</v>
      </c>
      <c r="AD28" s="89" t="e">
        <f t="shared" si="4"/>
        <v>#DIV/0!</v>
      </c>
      <c r="AF28" s="159">
        <f>+AB28*'STD DRY'!$F$6</f>
        <v>0</v>
      </c>
      <c r="AG28" s="159">
        <f>+AB28*'STD DRY'!$F$12</f>
        <v>0</v>
      </c>
    </row>
    <row r="29" spans="1:33">
      <c r="A29" s="7">
        <f>+'ALL SORTASI'!A31</f>
        <v>46229</v>
      </c>
      <c r="B29" s="8">
        <f>SUMIF('DAILY CHAMP AYAM'!$B$10:$B$121,$A29,'DAILY CHAMP AYAM'!$D$10:$D$143)</f>
        <v>0</v>
      </c>
      <c r="C29" s="8">
        <f>SUMIF('DAILY CHAMP AYAM'!$B$10:$B$121,$A29,'DAILY CHAMP AYAM'!I$10:I$121)</f>
        <v>0</v>
      </c>
      <c r="D29" s="8">
        <f>SUMIF('DAILY CHAMP AYAM'!$B$10:$B$121,$A29,'DAILY CHAMP AYAM'!J$10:J$121)</f>
        <v>0</v>
      </c>
      <c r="E29" s="8">
        <f>SUMIF('DAILY CHAMP AYAM'!$B$10:$B$121,$A29,'DAILY CHAMP AYAM'!K$10:K$121)</f>
        <v>0</v>
      </c>
      <c r="F29" s="8">
        <f>SUMIF('DAILY CHAMP AYAM'!$B$10:$B$121,$A29,'DAILY CHAMP AYAM'!L$10:L$121)</f>
        <v>0</v>
      </c>
      <c r="G29" s="8">
        <f>SUMIF('DAILY CHAMP AYAM'!$B$10:$B$121,$A29,'DAILY CHAMP AYAM'!M$10:M$121)</f>
        <v>0</v>
      </c>
      <c r="H29" s="8">
        <f>SUMIF('DAILY CHAMP AYAM'!$B$10:$B$121,$A29,'DAILY CHAMP AYAM'!N$10:N$121)</f>
        <v>0</v>
      </c>
      <c r="I29" s="8">
        <f>SUMIF('DAILY CHAMP AYAM'!$B$10:$B$121,$A29,'DAILY CHAMP AYAM'!O$10:O$121)</f>
        <v>0</v>
      </c>
      <c r="J29" s="8">
        <f>SUMIF('DAILY CHAMP AYAM'!$B$10:$B$121,$A29,'DAILY CHAMP AYAM'!P$10:P$121)</f>
        <v>0</v>
      </c>
      <c r="K29" s="8">
        <f>SUMIF('DAILY CHAMP AYAM'!$B$10:$B$121,$A29,'DAILY CHAMP AYAM'!Q$10:Q$121)</f>
        <v>0</v>
      </c>
      <c r="L29" s="8">
        <f>SUMIF('DAILY CHAMP AYAM'!$B$10:$B$121,$A29,'DAILY CHAMP AYAM'!R$10:R$121)</f>
        <v>0</v>
      </c>
      <c r="M29" s="8">
        <f>SUMIF('DAILY CHAMP AYAM'!$B$10:$B$121,$A29,'DAILY CHAMP AYAM'!S$10:S$121)</f>
        <v>0</v>
      </c>
      <c r="N29" s="8">
        <f>SUMIF('DAILY CHAMP AYAM'!$B$10:$B$121,$A29,'DAILY CHAMP AYAM'!T$10:T$121)</f>
        <v>0</v>
      </c>
      <c r="O29" s="8">
        <f>SUMIF('DAILY CHAMP AYAM'!$B$10:$B$121,$A29,'DAILY CHAMP AYAM'!U$10:U$121)</f>
        <v>0</v>
      </c>
      <c r="P29" s="8">
        <f>SUMIF('DAILY CHAMP AYAM'!$B$10:$B$121,$A29,'DAILY CHAMP AYAM'!V$10:V$121)</f>
        <v>0</v>
      </c>
      <c r="Q29" s="8">
        <f>SUMIF('DAILY CHAMP AYAM'!$B$10:$B$121,$A29,'DAILY CHAMP AYAM'!W$10:W$121)</f>
        <v>0</v>
      </c>
      <c r="R29" s="8">
        <f>SUMIF('DAILY CHAMP AYAM'!$B$10:$B$121,$A29,'DAILY CHAMP AYAM'!X$10:X$121)</f>
        <v>0</v>
      </c>
      <c r="S29" s="8">
        <f>SUMIF('DAILY CHAMP AYAM'!$B$10:$B$121,$A29,'DAILY CHAMP AYAM'!Y$10:Y$121)</f>
        <v>0</v>
      </c>
      <c r="T29" s="8">
        <f>SUMIF('DAILY CHAMP AYAM'!$B$10:$B$121,$A29,'DAILY CHAMP AYAM'!Z$10:Z$121)</f>
        <v>0</v>
      </c>
      <c r="U29" s="8">
        <f>SUMIF('DAILY CHAMP AYAM'!$B$10:$B$121,$A29,'DAILY CHAMP AYAM'!AA$10:AA$121)</f>
        <v>0</v>
      </c>
      <c r="V29" s="8">
        <f>SUMIF('DAILY CHAMP AYAM'!$B$10:$B$121,$A29,'DAILY CHAMP AYAM'!AB$10:AB$121)</f>
        <v>0</v>
      </c>
      <c r="W29" s="59">
        <f t="shared" si="11"/>
        <v>0</v>
      </c>
      <c r="X29" s="60">
        <f t="shared" si="12"/>
        <v>0</v>
      </c>
      <c r="Y29" s="47">
        <f t="shared" si="2"/>
        <v>0</v>
      </c>
      <c r="Z29" s="88" t="e">
        <f t="shared" si="9"/>
        <v>#DIV/0!</v>
      </c>
      <c r="AA29" s="89" t="e">
        <f t="shared" si="10"/>
        <v>#DIV/0!</v>
      </c>
      <c r="AB29" s="112">
        <f>+'Actual VS SAP'!I31</f>
        <v>0</v>
      </c>
      <c r="AC29" s="48">
        <f t="shared" si="3"/>
        <v>0</v>
      </c>
      <c r="AD29" s="89" t="e">
        <f t="shared" si="4"/>
        <v>#DIV/0!</v>
      </c>
      <c r="AF29" s="159">
        <f>+AB29*'STD DRY'!$F$6</f>
        <v>0</v>
      </c>
      <c r="AG29" s="159">
        <f>+AB29*'STD DRY'!$F$12</f>
        <v>0</v>
      </c>
    </row>
    <row r="30" spans="1:33">
      <c r="A30" s="7">
        <f>+'ALL SORTASI'!A32</f>
        <v>46230</v>
      </c>
      <c r="B30" s="8">
        <f>SUMIF('DAILY CHAMP AYAM'!$B$10:$B$121,$A30,'DAILY CHAMP AYAM'!$D$10:$D$143)</f>
        <v>0</v>
      </c>
      <c r="C30" s="8">
        <f>SUMIF('DAILY CHAMP AYAM'!$B$10:$B$121,$A30,'DAILY CHAMP AYAM'!I$10:I$121)</f>
        <v>0</v>
      </c>
      <c r="D30" s="8">
        <f>SUMIF('DAILY CHAMP AYAM'!$B$10:$B$121,$A30,'DAILY CHAMP AYAM'!J$10:J$121)</f>
        <v>0</v>
      </c>
      <c r="E30" s="8">
        <f>SUMIF('DAILY CHAMP AYAM'!$B$10:$B$121,$A30,'DAILY CHAMP AYAM'!K$10:K$121)</f>
        <v>0</v>
      </c>
      <c r="F30" s="8">
        <f>SUMIF('DAILY CHAMP AYAM'!$B$10:$B$121,$A30,'DAILY CHAMP AYAM'!L$10:L$121)</f>
        <v>0</v>
      </c>
      <c r="G30" s="8">
        <f>SUMIF('DAILY CHAMP AYAM'!$B$10:$B$121,$A30,'DAILY CHAMP AYAM'!M$10:M$121)</f>
        <v>0</v>
      </c>
      <c r="H30" s="8">
        <f>SUMIF('DAILY CHAMP AYAM'!$B$10:$B$121,$A30,'DAILY CHAMP AYAM'!N$10:N$121)</f>
        <v>0</v>
      </c>
      <c r="I30" s="8">
        <f>SUMIF('DAILY CHAMP AYAM'!$B$10:$B$121,$A30,'DAILY CHAMP AYAM'!O$10:O$121)</f>
        <v>0</v>
      </c>
      <c r="J30" s="8">
        <f>SUMIF('DAILY CHAMP AYAM'!$B$10:$B$121,$A30,'DAILY CHAMP AYAM'!P$10:P$121)</f>
        <v>0</v>
      </c>
      <c r="K30" s="8">
        <f>SUMIF('DAILY CHAMP AYAM'!$B$10:$B$121,$A30,'DAILY CHAMP AYAM'!Q$10:Q$121)</f>
        <v>0</v>
      </c>
      <c r="L30" s="8">
        <f>SUMIF('DAILY CHAMP AYAM'!$B$10:$B$121,$A30,'DAILY CHAMP AYAM'!R$10:R$121)</f>
        <v>0</v>
      </c>
      <c r="M30" s="8">
        <f>SUMIF('DAILY CHAMP AYAM'!$B$10:$B$121,$A30,'DAILY CHAMP AYAM'!S$10:S$121)</f>
        <v>0</v>
      </c>
      <c r="N30" s="8">
        <f>SUMIF('DAILY CHAMP AYAM'!$B$10:$B$121,$A30,'DAILY CHAMP AYAM'!T$10:T$121)</f>
        <v>0</v>
      </c>
      <c r="O30" s="8">
        <f>SUMIF('DAILY CHAMP AYAM'!$B$10:$B$121,$A30,'DAILY CHAMP AYAM'!U$10:U$121)</f>
        <v>0</v>
      </c>
      <c r="P30" s="8">
        <f>SUMIF('DAILY CHAMP AYAM'!$B$10:$B$121,$A30,'DAILY CHAMP AYAM'!V$10:V$121)</f>
        <v>0</v>
      </c>
      <c r="Q30" s="8">
        <f>SUMIF('DAILY CHAMP AYAM'!$B$10:$B$121,$A30,'DAILY CHAMP AYAM'!W$10:W$121)</f>
        <v>0</v>
      </c>
      <c r="R30" s="8">
        <f>SUMIF('DAILY CHAMP AYAM'!$B$10:$B$121,$A30,'DAILY CHAMP AYAM'!X$10:X$121)</f>
        <v>0</v>
      </c>
      <c r="S30" s="8">
        <f>SUMIF('DAILY CHAMP AYAM'!$B$10:$B$121,$A30,'DAILY CHAMP AYAM'!Y$10:Y$121)</f>
        <v>0</v>
      </c>
      <c r="T30" s="8">
        <f>SUMIF('DAILY CHAMP AYAM'!$B$10:$B$121,$A30,'DAILY CHAMP AYAM'!Z$10:Z$121)</f>
        <v>0</v>
      </c>
      <c r="U30" s="8">
        <f>SUMIF('DAILY CHAMP AYAM'!$B$10:$B$121,$A30,'DAILY CHAMP AYAM'!AA$10:AA$121)</f>
        <v>0</v>
      </c>
      <c r="V30" s="8">
        <f>SUMIF('DAILY CHAMP AYAM'!$B$10:$B$121,$A30,'DAILY CHAMP AYAM'!AB$10:AB$121)</f>
        <v>0</v>
      </c>
      <c r="W30" s="59">
        <f t="shared" si="11"/>
        <v>0</v>
      </c>
      <c r="X30" s="60">
        <f t="shared" si="12"/>
        <v>0</v>
      </c>
      <c r="Y30" s="47">
        <f t="shared" si="2"/>
        <v>0</v>
      </c>
      <c r="Z30" s="88" t="e">
        <f t="shared" si="9"/>
        <v>#DIV/0!</v>
      </c>
      <c r="AA30" s="89" t="e">
        <f t="shared" si="10"/>
        <v>#DIV/0!</v>
      </c>
      <c r="AB30" s="112">
        <f>+'Actual VS SAP'!I32</f>
        <v>0</v>
      </c>
      <c r="AC30" s="48">
        <f t="shared" si="3"/>
        <v>0</v>
      </c>
      <c r="AD30" s="89" t="e">
        <f t="shared" si="4"/>
        <v>#DIV/0!</v>
      </c>
      <c r="AF30" s="159">
        <f>+AB30*'STD DRY'!$F$6</f>
        <v>0</v>
      </c>
      <c r="AG30" s="159">
        <f>+AB30*'STD DRY'!$F$12</f>
        <v>0</v>
      </c>
    </row>
    <row r="31" spans="1:33">
      <c r="A31" s="7">
        <f>+'ALL SORTASI'!A33</f>
        <v>46231</v>
      </c>
      <c r="B31" s="8">
        <f>SUMIF('DAILY CHAMP AYAM'!$B$10:$B$121,$A31,'DAILY CHAMP AYAM'!$D$10:$D$143)</f>
        <v>0</v>
      </c>
      <c r="C31" s="8">
        <f>SUMIF('DAILY CHAMP AYAM'!$B$10:$B$121,$A31,'DAILY CHAMP AYAM'!I$10:I$121)</f>
        <v>0</v>
      </c>
      <c r="D31" s="8">
        <f>SUMIF('DAILY CHAMP AYAM'!$B$10:$B$121,$A31,'DAILY CHAMP AYAM'!J$10:J$121)</f>
        <v>0</v>
      </c>
      <c r="E31" s="8">
        <f>SUMIF('DAILY CHAMP AYAM'!$B$10:$B$121,$A31,'DAILY CHAMP AYAM'!K$10:K$121)</f>
        <v>0</v>
      </c>
      <c r="F31" s="8">
        <f>SUMIF('DAILY CHAMP AYAM'!$B$10:$B$121,$A31,'DAILY CHAMP AYAM'!L$10:L$121)</f>
        <v>0</v>
      </c>
      <c r="G31" s="8">
        <f>SUMIF('DAILY CHAMP AYAM'!$B$10:$B$121,$A31,'DAILY CHAMP AYAM'!M$10:M$121)</f>
        <v>0</v>
      </c>
      <c r="H31" s="8">
        <f>SUMIF('DAILY CHAMP AYAM'!$B$10:$B$121,$A31,'DAILY CHAMP AYAM'!N$10:N$121)</f>
        <v>0</v>
      </c>
      <c r="I31" s="8">
        <f>SUMIF('DAILY CHAMP AYAM'!$B$10:$B$121,$A31,'DAILY CHAMP AYAM'!O$10:O$121)</f>
        <v>0</v>
      </c>
      <c r="J31" s="8">
        <f>SUMIF('DAILY CHAMP AYAM'!$B$10:$B$121,$A31,'DAILY CHAMP AYAM'!P$10:P$121)</f>
        <v>0</v>
      </c>
      <c r="K31" s="8">
        <f>SUMIF('DAILY CHAMP AYAM'!$B$10:$B$121,$A31,'DAILY CHAMP AYAM'!Q$10:Q$121)</f>
        <v>0</v>
      </c>
      <c r="L31" s="8">
        <f>SUMIF('DAILY CHAMP AYAM'!$B$10:$B$121,$A31,'DAILY CHAMP AYAM'!R$10:R$121)</f>
        <v>0</v>
      </c>
      <c r="M31" s="8">
        <f>SUMIF('DAILY CHAMP AYAM'!$B$10:$B$121,$A31,'DAILY CHAMP AYAM'!S$10:S$121)</f>
        <v>0</v>
      </c>
      <c r="N31" s="8">
        <f>SUMIF('DAILY CHAMP AYAM'!$B$10:$B$121,$A31,'DAILY CHAMP AYAM'!T$10:T$121)</f>
        <v>0</v>
      </c>
      <c r="O31" s="8">
        <f>SUMIF('DAILY CHAMP AYAM'!$B$10:$B$121,$A31,'DAILY CHAMP AYAM'!U$10:U$121)</f>
        <v>0</v>
      </c>
      <c r="P31" s="8">
        <f>SUMIF('DAILY CHAMP AYAM'!$B$10:$B$121,$A31,'DAILY CHAMP AYAM'!V$10:V$121)</f>
        <v>0</v>
      </c>
      <c r="Q31" s="8">
        <f>SUMIF('DAILY CHAMP AYAM'!$B$10:$B$121,$A31,'DAILY CHAMP AYAM'!W$10:W$121)</f>
        <v>0</v>
      </c>
      <c r="R31" s="8">
        <f>SUMIF('DAILY CHAMP AYAM'!$B$10:$B$121,$A31,'DAILY CHAMP AYAM'!X$10:X$121)</f>
        <v>0</v>
      </c>
      <c r="S31" s="8">
        <f>SUMIF('DAILY CHAMP AYAM'!$B$10:$B$121,$A31,'DAILY CHAMP AYAM'!Y$10:Y$121)</f>
        <v>0</v>
      </c>
      <c r="T31" s="8">
        <f>SUMIF('DAILY CHAMP AYAM'!$B$10:$B$121,$A31,'DAILY CHAMP AYAM'!Z$10:Z$121)</f>
        <v>0</v>
      </c>
      <c r="U31" s="8">
        <f>SUMIF('DAILY CHAMP AYAM'!$B$10:$B$121,$A31,'DAILY CHAMP AYAM'!AA$10:AA$121)</f>
        <v>0</v>
      </c>
      <c r="V31" s="8">
        <f>SUMIF('DAILY CHAMP AYAM'!$B$10:$B$121,$A31,'DAILY CHAMP AYAM'!AB$10:AB$121)</f>
        <v>0</v>
      </c>
      <c r="W31" s="59">
        <f t="shared" si="11"/>
        <v>0</v>
      </c>
      <c r="X31" s="60">
        <f t="shared" si="12"/>
        <v>0</v>
      </c>
      <c r="Y31" s="47">
        <f t="shared" si="2"/>
        <v>0</v>
      </c>
      <c r="Z31" s="88" t="e">
        <f t="shared" si="9"/>
        <v>#DIV/0!</v>
      </c>
      <c r="AA31" s="89" t="e">
        <f t="shared" si="10"/>
        <v>#DIV/0!</v>
      </c>
      <c r="AB31" s="112">
        <f>+'Actual VS SAP'!I33</f>
        <v>0</v>
      </c>
      <c r="AC31" s="48">
        <f t="shared" ref="AC31:AC33" si="13">+AB31*$AC$3</f>
        <v>0</v>
      </c>
      <c r="AD31" s="89" t="e">
        <f t="shared" ref="AD31:AD33" si="14">+C31/AC31</f>
        <v>#DIV/0!</v>
      </c>
      <c r="AF31" s="159">
        <f>+AB31*'STD DRY'!$F$6</f>
        <v>0</v>
      </c>
      <c r="AG31" s="159">
        <f>+AB31*'STD DRY'!$F$12</f>
        <v>0</v>
      </c>
    </row>
    <row r="32" spans="1:33" ht="12.75" customHeight="1">
      <c r="A32" s="7">
        <f>+'ALL SORTASI'!A34</f>
        <v>46232</v>
      </c>
      <c r="B32" s="8">
        <f>SUMIF('DAILY CHAMP AYAM'!$B$10:$B$121,$A32,'DAILY CHAMP AYAM'!$D$10:$D$143)</f>
        <v>0</v>
      </c>
      <c r="C32" s="8">
        <f>SUMIF('DAILY CHAMP AYAM'!$B$10:$B$121,$A32,'DAILY CHAMP AYAM'!I$10:I$121)</f>
        <v>0</v>
      </c>
      <c r="D32" s="8">
        <f>SUMIF('DAILY CHAMP AYAM'!$B$10:$B$121,$A32,'DAILY CHAMP AYAM'!J$10:J$121)</f>
        <v>0</v>
      </c>
      <c r="E32" s="8">
        <f>SUMIF('DAILY CHAMP AYAM'!$B$10:$B$121,$A32,'DAILY CHAMP AYAM'!K$10:K$121)</f>
        <v>0</v>
      </c>
      <c r="F32" s="8">
        <f>SUMIF('DAILY CHAMP AYAM'!$B$10:$B$121,$A32,'DAILY CHAMP AYAM'!L$10:L$121)</f>
        <v>0</v>
      </c>
      <c r="G32" s="8">
        <f>SUMIF('DAILY CHAMP AYAM'!$B$10:$B$121,$A32,'DAILY CHAMP AYAM'!M$10:M$121)</f>
        <v>0</v>
      </c>
      <c r="H32" s="8">
        <f>SUMIF('DAILY CHAMP AYAM'!$B$10:$B$121,$A32,'DAILY CHAMP AYAM'!N$10:N$121)</f>
        <v>0</v>
      </c>
      <c r="I32" s="8">
        <f>SUMIF('DAILY CHAMP AYAM'!$B$10:$B$121,$A32,'DAILY CHAMP AYAM'!O$10:O$121)</f>
        <v>0</v>
      </c>
      <c r="J32" s="8">
        <f>SUMIF('DAILY CHAMP AYAM'!$B$10:$B$121,$A32,'DAILY CHAMP AYAM'!P$10:P$121)</f>
        <v>0</v>
      </c>
      <c r="K32" s="8">
        <f>SUMIF('DAILY CHAMP AYAM'!$B$10:$B$121,$A32,'DAILY CHAMP AYAM'!Q$10:Q$121)</f>
        <v>0</v>
      </c>
      <c r="L32" s="8">
        <f>SUMIF('DAILY CHAMP AYAM'!$B$10:$B$121,$A32,'DAILY CHAMP AYAM'!R$10:R$121)</f>
        <v>0</v>
      </c>
      <c r="M32" s="8">
        <f>SUMIF('DAILY CHAMP AYAM'!$B$10:$B$121,$A32,'DAILY CHAMP AYAM'!S$10:S$121)</f>
        <v>0</v>
      </c>
      <c r="N32" s="8">
        <f>SUMIF('DAILY CHAMP AYAM'!$B$10:$B$121,$A32,'DAILY CHAMP AYAM'!T$10:T$121)</f>
        <v>0</v>
      </c>
      <c r="O32" s="8">
        <f>SUMIF('DAILY CHAMP AYAM'!$B$10:$B$121,$A32,'DAILY CHAMP AYAM'!U$10:U$121)</f>
        <v>0</v>
      </c>
      <c r="P32" s="8">
        <f>SUMIF('DAILY CHAMP AYAM'!$B$10:$B$121,$A32,'DAILY CHAMP AYAM'!V$10:V$121)</f>
        <v>0</v>
      </c>
      <c r="Q32" s="8">
        <f>SUMIF('DAILY CHAMP AYAM'!$B$10:$B$121,$A32,'DAILY CHAMP AYAM'!W$10:W$121)</f>
        <v>0</v>
      </c>
      <c r="R32" s="8">
        <f>SUMIF('DAILY CHAMP AYAM'!$B$10:$B$121,$A32,'DAILY CHAMP AYAM'!X$10:X$121)</f>
        <v>0</v>
      </c>
      <c r="S32" s="8">
        <f>SUMIF('DAILY CHAMP AYAM'!$B$10:$B$121,$A32,'DAILY CHAMP AYAM'!Y$10:Y$121)</f>
        <v>0</v>
      </c>
      <c r="T32" s="8">
        <f>SUMIF('DAILY CHAMP AYAM'!$B$10:$B$121,$A32,'DAILY CHAMP AYAM'!Z$10:Z$121)</f>
        <v>0</v>
      </c>
      <c r="U32" s="8">
        <f>SUMIF('DAILY CHAMP AYAM'!$B$10:$B$121,$A32,'DAILY CHAMP AYAM'!AA$10:AA$121)</f>
        <v>0</v>
      </c>
      <c r="V32" s="8">
        <f>SUMIF('DAILY CHAMP AYAM'!$B$10:$B$121,$A32,'DAILY CHAMP AYAM'!AB$10:AB$121)</f>
        <v>0</v>
      </c>
      <c r="W32" s="59">
        <f t="shared" si="11"/>
        <v>0</v>
      </c>
      <c r="X32" s="60">
        <f t="shared" si="12"/>
        <v>0</v>
      </c>
      <c r="Y32" s="47">
        <f t="shared" si="2"/>
        <v>0</v>
      </c>
      <c r="Z32" s="88" t="e">
        <f t="shared" si="9"/>
        <v>#DIV/0!</v>
      </c>
      <c r="AA32" s="89" t="e">
        <f t="shared" si="10"/>
        <v>#DIV/0!</v>
      </c>
      <c r="AB32" s="112">
        <f>+'Actual VS SAP'!I34</f>
        <v>0</v>
      </c>
      <c r="AC32" s="48">
        <f t="shared" si="13"/>
        <v>0</v>
      </c>
      <c r="AD32" s="89" t="e">
        <f t="shared" si="14"/>
        <v>#DIV/0!</v>
      </c>
    </row>
    <row r="33" spans="1:30" ht="12.75" customHeight="1">
      <c r="A33" s="7">
        <f>+'ALL SORTASI'!A35</f>
        <v>46233</v>
      </c>
      <c r="B33" s="8">
        <f>SUMIF('DAILY CHAMP AYAM'!$B$10:$B$121,$A33,'DAILY CHAMP AYAM'!$D$10:$D$143)</f>
        <v>0</v>
      </c>
      <c r="C33" s="8">
        <f>SUMIF('DAILY CHAMP AYAM'!$B$10:$B$121,$A33,'DAILY CHAMP AYAM'!I$10:I$121)</f>
        <v>0</v>
      </c>
      <c r="D33" s="8">
        <f>SUMIF('DAILY CHAMP AYAM'!$B$10:$B$121,$A33,'DAILY CHAMP AYAM'!J$10:J$121)</f>
        <v>0</v>
      </c>
      <c r="E33" s="8">
        <f>SUMIF('DAILY CHAMP AYAM'!$B$10:$B$121,$A33,'DAILY CHAMP AYAM'!K$10:K$121)</f>
        <v>0</v>
      </c>
      <c r="F33" s="8">
        <f>SUMIF('DAILY CHAMP AYAM'!$B$10:$B$121,$A33,'DAILY CHAMP AYAM'!L$10:L$121)</f>
        <v>0</v>
      </c>
      <c r="G33" s="8">
        <f>SUMIF('DAILY CHAMP AYAM'!$B$10:$B$121,$A33,'DAILY CHAMP AYAM'!M$10:M$121)</f>
        <v>0</v>
      </c>
      <c r="H33" s="8">
        <f>SUMIF('DAILY CHAMP AYAM'!$B$10:$B$121,$A33,'DAILY CHAMP AYAM'!N$10:N$121)</f>
        <v>0</v>
      </c>
      <c r="I33" s="8">
        <f>SUMIF('DAILY CHAMP AYAM'!$B$10:$B$121,$A33,'DAILY CHAMP AYAM'!O$10:O$121)</f>
        <v>0</v>
      </c>
      <c r="J33" s="8">
        <f>SUMIF('DAILY CHAMP AYAM'!$B$10:$B$121,$A33,'DAILY CHAMP AYAM'!P$10:P$121)</f>
        <v>0</v>
      </c>
      <c r="K33" s="8">
        <f>SUMIF('DAILY CHAMP AYAM'!$B$10:$B$121,$A33,'DAILY CHAMP AYAM'!Q$10:Q$121)</f>
        <v>0</v>
      </c>
      <c r="L33" s="8">
        <f>SUMIF('DAILY CHAMP AYAM'!$B$10:$B$121,$A33,'DAILY CHAMP AYAM'!R$10:R$121)</f>
        <v>0</v>
      </c>
      <c r="M33" s="8">
        <f>SUMIF('DAILY CHAMP AYAM'!$B$10:$B$121,$A33,'DAILY CHAMP AYAM'!S$10:S$121)</f>
        <v>0</v>
      </c>
      <c r="N33" s="8">
        <f>SUMIF('DAILY CHAMP AYAM'!$B$10:$B$121,$A33,'DAILY CHAMP AYAM'!T$10:T$121)</f>
        <v>0</v>
      </c>
      <c r="O33" s="8">
        <f>SUMIF('DAILY CHAMP AYAM'!$B$10:$B$121,$A33,'DAILY CHAMP AYAM'!U$10:U$121)</f>
        <v>0</v>
      </c>
      <c r="P33" s="8">
        <f>SUMIF('DAILY CHAMP AYAM'!$B$10:$B$121,$A33,'DAILY CHAMP AYAM'!V$10:V$121)</f>
        <v>0</v>
      </c>
      <c r="Q33" s="8">
        <f>SUMIF('DAILY CHAMP AYAM'!$B$10:$B$121,$A33,'DAILY CHAMP AYAM'!W$10:W$121)</f>
        <v>0</v>
      </c>
      <c r="R33" s="8">
        <f>SUMIF('DAILY CHAMP AYAM'!$B$10:$B$121,$A33,'DAILY CHAMP AYAM'!X$10:X$121)</f>
        <v>0</v>
      </c>
      <c r="S33" s="8">
        <f>SUMIF('DAILY CHAMP AYAM'!$B$10:$B$121,$A33,'DAILY CHAMP AYAM'!Y$10:Y$121)</f>
        <v>0</v>
      </c>
      <c r="T33" s="8">
        <f>SUMIF('DAILY CHAMP AYAM'!$B$10:$B$121,$A33,'DAILY CHAMP AYAM'!Z$10:Z$121)</f>
        <v>0</v>
      </c>
      <c r="U33" s="8">
        <f>SUMIF('DAILY CHAMP AYAM'!$B$10:$B$121,$A33,'DAILY CHAMP AYAM'!AA$10:AA$121)</f>
        <v>0</v>
      </c>
      <c r="V33" s="8">
        <f>SUMIF('DAILY CHAMP AYAM'!$B$10:$B$121,$A33,'DAILY CHAMP AYAM'!AB$10:AB$121)</f>
        <v>0</v>
      </c>
      <c r="W33" s="59">
        <f t="shared" si="11"/>
        <v>0</v>
      </c>
      <c r="X33" s="60">
        <f t="shared" si="12"/>
        <v>0</v>
      </c>
      <c r="Y33" s="47">
        <f t="shared" si="2"/>
        <v>0</v>
      </c>
      <c r="Z33" s="88" t="e">
        <f t="shared" si="9"/>
        <v>#DIV/0!</v>
      </c>
      <c r="AA33" s="89" t="e">
        <f t="shared" si="10"/>
        <v>#DIV/0!</v>
      </c>
      <c r="AB33" s="112">
        <f>+'Actual VS SAP'!I35</f>
        <v>0</v>
      </c>
      <c r="AC33" s="48">
        <f t="shared" si="13"/>
        <v>0</v>
      </c>
      <c r="AD33" s="89" t="e">
        <f t="shared" si="14"/>
        <v>#DIV/0!</v>
      </c>
    </row>
    <row r="34" spans="1:30" ht="12.75" customHeight="1">
      <c r="A34" s="7">
        <f>+'ALL SORTASI'!A36</f>
        <v>46234</v>
      </c>
      <c r="B34" s="8">
        <f>SUMIF('DAILY CHAMP AYAM'!$B$10:$B$121,$A34,'DAILY CHAMP AYAM'!$D$10:$D$143)</f>
        <v>0</v>
      </c>
      <c r="C34" s="8">
        <f>SUMIF('DAILY CHAMP AYAM'!$B$10:$B$121,$A34,'DAILY CHAMP AYAM'!I$10:I$121)</f>
        <v>0</v>
      </c>
      <c r="D34" s="8">
        <f>SUMIF('DAILY CHAMP AYAM'!$B$10:$B$121,$A34,'DAILY CHAMP AYAM'!J$10:J$121)</f>
        <v>0</v>
      </c>
      <c r="E34" s="8">
        <f>SUMIF('DAILY CHAMP AYAM'!$B$10:$B$121,$A34,'DAILY CHAMP AYAM'!K$10:K$121)</f>
        <v>0</v>
      </c>
      <c r="F34" s="8">
        <f>SUMIF('DAILY CHAMP AYAM'!$B$10:$B$121,$A34,'DAILY CHAMP AYAM'!L$10:L$121)</f>
        <v>0</v>
      </c>
      <c r="G34" s="8">
        <f>SUMIF('DAILY CHAMP AYAM'!$B$10:$B$121,$A34,'DAILY CHAMP AYAM'!M$10:M$121)</f>
        <v>0</v>
      </c>
      <c r="H34" s="8">
        <f>SUMIF('DAILY CHAMP AYAM'!$B$10:$B$121,$A34,'DAILY CHAMP AYAM'!N$10:N$121)</f>
        <v>0</v>
      </c>
      <c r="I34" s="8">
        <f>SUMIF('DAILY CHAMP AYAM'!$B$10:$B$121,$A34,'DAILY CHAMP AYAM'!O$10:O$121)</f>
        <v>0</v>
      </c>
      <c r="J34" s="8">
        <f>SUMIF('DAILY CHAMP AYAM'!$B$10:$B$121,$A34,'DAILY CHAMP AYAM'!P$10:P$121)</f>
        <v>0</v>
      </c>
      <c r="K34" s="8">
        <f>SUMIF('DAILY CHAMP AYAM'!$B$10:$B$121,$A34,'DAILY CHAMP AYAM'!Q$10:Q$121)</f>
        <v>0</v>
      </c>
      <c r="L34" s="8">
        <f>SUMIF('DAILY CHAMP AYAM'!$B$10:$B$121,$A34,'DAILY CHAMP AYAM'!R$10:R$121)</f>
        <v>0</v>
      </c>
      <c r="M34" s="8">
        <f>SUMIF('DAILY CHAMP AYAM'!$B$10:$B$121,$A34,'DAILY CHAMP AYAM'!S$10:S$121)</f>
        <v>0</v>
      </c>
      <c r="N34" s="8">
        <f>SUMIF('DAILY CHAMP AYAM'!$B$10:$B$121,$A34,'DAILY CHAMP AYAM'!T$10:T$121)</f>
        <v>0</v>
      </c>
      <c r="O34" s="8">
        <f>SUMIF('DAILY CHAMP AYAM'!$B$10:$B$121,$A34,'DAILY CHAMP AYAM'!U$10:U$121)</f>
        <v>0</v>
      </c>
      <c r="P34" s="8">
        <f>SUMIF('DAILY CHAMP AYAM'!$B$10:$B$121,$A34,'DAILY CHAMP AYAM'!V$10:V$121)</f>
        <v>0</v>
      </c>
      <c r="Q34" s="8">
        <f>SUMIF('DAILY CHAMP AYAM'!$B$10:$B$121,$A34,'DAILY CHAMP AYAM'!W$10:W$121)</f>
        <v>0</v>
      </c>
      <c r="R34" s="8">
        <f>SUMIF('DAILY CHAMP AYAM'!$B$10:$B$121,$A34,'DAILY CHAMP AYAM'!X$10:X$121)</f>
        <v>0</v>
      </c>
      <c r="S34" s="8">
        <f>SUMIF('DAILY CHAMP AYAM'!$B$10:$B$121,$A34,'DAILY CHAMP AYAM'!Y$10:Y$121)</f>
        <v>0</v>
      </c>
      <c r="T34" s="8">
        <f>SUMIF('DAILY CHAMP AYAM'!$B$10:$B$121,$A34,'DAILY CHAMP AYAM'!Z$10:Z$121)</f>
        <v>0</v>
      </c>
      <c r="U34" s="8">
        <f>SUMIF('DAILY CHAMP AYAM'!$B$10:$B$121,$A34,'DAILY CHAMP AYAM'!AA$10:AA$121)</f>
        <v>0</v>
      </c>
      <c r="V34" s="8">
        <f>SUMIF('DAILY CHAMP AYAM'!$B$10:$B$121,$A34,'DAILY CHAMP AYAM'!AB$10:AB$121)</f>
        <v>0</v>
      </c>
      <c r="W34" s="59">
        <f t="shared" si="11"/>
        <v>0</v>
      </c>
      <c r="X34" s="60">
        <f t="shared" si="12"/>
        <v>0</v>
      </c>
      <c r="Y34" s="47">
        <f t="shared" si="2"/>
        <v>0</v>
      </c>
      <c r="Z34" s="88" t="e">
        <f t="shared" si="9"/>
        <v>#DIV/0!</v>
      </c>
      <c r="AA34" s="89" t="e">
        <f t="shared" si="10"/>
        <v>#DIV/0!</v>
      </c>
      <c r="AB34" s="112"/>
      <c r="AC34" s="48"/>
      <c r="AD34" s="89"/>
    </row>
    <row r="35" spans="1:30">
      <c r="A35" s="7"/>
      <c r="B35" s="8">
        <f>SUMIF('DAILY CHAMP AYAM'!$B$10:$B$121,$A35,'DAILY CHAMP AYAM'!$D$10:$D$143)</f>
        <v>0</v>
      </c>
      <c r="C35" s="8">
        <f>SUMIF('DAILY CHAMP AYAM'!$B$10:$B$121,$A35,'DAILY CHAMP AYAM'!I$10:I$121)</f>
        <v>0</v>
      </c>
      <c r="D35" s="8">
        <f>SUMIF('DAILY CHAMP AYAM'!$B$10:$B$121,$A35,'DAILY CHAMP AYAM'!J$10:J$121)</f>
        <v>0</v>
      </c>
      <c r="E35" s="8">
        <f>SUMIF('DAILY CHAMP AYAM'!$B$10:$B$121,$A35,'DAILY CHAMP AYAM'!K$10:K$121)</f>
        <v>0</v>
      </c>
      <c r="F35" s="8">
        <f>SUMIF('DAILY CHAMP AYAM'!$B$10:$B$121,$A35,'DAILY CHAMP AYAM'!L$10:L$121)</f>
        <v>0</v>
      </c>
      <c r="G35" s="8">
        <f>SUMIF('DAILY CHAMP AYAM'!$B$10:$B$121,$A35,'DAILY CHAMP AYAM'!M$10:M$121)</f>
        <v>0</v>
      </c>
      <c r="H35" s="8">
        <f>SUMIF('DAILY CHAMP AYAM'!$B$10:$B$121,$A35,'DAILY CHAMP AYAM'!N$10:N$121)</f>
        <v>0</v>
      </c>
      <c r="I35" s="8">
        <f>SUMIF('DAILY CHAMP AYAM'!$B$10:$B$121,$A35,'DAILY CHAMP AYAM'!O$10:O$121)</f>
        <v>0</v>
      </c>
      <c r="J35" s="8">
        <f>SUMIF('DAILY CHAMP AYAM'!$B$10:$B$121,$A35,'DAILY CHAMP AYAM'!P$10:P$121)</f>
        <v>0</v>
      </c>
      <c r="K35" s="8">
        <f>SUMIF('DAILY CHAMP AYAM'!$B$10:$B$121,$A35,'DAILY CHAMP AYAM'!Q$10:Q$121)</f>
        <v>0</v>
      </c>
      <c r="L35" s="8">
        <f>SUMIF('DAILY CHAMP AYAM'!$B$10:$B$121,$A35,'DAILY CHAMP AYAM'!R$10:R$121)</f>
        <v>0</v>
      </c>
      <c r="M35" s="8">
        <f>SUMIF('DAILY CHAMP AYAM'!$B$10:$B$121,$A35,'DAILY CHAMP AYAM'!S$10:S$121)</f>
        <v>0</v>
      </c>
      <c r="N35" s="8">
        <f>SUMIF('DAILY CHAMP AYAM'!$B$10:$B$121,$A35,'DAILY CHAMP AYAM'!T$10:T$121)</f>
        <v>0</v>
      </c>
      <c r="O35" s="8">
        <f>SUMIF('DAILY CHAMP AYAM'!$B$10:$B$121,$A35,'DAILY CHAMP AYAM'!U$10:U$121)</f>
        <v>0</v>
      </c>
      <c r="P35" s="8">
        <f>SUMIF('DAILY CHAMP AYAM'!$B$10:$B$121,$A35,'DAILY CHAMP AYAM'!V$10:V$121)</f>
        <v>0</v>
      </c>
      <c r="Q35" s="8">
        <f>SUMIF('DAILY CHAMP AYAM'!$B$10:$B$121,$A35,'DAILY CHAMP AYAM'!W$10:W$121)</f>
        <v>0</v>
      </c>
      <c r="R35" s="8">
        <f>SUMIF('DAILY CHAMP AYAM'!$B$10:$B$121,$A35,'DAILY CHAMP AYAM'!X$10:X$121)</f>
        <v>0</v>
      </c>
      <c r="S35" s="8">
        <f>SUMIF('DAILY CHAMP AYAM'!$B$10:$B$121,$A35,'DAILY CHAMP AYAM'!Y$10:Y$121)</f>
        <v>0</v>
      </c>
      <c r="T35" s="8">
        <f>SUMIF('DAILY CHAMP AYAM'!$B$10:$B$121,$A35,'DAILY CHAMP AYAM'!Z$10:Z$121)</f>
        <v>0</v>
      </c>
      <c r="U35" s="8">
        <f>SUMIF('DAILY CHAMP AYAM'!$B$10:$B$121,$A35,'DAILY CHAMP AYAM'!AA$10:AA$121)</f>
        <v>0</v>
      </c>
      <c r="V35" s="8">
        <f>SUMIF('DAILY CHAMP AYAM'!$B$10:$B$121,$A35,'DAILY CHAMP AYAM'!AB$10:AB$121)</f>
        <v>0</v>
      </c>
      <c r="W35" s="59">
        <f t="shared" ref="W35" si="15">SUM(E35:V35)</f>
        <v>0</v>
      </c>
      <c r="X35" s="60">
        <f t="shared" ref="X35" si="16">+B35-C35-D35-W35</f>
        <v>0</v>
      </c>
      <c r="Y35" s="47">
        <f t="shared" ref="Y35" si="17">+X35/3.276</f>
        <v>0</v>
      </c>
      <c r="Z35" s="88" t="e">
        <f t="shared" ref="Z35" si="18">+C35/B35</f>
        <v>#DIV/0!</v>
      </c>
      <c r="AA35" s="89" t="e">
        <f t="shared" ref="AA35" si="19">100%-Z35</f>
        <v>#DIV/0!</v>
      </c>
      <c r="AB35" s="112"/>
      <c r="AC35" s="48"/>
      <c r="AD35" s="89"/>
    </row>
    <row r="36" spans="1:30">
      <c r="B36" s="59">
        <f t="shared" ref="B36:X36" si="20">SUM(B4:B35)</f>
        <v>67053.168000000005</v>
      </c>
      <c r="C36" s="59">
        <f t="shared" si="20"/>
        <v>65018.771999999997</v>
      </c>
      <c r="D36" s="59">
        <f t="shared" si="20"/>
        <v>592.9559999999999</v>
      </c>
      <c r="E36" s="59">
        <f t="shared" si="20"/>
        <v>208.75</v>
      </c>
      <c r="F36" s="59">
        <f t="shared" si="20"/>
        <v>339.47999999999996</v>
      </c>
      <c r="G36" s="59">
        <f t="shared" si="20"/>
        <v>34.07</v>
      </c>
      <c r="H36" s="59">
        <f t="shared" si="20"/>
        <v>30.7</v>
      </c>
      <c r="I36" s="59">
        <f t="shared" si="20"/>
        <v>429.68</v>
      </c>
      <c r="J36" s="59">
        <f t="shared" si="20"/>
        <v>17.262000000000004</v>
      </c>
      <c r="K36" s="59">
        <f t="shared" si="20"/>
        <v>0</v>
      </c>
      <c r="L36" s="59">
        <f t="shared" si="20"/>
        <v>25.68</v>
      </c>
      <c r="M36" s="59">
        <f t="shared" si="20"/>
        <v>37.660000000000004</v>
      </c>
      <c r="N36" s="59">
        <f t="shared" si="20"/>
        <v>54.8</v>
      </c>
      <c r="O36" s="59">
        <f t="shared" si="20"/>
        <v>0</v>
      </c>
      <c r="P36" s="59">
        <f t="shared" si="20"/>
        <v>0</v>
      </c>
      <c r="Q36" s="59">
        <f t="shared" si="20"/>
        <v>0</v>
      </c>
      <c r="R36" s="59">
        <f t="shared" si="20"/>
        <v>0</v>
      </c>
      <c r="S36" s="59">
        <f t="shared" si="20"/>
        <v>0</v>
      </c>
      <c r="T36" s="59">
        <f t="shared" si="20"/>
        <v>0</v>
      </c>
      <c r="U36" s="59">
        <f t="shared" si="20"/>
        <v>0</v>
      </c>
      <c r="V36" s="59">
        <f t="shared" si="20"/>
        <v>0</v>
      </c>
      <c r="W36" s="59">
        <f t="shared" si="20"/>
        <v>1178.0820000000001</v>
      </c>
      <c r="X36" s="59">
        <f t="shared" si="20"/>
        <v>263.35800000000688</v>
      </c>
      <c r="AB36" s="113">
        <f>SUM(AB4:AB31)</f>
        <v>40</v>
      </c>
      <c r="AC36" s="109">
        <f>SUM(AC4:AC31)</f>
        <v>67548.800000000003</v>
      </c>
      <c r="AD36" s="110">
        <f>SUM(C36:D36)/AC36</f>
        <v>0.97132336917902318</v>
      </c>
    </row>
    <row r="37" spans="1:30">
      <c r="C37" s="61">
        <f t="shared" ref="C37:W37" si="21">+C36/$B$36</f>
        <v>0.96965995700605812</v>
      </c>
      <c r="D37" s="61">
        <f t="shared" si="21"/>
        <v>8.8430721125659553E-3</v>
      </c>
      <c r="E37" s="61">
        <f t="shared" si="21"/>
        <v>3.1132011540453983E-3</v>
      </c>
      <c r="F37" s="61">
        <f t="shared" si="21"/>
        <v>5.0628480372470986E-3</v>
      </c>
      <c r="G37" s="61">
        <f t="shared" si="21"/>
        <v>5.0810425541713406E-4</v>
      </c>
      <c r="H37" s="61">
        <f t="shared" si="21"/>
        <v>4.5784563079853284E-4</v>
      </c>
      <c r="I37" s="61">
        <f t="shared" si="21"/>
        <v>6.4080492065639611E-3</v>
      </c>
      <c r="J37" s="61">
        <f t="shared" si="21"/>
        <v>2.5743750093955298E-4</v>
      </c>
      <c r="K37" s="61">
        <f t="shared" si="21"/>
        <v>0</v>
      </c>
      <c r="L37" s="61">
        <f t="shared" si="21"/>
        <v>3.8297966771681834E-4</v>
      </c>
      <c r="M37" s="61">
        <f t="shared" si="21"/>
        <v>5.6164385849748373E-4</v>
      </c>
      <c r="N37" s="61">
        <f t="shared" si="21"/>
        <v>8.1726190774461234E-4</v>
      </c>
      <c r="O37" s="61">
        <f t="shared" si="21"/>
        <v>0</v>
      </c>
      <c r="P37" s="61">
        <f t="shared" si="21"/>
        <v>0</v>
      </c>
      <c r="Q37" s="61">
        <f t="shared" si="21"/>
        <v>0</v>
      </c>
      <c r="R37" s="61">
        <f t="shared" si="21"/>
        <v>0</v>
      </c>
      <c r="S37" s="61">
        <f t="shared" si="21"/>
        <v>0</v>
      </c>
      <c r="T37" s="61">
        <f t="shared" si="21"/>
        <v>0</v>
      </c>
      <c r="U37" s="61">
        <f>+U36/$B$36</f>
        <v>0</v>
      </c>
      <c r="V37" s="61">
        <f>+V36/$B$36</f>
        <v>0</v>
      </c>
      <c r="W37" s="62">
        <f t="shared" si="21"/>
        <v>1.7569371218970595E-2</v>
      </c>
      <c r="X37" s="61">
        <f>+X36/$B$36</f>
        <v>3.927599662405315E-3</v>
      </c>
    </row>
    <row r="38" spans="1:30">
      <c r="B38" s="78"/>
    </row>
    <row r="39" spans="1:30">
      <c r="C39" s="47">
        <f>+C22/3.276</f>
        <v>0</v>
      </c>
    </row>
  </sheetData>
  <mergeCells count="8">
    <mergeCell ref="C1:D1"/>
    <mergeCell ref="AB2:AB3"/>
    <mergeCell ref="AD2:AD3"/>
    <mergeCell ref="A2:A3"/>
    <mergeCell ref="B2:B3"/>
    <mergeCell ref="C2:C3"/>
    <mergeCell ref="D2:D3"/>
    <mergeCell ref="E2:S2"/>
  </mergeCells>
  <pageMargins left="0.7" right="0.7" top="0.75" bottom="0.75" header="0.3" footer="0.3"/>
  <pageSetup paperSize="9" orientation="portrait" r:id="rId1"/>
  <legacyDrawing r:id="rId2"/>
</worksheet>
</file>

<file path=xl/worksheets/sheet12.xml><?xml version="1.0" encoding="utf-8"?>
<worksheet xmlns="http://schemas.openxmlformats.org/spreadsheetml/2006/main" xmlns:r="http://schemas.openxmlformats.org/officeDocument/2006/relationships">
  <sheetPr codeName="Sheet17">
    <tabColor rgb="FFFFC000"/>
  </sheetPr>
  <dimension ref="A1:AD41"/>
  <sheetViews>
    <sheetView workbookViewId="0">
      <pane xSplit="1" ySplit="3" topLeftCell="J4" activePane="bottomRight" state="frozen"/>
      <selection activeCell="EE10" sqref="EE10"/>
      <selection pane="topRight" activeCell="EE10" sqref="EE10"/>
      <selection pane="bottomLeft" activeCell="EE10" sqref="EE10"/>
      <selection pane="bottomRight" activeCell="A39" sqref="A39:I51"/>
    </sheetView>
  </sheetViews>
  <sheetFormatPr defaultRowHeight="12.75"/>
  <cols>
    <col min="1" max="1" width="10.28515625" style="47" customWidth="1"/>
    <col min="2" max="3" width="13.7109375" style="47" customWidth="1"/>
    <col min="4" max="4" width="9.140625" style="47" customWidth="1"/>
    <col min="5" max="5" width="12.7109375" style="47" customWidth="1"/>
    <col min="6" max="6" width="9.140625" style="46" customWidth="1"/>
    <col min="7" max="9" width="12.28515625" style="47" customWidth="1"/>
    <col min="10" max="10" width="11.7109375" style="47" customWidth="1"/>
    <col min="11" max="17" width="9.140625" style="47"/>
    <col min="18" max="18" width="13" style="47" customWidth="1"/>
    <col min="19" max="20" width="9.140625" style="47"/>
    <col min="21" max="21" width="10.140625" style="47" customWidth="1"/>
    <col min="22" max="22" width="11.140625" style="47" customWidth="1"/>
    <col min="23" max="23" width="10" style="47" bestFit="1" customWidth="1"/>
    <col min="24" max="24" width="10.7109375" style="47" customWidth="1"/>
    <col min="25" max="28" width="9.140625" style="47"/>
    <col min="29" max="29" width="10.7109375" style="47" customWidth="1"/>
    <col min="30" max="16384" width="9.140625" style="47"/>
  </cols>
  <sheetData>
    <row r="1" spans="1:30">
      <c r="A1" s="9"/>
      <c r="B1" s="9"/>
      <c r="C1" s="717" t="s">
        <v>10</v>
      </c>
      <c r="D1" s="717"/>
      <c r="E1" s="9"/>
      <c r="H1" s="48"/>
    </row>
    <row r="2" spans="1:30" ht="12.75" customHeight="1">
      <c r="A2" s="718" t="s">
        <v>24</v>
      </c>
      <c r="B2" s="719" t="s">
        <v>7</v>
      </c>
      <c r="C2" s="720" t="s">
        <v>8</v>
      </c>
      <c r="D2" s="720" t="s">
        <v>13</v>
      </c>
      <c r="E2" s="715" t="s">
        <v>23</v>
      </c>
      <c r="F2" s="715"/>
      <c r="G2" s="715"/>
      <c r="H2" s="715"/>
      <c r="I2" s="715"/>
      <c r="J2" s="715"/>
      <c r="K2" s="715"/>
      <c r="L2" s="715"/>
      <c r="M2" s="715"/>
      <c r="N2" s="715"/>
      <c r="O2" s="715"/>
      <c r="P2" s="715"/>
      <c r="Q2" s="715"/>
      <c r="R2" s="715"/>
      <c r="S2" s="715"/>
      <c r="T2" s="22"/>
      <c r="U2" s="115"/>
      <c r="V2" s="22"/>
      <c r="W2" s="721" t="s">
        <v>15</v>
      </c>
      <c r="X2" s="722" t="s">
        <v>9</v>
      </c>
      <c r="AB2" s="716" t="s">
        <v>67</v>
      </c>
      <c r="AC2" s="108" t="s">
        <v>68</v>
      </c>
      <c r="AD2" s="716" t="s">
        <v>69</v>
      </c>
    </row>
    <row r="3" spans="1:30" ht="12.75" customHeight="1">
      <c r="A3" s="718"/>
      <c r="B3" s="719"/>
      <c r="C3" s="719"/>
      <c r="D3" s="719"/>
      <c r="E3" s="96" t="s">
        <v>16</v>
      </c>
      <c r="F3" s="96" t="s">
        <v>17</v>
      </c>
      <c r="G3" s="96" t="s">
        <v>58</v>
      </c>
      <c r="H3" s="96" t="s">
        <v>59</v>
      </c>
      <c r="I3" s="96" t="s">
        <v>18</v>
      </c>
      <c r="J3" s="96" t="s">
        <v>60</v>
      </c>
      <c r="K3" s="96" t="s">
        <v>19</v>
      </c>
      <c r="L3" s="96" t="s">
        <v>55</v>
      </c>
      <c r="M3" s="96" t="s">
        <v>61</v>
      </c>
      <c r="N3" s="96" t="s">
        <v>62</v>
      </c>
      <c r="O3" s="96" t="s">
        <v>63</v>
      </c>
      <c r="P3" s="96" t="s">
        <v>56</v>
      </c>
      <c r="Q3" s="96" t="s">
        <v>20</v>
      </c>
      <c r="R3" s="96" t="s">
        <v>57</v>
      </c>
      <c r="S3" s="272" t="s">
        <v>154</v>
      </c>
      <c r="T3" s="96" t="s">
        <v>21</v>
      </c>
      <c r="U3" s="126" t="s">
        <v>155</v>
      </c>
      <c r="V3" s="118" t="s">
        <v>22</v>
      </c>
      <c r="W3" s="721"/>
      <c r="X3" s="722"/>
      <c r="AB3" s="716"/>
      <c r="AC3" s="108">
        <v>1754.712</v>
      </c>
      <c r="AD3" s="716"/>
    </row>
    <row r="4" spans="1:30">
      <c r="A4" s="7">
        <f>+'ALL SORTASI'!A6</f>
        <v>46204</v>
      </c>
      <c r="B4" s="8">
        <f ca="1">SUMIF('DAILY CHAMP SAPI'!$B$10:$B$116,$A4,'DAILY CHAMP SAPI'!$D$10:$D$115)</f>
        <v>0</v>
      </c>
      <c r="C4" s="8">
        <f>SUMIF('DAILY CHAMP SAPI'!$B$10:$B$116,$A4,'DAILY CHAMP SAPI'!I$10:I$116)</f>
        <v>0</v>
      </c>
      <c r="D4" s="8">
        <f>SUMIF('DAILY CHAMP SAPI'!$B$10:$B$116,$A4,'DAILY CHAMP SAPI'!J$10:J$116)</f>
        <v>0</v>
      </c>
      <c r="E4" s="8">
        <f>SUMIF('DAILY CHAMP SAPI'!$B$10:$B$116,$A4,'DAILY CHAMP SAPI'!K$10:K$116)</f>
        <v>0</v>
      </c>
      <c r="F4" s="8">
        <f>SUMIF('DAILY CHAMP SAPI'!$B$10:$B$116,$A4,'DAILY CHAMP SAPI'!L$10:L$116)</f>
        <v>0</v>
      </c>
      <c r="G4" s="8">
        <f>SUMIF('DAILY CHAMP SAPI'!$B$10:$B$116,$A4,'DAILY CHAMP SAPI'!M$10:M$116)</f>
        <v>0</v>
      </c>
      <c r="H4" s="8">
        <f>SUMIF('DAILY CHAMP SAPI'!$B$10:$B$116,$A4,'DAILY CHAMP SAPI'!N$10:N$116)</f>
        <v>0</v>
      </c>
      <c r="I4" s="8">
        <f>SUMIF('DAILY CHAMP SAPI'!$B$10:$B$116,$A4,'DAILY CHAMP SAPI'!O$10:O$116)</f>
        <v>0</v>
      </c>
      <c r="J4" s="8">
        <f>SUMIF('DAILY CHAMP SAPI'!$B$10:$B$116,$A4,'DAILY CHAMP SAPI'!P$10:P$116)</f>
        <v>0</v>
      </c>
      <c r="K4" s="8">
        <f>SUMIF('DAILY CHAMP SAPI'!$B$10:$B$116,$A4,'DAILY CHAMP SAPI'!Q$10:Q$116)</f>
        <v>0</v>
      </c>
      <c r="L4" s="8">
        <f>SUMIF('DAILY CHAMP SAPI'!$B$10:$B$116,$A4,'DAILY CHAMP SAPI'!R$10:R$116)</f>
        <v>0</v>
      </c>
      <c r="M4" s="8">
        <f>SUMIF('DAILY CHAMP SAPI'!$B$10:$B$116,$A4,'DAILY CHAMP SAPI'!S$10:S$116)</f>
        <v>0</v>
      </c>
      <c r="N4" s="8">
        <f>SUMIF('DAILY CHAMP SAPI'!$B$10:$B$116,$A4,'DAILY CHAMP SAPI'!T$10:T$116)</f>
        <v>0</v>
      </c>
      <c r="O4" s="8">
        <f>SUMIF('DAILY CHAMP SAPI'!$B$10:$B$116,$A4,'DAILY CHAMP SAPI'!U$10:U$116)</f>
        <v>0</v>
      </c>
      <c r="P4" s="8">
        <f>SUMIF('DAILY CHAMP SAPI'!$B$10:$B$116,$A4,'DAILY CHAMP SAPI'!V$10:V$116)</f>
        <v>0</v>
      </c>
      <c r="Q4" s="8">
        <f>SUMIF('DAILY CHAMP SAPI'!$B$10:$B$116,$A4,'DAILY CHAMP SAPI'!W$10:W$116)</f>
        <v>0</v>
      </c>
      <c r="R4" s="8">
        <f>SUMIF('DAILY CHAMP SAPI'!$B$10:$B$116,$A4,'DAILY CHAMP SAPI'!X$10:X$116)</f>
        <v>0</v>
      </c>
      <c r="S4" s="8">
        <f>SUMIF('DAILY CHAMP SAPI'!$B$10:$B$116,$A4,'DAILY CHAMP SAPI'!Y$10:Y$116)</f>
        <v>0</v>
      </c>
      <c r="T4" s="8">
        <f>SUMIF('DAILY CHAMP SAPI'!$B$10:$B$116,$A4,'DAILY CHAMP SAPI'!Z$10:Z$116)</f>
        <v>0</v>
      </c>
      <c r="U4" s="8">
        <f>SUMIF('DAILY CHAMP SAPI'!$B$10:$B$116,$A4,'DAILY CHAMP SAPI'!AA$10:AA$116)</f>
        <v>0</v>
      </c>
      <c r="V4" s="8">
        <f>SUMIF('DAILY CHAMP SAPI'!$B$10:$B$116,$A4,'DAILY CHAMP SAPI'!AB$10:AB$116)</f>
        <v>0</v>
      </c>
      <c r="W4" s="59">
        <f t="shared" ref="W4:W33" si="0">SUM(E4:V4)</f>
        <v>0</v>
      </c>
      <c r="X4" s="60">
        <f t="shared" ref="X4:X33" ca="1" si="1">+B4-C4-D4-W4</f>
        <v>0</v>
      </c>
      <c r="Y4" s="47">
        <f t="shared" ref="Y4:Y34" ca="1" si="2">+X4/3.276</f>
        <v>0</v>
      </c>
      <c r="AB4" s="112">
        <f>+'Actual VS SAP'!O6</f>
        <v>0</v>
      </c>
      <c r="AC4" s="48">
        <f>+AB4*$AC$3</f>
        <v>0</v>
      </c>
      <c r="AD4" s="89" t="e">
        <f>+C4/AC4</f>
        <v>#DIV/0!</v>
      </c>
    </row>
    <row r="5" spans="1:30">
      <c r="A5" s="7">
        <f>+'ALL SORTASI'!A7</f>
        <v>46205</v>
      </c>
      <c r="B5" s="8">
        <f ca="1">SUMIF('DAILY CHAMP SAPI'!$B$10:$B$116,$A5,'DAILY CHAMP SAPI'!$D$10:$D$115)</f>
        <v>0</v>
      </c>
      <c r="C5" s="8">
        <f>SUMIF('DAILY CHAMP SAPI'!$B$10:$B$116,$A5,'DAILY CHAMP SAPI'!I$10:I$116)</f>
        <v>0</v>
      </c>
      <c r="D5" s="8">
        <f>SUMIF('DAILY CHAMP SAPI'!$B$10:$B$116,$A5,'DAILY CHAMP SAPI'!J$10:J$116)</f>
        <v>0</v>
      </c>
      <c r="E5" s="8">
        <f>SUMIF('DAILY CHAMP SAPI'!$B$10:$B$116,$A5,'DAILY CHAMP SAPI'!K$10:K$116)</f>
        <v>0</v>
      </c>
      <c r="F5" s="8">
        <f>SUMIF('DAILY CHAMP SAPI'!$B$10:$B$116,$A5,'DAILY CHAMP SAPI'!L$10:L$116)</f>
        <v>0</v>
      </c>
      <c r="G5" s="8">
        <f>SUMIF('DAILY CHAMP SAPI'!$B$10:$B$116,$A5,'DAILY CHAMP SAPI'!M$10:M$116)</f>
        <v>0</v>
      </c>
      <c r="H5" s="8">
        <f>SUMIF('DAILY CHAMP SAPI'!$B$10:$B$116,$A5,'DAILY CHAMP SAPI'!N$10:N$116)</f>
        <v>0</v>
      </c>
      <c r="I5" s="8">
        <f>SUMIF('DAILY CHAMP SAPI'!$B$10:$B$116,$A5,'DAILY CHAMP SAPI'!O$10:O$116)</f>
        <v>0</v>
      </c>
      <c r="J5" s="8">
        <f>SUMIF('DAILY CHAMP SAPI'!$B$10:$B$116,$A5,'DAILY CHAMP SAPI'!P$10:P$116)</f>
        <v>0</v>
      </c>
      <c r="K5" s="8">
        <f>SUMIF('DAILY CHAMP SAPI'!$B$10:$B$116,$A5,'DAILY CHAMP SAPI'!Q$10:Q$116)</f>
        <v>0</v>
      </c>
      <c r="L5" s="8">
        <f>SUMIF('DAILY CHAMP SAPI'!$B$10:$B$116,$A5,'DAILY CHAMP SAPI'!R$10:R$116)</f>
        <v>0</v>
      </c>
      <c r="M5" s="8">
        <f>SUMIF('DAILY CHAMP SAPI'!$B$10:$B$116,$A5,'DAILY CHAMP SAPI'!S$10:S$116)</f>
        <v>0</v>
      </c>
      <c r="N5" s="8">
        <f>SUMIF('DAILY CHAMP SAPI'!$B$10:$B$116,$A5,'DAILY CHAMP SAPI'!T$10:T$116)</f>
        <v>0</v>
      </c>
      <c r="O5" s="8">
        <f>SUMIF('DAILY CHAMP SAPI'!$B$10:$B$116,$A5,'DAILY CHAMP SAPI'!U$10:U$116)</f>
        <v>0</v>
      </c>
      <c r="P5" s="8">
        <f>SUMIF('DAILY CHAMP SAPI'!$B$10:$B$116,$A5,'DAILY CHAMP SAPI'!V$10:V$116)</f>
        <v>0</v>
      </c>
      <c r="Q5" s="8">
        <f>SUMIF('DAILY CHAMP SAPI'!$B$10:$B$116,$A5,'DAILY CHAMP SAPI'!W$10:W$116)</f>
        <v>0</v>
      </c>
      <c r="R5" s="8">
        <f>SUMIF('DAILY CHAMP SAPI'!$B$10:$B$116,$A5,'DAILY CHAMP SAPI'!X$10:X$116)</f>
        <v>0</v>
      </c>
      <c r="S5" s="8">
        <f>SUMIF('DAILY CHAMP SAPI'!$B$10:$B$116,$A5,'DAILY CHAMP SAPI'!Y$10:Y$116)</f>
        <v>0</v>
      </c>
      <c r="T5" s="8">
        <f>SUMIF('DAILY CHAMP SAPI'!$B$10:$B$116,$A5,'DAILY CHAMP SAPI'!Z$10:Z$116)</f>
        <v>0</v>
      </c>
      <c r="U5" s="8">
        <f>SUMIF('DAILY CHAMP SAPI'!$B$10:$B$116,$A5,'DAILY CHAMP SAPI'!AA$10:AA$116)</f>
        <v>0</v>
      </c>
      <c r="V5" s="8">
        <f>SUMIF('DAILY CHAMP SAPI'!$B$10:$B$116,$A5,'DAILY CHAMP SAPI'!AB$10:AB$116)</f>
        <v>0</v>
      </c>
      <c r="W5" s="59">
        <f t="shared" si="0"/>
        <v>0</v>
      </c>
      <c r="X5" s="60">
        <f t="shared" ca="1" si="1"/>
        <v>0</v>
      </c>
      <c r="Y5" s="47">
        <f t="shared" ca="1" si="2"/>
        <v>0</v>
      </c>
      <c r="Z5" s="88" t="e">
        <f ca="1">+C5/B5</f>
        <v>#DIV/0!</v>
      </c>
      <c r="AA5" s="89" t="e">
        <f ca="1">100%-Z5</f>
        <v>#DIV/0!</v>
      </c>
      <c r="AB5" s="112">
        <f>+'Actual VS SAP'!O7</f>
        <v>0</v>
      </c>
      <c r="AC5" s="48">
        <f t="shared" ref="AC5:AC31" si="3">+AB5*$AC$3</f>
        <v>0</v>
      </c>
      <c r="AD5" s="89" t="e">
        <f t="shared" ref="AD5:AD31" si="4">+C5/AC5</f>
        <v>#DIV/0!</v>
      </c>
    </row>
    <row r="6" spans="1:30">
      <c r="A6" s="7">
        <f>+'ALL SORTASI'!A8</f>
        <v>46206</v>
      </c>
      <c r="B6" s="8">
        <f ca="1">SUMIF('DAILY CHAMP SAPI'!$B$10:$B$116,$A6,'DAILY CHAMP SAPI'!$D$10:$D$115)</f>
        <v>0</v>
      </c>
      <c r="C6" s="8">
        <f>SUMIF('DAILY CHAMP SAPI'!$B$10:$B$116,$A6,'DAILY CHAMP SAPI'!I$10:I$116)</f>
        <v>0</v>
      </c>
      <c r="D6" s="8">
        <f>SUMIF('DAILY CHAMP SAPI'!$B$10:$B$116,$A6,'DAILY CHAMP SAPI'!J$10:J$116)</f>
        <v>0</v>
      </c>
      <c r="E6" s="8">
        <f>SUMIF('DAILY CHAMP SAPI'!$B$10:$B$116,$A6,'DAILY CHAMP SAPI'!K$10:K$116)</f>
        <v>0</v>
      </c>
      <c r="F6" s="8">
        <f>SUMIF('DAILY CHAMP SAPI'!$B$10:$B$116,$A6,'DAILY CHAMP SAPI'!L$10:L$116)</f>
        <v>0</v>
      </c>
      <c r="G6" s="8">
        <f>SUMIF('DAILY CHAMP SAPI'!$B$10:$B$116,$A6,'DAILY CHAMP SAPI'!M$10:M$116)</f>
        <v>0</v>
      </c>
      <c r="H6" s="8">
        <f>SUMIF('DAILY CHAMP SAPI'!$B$10:$B$116,$A6,'DAILY CHAMP SAPI'!N$10:N$116)</f>
        <v>0</v>
      </c>
      <c r="I6" s="8">
        <f>SUMIF('DAILY CHAMP SAPI'!$B$10:$B$116,$A6,'DAILY CHAMP SAPI'!O$10:O$116)</f>
        <v>0</v>
      </c>
      <c r="J6" s="8">
        <f>SUMIF('DAILY CHAMP SAPI'!$B$10:$B$116,$A6,'DAILY CHAMP SAPI'!P$10:P$116)</f>
        <v>0</v>
      </c>
      <c r="K6" s="8">
        <f>SUMIF('DAILY CHAMP SAPI'!$B$10:$B$116,$A6,'DAILY CHAMP SAPI'!Q$10:Q$116)</f>
        <v>0</v>
      </c>
      <c r="L6" s="8">
        <f>SUMIF('DAILY CHAMP SAPI'!$B$10:$B$116,$A6,'DAILY CHAMP SAPI'!R$10:R$116)</f>
        <v>0</v>
      </c>
      <c r="M6" s="8">
        <f>SUMIF('DAILY CHAMP SAPI'!$B$10:$B$116,$A6,'DAILY CHAMP SAPI'!S$10:S$116)</f>
        <v>0</v>
      </c>
      <c r="N6" s="8">
        <f>SUMIF('DAILY CHAMP SAPI'!$B$10:$B$116,$A6,'DAILY CHAMP SAPI'!T$10:T$116)</f>
        <v>0</v>
      </c>
      <c r="O6" s="8">
        <f>SUMIF('DAILY CHAMP SAPI'!$B$10:$B$116,$A6,'DAILY CHAMP SAPI'!U$10:U$116)</f>
        <v>0</v>
      </c>
      <c r="P6" s="8">
        <f>SUMIF('DAILY CHAMP SAPI'!$B$10:$B$116,$A6,'DAILY CHAMP SAPI'!V$10:V$116)</f>
        <v>0</v>
      </c>
      <c r="Q6" s="8">
        <f>SUMIF('DAILY CHAMP SAPI'!$B$10:$B$116,$A6,'DAILY CHAMP SAPI'!W$10:W$116)</f>
        <v>0</v>
      </c>
      <c r="R6" s="8">
        <f>SUMIF('DAILY CHAMP SAPI'!$B$10:$B$116,$A6,'DAILY CHAMP SAPI'!X$10:X$116)</f>
        <v>0</v>
      </c>
      <c r="S6" s="8">
        <f>SUMIF('DAILY CHAMP SAPI'!$B$10:$B$116,$A6,'DAILY CHAMP SAPI'!Y$10:Y$116)</f>
        <v>0</v>
      </c>
      <c r="T6" s="8">
        <f>SUMIF('DAILY CHAMP SAPI'!$B$10:$B$116,$A6,'DAILY CHAMP SAPI'!Z$10:Z$116)</f>
        <v>0</v>
      </c>
      <c r="U6" s="8">
        <f>SUMIF('DAILY CHAMP SAPI'!$B$10:$B$116,$A6,'DAILY CHAMP SAPI'!AA$10:AA$116)</f>
        <v>0</v>
      </c>
      <c r="V6" s="8">
        <f>SUMIF('DAILY CHAMP SAPI'!$B$10:$B$116,$A6,'DAILY CHAMP SAPI'!AB$10:AB$116)</f>
        <v>0</v>
      </c>
      <c r="W6" s="59">
        <f t="shared" si="0"/>
        <v>0</v>
      </c>
      <c r="X6" s="60">
        <f t="shared" ca="1" si="1"/>
        <v>0</v>
      </c>
      <c r="Y6" s="47">
        <f t="shared" ca="1" si="2"/>
        <v>0</v>
      </c>
      <c r="Z6" s="88" t="e">
        <f ca="1">+C6/B6</f>
        <v>#DIV/0!</v>
      </c>
      <c r="AA6" s="89" t="e">
        <f ca="1">100%-Z6</f>
        <v>#DIV/0!</v>
      </c>
      <c r="AB6" s="112">
        <f>+'Actual VS SAP'!O8</f>
        <v>0</v>
      </c>
      <c r="AC6" s="48">
        <f t="shared" si="3"/>
        <v>0</v>
      </c>
      <c r="AD6" s="89" t="e">
        <f t="shared" si="4"/>
        <v>#DIV/0!</v>
      </c>
    </row>
    <row r="7" spans="1:30">
      <c r="A7" s="7">
        <f>+'ALL SORTASI'!A9</f>
        <v>46207</v>
      </c>
      <c r="B7" s="8">
        <f ca="1">SUMIF('DAILY CHAMP SAPI'!$B$10:$B$116,$A7,'DAILY CHAMP SAPI'!$D$10:$D$115)</f>
        <v>0</v>
      </c>
      <c r="C7" s="8">
        <f>SUMIF('DAILY CHAMP SAPI'!$B$10:$B$116,$A7,'DAILY CHAMP SAPI'!I$10:I$116)</f>
        <v>0</v>
      </c>
      <c r="D7" s="8">
        <f>SUMIF('DAILY CHAMP SAPI'!$B$10:$B$116,$A7,'DAILY CHAMP SAPI'!J$10:J$116)</f>
        <v>0</v>
      </c>
      <c r="E7" s="8">
        <f>SUMIF('DAILY CHAMP SAPI'!$B$10:$B$116,$A7,'DAILY CHAMP SAPI'!K$10:K$116)</f>
        <v>0</v>
      </c>
      <c r="F7" s="8">
        <f>SUMIF('DAILY CHAMP SAPI'!$B$10:$B$116,$A7,'DAILY CHAMP SAPI'!L$10:L$116)</f>
        <v>0</v>
      </c>
      <c r="G7" s="8">
        <f>SUMIF('DAILY CHAMP SAPI'!$B$10:$B$116,$A7,'DAILY CHAMP SAPI'!M$10:M$116)</f>
        <v>0</v>
      </c>
      <c r="H7" s="8">
        <f>SUMIF('DAILY CHAMP SAPI'!$B$10:$B$116,$A7,'DAILY CHAMP SAPI'!N$10:N$116)</f>
        <v>0</v>
      </c>
      <c r="I7" s="8">
        <f>SUMIF('DAILY CHAMP SAPI'!$B$10:$B$116,$A7,'DAILY CHAMP SAPI'!O$10:O$116)</f>
        <v>0</v>
      </c>
      <c r="J7" s="8">
        <f>SUMIF('DAILY CHAMP SAPI'!$B$10:$B$116,$A7,'DAILY CHAMP SAPI'!P$10:P$116)</f>
        <v>0</v>
      </c>
      <c r="K7" s="8">
        <f>SUMIF('DAILY CHAMP SAPI'!$B$10:$B$116,$A7,'DAILY CHAMP SAPI'!Q$10:Q$116)</f>
        <v>0</v>
      </c>
      <c r="L7" s="8">
        <f>SUMIF('DAILY CHAMP SAPI'!$B$10:$B$116,$A7,'DAILY CHAMP SAPI'!R$10:R$116)</f>
        <v>0</v>
      </c>
      <c r="M7" s="8">
        <f>SUMIF('DAILY CHAMP SAPI'!$B$10:$B$116,$A7,'DAILY CHAMP SAPI'!S$10:S$116)</f>
        <v>0</v>
      </c>
      <c r="N7" s="8">
        <f>SUMIF('DAILY CHAMP SAPI'!$B$10:$B$116,$A7,'DAILY CHAMP SAPI'!T$10:T$116)</f>
        <v>0</v>
      </c>
      <c r="O7" s="8">
        <f>SUMIF('DAILY CHAMP SAPI'!$B$10:$B$116,$A7,'DAILY CHAMP SAPI'!U$10:U$116)</f>
        <v>0</v>
      </c>
      <c r="P7" s="8">
        <f>SUMIF('DAILY CHAMP SAPI'!$B$10:$B$116,$A7,'DAILY CHAMP SAPI'!V$10:V$116)</f>
        <v>0</v>
      </c>
      <c r="Q7" s="8">
        <f>SUMIF('DAILY CHAMP SAPI'!$B$10:$B$116,$A7,'DAILY CHAMP SAPI'!W$10:W$116)</f>
        <v>0</v>
      </c>
      <c r="R7" s="8">
        <f>SUMIF('DAILY CHAMP SAPI'!$B$10:$B$116,$A7,'DAILY CHAMP SAPI'!X$10:X$116)</f>
        <v>0</v>
      </c>
      <c r="S7" s="8">
        <f>SUMIF('DAILY CHAMP SAPI'!$B$10:$B$116,$A7,'DAILY CHAMP SAPI'!Y$10:Y$116)</f>
        <v>0</v>
      </c>
      <c r="T7" s="8">
        <f>SUMIF('DAILY CHAMP SAPI'!$B$10:$B$116,$A7,'DAILY CHAMP SAPI'!Z$10:Z$116)</f>
        <v>0</v>
      </c>
      <c r="U7" s="8">
        <f>SUMIF('DAILY CHAMP SAPI'!$B$10:$B$116,$A7,'DAILY CHAMP SAPI'!AA$10:AA$116)</f>
        <v>0</v>
      </c>
      <c r="V7" s="8">
        <f>SUMIF('DAILY CHAMP SAPI'!$B$10:$B$116,$A7,'DAILY CHAMP SAPI'!AB$10:AB$116)</f>
        <v>0</v>
      </c>
      <c r="W7" s="59">
        <f t="shared" si="0"/>
        <v>0</v>
      </c>
      <c r="X7" s="60">
        <f t="shared" ca="1" si="1"/>
        <v>0</v>
      </c>
      <c r="Y7" s="47">
        <f t="shared" ca="1" si="2"/>
        <v>0</v>
      </c>
      <c r="Z7" s="88" t="e">
        <f ca="1">+C7/B7</f>
        <v>#DIV/0!</v>
      </c>
      <c r="AA7" s="89" t="e">
        <f ca="1">100%-Z7</f>
        <v>#DIV/0!</v>
      </c>
      <c r="AB7" s="112">
        <f>+'Actual VS SAP'!O9</f>
        <v>0</v>
      </c>
      <c r="AC7" s="48">
        <f t="shared" si="3"/>
        <v>0</v>
      </c>
      <c r="AD7" s="89" t="e">
        <f t="shared" si="4"/>
        <v>#DIV/0!</v>
      </c>
    </row>
    <row r="8" spans="1:30">
      <c r="A8" s="7">
        <f>+'ALL SORTASI'!A10</f>
        <v>46208</v>
      </c>
      <c r="B8" s="8">
        <f ca="1">SUMIF('DAILY CHAMP SAPI'!$B$10:$B$116,$A8,'DAILY CHAMP SAPI'!$D$10:$D$115)</f>
        <v>0</v>
      </c>
      <c r="C8" s="8">
        <f>SUMIF('DAILY CHAMP SAPI'!$B$10:$B$116,$A8,'DAILY CHAMP SAPI'!I$10:I$116)</f>
        <v>0</v>
      </c>
      <c r="D8" s="8">
        <f>SUMIF('DAILY CHAMP SAPI'!$B$10:$B$116,$A8,'DAILY CHAMP SAPI'!J$10:J$116)</f>
        <v>0</v>
      </c>
      <c r="E8" s="8">
        <f>SUMIF('DAILY CHAMP SAPI'!$B$10:$B$116,$A8,'DAILY CHAMP SAPI'!K$10:K$116)</f>
        <v>0</v>
      </c>
      <c r="F8" s="8">
        <f>SUMIF('DAILY CHAMP SAPI'!$B$10:$B$116,$A8,'DAILY CHAMP SAPI'!L$10:L$116)</f>
        <v>0</v>
      </c>
      <c r="G8" s="8">
        <f>SUMIF('DAILY CHAMP SAPI'!$B$10:$B$116,$A8,'DAILY CHAMP SAPI'!M$10:M$116)</f>
        <v>0</v>
      </c>
      <c r="H8" s="8">
        <f>SUMIF('DAILY CHAMP SAPI'!$B$10:$B$116,$A8,'DAILY CHAMP SAPI'!N$10:N$116)</f>
        <v>0</v>
      </c>
      <c r="I8" s="8">
        <f>SUMIF('DAILY CHAMP SAPI'!$B$10:$B$116,$A8,'DAILY CHAMP SAPI'!O$10:O$116)</f>
        <v>0</v>
      </c>
      <c r="J8" s="8">
        <f>SUMIF('DAILY CHAMP SAPI'!$B$10:$B$116,$A8,'DAILY CHAMP SAPI'!P$10:P$116)</f>
        <v>0</v>
      </c>
      <c r="K8" s="8">
        <f>SUMIF('DAILY CHAMP SAPI'!$B$10:$B$116,$A8,'DAILY CHAMP SAPI'!Q$10:Q$116)</f>
        <v>0</v>
      </c>
      <c r="L8" s="8">
        <f>SUMIF('DAILY CHAMP SAPI'!$B$10:$B$116,$A8,'DAILY CHAMP SAPI'!R$10:R$116)</f>
        <v>0</v>
      </c>
      <c r="M8" s="8">
        <f>SUMIF('DAILY CHAMP SAPI'!$B$10:$B$116,$A8,'DAILY CHAMP SAPI'!S$10:S$116)</f>
        <v>0</v>
      </c>
      <c r="N8" s="8">
        <f>SUMIF('DAILY CHAMP SAPI'!$B$10:$B$116,$A8,'DAILY CHAMP SAPI'!T$10:T$116)</f>
        <v>0</v>
      </c>
      <c r="O8" s="8">
        <f>SUMIF('DAILY CHAMP SAPI'!$B$10:$B$116,$A8,'DAILY CHAMP SAPI'!U$10:U$116)</f>
        <v>0</v>
      </c>
      <c r="P8" s="8">
        <f>SUMIF('DAILY CHAMP SAPI'!$B$10:$B$116,$A8,'DAILY CHAMP SAPI'!V$10:V$116)</f>
        <v>0</v>
      </c>
      <c r="Q8" s="8">
        <f>SUMIF('DAILY CHAMP SAPI'!$B$10:$B$116,$A8,'DAILY CHAMP SAPI'!W$10:W$116)</f>
        <v>0</v>
      </c>
      <c r="R8" s="8">
        <f>SUMIF('DAILY CHAMP SAPI'!$B$10:$B$116,$A8,'DAILY CHAMP SAPI'!X$10:X$116)</f>
        <v>0</v>
      </c>
      <c r="S8" s="8">
        <f>SUMIF('DAILY CHAMP SAPI'!$B$10:$B$116,$A8,'DAILY CHAMP SAPI'!Y$10:Y$116)</f>
        <v>0</v>
      </c>
      <c r="T8" s="8">
        <f>SUMIF('DAILY CHAMP SAPI'!$B$10:$B$116,$A8,'DAILY CHAMP SAPI'!Z$10:Z$116)</f>
        <v>0</v>
      </c>
      <c r="U8" s="8">
        <f>SUMIF('DAILY CHAMP SAPI'!$B$10:$B$116,$A8,'DAILY CHAMP SAPI'!AA$10:AA$116)</f>
        <v>0</v>
      </c>
      <c r="V8" s="8">
        <f>SUMIF('DAILY CHAMP SAPI'!$B$10:$B$116,$A8,'DAILY CHAMP SAPI'!AB$10:AB$116)</f>
        <v>0</v>
      </c>
      <c r="W8" s="59">
        <f t="shared" si="0"/>
        <v>0</v>
      </c>
      <c r="X8" s="60">
        <f t="shared" ca="1" si="1"/>
        <v>0</v>
      </c>
      <c r="Y8" s="47">
        <f t="shared" ca="1" si="2"/>
        <v>0</v>
      </c>
      <c r="Z8" s="88" t="e">
        <f ca="1">+C8/B8</f>
        <v>#DIV/0!</v>
      </c>
      <c r="AA8" s="89" t="e">
        <f ca="1">100%-Z8</f>
        <v>#DIV/0!</v>
      </c>
      <c r="AB8" s="112">
        <f>+'Actual VS SAP'!O10</f>
        <v>0</v>
      </c>
      <c r="AC8" s="48">
        <f t="shared" si="3"/>
        <v>0</v>
      </c>
      <c r="AD8" s="89" t="e">
        <f t="shared" si="4"/>
        <v>#DIV/0!</v>
      </c>
    </row>
    <row r="9" spans="1:30">
      <c r="A9" s="7">
        <f>+'ALL SORTASI'!A11</f>
        <v>46209</v>
      </c>
      <c r="B9" s="8">
        <f ca="1">SUMIF('DAILY CHAMP SAPI'!$B$10:$B$116,$A9,'DAILY CHAMP SAPI'!$D$10:$D$115)</f>
        <v>0</v>
      </c>
      <c r="C9" s="8">
        <f>SUMIF('DAILY CHAMP SAPI'!$B$10:$B$116,$A9,'DAILY CHAMP SAPI'!I$10:I$116)</f>
        <v>0</v>
      </c>
      <c r="D9" s="8">
        <f>SUMIF('DAILY CHAMP SAPI'!$B$10:$B$116,$A9,'DAILY CHAMP SAPI'!J$10:J$116)</f>
        <v>0</v>
      </c>
      <c r="E9" s="8">
        <f>SUMIF('DAILY CHAMP SAPI'!$B$10:$B$116,$A9,'DAILY CHAMP SAPI'!K$10:K$116)</f>
        <v>0</v>
      </c>
      <c r="F9" s="8">
        <f>SUMIF('DAILY CHAMP SAPI'!$B$10:$B$116,$A9,'DAILY CHAMP SAPI'!L$10:L$116)</f>
        <v>0</v>
      </c>
      <c r="G9" s="8">
        <f>SUMIF('DAILY CHAMP SAPI'!$B$10:$B$116,$A9,'DAILY CHAMP SAPI'!M$10:M$116)</f>
        <v>0</v>
      </c>
      <c r="H9" s="8">
        <f>SUMIF('DAILY CHAMP SAPI'!$B$10:$B$116,$A9,'DAILY CHAMP SAPI'!N$10:N$116)</f>
        <v>0</v>
      </c>
      <c r="I9" s="8">
        <f>SUMIF('DAILY CHAMP SAPI'!$B$10:$B$116,$A9,'DAILY CHAMP SAPI'!O$10:O$116)</f>
        <v>0</v>
      </c>
      <c r="J9" s="8">
        <f>SUMIF('DAILY CHAMP SAPI'!$B$10:$B$116,$A9,'DAILY CHAMP SAPI'!P$10:P$116)</f>
        <v>0</v>
      </c>
      <c r="K9" s="8">
        <f>SUMIF('DAILY CHAMP SAPI'!$B$10:$B$116,$A9,'DAILY CHAMP SAPI'!Q$10:Q$116)</f>
        <v>0</v>
      </c>
      <c r="L9" s="8">
        <f>SUMIF('DAILY CHAMP SAPI'!$B$10:$B$116,$A9,'DAILY CHAMP SAPI'!R$10:R$116)</f>
        <v>0</v>
      </c>
      <c r="M9" s="8">
        <f>SUMIF('DAILY CHAMP SAPI'!$B$10:$B$116,$A9,'DAILY CHAMP SAPI'!S$10:S$116)</f>
        <v>0</v>
      </c>
      <c r="N9" s="8">
        <f>SUMIF('DAILY CHAMP SAPI'!$B$10:$B$116,$A9,'DAILY CHAMP SAPI'!T$10:T$116)</f>
        <v>0</v>
      </c>
      <c r="O9" s="8">
        <f>SUMIF('DAILY CHAMP SAPI'!$B$10:$B$116,$A9,'DAILY CHAMP SAPI'!U$10:U$116)</f>
        <v>0</v>
      </c>
      <c r="P9" s="8">
        <f>SUMIF('DAILY CHAMP SAPI'!$B$10:$B$116,$A9,'DAILY CHAMP SAPI'!V$10:V$116)</f>
        <v>0</v>
      </c>
      <c r="Q9" s="8">
        <f>SUMIF('DAILY CHAMP SAPI'!$B$10:$B$116,$A9,'DAILY CHAMP SAPI'!W$10:W$116)</f>
        <v>0</v>
      </c>
      <c r="R9" s="8">
        <f>SUMIF('DAILY CHAMP SAPI'!$B$10:$B$116,$A9,'DAILY CHAMP SAPI'!X$10:X$116)</f>
        <v>0</v>
      </c>
      <c r="S9" s="8">
        <f>SUMIF('DAILY CHAMP SAPI'!$B$10:$B$116,$A9,'DAILY CHAMP SAPI'!Y$10:Y$116)</f>
        <v>0</v>
      </c>
      <c r="T9" s="8">
        <f>SUMIF('DAILY CHAMP SAPI'!$B$10:$B$116,$A9,'DAILY CHAMP SAPI'!Z$10:Z$116)</f>
        <v>0</v>
      </c>
      <c r="U9" s="8">
        <f>SUMIF('DAILY CHAMP SAPI'!$B$10:$B$116,$A9,'DAILY CHAMP SAPI'!AA$10:AA$116)</f>
        <v>0</v>
      </c>
      <c r="V9" s="8">
        <f>SUMIF('DAILY CHAMP SAPI'!$B$10:$B$116,$A9,'DAILY CHAMP SAPI'!AB$10:AB$116)</f>
        <v>0</v>
      </c>
      <c r="W9" s="59">
        <f t="shared" si="0"/>
        <v>0</v>
      </c>
      <c r="X9" s="60">
        <f t="shared" ca="1" si="1"/>
        <v>0</v>
      </c>
      <c r="Y9" s="47">
        <f t="shared" ca="1" si="2"/>
        <v>0</v>
      </c>
      <c r="Z9" s="88" t="e">
        <f t="shared" ref="Z9:Z33" ca="1" si="5">+C9/B9</f>
        <v>#DIV/0!</v>
      </c>
      <c r="AA9" s="89" t="e">
        <f t="shared" ref="AA9:AA34" ca="1" si="6">100%-Z9</f>
        <v>#DIV/0!</v>
      </c>
      <c r="AB9" s="112">
        <f>+'Actual VS SAP'!O11</f>
        <v>0</v>
      </c>
      <c r="AC9" s="48">
        <f t="shared" si="3"/>
        <v>0</v>
      </c>
      <c r="AD9" s="89" t="e">
        <f t="shared" si="4"/>
        <v>#DIV/0!</v>
      </c>
    </row>
    <row r="10" spans="1:30">
      <c r="A10" s="7">
        <f>+'ALL SORTASI'!A12</f>
        <v>46210</v>
      </c>
      <c r="B10" s="8">
        <f ca="1">SUMIF('DAILY CHAMP SAPI'!$B$10:$B$116,$A10,'DAILY CHAMP SAPI'!$D$10:$D$115)</f>
        <v>0</v>
      </c>
      <c r="C10" s="8">
        <f>SUMIF('DAILY CHAMP SAPI'!$B$10:$B$116,$A10,'DAILY CHAMP SAPI'!I$10:I$116)</f>
        <v>0</v>
      </c>
      <c r="D10" s="8">
        <f>SUMIF('DAILY CHAMP SAPI'!$B$10:$B$116,$A10,'DAILY CHAMP SAPI'!J$10:J$116)</f>
        <v>0</v>
      </c>
      <c r="E10" s="8">
        <f>SUMIF('DAILY CHAMP SAPI'!$B$10:$B$116,$A10,'DAILY CHAMP SAPI'!K$10:K$116)</f>
        <v>0</v>
      </c>
      <c r="F10" s="8">
        <f>SUMIF('DAILY CHAMP SAPI'!$B$10:$B$116,$A10,'DAILY CHAMP SAPI'!L$10:L$116)</f>
        <v>0</v>
      </c>
      <c r="G10" s="8">
        <f>SUMIF('DAILY CHAMP SAPI'!$B$10:$B$116,$A10,'DAILY CHAMP SAPI'!M$10:M$116)</f>
        <v>0</v>
      </c>
      <c r="H10" s="8">
        <f>SUMIF('DAILY CHAMP SAPI'!$B$10:$B$116,$A10,'DAILY CHAMP SAPI'!N$10:N$116)</f>
        <v>0</v>
      </c>
      <c r="I10" s="8">
        <f>SUMIF('DAILY CHAMP SAPI'!$B$10:$B$116,$A10,'DAILY CHAMP SAPI'!O$10:O$116)</f>
        <v>0</v>
      </c>
      <c r="J10" s="8">
        <f>SUMIF('DAILY CHAMP SAPI'!$B$10:$B$116,$A10,'DAILY CHAMP SAPI'!P$10:P$116)</f>
        <v>0</v>
      </c>
      <c r="K10" s="8">
        <f>SUMIF('DAILY CHAMP SAPI'!$B$10:$B$116,$A10,'DAILY CHAMP SAPI'!Q$10:Q$116)</f>
        <v>0</v>
      </c>
      <c r="L10" s="8">
        <f>SUMIF('DAILY CHAMP SAPI'!$B$10:$B$116,$A10,'DAILY CHAMP SAPI'!R$10:R$116)</f>
        <v>0</v>
      </c>
      <c r="M10" s="8">
        <f>SUMIF('DAILY CHAMP SAPI'!$B$10:$B$116,$A10,'DAILY CHAMP SAPI'!S$10:S$116)</f>
        <v>0</v>
      </c>
      <c r="N10" s="8">
        <f>SUMIF('DAILY CHAMP SAPI'!$B$10:$B$116,$A10,'DAILY CHAMP SAPI'!T$10:T$116)</f>
        <v>0</v>
      </c>
      <c r="O10" s="8">
        <f>SUMIF('DAILY CHAMP SAPI'!$B$10:$B$116,$A10,'DAILY CHAMP SAPI'!U$10:U$116)</f>
        <v>0</v>
      </c>
      <c r="P10" s="8">
        <f>SUMIF('DAILY CHAMP SAPI'!$B$10:$B$116,$A10,'DAILY CHAMP SAPI'!V$10:V$116)</f>
        <v>0</v>
      </c>
      <c r="Q10" s="8">
        <f>SUMIF('DAILY CHAMP SAPI'!$B$10:$B$116,$A10,'DAILY CHAMP SAPI'!W$10:W$116)</f>
        <v>0</v>
      </c>
      <c r="R10" s="8">
        <f>SUMIF('DAILY CHAMP SAPI'!$B$10:$B$116,$A10,'DAILY CHAMP SAPI'!X$10:X$116)</f>
        <v>0</v>
      </c>
      <c r="S10" s="8">
        <f>SUMIF('DAILY CHAMP SAPI'!$B$10:$B$116,$A10,'DAILY CHAMP SAPI'!Y$10:Y$116)</f>
        <v>0</v>
      </c>
      <c r="T10" s="8">
        <f>SUMIF('DAILY CHAMP SAPI'!$B$10:$B$116,$A10,'DAILY CHAMP SAPI'!Z$10:Z$116)</f>
        <v>0</v>
      </c>
      <c r="U10" s="8">
        <f>SUMIF('DAILY CHAMP SAPI'!$B$10:$B$116,$A10,'DAILY CHAMP SAPI'!AA$10:AA$116)</f>
        <v>0</v>
      </c>
      <c r="V10" s="8">
        <f>SUMIF('DAILY CHAMP SAPI'!$B$10:$B$116,$A10,'DAILY CHAMP SAPI'!AB$10:AB$116)</f>
        <v>0</v>
      </c>
      <c r="W10" s="59">
        <f t="shared" si="0"/>
        <v>0</v>
      </c>
      <c r="X10" s="60">
        <f t="shared" ca="1" si="1"/>
        <v>0</v>
      </c>
      <c r="Y10" s="47">
        <f t="shared" ca="1" si="2"/>
        <v>0</v>
      </c>
      <c r="Z10" s="88" t="e">
        <f t="shared" ca="1" si="5"/>
        <v>#DIV/0!</v>
      </c>
      <c r="AA10" s="89" t="e">
        <f t="shared" ca="1" si="6"/>
        <v>#DIV/0!</v>
      </c>
      <c r="AB10" s="112"/>
      <c r="AC10" s="337">
        <f>+AB10*$AC$3</f>
        <v>0</v>
      </c>
      <c r="AD10" s="89" t="e">
        <f t="shared" si="4"/>
        <v>#DIV/0!</v>
      </c>
    </row>
    <row r="11" spans="1:30">
      <c r="A11" s="7">
        <f>+'ALL SORTASI'!A13</f>
        <v>46211</v>
      </c>
      <c r="B11" s="8">
        <f ca="1">SUMIF('DAILY CHAMP SAPI'!$B$10:$B$116,$A11,'DAILY CHAMP SAPI'!$D$10:$D$115)</f>
        <v>0</v>
      </c>
      <c r="C11" s="8">
        <f>SUMIF('DAILY CHAMP SAPI'!$B$10:$B$116,$A11,'DAILY CHAMP SAPI'!I$10:I$116)</f>
        <v>0</v>
      </c>
      <c r="D11" s="8">
        <f>SUMIF('DAILY CHAMP SAPI'!$B$10:$B$116,$A11,'DAILY CHAMP SAPI'!J$10:J$116)</f>
        <v>0</v>
      </c>
      <c r="E11" s="8">
        <f>SUMIF('DAILY CHAMP SAPI'!$B$10:$B$116,$A11,'DAILY CHAMP SAPI'!K$10:K$116)</f>
        <v>0</v>
      </c>
      <c r="F11" s="8">
        <f>SUMIF('DAILY CHAMP SAPI'!$B$10:$B$116,$A11,'DAILY CHAMP SAPI'!L$10:L$116)</f>
        <v>0</v>
      </c>
      <c r="G11" s="8">
        <f>SUMIF('DAILY CHAMP SAPI'!$B$10:$B$116,$A11,'DAILY CHAMP SAPI'!M$10:M$116)</f>
        <v>0</v>
      </c>
      <c r="H11" s="8">
        <f>SUMIF('DAILY CHAMP SAPI'!$B$10:$B$116,$A11,'DAILY CHAMP SAPI'!N$10:N$116)</f>
        <v>0</v>
      </c>
      <c r="I11" s="8">
        <f>SUMIF('DAILY CHAMP SAPI'!$B$10:$B$116,$A11,'DAILY CHAMP SAPI'!O$10:O$116)</f>
        <v>0</v>
      </c>
      <c r="J11" s="8">
        <f>SUMIF('DAILY CHAMP SAPI'!$B$10:$B$116,$A11,'DAILY CHAMP SAPI'!P$10:P$116)</f>
        <v>0</v>
      </c>
      <c r="K11" s="8">
        <f>SUMIF('DAILY CHAMP SAPI'!$B$10:$B$116,$A11,'DAILY CHAMP SAPI'!Q$10:Q$116)</f>
        <v>0</v>
      </c>
      <c r="L11" s="8">
        <f>SUMIF('DAILY CHAMP SAPI'!$B$10:$B$116,$A11,'DAILY CHAMP SAPI'!R$10:R$116)</f>
        <v>0</v>
      </c>
      <c r="M11" s="8">
        <f>SUMIF('DAILY CHAMP SAPI'!$B$10:$B$116,$A11,'DAILY CHAMP SAPI'!S$10:S$116)</f>
        <v>0</v>
      </c>
      <c r="N11" s="8">
        <f>SUMIF('DAILY CHAMP SAPI'!$B$10:$B$116,$A11,'DAILY CHAMP SAPI'!T$10:T$116)</f>
        <v>0</v>
      </c>
      <c r="O11" s="8">
        <f>SUMIF('DAILY CHAMP SAPI'!$B$10:$B$116,$A11,'DAILY CHAMP SAPI'!U$10:U$116)</f>
        <v>0</v>
      </c>
      <c r="P11" s="8">
        <f>SUMIF('DAILY CHAMP SAPI'!$B$10:$B$116,$A11,'DAILY CHAMP SAPI'!V$10:V$116)</f>
        <v>0</v>
      </c>
      <c r="Q11" s="8">
        <f>SUMIF('DAILY CHAMP SAPI'!$B$10:$B$116,$A11,'DAILY CHAMP SAPI'!W$10:W$116)</f>
        <v>0</v>
      </c>
      <c r="R11" s="8">
        <f>SUMIF('DAILY CHAMP SAPI'!$B$10:$B$116,$A11,'DAILY CHAMP SAPI'!X$10:X$116)</f>
        <v>0</v>
      </c>
      <c r="S11" s="8">
        <f>SUMIF('DAILY CHAMP SAPI'!$B$10:$B$116,$A11,'DAILY CHAMP SAPI'!Y$10:Y$116)</f>
        <v>0</v>
      </c>
      <c r="T11" s="8">
        <f>SUMIF('DAILY CHAMP SAPI'!$B$10:$B$116,$A11,'DAILY CHAMP SAPI'!Z$10:Z$116)</f>
        <v>0</v>
      </c>
      <c r="U11" s="8">
        <f>SUMIF('DAILY CHAMP SAPI'!$B$10:$B$116,$A11,'DAILY CHAMP SAPI'!AA$10:AA$116)</f>
        <v>0</v>
      </c>
      <c r="V11" s="8">
        <f>SUMIF('DAILY CHAMP SAPI'!$B$10:$B$116,$A11,'DAILY CHAMP SAPI'!AB$10:AB$116)</f>
        <v>0</v>
      </c>
      <c r="W11" s="59">
        <f t="shared" si="0"/>
        <v>0</v>
      </c>
      <c r="X11" s="60">
        <f t="shared" ca="1" si="1"/>
        <v>0</v>
      </c>
      <c r="Y11" s="47">
        <f t="shared" ca="1" si="2"/>
        <v>0</v>
      </c>
      <c r="Z11" s="88" t="e">
        <f t="shared" ca="1" si="5"/>
        <v>#DIV/0!</v>
      </c>
      <c r="AA11" s="89" t="e">
        <f t="shared" ca="1" si="6"/>
        <v>#DIV/0!</v>
      </c>
      <c r="AB11" s="112">
        <f>+'Actual VS SAP'!O13</f>
        <v>0</v>
      </c>
      <c r="AC11" s="48">
        <f t="shared" si="3"/>
        <v>0</v>
      </c>
      <c r="AD11" s="89" t="e">
        <f t="shared" si="4"/>
        <v>#DIV/0!</v>
      </c>
    </row>
    <row r="12" spans="1:30">
      <c r="A12" s="7">
        <f>+'ALL SORTASI'!A14</f>
        <v>46212</v>
      </c>
      <c r="B12" s="8">
        <f ca="1">SUMIF('DAILY CHAMP SAPI'!$B$10:$B$116,$A12,'DAILY CHAMP SAPI'!$D$10:$D$115)</f>
        <v>0</v>
      </c>
      <c r="C12" s="8">
        <f>SUMIF('DAILY CHAMP SAPI'!$B$10:$B$116,$A12,'DAILY CHAMP SAPI'!I$10:I$116)</f>
        <v>0</v>
      </c>
      <c r="D12" s="8">
        <f>SUMIF('DAILY CHAMP SAPI'!$B$10:$B$116,$A12,'DAILY CHAMP SAPI'!J$10:J$116)</f>
        <v>0</v>
      </c>
      <c r="E12" s="8">
        <f>SUMIF('DAILY CHAMP SAPI'!$B$10:$B$116,$A12,'DAILY CHAMP SAPI'!K$10:K$116)</f>
        <v>0</v>
      </c>
      <c r="F12" s="8">
        <f>SUMIF('DAILY CHAMP SAPI'!$B$10:$B$116,$A12,'DAILY CHAMP SAPI'!L$10:L$116)</f>
        <v>0</v>
      </c>
      <c r="G12" s="8">
        <f>SUMIF('DAILY CHAMP SAPI'!$B$10:$B$116,$A12,'DAILY CHAMP SAPI'!M$10:M$116)</f>
        <v>0</v>
      </c>
      <c r="H12" s="8">
        <f>SUMIF('DAILY CHAMP SAPI'!$B$10:$B$116,$A12,'DAILY CHAMP SAPI'!N$10:N$116)</f>
        <v>0</v>
      </c>
      <c r="I12" s="8">
        <f>SUMIF('DAILY CHAMP SAPI'!$B$10:$B$116,$A12,'DAILY CHAMP SAPI'!O$10:O$116)</f>
        <v>0</v>
      </c>
      <c r="J12" s="8">
        <f>SUMIF('DAILY CHAMP SAPI'!$B$10:$B$116,$A12,'DAILY CHAMP SAPI'!P$10:P$116)</f>
        <v>0</v>
      </c>
      <c r="K12" s="8">
        <f>SUMIF('DAILY CHAMP SAPI'!$B$10:$B$116,$A12,'DAILY CHAMP SAPI'!Q$10:Q$116)</f>
        <v>0</v>
      </c>
      <c r="L12" s="8">
        <f>SUMIF('DAILY CHAMP SAPI'!$B$10:$B$116,$A12,'DAILY CHAMP SAPI'!R$10:R$116)</f>
        <v>0</v>
      </c>
      <c r="M12" s="8">
        <f>SUMIF('DAILY CHAMP SAPI'!$B$10:$B$116,$A12,'DAILY CHAMP SAPI'!S$10:S$116)</f>
        <v>0</v>
      </c>
      <c r="N12" s="8">
        <f>SUMIF('DAILY CHAMP SAPI'!$B$10:$B$116,$A12,'DAILY CHAMP SAPI'!T$10:T$116)</f>
        <v>0</v>
      </c>
      <c r="O12" s="8">
        <f>SUMIF('DAILY CHAMP SAPI'!$B$10:$B$116,$A12,'DAILY CHAMP SAPI'!U$10:U$116)</f>
        <v>0</v>
      </c>
      <c r="P12" s="8">
        <f>SUMIF('DAILY CHAMP SAPI'!$B$10:$B$116,$A12,'DAILY CHAMP SAPI'!V$10:V$116)</f>
        <v>0</v>
      </c>
      <c r="Q12" s="8">
        <f>SUMIF('DAILY CHAMP SAPI'!$B$10:$B$116,$A12,'DAILY CHAMP SAPI'!W$10:W$116)</f>
        <v>0</v>
      </c>
      <c r="R12" s="8">
        <f>SUMIF('DAILY CHAMP SAPI'!$B$10:$B$116,$A12,'DAILY CHAMP SAPI'!X$10:X$116)</f>
        <v>0</v>
      </c>
      <c r="S12" s="8">
        <f>SUMIF('DAILY CHAMP SAPI'!$B$10:$B$116,$A12,'DAILY CHAMP SAPI'!Y$10:Y$116)</f>
        <v>0</v>
      </c>
      <c r="T12" s="8">
        <f>SUMIF('DAILY CHAMP SAPI'!$B$10:$B$116,$A12,'DAILY CHAMP SAPI'!Z$10:Z$116)</f>
        <v>0</v>
      </c>
      <c r="U12" s="8">
        <f>SUMIF('DAILY CHAMP SAPI'!$B$10:$B$116,$A12,'DAILY CHAMP SAPI'!AA$10:AA$116)</f>
        <v>0</v>
      </c>
      <c r="V12" s="8">
        <f>SUMIF('DAILY CHAMP SAPI'!$B$10:$B$116,$A12,'DAILY CHAMP SAPI'!AB$10:AB$116)</f>
        <v>0</v>
      </c>
      <c r="W12" s="59">
        <f t="shared" si="0"/>
        <v>0</v>
      </c>
      <c r="X12" s="60">
        <f t="shared" ca="1" si="1"/>
        <v>0</v>
      </c>
      <c r="Y12" s="47">
        <f t="shared" ca="1" si="2"/>
        <v>0</v>
      </c>
      <c r="Z12" s="88" t="e">
        <f t="shared" ca="1" si="5"/>
        <v>#DIV/0!</v>
      </c>
      <c r="AA12" s="89" t="e">
        <f t="shared" ca="1" si="6"/>
        <v>#DIV/0!</v>
      </c>
      <c r="AB12" s="112">
        <f>+'Actual VS SAP'!O14</f>
        <v>0</v>
      </c>
      <c r="AC12" s="48">
        <f t="shared" si="3"/>
        <v>0</v>
      </c>
      <c r="AD12" s="89" t="e">
        <f t="shared" si="4"/>
        <v>#DIV/0!</v>
      </c>
    </row>
    <row r="13" spans="1:30">
      <c r="A13" s="7">
        <f>+'ALL SORTASI'!A15</f>
        <v>46213</v>
      </c>
      <c r="B13" s="8">
        <f ca="1">SUMIF('DAILY CHAMP SAPI'!$B$10:$B$116,$A13,'DAILY CHAMP SAPI'!$D$10:$D$115)</f>
        <v>0</v>
      </c>
      <c r="C13" s="8">
        <f>SUMIF('DAILY CHAMP SAPI'!$B$10:$B$116,$A13,'DAILY CHAMP SAPI'!I$10:I$116)</f>
        <v>0</v>
      </c>
      <c r="D13" s="8">
        <f>SUMIF('DAILY CHAMP SAPI'!$B$10:$B$116,$A13,'DAILY CHAMP SAPI'!J$10:J$116)</f>
        <v>0</v>
      </c>
      <c r="E13" s="8">
        <f>SUMIF('DAILY CHAMP SAPI'!$B$10:$B$116,$A13,'DAILY CHAMP SAPI'!K$10:K$116)</f>
        <v>0</v>
      </c>
      <c r="F13" s="8">
        <f>SUMIF('DAILY CHAMP SAPI'!$B$10:$B$116,$A13,'DAILY CHAMP SAPI'!L$10:L$116)</f>
        <v>0</v>
      </c>
      <c r="G13" s="8">
        <f>SUMIF('DAILY CHAMP SAPI'!$B$10:$B$116,$A13,'DAILY CHAMP SAPI'!M$10:M$116)</f>
        <v>0</v>
      </c>
      <c r="H13" s="8">
        <f>SUMIF('DAILY CHAMP SAPI'!$B$10:$B$116,$A13,'DAILY CHAMP SAPI'!N$10:N$116)</f>
        <v>0</v>
      </c>
      <c r="I13" s="8">
        <f>SUMIF('DAILY CHAMP SAPI'!$B$10:$B$116,$A13,'DAILY CHAMP SAPI'!O$10:O$116)</f>
        <v>0</v>
      </c>
      <c r="J13" s="8">
        <f>SUMIF('DAILY CHAMP SAPI'!$B$10:$B$116,$A13,'DAILY CHAMP SAPI'!P$10:P$116)</f>
        <v>0</v>
      </c>
      <c r="K13" s="8">
        <f>SUMIF('DAILY CHAMP SAPI'!$B$10:$B$116,$A13,'DAILY CHAMP SAPI'!Q$10:Q$116)</f>
        <v>0</v>
      </c>
      <c r="L13" s="8">
        <f>SUMIF('DAILY CHAMP SAPI'!$B$10:$B$116,$A13,'DAILY CHAMP SAPI'!R$10:R$116)</f>
        <v>0</v>
      </c>
      <c r="M13" s="8">
        <f>SUMIF('DAILY CHAMP SAPI'!$B$10:$B$116,$A13,'DAILY CHAMP SAPI'!S$10:S$116)</f>
        <v>0</v>
      </c>
      <c r="N13" s="8">
        <f>SUMIF('DAILY CHAMP SAPI'!$B$10:$B$116,$A13,'DAILY CHAMP SAPI'!T$10:T$116)</f>
        <v>0</v>
      </c>
      <c r="O13" s="8">
        <f>SUMIF('DAILY CHAMP SAPI'!$B$10:$B$116,$A13,'DAILY CHAMP SAPI'!U$10:U$116)</f>
        <v>0</v>
      </c>
      <c r="P13" s="8">
        <f>SUMIF('DAILY CHAMP SAPI'!$B$10:$B$116,$A13,'DAILY CHAMP SAPI'!V$10:V$116)</f>
        <v>0</v>
      </c>
      <c r="Q13" s="8">
        <f>SUMIF('DAILY CHAMP SAPI'!$B$10:$B$116,$A13,'DAILY CHAMP SAPI'!W$10:W$116)</f>
        <v>0</v>
      </c>
      <c r="R13" s="8">
        <f>SUMIF('DAILY CHAMP SAPI'!$B$10:$B$116,$A13,'DAILY CHAMP SAPI'!X$10:X$116)</f>
        <v>0</v>
      </c>
      <c r="S13" s="8">
        <f>SUMIF('DAILY CHAMP SAPI'!$B$10:$B$116,$A13,'DAILY CHAMP SAPI'!Y$10:Y$116)</f>
        <v>0</v>
      </c>
      <c r="T13" s="8">
        <f>SUMIF('DAILY CHAMP SAPI'!$B$10:$B$116,$A13,'DAILY CHAMP SAPI'!Z$10:Z$116)</f>
        <v>0</v>
      </c>
      <c r="U13" s="8">
        <f>SUMIF('DAILY CHAMP SAPI'!$B$10:$B$116,$A13,'DAILY CHAMP SAPI'!AA$10:AA$116)</f>
        <v>0</v>
      </c>
      <c r="V13" s="8">
        <f>SUMIF('DAILY CHAMP SAPI'!$B$10:$B$116,$A13,'DAILY CHAMP SAPI'!AB$10:AB$116)</f>
        <v>0</v>
      </c>
      <c r="W13" s="59">
        <f t="shared" si="0"/>
        <v>0</v>
      </c>
      <c r="X13" s="60">
        <f t="shared" ca="1" si="1"/>
        <v>0</v>
      </c>
      <c r="Y13" s="47">
        <f t="shared" ca="1" si="2"/>
        <v>0</v>
      </c>
      <c r="Z13" s="88" t="e">
        <f t="shared" ca="1" si="5"/>
        <v>#DIV/0!</v>
      </c>
      <c r="AA13" s="89" t="e">
        <f t="shared" ca="1" si="6"/>
        <v>#DIV/0!</v>
      </c>
      <c r="AB13" s="112">
        <f>+'Actual VS SAP'!O15</f>
        <v>0</v>
      </c>
      <c r="AC13" s="48">
        <f t="shared" si="3"/>
        <v>0</v>
      </c>
      <c r="AD13" s="89" t="e">
        <f t="shared" si="4"/>
        <v>#DIV/0!</v>
      </c>
    </row>
    <row r="14" spans="1:30">
      <c r="A14" s="7">
        <f>+'ALL SORTASI'!A16</f>
        <v>46214</v>
      </c>
      <c r="B14" s="8">
        <f ca="1">SUMIF('DAILY CHAMP SAPI'!$B$10:$B$116,$A14,'DAILY CHAMP SAPI'!$D$10:$D$115)</f>
        <v>0</v>
      </c>
      <c r="C14" s="8">
        <f>SUMIF('DAILY CHAMP SAPI'!$B$10:$B$116,$A14,'DAILY CHAMP SAPI'!I$10:I$116)</f>
        <v>0</v>
      </c>
      <c r="D14" s="8">
        <f>SUMIF('DAILY CHAMP SAPI'!$B$10:$B$116,$A14,'DAILY CHAMP SAPI'!J$10:J$116)</f>
        <v>0</v>
      </c>
      <c r="E14" s="8">
        <f>SUMIF('DAILY CHAMP SAPI'!$B$10:$B$116,$A14,'DAILY CHAMP SAPI'!K$10:K$116)</f>
        <v>0</v>
      </c>
      <c r="F14" s="8">
        <f>SUMIF('DAILY CHAMP SAPI'!$B$10:$B$116,$A14,'DAILY CHAMP SAPI'!L$10:L$116)</f>
        <v>0</v>
      </c>
      <c r="G14" s="8">
        <f>SUMIF('DAILY CHAMP SAPI'!$B$10:$B$116,$A14,'DAILY CHAMP SAPI'!M$10:M$116)</f>
        <v>0</v>
      </c>
      <c r="H14" s="8">
        <f>SUMIF('DAILY CHAMP SAPI'!$B$10:$B$116,$A14,'DAILY CHAMP SAPI'!N$10:N$116)</f>
        <v>0</v>
      </c>
      <c r="I14" s="8">
        <f>SUMIF('DAILY CHAMP SAPI'!$B$10:$B$116,$A14,'DAILY CHAMP SAPI'!O$10:O$116)</f>
        <v>0</v>
      </c>
      <c r="J14" s="8">
        <f>SUMIF('DAILY CHAMP SAPI'!$B$10:$B$116,$A14,'DAILY CHAMP SAPI'!P$10:P$116)</f>
        <v>0</v>
      </c>
      <c r="K14" s="8">
        <f>SUMIF('DAILY CHAMP SAPI'!$B$10:$B$116,$A14,'DAILY CHAMP SAPI'!Q$10:Q$116)</f>
        <v>0</v>
      </c>
      <c r="L14" s="8">
        <f>SUMIF('DAILY CHAMP SAPI'!$B$10:$B$116,$A14,'DAILY CHAMP SAPI'!R$10:R$116)</f>
        <v>0</v>
      </c>
      <c r="M14" s="8">
        <f>SUMIF('DAILY CHAMP SAPI'!$B$10:$B$116,$A14,'DAILY CHAMP SAPI'!S$10:S$116)</f>
        <v>0</v>
      </c>
      <c r="N14" s="8">
        <f>SUMIF('DAILY CHAMP SAPI'!$B$10:$B$116,$A14,'DAILY CHAMP SAPI'!T$10:T$116)</f>
        <v>0</v>
      </c>
      <c r="O14" s="8">
        <f>SUMIF('DAILY CHAMP SAPI'!$B$10:$B$116,$A14,'DAILY CHAMP SAPI'!U$10:U$116)</f>
        <v>0</v>
      </c>
      <c r="P14" s="8">
        <f>SUMIF('DAILY CHAMP SAPI'!$B$10:$B$116,$A14,'DAILY CHAMP SAPI'!V$10:V$116)</f>
        <v>0</v>
      </c>
      <c r="Q14" s="8">
        <f>SUMIF('DAILY CHAMP SAPI'!$B$10:$B$116,$A14,'DAILY CHAMP SAPI'!W$10:W$116)</f>
        <v>0</v>
      </c>
      <c r="R14" s="8">
        <f>SUMIF('DAILY CHAMP SAPI'!$B$10:$B$116,$A14,'DAILY CHAMP SAPI'!X$10:X$116)</f>
        <v>0</v>
      </c>
      <c r="S14" s="8">
        <f>SUMIF('DAILY CHAMP SAPI'!$B$10:$B$116,$A14,'DAILY CHAMP SAPI'!Y$10:Y$116)</f>
        <v>0</v>
      </c>
      <c r="T14" s="8">
        <f>SUMIF('DAILY CHAMP SAPI'!$B$10:$B$116,$A14,'DAILY CHAMP SAPI'!Z$10:Z$116)</f>
        <v>0</v>
      </c>
      <c r="U14" s="8">
        <f>SUMIF('DAILY CHAMP SAPI'!$B$10:$B$116,$A14,'DAILY CHAMP SAPI'!AA$10:AA$116)</f>
        <v>0</v>
      </c>
      <c r="V14" s="8">
        <f>SUMIF('DAILY CHAMP SAPI'!$B$10:$B$116,$A14,'DAILY CHAMP SAPI'!AB$10:AB$116)</f>
        <v>0</v>
      </c>
      <c r="W14" s="59">
        <f t="shared" si="0"/>
        <v>0</v>
      </c>
      <c r="X14" s="60">
        <f t="shared" ca="1" si="1"/>
        <v>0</v>
      </c>
      <c r="Y14" s="47">
        <f t="shared" ca="1" si="2"/>
        <v>0</v>
      </c>
      <c r="Z14" s="88" t="e">
        <f t="shared" ca="1" si="5"/>
        <v>#DIV/0!</v>
      </c>
      <c r="AA14" s="89" t="e">
        <f t="shared" ca="1" si="6"/>
        <v>#DIV/0!</v>
      </c>
      <c r="AB14" s="112">
        <f>+'Actual VS SAP'!O16</f>
        <v>0</v>
      </c>
      <c r="AC14" s="48">
        <f t="shared" si="3"/>
        <v>0</v>
      </c>
      <c r="AD14" s="89" t="e">
        <f t="shared" si="4"/>
        <v>#DIV/0!</v>
      </c>
    </row>
    <row r="15" spans="1:30">
      <c r="A15" s="7">
        <f>+'ALL SORTASI'!A17</f>
        <v>46215</v>
      </c>
      <c r="B15" s="8">
        <f ca="1">SUMIF('DAILY CHAMP SAPI'!$B$10:$B$116,$A15,'DAILY CHAMP SAPI'!$D$10:$D$115)</f>
        <v>0</v>
      </c>
      <c r="C15" s="8">
        <f>SUMIF('DAILY CHAMP SAPI'!$B$10:$B$116,$A15,'DAILY CHAMP SAPI'!I$10:I$116)</f>
        <v>0</v>
      </c>
      <c r="D15" s="8">
        <f>SUMIF('DAILY CHAMP SAPI'!$B$10:$B$116,$A15,'DAILY CHAMP SAPI'!J$10:J$116)</f>
        <v>0</v>
      </c>
      <c r="E15" s="8">
        <f>SUMIF('DAILY CHAMP SAPI'!$B$10:$B$116,$A15,'DAILY CHAMP SAPI'!K$10:K$116)</f>
        <v>0</v>
      </c>
      <c r="F15" s="8">
        <f>SUMIF('DAILY CHAMP SAPI'!$B$10:$B$116,$A15,'DAILY CHAMP SAPI'!L$10:L$116)</f>
        <v>0</v>
      </c>
      <c r="G15" s="8">
        <f>SUMIF('DAILY CHAMP SAPI'!$B$10:$B$116,$A15,'DAILY CHAMP SAPI'!M$10:M$116)</f>
        <v>0</v>
      </c>
      <c r="H15" s="8">
        <f>SUMIF('DAILY CHAMP SAPI'!$B$10:$B$116,$A15,'DAILY CHAMP SAPI'!N$10:N$116)</f>
        <v>0</v>
      </c>
      <c r="I15" s="8">
        <f>SUMIF('DAILY CHAMP SAPI'!$B$10:$B$116,$A15,'DAILY CHAMP SAPI'!O$10:O$116)</f>
        <v>0</v>
      </c>
      <c r="J15" s="8">
        <f>SUMIF('DAILY CHAMP SAPI'!$B$10:$B$116,$A15,'DAILY CHAMP SAPI'!P$10:P$116)</f>
        <v>0</v>
      </c>
      <c r="K15" s="8">
        <f>SUMIF('DAILY CHAMP SAPI'!$B$10:$B$116,$A15,'DAILY CHAMP SAPI'!Q$10:Q$116)</f>
        <v>0</v>
      </c>
      <c r="L15" s="8">
        <f>SUMIF('DAILY CHAMP SAPI'!$B$10:$B$116,$A15,'DAILY CHAMP SAPI'!R$10:R$116)</f>
        <v>0</v>
      </c>
      <c r="M15" s="8">
        <f>SUMIF('DAILY CHAMP SAPI'!$B$10:$B$116,$A15,'DAILY CHAMP SAPI'!S$10:S$116)</f>
        <v>0</v>
      </c>
      <c r="N15" s="8">
        <f>SUMIF('DAILY CHAMP SAPI'!$B$10:$B$116,$A15,'DAILY CHAMP SAPI'!T$10:T$116)</f>
        <v>0</v>
      </c>
      <c r="O15" s="8">
        <f>SUMIF('DAILY CHAMP SAPI'!$B$10:$B$116,$A15,'DAILY CHAMP SAPI'!U$10:U$116)</f>
        <v>0</v>
      </c>
      <c r="P15" s="8">
        <f>SUMIF('DAILY CHAMP SAPI'!$B$10:$B$116,$A15,'DAILY CHAMP SAPI'!V$10:V$116)</f>
        <v>0</v>
      </c>
      <c r="Q15" s="8">
        <f>SUMIF('DAILY CHAMP SAPI'!$B$10:$B$116,$A15,'DAILY CHAMP SAPI'!W$10:W$116)</f>
        <v>0</v>
      </c>
      <c r="R15" s="8">
        <f>SUMIF('DAILY CHAMP SAPI'!$B$10:$B$116,$A15,'DAILY CHAMP SAPI'!X$10:X$116)</f>
        <v>0</v>
      </c>
      <c r="S15" s="8">
        <f>SUMIF('DAILY CHAMP SAPI'!$B$10:$B$116,$A15,'DAILY CHAMP SAPI'!Y$10:Y$116)</f>
        <v>0</v>
      </c>
      <c r="T15" s="8">
        <f>SUMIF('DAILY CHAMP SAPI'!$B$10:$B$116,$A15,'DAILY CHAMP SAPI'!Z$10:Z$116)</f>
        <v>0</v>
      </c>
      <c r="U15" s="8">
        <f>SUMIF('DAILY CHAMP SAPI'!$B$10:$B$116,$A15,'DAILY CHAMP SAPI'!AA$10:AA$116)</f>
        <v>0</v>
      </c>
      <c r="V15" s="8">
        <f>SUMIF('DAILY CHAMP SAPI'!$B$10:$B$116,$A15,'DAILY CHAMP SAPI'!AB$10:AB$116)</f>
        <v>0</v>
      </c>
      <c r="W15" s="59">
        <f t="shared" si="0"/>
        <v>0</v>
      </c>
      <c r="X15" s="60">
        <f t="shared" ca="1" si="1"/>
        <v>0</v>
      </c>
      <c r="Y15" s="47">
        <f t="shared" ca="1" si="2"/>
        <v>0</v>
      </c>
      <c r="Z15" s="88" t="e">
        <f t="shared" ca="1" si="5"/>
        <v>#DIV/0!</v>
      </c>
      <c r="AA15" s="89" t="e">
        <f t="shared" ca="1" si="6"/>
        <v>#DIV/0!</v>
      </c>
      <c r="AB15" s="112">
        <f>+'Actual VS SAP'!O17</f>
        <v>0</v>
      </c>
      <c r="AC15" s="48">
        <f t="shared" si="3"/>
        <v>0</v>
      </c>
      <c r="AD15" s="89" t="e">
        <f t="shared" si="4"/>
        <v>#DIV/0!</v>
      </c>
    </row>
    <row r="16" spans="1:30">
      <c r="A16" s="7">
        <f>+'ALL SORTASI'!A18</f>
        <v>46216</v>
      </c>
      <c r="B16" s="8">
        <f ca="1">SUMIF('DAILY CHAMP SAPI'!$B$10:$B$116,$A16,'DAILY CHAMP SAPI'!$D$10:$D$115)</f>
        <v>0</v>
      </c>
      <c r="C16" s="8">
        <f>SUMIF('DAILY CHAMP SAPI'!$B$10:$B$116,$A16,'DAILY CHAMP SAPI'!I$10:I$116)</f>
        <v>0</v>
      </c>
      <c r="D16" s="8">
        <f>SUMIF('DAILY CHAMP SAPI'!$B$10:$B$116,$A16,'DAILY CHAMP SAPI'!J$10:J$116)</f>
        <v>0</v>
      </c>
      <c r="E16" s="8">
        <f>SUMIF('DAILY CHAMP SAPI'!$B$10:$B$116,$A16,'DAILY CHAMP SAPI'!K$10:K$116)</f>
        <v>0</v>
      </c>
      <c r="F16" s="8">
        <f>SUMIF('DAILY CHAMP SAPI'!$B$10:$B$116,$A16,'DAILY CHAMP SAPI'!L$10:L$116)</f>
        <v>0</v>
      </c>
      <c r="G16" s="8">
        <f>SUMIF('DAILY CHAMP SAPI'!$B$10:$B$116,$A16,'DAILY CHAMP SAPI'!M$10:M$116)</f>
        <v>0</v>
      </c>
      <c r="H16" s="8">
        <f>SUMIF('DAILY CHAMP SAPI'!$B$10:$B$116,$A16,'DAILY CHAMP SAPI'!N$10:N$116)</f>
        <v>0</v>
      </c>
      <c r="I16" s="8">
        <f>SUMIF('DAILY CHAMP SAPI'!$B$10:$B$116,$A16,'DAILY CHAMP SAPI'!O$10:O$116)</f>
        <v>0</v>
      </c>
      <c r="J16" s="8">
        <f>SUMIF('DAILY CHAMP SAPI'!$B$10:$B$116,$A16,'DAILY CHAMP SAPI'!P$10:P$116)</f>
        <v>0</v>
      </c>
      <c r="K16" s="8">
        <f>SUMIF('DAILY CHAMP SAPI'!$B$10:$B$116,$A16,'DAILY CHAMP SAPI'!Q$10:Q$116)</f>
        <v>0</v>
      </c>
      <c r="L16" s="8">
        <f>SUMIF('DAILY CHAMP SAPI'!$B$10:$B$116,$A16,'DAILY CHAMP SAPI'!R$10:R$116)</f>
        <v>0</v>
      </c>
      <c r="M16" s="8">
        <f>SUMIF('DAILY CHAMP SAPI'!$B$10:$B$116,$A16,'DAILY CHAMP SAPI'!S$10:S$116)</f>
        <v>0</v>
      </c>
      <c r="N16" s="8">
        <f>SUMIF('DAILY CHAMP SAPI'!$B$10:$B$116,$A16,'DAILY CHAMP SAPI'!T$10:T$116)</f>
        <v>0</v>
      </c>
      <c r="O16" s="8">
        <f>SUMIF('DAILY CHAMP SAPI'!$B$10:$B$116,$A16,'DAILY CHAMP SAPI'!U$10:U$116)</f>
        <v>0</v>
      </c>
      <c r="P16" s="8">
        <f>SUMIF('DAILY CHAMP SAPI'!$B$10:$B$116,$A16,'DAILY CHAMP SAPI'!V$10:V$116)</f>
        <v>0</v>
      </c>
      <c r="Q16" s="8">
        <f>SUMIF('DAILY CHAMP SAPI'!$B$10:$B$116,$A16,'DAILY CHAMP SAPI'!W$10:W$116)</f>
        <v>0</v>
      </c>
      <c r="R16" s="8">
        <f>SUMIF('DAILY CHAMP SAPI'!$B$10:$B$116,$A16,'DAILY CHAMP SAPI'!X$10:X$116)</f>
        <v>0</v>
      </c>
      <c r="S16" s="8">
        <f>SUMIF('DAILY CHAMP SAPI'!$B$10:$B$116,$A16,'DAILY CHAMP SAPI'!Y$10:Y$116)</f>
        <v>0</v>
      </c>
      <c r="T16" s="8">
        <f>SUMIF('DAILY CHAMP SAPI'!$B$10:$B$116,$A16,'DAILY CHAMP SAPI'!Z$10:Z$116)</f>
        <v>0</v>
      </c>
      <c r="U16" s="8">
        <f>SUMIF('DAILY CHAMP SAPI'!$B$10:$B$116,$A16,'DAILY CHAMP SAPI'!AA$10:AA$116)</f>
        <v>0</v>
      </c>
      <c r="V16" s="8">
        <f>SUMIF('DAILY CHAMP SAPI'!$B$10:$B$116,$A16,'DAILY CHAMP SAPI'!AB$10:AB$116)</f>
        <v>0</v>
      </c>
      <c r="W16" s="59">
        <f t="shared" si="0"/>
        <v>0</v>
      </c>
      <c r="X16" s="60">
        <f t="shared" ca="1" si="1"/>
        <v>0</v>
      </c>
      <c r="Y16" s="47">
        <f t="shared" ca="1" si="2"/>
        <v>0</v>
      </c>
      <c r="Z16" s="88" t="e">
        <f t="shared" ca="1" si="5"/>
        <v>#DIV/0!</v>
      </c>
      <c r="AA16" s="89" t="e">
        <f t="shared" ca="1" si="6"/>
        <v>#DIV/0!</v>
      </c>
      <c r="AB16" s="112">
        <f>+'Actual VS SAP'!O18</f>
        <v>0</v>
      </c>
      <c r="AC16" s="48">
        <f t="shared" si="3"/>
        <v>0</v>
      </c>
      <c r="AD16" s="89" t="e">
        <f t="shared" si="4"/>
        <v>#DIV/0!</v>
      </c>
    </row>
    <row r="17" spans="1:30">
      <c r="A17" s="7">
        <f>+'ALL SORTASI'!A19</f>
        <v>46217</v>
      </c>
      <c r="B17" s="8">
        <f ca="1">SUMIF('DAILY CHAMP SAPI'!$B$10:$B$116,$A17,'DAILY CHAMP SAPI'!$D$10:$D$115)</f>
        <v>0</v>
      </c>
      <c r="C17" s="8">
        <f>SUMIF('DAILY CHAMP SAPI'!$B$10:$B$116,$A17,'DAILY CHAMP SAPI'!I$10:I$116)</f>
        <v>0</v>
      </c>
      <c r="D17" s="8">
        <f>SUMIF('DAILY CHAMP SAPI'!$B$10:$B$116,$A17,'DAILY CHAMP SAPI'!J$10:J$116)</f>
        <v>0</v>
      </c>
      <c r="E17" s="8">
        <f>SUMIF('DAILY CHAMP SAPI'!$B$10:$B$116,$A17,'DAILY CHAMP SAPI'!K$10:K$116)</f>
        <v>0</v>
      </c>
      <c r="F17" s="8">
        <f>SUMIF('DAILY CHAMP SAPI'!$B$10:$B$116,$A17,'DAILY CHAMP SAPI'!L$10:L$116)</f>
        <v>0</v>
      </c>
      <c r="G17" s="8">
        <f>SUMIF('DAILY CHAMP SAPI'!$B$10:$B$116,$A17,'DAILY CHAMP SAPI'!M$10:M$116)</f>
        <v>0</v>
      </c>
      <c r="H17" s="8">
        <f>SUMIF('DAILY CHAMP SAPI'!$B$10:$B$116,$A17,'DAILY CHAMP SAPI'!N$10:N$116)</f>
        <v>0</v>
      </c>
      <c r="I17" s="8">
        <f>SUMIF('DAILY CHAMP SAPI'!$B$10:$B$116,$A17,'DAILY CHAMP SAPI'!O$10:O$116)</f>
        <v>0</v>
      </c>
      <c r="J17" s="8">
        <f>SUMIF('DAILY CHAMP SAPI'!$B$10:$B$116,$A17,'DAILY CHAMP SAPI'!P$10:P$116)</f>
        <v>0</v>
      </c>
      <c r="K17" s="8">
        <f>SUMIF('DAILY CHAMP SAPI'!$B$10:$B$116,$A17,'DAILY CHAMP SAPI'!Q$10:Q$116)</f>
        <v>0</v>
      </c>
      <c r="L17" s="8">
        <f>SUMIF('DAILY CHAMP SAPI'!$B$10:$B$116,$A17,'DAILY CHAMP SAPI'!R$10:R$116)</f>
        <v>0</v>
      </c>
      <c r="M17" s="8">
        <f>SUMIF('DAILY CHAMP SAPI'!$B$10:$B$116,$A17,'DAILY CHAMP SAPI'!S$10:S$116)</f>
        <v>0</v>
      </c>
      <c r="N17" s="8">
        <f>SUMIF('DAILY CHAMP SAPI'!$B$10:$B$116,$A17,'DAILY CHAMP SAPI'!T$10:T$116)</f>
        <v>0</v>
      </c>
      <c r="O17" s="8">
        <f>SUMIF('DAILY CHAMP SAPI'!$B$10:$B$116,$A17,'DAILY CHAMP SAPI'!U$10:U$116)</f>
        <v>0</v>
      </c>
      <c r="P17" s="8">
        <f>SUMIF('DAILY CHAMP SAPI'!$B$10:$B$116,$A17,'DAILY CHAMP SAPI'!V$10:V$116)</f>
        <v>0</v>
      </c>
      <c r="Q17" s="8">
        <f>SUMIF('DAILY CHAMP SAPI'!$B$10:$B$116,$A17,'DAILY CHAMP SAPI'!W$10:W$116)</f>
        <v>0</v>
      </c>
      <c r="R17" s="8">
        <f>SUMIF('DAILY CHAMP SAPI'!$B$10:$B$116,$A17,'DAILY CHAMP SAPI'!X$10:X$116)</f>
        <v>0</v>
      </c>
      <c r="S17" s="8">
        <f>SUMIF('DAILY CHAMP SAPI'!$B$10:$B$116,$A17,'DAILY CHAMP SAPI'!Y$10:Y$116)</f>
        <v>0</v>
      </c>
      <c r="T17" s="8">
        <f>SUMIF('DAILY CHAMP SAPI'!$B$10:$B$116,$A17,'DAILY CHAMP SAPI'!Z$10:Z$116)</f>
        <v>0</v>
      </c>
      <c r="U17" s="8">
        <f>SUMIF('DAILY CHAMP SAPI'!$B$10:$B$116,$A17,'DAILY CHAMP SAPI'!AA$10:AA$116)</f>
        <v>0</v>
      </c>
      <c r="V17" s="8">
        <f>SUMIF('DAILY CHAMP SAPI'!$B$10:$B$116,$A17,'DAILY CHAMP SAPI'!AB$10:AB$116)</f>
        <v>0</v>
      </c>
      <c r="W17" s="59">
        <f t="shared" si="0"/>
        <v>0</v>
      </c>
      <c r="X17" s="60">
        <f t="shared" ca="1" si="1"/>
        <v>0</v>
      </c>
      <c r="Y17" s="47">
        <f t="shared" ca="1" si="2"/>
        <v>0</v>
      </c>
      <c r="Z17" s="88" t="e">
        <f t="shared" ca="1" si="5"/>
        <v>#DIV/0!</v>
      </c>
      <c r="AA17" s="89" t="e">
        <f t="shared" ca="1" si="6"/>
        <v>#DIV/0!</v>
      </c>
      <c r="AB17" s="112">
        <f>+'Actual VS SAP'!O19</f>
        <v>0</v>
      </c>
      <c r="AC17" s="48">
        <f t="shared" si="3"/>
        <v>0</v>
      </c>
      <c r="AD17" s="89" t="e">
        <f t="shared" si="4"/>
        <v>#DIV/0!</v>
      </c>
    </row>
    <row r="18" spans="1:30">
      <c r="A18" s="7">
        <f>+'ALL SORTASI'!A20</f>
        <v>46218</v>
      </c>
      <c r="B18" s="8">
        <f ca="1">SUMIF('DAILY CHAMP SAPI'!$B$10:$B$116,$A18,'DAILY CHAMP SAPI'!$D$10:$D$115)</f>
        <v>1470.924</v>
      </c>
      <c r="C18" s="8">
        <f>SUMIF('DAILY CHAMP SAPI'!$B$10:$B$116,$A18,'DAILY CHAMP SAPI'!I$10:I$116)</f>
        <v>1379.1959999999999</v>
      </c>
      <c r="D18" s="8">
        <f>SUMIF('DAILY CHAMP SAPI'!$B$10:$B$116,$A18,'DAILY CHAMP SAPI'!J$10:J$116)</f>
        <v>0</v>
      </c>
      <c r="E18" s="8">
        <f>SUMIF('DAILY CHAMP SAPI'!$B$10:$B$116,$A18,'DAILY CHAMP SAPI'!K$10:K$116)</f>
        <v>6.3</v>
      </c>
      <c r="F18" s="8">
        <f>SUMIF('DAILY CHAMP SAPI'!$B$10:$B$116,$A18,'DAILY CHAMP SAPI'!L$10:L$116)</f>
        <v>7.2</v>
      </c>
      <c r="G18" s="8">
        <f>SUMIF('DAILY CHAMP SAPI'!$B$10:$B$116,$A18,'DAILY CHAMP SAPI'!M$10:M$116)</f>
        <v>0.2</v>
      </c>
      <c r="H18" s="8">
        <f>SUMIF('DAILY CHAMP SAPI'!$B$10:$B$116,$A18,'DAILY CHAMP SAPI'!N$10:N$116)</f>
        <v>0</v>
      </c>
      <c r="I18" s="8">
        <f>SUMIF('DAILY CHAMP SAPI'!$B$10:$B$116,$A18,'DAILY CHAMP SAPI'!O$10:O$116)</f>
        <v>9.9</v>
      </c>
      <c r="J18" s="8">
        <f>SUMIF('DAILY CHAMP SAPI'!$B$10:$B$116,$A18,'DAILY CHAMP SAPI'!P$10:P$116)</f>
        <v>0</v>
      </c>
      <c r="K18" s="8">
        <f>SUMIF('DAILY CHAMP SAPI'!$B$10:$B$116,$A18,'DAILY CHAMP SAPI'!Q$10:Q$116)</f>
        <v>0</v>
      </c>
      <c r="L18" s="8">
        <f>SUMIF('DAILY CHAMP SAPI'!$B$10:$B$116,$A18,'DAILY CHAMP SAPI'!R$10:R$116)</f>
        <v>1</v>
      </c>
      <c r="M18" s="8">
        <f>SUMIF('DAILY CHAMP SAPI'!$B$10:$B$116,$A18,'DAILY CHAMP SAPI'!S$10:S$116)</f>
        <v>9.1999999999999993</v>
      </c>
      <c r="N18" s="8">
        <f>SUMIF('DAILY CHAMP SAPI'!$B$10:$B$116,$A18,'DAILY CHAMP SAPI'!T$10:T$116)</f>
        <v>3.02</v>
      </c>
      <c r="O18" s="8">
        <f>SUMIF('DAILY CHAMP SAPI'!$B$10:$B$116,$A18,'DAILY CHAMP SAPI'!U$10:U$116)</f>
        <v>0</v>
      </c>
      <c r="P18" s="8">
        <f>SUMIF('DAILY CHAMP SAPI'!$B$10:$B$116,$A18,'DAILY CHAMP SAPI'!V$10:V$116)</f>
        <v>0</v>
      </c>
      <c r="Q18" s="8">
        <f>SUMIF('DAILY CHAMP SAPI'!$B$10:$B$116,$A18,'DAILY CHAMP SAPI'!W$10:W$116)</f>
        <v>0</v>
      </c>
      <c r="R18" s="8">
        <f>SUMIF('DAILY CHAMP SAPI'!$B$10:$B$116,$A18,'DAILY CHAMP SAPI'!X$10:X$116)</f>
        <v>0</v>
      </c>
      <c r="S18" s="8">
        <f>SUMIF('DAILY CHAMP SAPI'!$B$10:$B$116,$A18,'DAILY CHAMP SAPI'!Y$10:Y$116)</f>
        <v>0</v>
      </c>
      <c r="T18" s="8">
        <f>SUMIF('DAILY CHAMP SAPI'!$B$10:$B$116,$A18,'DAILY CHAMP SAPI'!Z$10:Z$116)</f>
        <v>0</v>
      </c>
      <c r="U18" s="8">
        <f>SUMIF('DAILY CHAMP SAPI'!$B$10:$B$116,$A18,'DAILY CHAMP SAPI'!AA$10:AA$116)</f>
        <v>0</v>
      </c>
      <c r="V18" s="8">
        <f>SUMIF('DAILY CHAMP SAPI'!$B$10:$B$116,$A18,'DAILY CHAMP SAPI'!AB$10:AB$116)</f>
        <v>0</v>
      </c>
      <c r="W18" s="59">
        <f t="shared" si="0"/>
        <v>36.82</v>
      </c>
      <c r="X18" s="60">
        <f t="shared" ca="1" si="1"/>
        <v>54.908000000000065</v>
      </c>
      <c r="Y18" s="47">
        <f t="shared" ca="1" si="2"/>
        <v>16.760683760683783</v>
      </c>
      <c r="Z18" s="88">
        <f t="shared" ca="1" si="5"/>
        <v>0.9376391982182628</v>
      </c>
      <c r="AA18" s="89">
        <f t="shared" ca="1" si="6"/>
        <v>6.2360801781737196E-2</v>
      </c>
      <c r="AB18" s="112">
        <f>+'Actual VS SAP'!O20</f>
        <v>1</v>
      </c>
      <c r="AC18" s="48">
        <f t="shared" si="3"/>
        <v>1754.712</v>
      </c>
      <c r="AD18" s="89">
        <f t="shared" si="4"/>
        <v>0.78599565056829834</v>
      </c>
    </row>
    <row r="19" spans="1:30">
      <c r="A19" s="7">
        <f>+'ALL SORTASI'!A21</f>
        <v>46219</v>
      </c>
      <c r="B19" s="8">
        <f ca="1">SUMIF('DAILY CHAMP SAPI'!$B$10:$B$116,$A19,'DAILY CHAMP SAPI'!$D$10:$D$115)</f>
        <v>16209.647999999999</v>
      </c>
      <c r="C19" s="8">
        <f>SUMIF('DAILY CHAMP SAPI'!$B$10:$B$116,$A19,'DAILY CHAMP SAPI'!I$10:I$116)</f>
        <v>15387.372000000001</v>
      </c>
      <c r="D19" s="8">
        <f>SUMIF('DAILY CHAMP SAPI'!$B$10:$B$116,$A19,'DAILY CHAMP SAPI'!J$10:J$116)</f>
        <v>19.655999999999999</v>
      </c>
      <c r="E19" s="8">
        <f>SUMIF('DAILY CHAMP SAPI'!$B$10:$B$116,$A19,'DAILY CHAMP SAPI'!K$10:K$116)</f>
        <v>47.82</v>
      </c>
      <c r="F19" s="8">
        <f>SUMIF('DAILY CHAMP SAPI'!$B$10:$B$116,$A19,'DAILY CHAMP SAPI'!L$10:L$116)</f>
        <v>76.91</v>
      </c>
      <c r="G19" s="8">
        <f>SUMIF('DAILY CHAMP SAPI'!$B$10:$B$116,$A19,'DAILY CHAMP SAPI'!M$10:M$116)</f>
        <v>0.9</v>
      </c>
      <c r="H19" s="8">
        <f>SUMIF('DAILY CHAMP SAPI'!$B$10:$B$116,$A19,'DAILY CHAMP SAPI'!N$10:N$116)</f>
        <v>0</v>
      </c>
      <c r="I19" s="8">
        <f>SUMIF('DAILY CHAMP SAPI'!$B$10:$B$116,$A19,'DAILY CHAMP SAPI'!O$10:O$116)</f>
        <v>72.64</v>
      </c>
      <c r="J19" s="8">
        <f>SUMIF('DAILY CHAMP SAPI'!$B$10:$B$116,$A19,'DAILY CHAMP SAPI'!P$10:P$116)</f>
        <v>3.47</v>
      </c>
      <c r="K19" s="8">
        <f>SUMIF('DAILY CHAMP SAPI'!$B$10:$B$116,$A19,'DAILY CHAMP SAPI'!Q$10:Q$116)</f>
        <v>0</v>
      </c>
      <c r="L19" s="8">
        <f>SUMIF('DAILY CHAMP SAPI'!$B$10:$B$116,$A19,'DAILY CHAMP SAPI'!R$10:R$116)</f>
        <v>5.47</v>
      </c>
      <c r="M19" s="8">
        <f>SUMIF('DAILY CHAMP SAPI'!$B$10:$B$116,$A19,'DAILY CHAMP SAPI'!S$10:S$116)</f>
        <v>2.58</v>
      </c>
      <c r="N19" s="8">
        <f>SUMIF('DAILY CHAMP SAPI'!$B$10:$B$116,$A19,'DAILY CHAMP SAPI'!T$10:T$116)</f>
        <v>32.300000000000004</v>
      </c>
      <c r="O19" s="8">
        <f>SUMIF('DAILY CHAMP SAPI'!$B$10:$B$116,$A19,'DAILY CHAMP SAPI'!U$10:U$116)</f>
        <v>0.78</v>
      </c>
      <c r="P19" s="8">
        <f>SUMIF('DAILY CHAMP SAPI'!$B$10:$B$116,$A19,'DAILY CHAMP SAPI'!V$10:V$116)</f>
        <v>0</v>
      </c>
      <c r="Q19" s="8">
        <f>SUMIF('DAILY CHAMP SAPI'!$B$10:$B$116,$A19,'DAILY CHAMP SAPI'!W$10:W$116)</f>
        <v>0</v>
      </c>
      <c r="R19" s="8">
        <f>SUMIF('DAILY CHAMP SAPI'!$B$10:$B$116,$A19,'DAILY CHAMP SAPI'!X$10:X$116)</f>
        <v>0</v>
      </c>
      <c r="S19" s="8">
        <f>SUMIF('DAILY CHAMP SAPI'!$B$10:$B$116,$A19,'DAILY CHAMP SAPI'!Y$10:Y$116)</f>
        <v>0</v>
      </c>
      <c r="T19" s="8">
        <f>SUMIF('DAILY CHAMP SAPI'!$B$10:$B$116,$A19,'DAILY CHAMP SAPI'!Z$10:Z$116)</f>
        <v>0</v>
      </c>
      <c r="U19" s="8">
        <f>SUMIF('DAILY CHAMP SAPI'!$B$10:$B$116,$A19,'DAILY CHAMP SAPI'!AA$10:AA$116)</f>
        <v>0</v>
      </c>
      <c r="V19" s="8">
        <f>SUMIF('DAILY CHAMP SAPI'!$B$10:$B$116,$A19,'DAILY CHAMP SAPI'!AB$10:AB$116)</f>
        <v>0</v>
      </c>
      <c r="W19" s="59">
        <f t="shared" si="0"/>
        <v>242.87</v>
      </c>
      <c r="X19" s="60">
        <f t="shared" ca="1" si="1"/>
        <v>559.74999999999807</v>
      </c>
      <c r="Y19" s="47">
        <f t="shared" ca="1" si="2"/>
        <v>170.86385836385779</v>
      </c>
      <c r="Z19" s="88">
        <f t="shared" ca="1" si="5"/>
        <v>0.94927243330638655</v>
      </c>
      <c r="AA19" s="89">
        <f t="shared" ca="1" si="6"/>
        <v>5.0727566693613446E-2</v>
      </c>
      <c r="AB19" s="112">
        <f>+'Actual VS SAP'!O21</f>
        <v>9</v>
      </c>
      <c r="AC19" s="48">
        <f t="shared" si="3"/>
        <v>15792.407999999999</v>
      </c>
      <c r="AD19" s="89">
        <f>+C19/AC19</f>
        <v>0.97435248633393978</v>
      </c>
    </row>
    <row r="20" spans="1:30">
      <c r="A20" s="7">
        <f>+'ALL SORTASI'!A22</f>
        <v>46220</v>
      </c>
      <c r="B20" s="8">
        <f ca="1">SUMIF('DAILY CHAMP SAPI'!$B$10:$B$116,$A20,'DAILY CHAMP SAPI'!$D$10:$D$115)</f>
        <v>0</v>
      </c>
      <c r="C20" s="8">
        <f>SUMIF('DAILY CHAMP SAPI'!$B$10:$B$116,$A20,'DAILY CHAMP SAPI'!I$10:I$116)</f>
        <v>0</v>
      </c>
      <c r="D20" s="8">
        <f>SUMIF('DAILY CHAMP SAPI'!$B$10:$B$116,$A20,'DAILY CHAMP SAPI'!J$10:J$116)</f>
        <v>0</v>
      </c>
      <c r="E20" s="8">
        <f>SUMIF('DAILY CHAMP SAPI'!$B$10:$B$116,$A20,'DAILY CHAMP SAPI'!K$10:K$116)</f>
        <v>0</v>
      </c>
      <c r="F20" s="8">
        <f>SUMIF('DAILY CHAMP SAPI'!$B$10:$B$116,$A20,'DAILY CHAMP SAPI'!L$10:L$116)</f>
        <v>0</v>
      </c>
      <c r="G20" s="8">
        <f>SUMIF('DAILY CHAMP SAPI'!$B$10:$B$116,$A20,'DAILY CHAMP SAPI'!M$10:M$116)</f>
        <v>0</v>
      </c>
      <c r="H20" s="8">
        <f>SUMIF('DAILY CHAMP SAPI'!$B$10:$B$116,$A20,'DAILY CHAMP SAPI'!N$10:N$116)</f>
        <v>0</v>
      </c>
      <c r="I20" s="8">
        <f>SUMIF('DAILY CHAMP SAPI'!$B$10:$B$116,$A20,'DAILY CHAMP SAPI'!O$10:O$116)</f>
        <v>0</v>
      </c>
      <c r="J20" s="8">
        <f>SUMIF('DAILY CHAMP SAPI'!$B$10:$B$116,$A20,'DAILY CHAMP SAPI'!P$10:P$116)</f>
        <v>0</v>
      </c>
      <c r="K20" s="8">
        <f>SUMIF('DAILY CHAMP SAPI'!$B$10:$B$116,$A20,'DAILY CHAMP SAPI'!Q$10:Q$116)</f>
        <v>0</v>
      </c>
      <c r="L20" s="8">
        <f>SUMIF('DAILY CHAMP SAPI'!$B$10:$B$116,$A20,'DAILY CHAMP SAPI'!R$10:R$116)</f>
        <v>0</v>
      </c>
      <c r="M20" s="8">
        <f>SUMIF('DAILY CHAMP SAPI'!$B$10:$B$116,$A20,'DAILY CHAMP SAPI'!S$10:S$116)</f>
        <v>0</v>
      </c>
      <c r="N20" s="8">
        <f>SUMIF('DAILY CHAMP SAPI'!$B$10:$B$116,$A20,'DAILY CHAMP SAPI'!T$10:T$116)</f>
        <v>0</v>
      </c>
      <c r="O20" s="8">
        <f>SUMIF('DAILY CHAMP SAPI'!$B$10:$B$116,$A20,'DAILY CHAMP SAPI'!U$10:U$116)</f>
        <v>0</v>
      </c>
      <c r="P20" s="8">
        <f>SUMIF('DAILY CHAMP SAPI'!$B$10:$B$116,$A20,'DAILY CHAMP SAPI'!V$10:V$116)</f>
        <v>0</v>
      </c>
      <c r="Q20" s="8">
        <f>SUMIF('DAILY CHAMP SAPI'!$B$10:$B$116,$A20,'DAILY CHAMP SAPI'!W$10:W$116)</f>
        <v>0</v>
      </c>
      <c r="R20" s="8">
        <f>SUMIF('DAILY CHAMP SAPI'!$B$10:$B$116,$A20,'DAILY CHAMP SAPI'!X$10:X$116)</f>
        <v>0</v>
      </c>
      <c r="S20" s="8">
        <f>SUMIF('DAILY CHAMP SAPI'!$B$10:$B$116,$A20,'DAILY CHAMP SAPI'!Y$10:Y$116)</f>
        <v>0</v>
      </c>
      <c r="T20" s="8">
        <f>SUMIF('DAILY CHAMP SAPI'!$B$10:$B$116,$A20,'DAILY CHAMP SAPI'!Z$10:Z$116)</f>
        <v>0</v>
      </c>
      <c r="U20" s="8">
        <f>SUMIF('DAILY CHAMP SAPI'!$B$10:$B$116,$A20,'DAILY CHAMP SAPI'!AA$10:AA$116)</f>
        <v>0</v>
      </c>
      <c r="V20" s="8">
        <f>SUMIF('DAILY CHAMP SAPI'!$B$10:$B$116,$A20,'DAILY CHAMP SAPI'!AB$10:AB$116)</f>
        <v>0</v>
      </c>
      <c r="W20" s="59">
        <f t="shared" si="0"/>
        <v>0</v>
      </c>
      <c r="X20" s="60">
        <f t="shared" ca="1" si="1"/>
        <v>0</v>
      </c>
      <c r="Y20" s="47">
        <f t="shared" ca="1" si="2"/>
        <v>0</v>
      </c>
      <c r="Z20" s="88" t="e">
        <f t="shared" ca="1" si="5"/>
        <v>#DIV/0!</v>
      </c>
      <c r="AA20" s="89" t="e">
        <f t="shared" ca="1" si="6"/>
        <v>#DIV/0!</v>
      </c>
      <c r="AB20" s="112">
        <f>+'Actual VS SAP'!O22</f>
        <v>0</v>
      </c>
      <c r="AC20" s="48">
        <f t="shared" si="3"/>
        <v>0</v>
      </c>
      <c r="AD20" s="89" t="e">
        <f t="shared" si="4"/>
        <v>#DIV/0!</v>
      </c>
    </row>
    <row r="21" spans="1:30">
      <c r="A21" s="7">
        <f>+'ALL SORTASI'!A23</f>
        <v>46221</v>
      </c>
      <c r="B21" s="8">
        <f ca="1">SUMIF('DAILY CHAMP SAPI'!$B$10:$B$116,$A21,'DAILY CHAMP SAPI'!$D$10:$D$115)</f>
        <v>0</v>
      </c>
      <c r="C21" s="8">
        <f>SUMIF('DAILY CHAMP SAPI'!$B$10:$B$116,$A21,'DAILY CHAMP SAPI'!I$10:I$116)</f>
        <v>0</v>
      </c>
      <c r="D21" s="8">
        <f>SUMIF('DAILY CHAMP SAPI'!$B$10:$B$116,$A21,'DAILY CHAMP SAPI'!J$10:J$116)</f>
        <v>0</v>
      </c>
      <c r="E21" s="8">
        <f>SUMIF('DAILY CHAMP SAPI'!$B$10:$B$116,$A21,'DAILY CHAMP SAPI'!K$10:K$116)</f>
        <v>0</v>
      </c>
      <c r="F21" s="8">
        <f>SUMIF('DAILY CHAMP SAPI'!$B$10:$B$116,$A21,'DAILY CHAMP SAPI'!L$10:L$116)</f>
        <v>0</v>
      </c>
      <c r="G21" s="8">
        <f>SUMIF('DAILY CHAMP SAPI'!$B$10:$B$116,$A21,'DAILY CHAMP SAPI'!M$10:M$116)</f>
        <v>0</v>
      </c>
      <c r="H21" s="8">
        <f>SUMIF('DAILY CHAMP SAPI'!$B$10:$B$116,$A21,'DAILY CHAMP SAPI'!N$10:N$116)</f>
        <v>0</v>
      </c>
      <c r="I21" s="8">
        <f>SUMIF('DAILY CHAMP SAPI'!$B$10:$B$116,$A21,'DAILY CHAMP SAPI'!O$10:O$116)</f>
        <v>0</v>
      </c>
      <c r="J21" s="8">
        <f>SUMIF('DAILY CHAMP SAPI'!$B$10:$B$116,$A21,'DAILY CHAMP SAPI'!P$10:P$116)</f>
        <v>0</v>
      </c>
      <c r="K21" s="8">
        <f>SUMIF('DAILY CHAMP SAPI'!$B$10:$B$116,$A21,'DAILY CHAMP SAPI'!Q$10:Q$116)</f>
        <v>0</v>
      </c>
      <c r="L21" s="8">
        <f>SUMIF('DAILY CHAMP SAPI'!$B$10:$B$116,$A21,'DAILY CHAMP SAPI'!R$10:R$116)</f>
        <v>0</v>
      </c>
      <c r="M21" s="8">
        <f>SUMIF('DAILY CHAMP SAPI'!$B$10:$B$116,$A21,'DAILY CHAMP SAPI'!S$10:S$116)</f>
        <v>0</v>
      </c>
      <c r="N21" s="8">
        <f>SUMIF('DAILY CHAMP SAPI'!$B$10:$B$116,$A21,'DAILY CHAMP SAPI'!T$10:T$116)</f>
        <v>0</v>
      </c>
      <c r="O21" s="8">
        <f>SUMIF('DAILY CHAMP SAPI'!$B$10:$B$116,$A21,'DAILY CHAMP SAPI'!U$10:U$116)</f>
        <v>0</v>
      </c>
      <c r="P21" s="8">
        <f>SUMIF('DAILY CHAMP SAPI'!$B$10:$B$116,$A21,'DAILY CHAMP SAPI'!V$10:V$116)</f>
        <v>0</v>
      </c>
      <c r="Q21" s="8">
        <f>SUMIF('DAILY CHAMP SAPI'!$B$10:$B$116,$A21,'DAILY CHAMP SAPI'!W$10:W$116)</f>
        <v>0</v>
      </c>
      <c r="R21" s="8">
        <f>SUMIF('DAILY CHAMP SAPI'!$B$10:$B$116,$A21,'DAILY CHAMP SAPI'!X$10:X$116)</f>
        <v>0</v>
      </c>
      <c r="S21" s="8">
        <f>SUMIF('DAILY CHAMP SAPI'!$B$10:$B$116,$A21,'DAILY CHAMP SAPI'!Y$10:Y$116)</f>
        <v>0</v>
      </c>
      <c r="T21" s="8">
        <f>SUMIF('DAILY CHAMP SAPI'!$B$10:$B$116,$A21,'DAILY CHAMP SAPI'!Z$10:Z$116)</f>
        <v>0</v>
      </c>
      <c r="U21" s="8">
        <f>SUMIF('DAILY CHAMP SAPI'!$B$10:$B$116,$A21,'DAILY CHAMP SAPI'!AA$10:AA$116)</f>
        <v>0</v>
      </c>
      <c r="V21" s="8">
        <f>SUMIF('DAILY CHAMP SAPI'!$B$10:$B$116,$A21,'DAILY CHAMP SAPI'!AB$10:AB$116)</f>
        <v>0</v>
      </c>
      <c r="W21" s="59">
        <f t="shared" si="0"/>
        <v>0</v>
      </c>
      <c r="X21" s="60">
        <f t="shared" ca="1" si="1"/>
        <v>0</v>
      </c>
      <c r="Y21" s="47">
        <f t="shared" ca="1" si="2"/>
        <v>0</v>
      </c>
      <c r="Z21" s="88" t="e">
        <f t="shared" ca="1" si="5"/>
        <v>#DIV/0!</v>
      </c>
      <c r="AA21" s="89" t="e">
        <f t="shared" ca="1" si="6"/>
        <v>#DIV/0!</v>
      </c>
      <c r="AB21" s="112">
        <f>+'Actual VS SAP'!O23</f>
        <v>0</v>
      </c>
      <c r="AC21" s="48">
        <f t="shared" si="3"/>
        <v>0</v>
      </c>
      <c r="AD21" s="89" t="e">
        <f t="shared" si="4"/>
        <v>#DIV/0!</v>
      </c>
    </row>
    <row r="22" spans="1:30">
      <c r="A22" s="7">
        <f>+'ALL SORTASI'!A24</f>
        <v>46222</v>
      </c>
      <c r="B22" s="8">
        <f ca="1">SUMIF('DAILY CHAMP SAPI'!$B$10:$B$116,$A22,'DAILY CHAMP SAPI'!$D$10:$D$115)</f>
        <v>0</v>
      </c>
      <c r="C22" s="8">
        <f>SUMIF('DAILY CHAMP SAPI'!$B$10:$B$116,$A22,'DAILY CHAMP SAPI'!I$10:I$116)</f>
        <v>0</v>
      </c>
      <c r="D22" s="8">
        <f>SUMIF('DAILY CHAMP SAPI'!$B$10:$B$116,$A22,'DAILY CHAMP SAPI'!J$10:J$116)</f>
        <v>0</v>
      </c>
      <c r="E22" s="8">
        <f>SUMIF('DAILY CHAMP SAPI'!$B$10:$B$116,$A22,'DAILY CHAMP SAPI'!K$10:K$116)</f>
        <v>0</v>
      </c>
      <c r="F22" s="8">
        <f>SUMIF('DAILY CHAMP SAPI'!$B$10:$B$116,$A22,'DAILY CHAMP SAPI'!L$10:L$116)</f>
        <v>0</v>
      </c>
      <c r="G22" s="8">
        <f>SUMIF('DAILY CHAMP SAPI'!$B$10:$B$116,$A22,'DAILY CHAMP SAPI'!M$10:M$116)</f>
        <v>0</v>
      </c>
      <c r="H22" s="8">
        <f>SUMIF('DAILY CHAMP SAPI'!$B$10:$B$116,$A22,'DAILY CHAMP SAPI'!N$10:N$116)</f>
        <v>0</v>
      </c>
      <c r="I22" s="8">
        <f>SUMIF('DAILY CHAMP SAPI'!$B$10:$B$116,$A22,'DAILY CHAMP SAPI'!O$10:O$116)</f>
        <v>0</v>
      </c>
      <c r="J22" s="8">
        <f>SUMIF('DAILY CHAMP SAPI'!$B$10:$B$116,$A22,'DAILY CHAMP SAPI'!P$10:P$116)</f>
        <v>0</v>
      </c>
      <c r="K22" s="8">
        <f>SUMIF('DAILY CHAMP SAPI'!$B$10:$B$116,$A22,'DAILY CHAMP SAPI'!Q$10:Q$116)</f>
        <v>0</v>
      </c>
      <c r="L22" s="8">
        <f>SUMIF('DAILY CHAMP SAPI'!$B$10:$B$116,$A22,'DAILY CHAMP SAPI'!R$10:R$116)</f>
        <v>0</v>
      </c>
      <c r="M22" s="8">
        <f>SUMIF('DAILY CHAMP SAPI'!$B$10:$B$116,$A22,'DAILY CHAMP SAPI'!S$10:S$116)</f>
        <v>0</v>
      </c>
      <c r="N22" s="8">
        <f>SUMIF('DAILY CHAMP SAPI'!$B$10:$B$116,$A22,'DAILY CHAMP SAPI'!T$10:T$116)</f>
        <v>0</v>
      </c>
      <c r="O22" s="8">
        <f>SUMIF('DAILY CHAMP SAPI'!$B$10:$B$116,$A22,'DAILY CHAMP SAPI'!U$10:U$116)</f>
        <v>0</v>
      </c>
      <c r="P22" s="8">
        <f>SUMIF('DAILY CHAMP SAPI'!$B$10:$B$116,$A22,'DAILY CHAMP SAPI'!V$10:V$116)</f>
        <v>0</v>
      </c>
      <c r="Q22" s="8">
        <f>SUMIF('DAILY CHAMP SAPI'!$B$10:$B$116,$A22,'DAILY CHAMP SAPI'!W$10:W$116)</f>
        <v>0</v>
      </c>
      <c r="R22" s="8">
        <f>SUMIF('DAILY CHAMP SAPI'!$B$10:$B$116,$A22,'DAILY CHAMP SAPI'!X$10:X$116)</f>
        <v>0</v>
      </c>
      <c r="S22" s="8">
        <f>SUMIF('DAILY CHAMP SAPI'!$B$10:$B$116,$A22,'DAILY CHAMP SAPI'!Y$10:Y$116)</f>
        <v>0</v>
      </c>
      <c r="T22" s="8">
        <f>SUMIF('DAILY CHAMP SAPI'!$B$10:$B$116,$A22,'DAILY CHAMP SAPI'!Z$10:Z$116)</f>
        <v>0</v>
      </c>
      <c r="U22" s="8">
        <f>SUMIF('DAILY CHAMP SAPI'!$B$10:$B$116,$A22,'DAILY CHAMP SAPI'!AA$10:AA$116)</f>
        <v>0</v>
      </c>
      <c r="V22" s="8">
        <f>SUMIF('DAILY CHAMP SAPI'!$B$10:$B$116,$A22,'DAILY CHAMP SAPI'!AB$10:AB$116)</f>
        <v>0</v>
      </c>
      <c r="W22" s="59">
        <f t="shared" si="0"/>
        <v>0</v>
      </c>
      <c r="X22" s="60">
        <f t="shared" ca="1" si="1"/>
        <v>0</v>
      </c>
      <c r="Y22" s="47">
        <f t="shared" ca="1" si="2"/>
        <v>0</v>
      </c>
      <c r="Z22" s="88" t="e">
        <f t="shared" ca="1" si="5"/>
        <v>#DIV/0!</v>
      </c>
      <c r="AA22" s="89" t="e">
        <f t="shared" ca="1" si="6"/>
        <v>#DIV/0!</v>
      </c>
      <c r="AB22" s="112">
        <f>+'Actual VS SAP'!O24</f>
        <v>0</v>
      </c>
      <c r="AC22" s="48">
        <f t="shared" si="3"/>
        <v>0</v>
      </c>
      <c r="AD22" s="89" t="e">
        <f t="shared" si="4"/>
        <v>#DIV/0!</v>
      </c>
    </row>
    <row r="23" spans="1:30">
      <c r="A23" s="7">
        <f>+'ALL SORTASI'!A25</f>
        <v>46223</v>
      </c>
      <c r="B23" s="8">
        <f ca="1">SUMIF('DAILY CHAMP SAPI'!$B$10:$B$116,$A23,'DAILY CHAMP SAPI'!$D$10:$D$115)</f>
        <v>0</v>
      </c>
      <c r="C23" s="8">
        <f>SUMIF('DAILY CHAMP SAPI'!$B$10:$B$116,$A23,'DAILY CHAMP SAPI'!I$10:I$116)</f>
        <v>0</v>
      </c>
      <c r="D23" s="8">
        <f>SUMIF('DAILY CHAMP SAPI'!$B$10:$B$116,$A23,'DAILY CHAMP SAPI'!J$10:J$116)</f>
        <v>0</v>
      </c>
      <c r="E23" s="8">
        <f>SUMIF('DAILY CHAMP SAPI'!$B$10:$B$116,$A23,'DAILY CHAMP SAPI'!K$10:K$116)</f>
        <v>0</v>
      </c>
      <c r="F23" s="8">
        <f>SUMIF('DAILY CHAMP SAPI'!$B$10:$B$116,$A23,'DAILY CHAMP SAPI'!L$10:L$116)</f>
        <v>0</v>
      </c>
      <c r="G23" s="8">
        <f>SUMIF('DAILY CHAMP SAPI'!$B$10:$B$116,$A23,'DAILY CHAMP SAPI'!M$10:M$116)</f>
        <v>0</v>
      </c>
      <c r="H23" s="8">
        <f>SUMIF('DAILY CHAMP SAPI'!$B$10:$B$116,$A23,'DAILY CHAMP SAPI'!N$10:N$116)</f>
        <v>0</v>
      </c>
      <c r="I23" s="8">
        <f>SUMIF('DAILY CHAMP SAPI'!$B$10:$B$116,$A23,'DAILY CHAMP SAPI'!O$10:O$116)</f>
        <v>0</v>
      </c>
      <c r="J23" s="8">
        <f>SUMIF('DAILY CHAMP SAPI'!$B$10:$B$116,$A23,'DAILY CHAMP SAPI'!P$10:P$116)</f>
        <v>0</v>
      </c>
      <c r="K23" s="8">
        <f>SUMIF('DAILY CHAMP SAPI'!$B$10:$B$116,$A23,'DAILY CHAMP SAPI'!Q$10:Q$116)</f>
        <v>0</v>
      </c>
      <c r="L23" s="8">
        <f>SUMIF('DAILY CHAMP SAPI'!$B$10:$B$116,$A23,'DAILY CHAMP SAPI'!R$10:R$116)</f>
        <v>0</v>
      </c>
      <c r="M23" s="8">
        <f>SUMIF('DAILY CHAMP SAPI'!$B$10:$B$116,$A23,'DAILY CHAMP SAPI'!S$10:S$116)</f>
        <v>0</v>
      </c>
      <c r="N23" s="8">
        <f>SUMIF('DAILY CHAMP SAPI'!$B$10:$B$116,$A23,'DAILY CHAMP SAPI'!T$10:T$116)</f>
        <v>0</v>
      </c>
      <c r="O23" s="8">
        <f>SUMIF('DAILY CHAMP SAPI'!$B$10:$B$116,$A23,'DAILY CHAMP SAPI'!U$10:U$116)</f>
        <v>0</v>
      </c>
      <c r="P23" s="8">
        <f>SUMIF('DAILY CHAMP SAPI'!$B$10:$B$116,$A23,'DAILY CHAMP SAPI'!V$10:V$116)</f>
        <v>0</v>
      </c>
      <c r="Q23" s="8">
        <f>SUMIF('DAILY CHAMP SAPI'!$B$10:$B$116,$A23,'DAILY CHAMP SAPI'!W$10:W$116)</f>
        <v>0</v>
      </c>
      <c r="R23" s="8">
        <f>SUMIF('DAILY CHAMP SAPI'!$B$10:$B$116,$A23,'DAILY CHAMP SAPI'!X$10:X$116)</f>
        <v>0</v>
      </c>
      <c r="S23" s="8">
        <f>SUMIF('DAILY CHAMP SAPI'!$B$10:$B$116,$A23,'DAILY CHAMP SAPI'!Y$10:Y$116)</f>
        <v>0</v>
      </c>
      <c r="T23" s="8">
        <f>SUMIF('DAILY CHAMP SAPI'!$B$10:$B$116,$A23,'DAILY CHAMP SAPI'!Z$10:Z$116)</f>
        <v>0</v>
      </c>
      <c r="U23" s="8">
        <f>SUMIF('DAILY CHAMP SAPI'!$B$10:$B$116,$A23,'DAILY CHAMP SAPI'!AA$10:AA$116)</f>
        <v>0</v>
      </c>
      <c r="V23" s="8">
        <f>SUMIF('DAILY CHAMP SAPI'!$B$10:$B$116,$A23,'DAILY CHAMP SAPI'!AB$10:AB$116)</f>
        <v>0</v>
      </c>
      <c r="W23" s="59">
        <f t="shared" si="0"/>
        <v>0</v>
      </c>
      <c r="X23" s="60">
        <f t="shared" ca="1" si="1"/>
        <v>0</v>
      </c>
      <c r="Y23" s="47">
        <f t="shared" ca="1" si="2"/>
        <v>0</v>
      </c>
      <c r="Z23" s="88" t="e">
        <f t="shared" ca="1" si="5"/>
        <v>#DIV/0!</v>
      </c>
      <c r="AA23" s="89" t="e">
        <f t="shared" ca="1" si="6"/>
        <v>#DIV/0!</v>
      </c>
      <c r="AB23" s="112">
        <f>+'Actual VS SAP'!O25</f>
        <v>0</v>
      </c>
      <c r="AC23" s="48">
        <f t="shared" si="3"/>
        <v>0</v>
      </c>
      <c r="AD23" s="89" t="e">
        <f t="shared" si="4"/>
        <v>#DIV/0!</v>
      </c>
    </row>
    <row r="24" spans="1:30">
      <c r="A24" s="7">
        <f>+'ALL SORTASI'!A26</f>
        <v>46224</v>
      </c>
      <c r="B24" s="8">
        <f ca="1">SUMIF('DAILY CHAMP SAPI'!$B$10:$B$116,$A24,'DAILY CHAMP SAPI'!$D$10:$D$115)</f>
        <v>0</v>
      </c>
      <c r="C24" s="8">
        <f>SUMIF('DAILY CHAMP SAPI'!$B$10:$B$116,$A24,'DAILY CHAMP SAPI'!I$10:I$116)</f>
        <v>0</v>
      </c>
      <c r="D24" s="8">
        <f>SUMIF('DAILY CHAMP SAPI'!$B$10:$B$116,$A24,'DAILY CHAMP SAPI'!J$10:J$116)</f>
        <v>0</v>
      </c>
      <c r="E24" s="8">
        <f>SUMIF('DAILY CHAMP SAPI'!$B$10:$B$116,$A24,'DAILY CHAMP SAPI'!K$10:K$116)</f>
        <v>0</v>
      </c>
      <c r="F24" s="8">
        <f>SUMIF('DAILY CHAMP SAPI'!$B$10:$B$116,$A24,'DAILY CHAMP SAPI'!L$10:L$116)</f>
        <v>0</v>
      </c>
      <c r="G24" s="8">
        <f>SUMIF('DAILY CHAMP SAPI'!$B$10:$B$116,$A24,'DAILY CHAMP SAPI'!M$10:M$116)</f>
        <v>0</v>
      </c>
      <c r="H24" s="8">
        <f>SUMIF('DAILY CHAMP SAPI'!$B$10:$B$116,$A24,'DAILY CHAMP SAPI'!N$10:N$116)</f>
        <v>0</v>
      </c>
      <c r="I24" s="8">
        <f>SUMIF('DAILY CHAMP SAPI'!$B$10:$B$116,$A24,'DAILY CHAMP SAPI'!O$10:O$116)</f>
        <v>0</v>
      </c>
      <c r="J24" s="8">
        <f>SUMIF('DAILY CHAMP SAPI'!$B$10:$B$116,$A24,'DAILY CHAMP SAPI'!P$10:P$116)</f>
        <v>0</v>
      </c>
      <c r="K24" s="8">
        <f>SUMIF('DAILY CHAMP SAPI'!$B$10:$B$116,$A24,'DAILY CHAMP SAPI'!Q$10:Q$116)</f>
        <v>0</v>
      </c>
      <c r="L24" s="8">
        <f>SUMIF('DAILY CHAMP SAPI'!$B$10:$B$116,$A24,'DAILY CHAMP SAPI'!R$10:R$116)</f>
        <v>0</v>
      </c>
      <c r="M24" s="8">
        <f>SUMIF('DAILY CHAMP SAPI'!$B$10:$B$116,$A24,'DAILY CHAMP SAPI'!S$10:S$116)</f>
        <v>0</v>
      </c>
      <c r="N24" s="8">
        <f>SUMIF('DAILY CHAMP SAPI'!$B$10:$B$116,$A24,'DAILY CHAMP SAPI'!T$10:T$116)</f>
        <v>0</v>
      </c>
      <c r="O24" s="8">
        <f>SUMIF('DAILY CHAMP SAPI'!$B$10:$B$116,$A24,'DAILY CHAMP SAPI'!U$10:U$116)</f>
        <v>0</v>
      </c>
      <c r="P24" s="8">
        <f>SUMIF('DAILY CHAMP SAPI'!$B$10:$B$116,$A24,'DAILY CHAMP SAPI'!V$10:V$116)</f>
        <v>0</v>
      </c>
      <c r="Q24" s="8">
        <f>SUMIF('DAILY CHAMP SAPI'!$B$10:$B$116,$A24,'DAILY CHAMP SAPI'!W$10:W$116)</f>
        <v>0</v>
      </c>
      <c r="R24" s="8">
        <f>SUMIF('DAILY CHAMP SAPI'!$B$10:$B$116,$A24,'DAILY CHAMP SAPI'!X$10:X$116)</f>
        <v>0</v>
      </c>
      <c r="S24" s="8">
        <f>SUMIF('DAILY CHAMP SAPI'!$B$10:$B$116,$A24,'DAILY CHAMP SAPI'!Y$10:Y$116)</f>
        <v>0</v>
      </c>
      <c r="T24" s="8">
        <f>SUMIF('DAILY CHAMP SAPI'!$B$10:$B$116,$A24,'DAILY CHAMP SAPI'!Z$10:Z$116)</f>
        <v>0</v>
      </c>
      <c r="U24" s="8">
        <f>SUMIF('DAILY CHAMP SAPI'!$B$10:$B$116,$A24,'DAILY CHAMP SAPI'!AA$10:AA$116)</f>
        <v>0</v>
      </c>
      <c r="V24" s="8">
        <f>SUMIF('DAILY CHAMP SAPI'!$B$10:$B$116,$A24,'DAILY CHAMP SAPI'!AB$10:AB$116)</f>
        <v>0</v>
      </c>
      <c r="W24" s="59">
        <f t="shared" si="0"/>
        <v>0</v>
      </c>
      <c r="X24" s="60">
        <f t="shared" ca="1" si="1"/>
        <v>0</v>
      </c>
      <c r="Y24" s="47">
        <f t="shared" ca="1" si="2"/>
        <v>0</v>
      </c>
      <c r="Z24" s="88" t="e">
        <f t="shared" ca="1" si="5"/>
        <v>#DIV/0!</v>
      </c>
      <c r="AA24" s="89" t="e">
        <f t="shared" ca="1" si="6"/>
        <v>#DIV/0!</v>
      </c>
      <c r="AB24" s="112">
        <f>+'Actual VS SAP'!O26</f>
        <v>0</v>
      </c>
      <c r="AC24" s="48">
        <f t="shared" si="3"/>
        <v>0</v>
      </c>
      <c r="AD24" s="89" t="e">
        <f t="shared" si="4"/>
        <v>#DIV/0!</v>
      </c>
    </row>
    <row r="25" spans="1:30">
      <c r="A25" s="7">
        <f>+'ALL SORTASI'!A27</f>
        <v>46225</v>
      </c>
      <c r="B25" s="8">
        <f ca="1">SUMIF('DAILY CHAMP SAPI'!$B$10:$B$116,$A25,'DAILY CHAMP SAPI'!$D$10:$D$115)</f>
        <v>0</v>
      </c>
      <c r="C25" s="8">
        <f>SUMIF('DAILY CHAMP SAPI'!$B$10:$B$116,$A25,'DAILY CHAMP SAPI'!I$10:I$116)</f>
        <v>0</v>
      </c>
      <c r="D25" s="8">
        <f>SUMIF('DAILY CHAMP SAPI'!$B$10:$B$116,$A25,'DAILY CHAMP SAPI'!J$10:J$116)</f>
        <v>0</v>
      </c>
      <c r="E25" s="8">
        <f>SUMIF('DAILY CHAMP SAPI'!$B$10:$B$116,$A25,'DAILY CHAMP SAPI'!K$10:K$116)</f>
        <v>0</v>
      </c>
      <c r="F25" s="8">
        <f>SUMIF('DAILY CHAMP SAPI'!$B$10:$B$116,$A25,'DAILY CHAMP SAPI'!L$10:L$116)</f>
        <v>0</v>
      </c>
      <c r="G25" s="8">
        <f>SUMIF('DAILY CHAMP SAPI'!$B$10:$B$116,$A25,'DAILY CHAMP SAPI'!M$10:M$116)</f>
        <v>0</v>
      </c>
      <c r="H25" s="8">
        <f>SUMIF('DAILY CHAMP SAPI'!$B$10:$B$116,$A25,'DAILY CHAMP SAPI'!N$10:N$116)</f>
        <v>0</v>
      </c>
      <c r="I25" s="8">
        <f>SUMIF('DAILY CHAMP SAPI'!$B$10:$B$116,$A25,'DAILY CHAMP SAPI'!O$10:O$116)</f>
        <v>0</v>
      </c>
      <c r="J25" s="8">
        <f>SUMIF('DAILY CHAMP SAPI'!$B$10:$B$116,$A25,'DAILY CHAMP SAPI'!P$10:P$116)</f>
        <v>0</v>
      </c>
      <c r="K25" s="8">
        <f>SUMIF('DAILY CHAMP SAPI'!$B$10:$B$116,$A25,'DAILY CHAMP SAPI'!Q$10:Q$116)</f>
        <v>0</v>
      </c>
      <c r="L25" s="8">
        <f>SUMIF('DAILY CHAMP SAPI'!$B$10:$B$116,$A25,'DAILY CHAMP SAPI'!R$10:R$116)</f>
        <v>0</v>
      </c>
      <c r="M25" s="8">
        <f>SUMIF('DAILY CHAMP SAPI'!$B$10:$B$116,$A25,'DAILY CHAMP SAPI'!S$10:S$116)</f>
        <v>0</v>
      </c>
      <c r="N25" s="8">
        <f>SUMIF('DAILY CHAMP SAPI'!$B$10:$B$116,$A25,'DAILY CHAMP SAPI'!T$10:T$116)</f>
        <v>0</v>
      </c>
      <c r="O25" s="8">
        <f>SUMIF('DAILY CHAMP SAPI'!$B$10:$B$116,$A25,'DAILY CHAMP SAPI'!U$10:U$116)</f>
        <v>0</v>
      </c>
      <c r="P25" s="8">
        <f>SUMIF('DAILY CHAMP SAPI'!$B$10:$B$116,$A25,'DAILY CHAMP SAPI'!V$10:V$116)</f>
        <v>0</v>
      </c>
      <c r="Q25" s="8">
        <f>SUMIF('DAILY CHAMP SAPI'!$B$10:$B$116,$A25,'DAILY CHAMP SAPI'!W$10:W$116)</f>
        <v>0</v>
      </c>
      <c r="R25" s="8">
        <f>SUMIF('DAILY CHAMP SAPI'!$B$10:$B$116,$A25,'DAILY CHAMP SAPI'!X$10:X$116)</f>
        <v>0</v>
      </c>
      <c r="S25" s="8">
        <f>SUMIF('DAILY CHAMP SAPI'!$B$10:$B$116,$A25,'DAILY CHAMP SAPI'!Y$10:Y$116)</f>
        <v>0</v>
      </c>
      <c r="T25" s="8">
        <f>SUMIF('DAILY CHAMP SAPI'!$B$10:$B$116,$A25,'DAILY CHAMP SAPI'!Z$10:Z$116)</f>
        <v>0</v>
      </c>
      <c r="U25" s="8">
        <f>SUMIF('DAILY CHAMP SAPI'!$B$10:$B$116,$A25,'DAILY CHAMP SAPI'!AA$10:AA$116)</f>
        <v>0</v>
      </c>
      <c r="V25" s="8">
        <f>SUMIF('DAILY CHAMP SAPI'!$B$10:$B$116,$A25,'DAILY CHAMP SAPI'!AB$10:AB$116)</f>
        <v>0</v>
      </c>
      <c r="W25" s="59">
        <f t="shared" si="0"/>
        <v>0</v>
      </c>
      <c r="X25" s="60">
        <f t="shared" ca="1" si="1"/>
        <v>0</v>
      </c>
      <c r="Y25" s="47">
        <f t="shared" ca="1" si="2"/>
        <v>0</v>
      </c>
      <c r="Z25" s="88" t="e">
        <f t="shared" ca="1" si="5"/>
        <v>#DIV/0!</v>
      </c>
      <c r="AA25" s="89" t="e">
        <f t="shared" ca="1" si="6"/>
        <v>#DIV/0!</v>
      </c>
      <c r="AB25" s="112">
        <f>+'Actual VS SAP'!O27</f>
        <v>0</v>
      </c>
      <c r="AC25" s="48">
        <f t="shared" si="3"/>
        <v>0</v>
      </c>
      <c r="AD25" s="89" t="e">
        <f t="shared" si="4"/>
        <v>#DIV/0!</v>
      </c>
    </row>
    <row r="26" spans="1:30">
      <c r="A26" s="7">
        <f>+'ALL SORTASI'!A28</f>
        <v>46226</v>
      </c>
      <c r="B26" s="8">
        <f ca="1">SUMIF('DAILY CHAMP SAPI'!$B$10:$B$116,$A26,'DAILY CHAMP SAPI'!$D$10:$D$115)</f>
        <v>0</v>
      </c>
      <c r="C26" s="8">
        <f>SUMIF('DAILY CHAMP SAPI'!$B$10:$B$116,$A26,'DAILY CHAMP SAPI'!I$10:I$116)</f>
        <v>0</v>
      </c>
      <c r="D26" s="8">
        <f>SUMIF('DAILY CHAMP SAPI'!$B$10:$B$116,$A26,'DAILY CHAMP SAPI'!J$10:J$116)</f>
        <v>0</v>
      </c>
      <c r="E26" s="8">
        <f>SUMIF('DAILY CHAMP SAPI'!$B$10:$B$116,$A26,'DAILY CHAMP SAPI'!K$10:K$116)</f>
        <v>0</v>
      </c>
      <c r="F26" s="8">
        <f>SUMIF('DAILY CHAMP SAPI'!$B$10:$B$116,$A26,'DAILY CHAMP SAPI'!L$10:L$116)</f>
        <v>0</v>
      </c>
      <c r="G26" s="8">
        <f>SUMIF('DAILY CHAMP SAPI'!$B$10:$B$116,$A26,'DAILY CHAMP SAPI'!M$10:M$116)</f>
        <v>0</v>
      </c>
      <c r="H26" s="8">
        <f>SUMIF('DAILY CHAMP SAPI'!$B$10:$B$116,$A26,'DAILY CHAMP SAPI'!N$10:N$116)</f>
        <v>0</v>
      </c>
      <c r="I26" s="8">
        <f>SUMIF('DAILY CHAMP SAPI'!$B$10:$B$116,$A26,'DAILY CHAMP SAPI'!O$10:O$116)</f>
        <v>0</v>
      </c>
      <c r="J26" s="8">
        <f>SUMIF('DAILY CHAMP SAPI'!$B$10:$B$116,$A26,'DAILY CHAMP SAPI'!P$10:P$116)</f>
        <v>0</v>
      </c>
      <c r="K26" s="8">
        <f>SUMIF('DAILY CHAMP SAPI'!$B$10:$B$116,$A26,'DAILY CHAMP SAPI'!Q$10:Q$116)</f>
        <v>0</v>
      </c>
      <c r="L26" s="8">
        <f>SUMIF('DAILY CHAMP SAPI'!$B$10:$B$116,$A26,'DAILY CHAMP SAPI'!R$10:R$116)</f>
        <v>0</v>
      </c>
      <c r="M26" s="8">
        <f>SUMIF('DAILY CHAMP SAPI'!$B$10:$B$116,$A26,'DAILY CHAMP SAPI'!S$10:S$116)</f>
        <v>0</v>
      </c>
      <c r="N26" s="8">
        <f>SUMIF('DAILY CHAMP SAPI'!$B$10:$B$116,$A26,'DAILY CHAMP SAPI'!T$10:T$116)</f>
        <v>0</v>
      </c>
      <c r="O26" s="8">
        <f>SUMIF('DAILY CHAMP SAPI'!$B$10:$B$116,$A26,'DAILY CHAMP SAPI'!U$10:U$116)</f>
        <v>0</v>
      </c>
      <c r="P26" s="8">
        <f>SUMIF('DAILY CHAMP SAPI'!$B$10:$B$116,$A26,'DAILY CHAMP SAPI'!V$10:V$116)</f>
        <v>0</v>
      </c>
      <c r="Q26" s="8">
        <f>SUMIF('DAILY CHAMP SAPI'!$B$10:$B$116,$A26,'DAILY CHAMP SAPI'!W$10:W$116)</f>
        <v>0</v>
      </c>
      <c r="R26" s="8">
        <f>SUMIF('DAILY CHAMP SAPI'!$B$10:$B$116,$A26,'DAILY CHAMP SAPI'!X$10:X$116)</f>
        <v>0</v>
      </c>
      <c r="S26" s="8">
        <f>SUMIF('DAILY CHAMP SAPI'!$B$10:$B$116,$A26,'DAILY CHAMP SAPI'!Y$10:Y$116)</f>
        <v>0</v>
      </c>
      <c r="T26" s="8">
        <f>SUMIF('DAILY CHAMP SAPI'!$B$10:$B$116,$A26,'DAILY CHAMP SAPI'!Z$10:Z$116)</f>
        <v>0</v>
      </c>
      <c r="U26" s="8">
        <f>SUMIF('DAILY CHAMP SAPI'!$B$10:$B$116,$A26,'DAILY CHAMP SAPI'!AA$10:AA$116)</f>
        <v>0</v>
      </c>
      <c r="V26" s="8">
        <f>SUMIF('DAILY CHAMP SAPI'!$B$10:$B$116,$A26,'DAILY CHAMP SAPI'!AB$10:AB$116)</f>
        <v>0</v>
      </c>
      <c r="W26" s="59">
        <f t="shared" si="0"/>
        <v>0</v>
      </c>
      <c r="X26" s="60">
        <f t="shared" ca="1" si="1"/>
        <v>0</v>
      </c>
      <c r="Y26" s="47">
        <f t="shared" ca="1" si="2"/>
        <v>0</v>
      </c>
      <c r="Z26" s="88" t="e">
        <f t="shared" ca="1" si="5"/>
        <v>#DIV/0!</v>
      </c>
      <c r="AA26" s="89" t="e">
        <f t="shared" ca="1" si="6"/>
        <v>#DIV/0!</v>
      </c>
      <c r="AB26" s="112">
        <f>+'Actual VS SAP'!O28</f>
        <v>0</v>
      </c>
      <c r="AC26" s="48">
        <f t="shared" si="3"/>
        <v>0</v>
      </c>
      <c r="AD26" s="89" t="e">
        <f t="shared" si="4"/>
        <v>#DIV/0!</v>
      </c>
    </row>
    <row r="27" spans="1:30">
      <c r="A27" s="7">
        <f>+'ALL SORTASI'!A29</f>
        <v>46227</v>
      </c>
      <c r="B27" s="8">
        <f ca="1">SUMIF('DAILY CHAMP SAPI'!$B$10:$B$116,$A27,'DAILY CHAMP SAPI'!$D$10:$D$115)</f>
        <v>0</v>
      </c>
      <c r="C27" s="8">
        <f>SUMIF('DAILY CHAMP SAPI'!$B$10:$B$116,$A27,'DAILY CHAMP SAPI'!I$10:I$116)</f>
        <v>0</v>
      </c>
      <c r="D27" s="8">
        <f>SUMIF('DAILY CHAMP SAPI'!$B$10:$B$116,$A27,'DAILY CHAMP SAPI'!J$10:J$116)</f>
        <v>0</v>
      </c>
      <c r="E27" s="8">
        <f>SUMIF('DAILY CHAMP SAPI'!$B$10:$B$116,$A27,'DAILY CHAMP SAPI'!K$10:K$116)</f>
        <v>0</v>
      </c>
      <c r="F27" s="8">
        <f>SUMIF('DAILY CHAMP SAPI'!$B$10:$B$116,$A27,'DAILY CHAMP SAPI'!L$10:L$116)</f>
        <v>0</v>
      </c>
      <c r="G27" s="8">
        <f>SUMIF('DAILY CHAMP SAPI'!$B$10:$B$116,$A27,'DAILY CHAMP SAPI'!M$10:M$116)</f>
        <v>0</v>
      </c>
      <c r="H27" s="8">
        <f>SUMIF('DAILY CHAMP SAPI'!$B$10:$B$116,$A27,'DAILY CHAMP SAPI'!N$10:N$116)</f>
        <v>0</v>
      </c>
      <c r="I27" s="8">
        <f>SUMIF('DAILY CHAMP SAPI'!$B$10:$B$116,$A27,'DAILY CHAMP SAPI'!O$10:O$116)</f>
        <v>0</v>
      </c>
      <c r="J27" s="8">
        <f>SUMIF('DAILY CHAMP SAPI'!$B$10:$B$116,$A27,'DAILY CHAMP SAPI'!P$10:P$116)</f>
        <v>0</v>
      </c>
      <c r="K27" s="8">
        <f>SUMIF('DAILY CHAMP SAPI'!$B$10:$B$116,$A27,'DAILY CHAMP SAPI'!Q$10:Q$116)</f>
        <v>0</v>
      </c>
      <c r="L27" s="8">
        <f>SUMIF('DAILY CHAMP SAPI'!$B$10:$B$116,$A27,'DAILY CHAMP SAPI'!R$10:R$116)</f>
        <v>0</v>
      </c>
      <c r="M27" s="8">
        <f>SUMIF('DAILY CHAMP SAPI'!$B$10:$B$116,$A27,'DAILY CHAMP SAPI'!S$10:S$116)</f>
        <v>0</v>
      </c>
      <c r="N27" s="8">
        <f>SUMIF('DAILY CHAMP SAPI'!$B$10:$B$116,$A27,'DAILY CHAMP SAPI'!T$10:T$116)</f>
        <v>0</v>
      </c>
      <c r="O27" s="8">
        <f>SUMIF('DAILY CHAMP SAPI'!$B$10:$B$116,$A27,'DAILY CHAMP SAPI'!U$10:U$116)</f>
        <v>0</v>
      </c>
      <c r="P27" s="8">
        <f>SUMIF('DAILY CHAMP SAPI'!$B$10:$B$116,$A27,'DAILY CHAMP SAPI'!V$10:V$116)</f>
        <v>0</v>
      </c>
      <c r="Q27" s="8">
        <f>SUMIF('DAILY CHAMP SAPI'!$B$10:$B$116,$A27,'DAILY CHAMP SAPI'!W$10:W$116)</f>
        <v>0</v>
      </c>
      <c r="R27" s="8">
        <f>SUMIF('DAILY CHAMP SAPI'!$B$10:$B$116,$A27,'DAILY CHAMP SAPI'!X$10:X$116)</f>
        <v>0</v>
      </c>
      <c r="S27" s="8">
        <f>SUMIF('DAILY CHAMP SAPI'!$B$10:$B$116,$A27,'DAILY CHAMP SAPI'!Y$10:Y$116)</f>
        <v>0</v>
      </c>
      <c r="T27" s="8">
        <f>SUMIF('DAILY CHAMP SAPI'!$B$10:$B$116,$A27,'DAILY CHAMP SAPI'!Z$10:Z$116)</f>
        <v>0</v>
      </c>
      <c r="U27" s="8">
        <f>SUMIF('DAILY CHAMP SAPI'!$B$10:$B$116,$A27,'DAILY CHAMP SAPI'!AA$10:AA$116)</f>
        <v>0</v>
      </c>
      <c r="V27" s="8">
        <f>SUMIF('DAILY CHAMP SAPI'!$B$10:$B$116,$A27,'DAILY CHAMP SAPI'!AB$10:AB$116)</f>
        <v>0</v>
      </c>
      <c r="W27" s="59">
        <f t="shared" si="0"/>
        <v>0</v>
      </c>
      <c r="X27" s="60">
        <f t="shared" ca="1" si="1"/>
        <v>0</v>
      </c>
      <c r="Y27" s="47">
        <f t="shared" ca="1" si="2"/>
        <v>0</v>
      </c>
      <c r="Z27" s="88" t="e">
        <f t="shared" ca="1" si="5"/>
        <v>#DIV/0!</v>
      </c>
      <c r="AA27" s="89" t="e">
        <f t="shared" ca="1" si="6"/>
        <v>#DIV/0!</v>
      </c>
      <c r="AB27" s="112">
        <f>+'Actual VS SAP'!O29</f>
        <v>0</v>
      </c>
      <c r="AC27" s="48">
        <f t="shared" si="3"/>
        <v>0</v>
      </c>
      <c r="AD27" s="89" t="e">
        <f t="shared" si="4"/>
        <v>#DIV/0!</v>
      </c>
    </row>
    <row r="28" spans="1:30">
      <c r="A28" s="7">
        <f>+'ALL SORTASI'!A30</f>
        <v>46228</v>
      </c>
      <c r="B28" s="8">
        <f ca="1">SUMIF('DAILY CHAMP SAPI'!$B$10:$B$116,$A28,'DAILY CHAMP SAPI'!$D$10:$D$115)</f>
        <v>0</v>
      </c>
      <c r="C28" s="8">
        <f>SUMIF('DAILY CHAMP SAPI'!$B$10:$B$116,$A28,'DAILY CHAMP SAPI'!I$10:I$116)</f>
        <v>0</v>
      </c>
      <c r="D28" s="8">
        <f>SUMIF('DAILY CHAMP SAPI'!$B$10:$B$116,$A28,'DAILY CHAMP SAPI'!J$10:J$116)</f>
        <v>0</v>
      </c>
      <c r="E28" s="8">
        <f>SUMIF('DAILY CHAMP SAPI'!$B$10:$B$116,$A28,'DAILY CHAMP SAPI'!K$10:K$116)</f>
        <v>0</v>
      </c>
      <c r="F28" s="8">
        <f>SUMIF('DAILY CHAMP SAPI'!$B$10:$B$116,$A28,'DAILY CHAMP SAPI'!L$10:L$116)</f>
        <v>0</v>
      </c>
      <c r="G28" s="8">
        <f>SUMIF('DAILY CHAMP SAPI'!$B$10:$B$116,$A28,'DAILY CHAMP SAPI'!M$10:M$116)</f>
        <v>0</v>
      </c>
      <c r="H28" s="8">
        <f>SUMIF('DAILY CHAMP SAPI'!$B$10:$B$116,$A28,'DAILY CHAMP SAPI'!N$10:N$116)</f>
        <v>0</v>
      </c>
      <c r="I28" s="8">
        <f>SUMIF('DAILY CHAMP SAPI'!$B$10:$B$116,$A28,'DAILY CHAMP SAPI'!O$10:O$116)</f>
        <v>0</v>
      </c>
      <c r="J28" s="8">
        <f>SUMIF('DAILY CHAMP SAPI'!$B$10:$B$116,$A28,'DAILY CHAMP SAPI'!P$10:P$116)</f>
        <v>0</v>
      </c>
      <c r="K28" s="8">
        <f>SUMIF('DAILY CHAMP SAPI'!$B$10:$B$116,$A28,'DAILY CHAMP SAPI'!Q$10:Q$116)</f>
        <v>0</v>
      </c>
      <c r="L28" s="8">
        <f>SUMIF('DAILY CHAMP SAPI'!$B$10:$B$116,$A28,'DAILY CHAMP SAPI'!R$10:R$116)</f>
        <v>0</v>
      </c>
      <c r="M28" s="8">
        <f>SUMIF('DAILY CHAMP SAPI'!$B$10:$B$116,$A28,'DAILY CHAMP SAPI'!S$10:S$116)</f>
        <v>0</v>
      </c>
      <c r="N28" s="8">
        <f>SUMIF('DAILY CHAMP SAPI'!$B$10:$B$116,$A28,'DAILY CHAMP SAPI'!T$10:T$116)</f>
        <v>0</v>
      </c>
      <c r="O28" s="8">
        <f>SUMIF('DAILY CHAMP SAPI'!$B$10:$B$116,$A28,'DAILY CHAMP SAPI'!U$10:U$116)</f>
        <v>0</v>
      </c>
      <c r="P28" s="8">
        <f>SUMIF('DAILY CHAMP SAPI'!$B$10:$B$116,$A28,'DAILY CHAMP SAPI'!V$10:V$116)</f>
        <v>0</v>
      </c>
      <c r="Q28" s="8">
        <f>SUMIF('DAILY CHAMP SAPI'!$B$10:$B$116,$A28,'DAILY CHAMP SAPI'!W$10:W$116)</f>
        <v>0</v>
      </c>
      <c r="R28" s="8">
        <f>SUMIF('DAILY CHAMP SAPI'!$B$10:$B$116,$A28,'DAILY CHAMP SAPI'!X$10:X$116)</f>
        <v>0</v>
      </c>
      <c r="S28" s="8">
        <f>SUMIF('DAILY CHAMP SAPI'!$B$10:$B$116,$A28,'DAILY CHAMP SAPI'!Y$10:Y$116)</f>
        <v>0</v>
      </c>
      <c r="T28" s="8">
        <f>SUMIF('DAILY CHAMP SAPI'!$B$10:$B$116,$A28,'DAILY CHAMP SAPI'!Z$10:Z$116)</f>
        <v>0</v>
      </c>
      <c r="U28" s="8">
        <f>SUMIF('DAILY CHAMP SAPI'!$B$10:$B$116,$A28,'DAILY CHAMP SAPI'!AA$10:AA$116)</f>
        <v>0</v>
      </c>
      <c r="V28" s="8">
        <f>SUMIF('DAILY CHAMP SAPI'!$B$10:$B$116,$A28,'DAILY CHAMP SAPI'!AB$10:AB$116)</f>
        <v>0</v>
      </c>
      <c r="W28" s="59">
        <f t="shared" si="0"/>
        <v>0</v>
      </c>
      <c r="X28" s="60">
        <f t="shared" ca="1" si="1"/>
        <v>0</v>
      </c>
      <c r="Y28" s="47">
        <f t="shared" ca="1" si="2"/>
        <v>0</v>
      </c>
      <c r="Z28" s="88" t="e">
        <f t="shared" ca="1" si="5"/>
        <v>#DIV/0!</v>
      </c>
      <c r="AA28" s="89" t="e">
        <f t="shared" ca="1" si="6"/>
        <v>#DIV/0!</v>
      </c>
      <c r="AB28" s="112">
        <f>+'Actual VS SAP'!O30</f>
        <v>0</v>
      </c>
      <c r="AC28" s="48">
        <f t="shared" si="3"/>
        <v>0</v>
      </c>
      <c r="AD28" s="89" t="e">
        <f t="shared" si="4"/>
        <v>#DIV/0!</v>
      </c>
    </row>
    <row r="29" spans="1:30">
      <c r="A29" s="7">
        <f>+'ALL SORTASI'!A31</f>
        <v>46229</v>
      </c>
      <c r="B29" s="8">
        <f ca="1">SUMIF('DAILY CHAMP SAPI'!$B$10:$B$116,$A29,'DAILY CHAMP SAPI'!$D$10:$D$115)</f>
        <v>0</v>
      </c>
      <c r="C29" s="8">
        <f>SUMIF('DAILY CHAMP SAPI'!$B$10:$B$116,$A29,'DAILY CHAMP SAPI'!I$10:I$116)</f>
        <v>0</v>
      </c>
      <c r="D29" s="8">
        <f>SUMIF('DAILY CHAMP SAPI'!$B$10:$B$116,$A29,'DAILY CHAMP SAPI'!J$10:J$116)</f>
        <v>0</v>
      </c>
      <c r="E29" s="8">
        <f>SUMIF('DAILY CHAMP SAPI'!$B$10:$B$116,$A29,'DAILY CHAMP SAPI'!K$10:K$116)</f>
        <v>0</v>
      </c>
      <c r="F29" s="8">
        <f>SUMIF('DAILY CHAMP SAPI'!$B$10:$B$116,$A29,'DAILY CHAMP SAPI'!L$10:L$116)</f>
        <v>0</v>
      </c>
      <c r="G29" s="8">
        <f>SUMIF('DAILY CHAMP SAPI'!$B$10:$B$116,$A29,'DAILY CHAMP SAPI'!M$10:M$116)</f>
        <v>0</v>
      </c>
      <c r="H29" s="8">
        <f>SUMIF('DAILY CHAMP SAPI'!$B$10:$B$116,$A29,'DAILY CHAMP SAPI'!N$10:N$116)</f>
        <v>0</v>
      </c>
      <c r="I29" s="8">
        <f>SUMIF('DAILY CHAMP SAPI'!$B$10:$B$116,$A29,'DAILY CHAMP SAPI'!O$10:O$116)</f>
        <v>0</v>
      </c>
      <c r="J29" s="8">
        <f>SUMIF('DAILY CHAMP SAPI'!$B$10:$B$116,$A29,'DAILY CHAMP SAPI'!P$10:P$116)</f>
        <v>0</v>
      </c>
      <c r="K29" s="8">
        <f>SUMIF('DAILY CHAMP SAPI'!$B$10:$B$116,$A29,'DAILY CHAMP SAPI'!Q$10:Q$116)</f>
        <v>0</v>
      </c>
      <c r="L29" s="8">
        <f>SUMIF('DAILY CHAMP SAPI'!$B$10:$B$116,$A29,'DAILY CHAMP SAPI'!R$10:R$116)</f>
        <v>0</v>
      </c>
      <c r="M29" s="8">
        <f>SUMIF('DAILY CHAMP SAPI'!$B$10:$B$116,$A29,'DAILY CHAMP SAPI'!S$10:S$116)</f>
        <v>0</v>
      </c>
      <c r="N29" s="8">
        <f>SUMIF('DAILY CHAMP SAPI'!$B$10:$B$116,$A29,'DAILY CHAMP SAPI'!T$10:T$116)</f>
        <v>0</v>
      </c>
      <c r="O29" s="8">
        <f>SUMIF('DAILY CHAMP SAPI'!$B$10:$B$116,$A29,'DAILY CHAMP SAPI'!U$10:U$116)</f>
        <v>0</v>
      </c>
      <c r="P29" s="8">
        <f>SUMIF('DAILY CHAMP SAPI'!$B$10:$B$116,$A29,'DAILY CHAMP SAPI'!V$10:V$116)</f>
        <v>0</v>
      </c>
      <c r="Q29" s="8">
        <f>SUMIF('DAILY CHAMP SAPI'!$B$10:$B$116,$A29,'DAILY CHAMP SAPI'!W$10:W$116)</f>
        <v>0</v>
      </c>
      <c r="R29" s="8">
        <f>SUMIF('DAILY CHAMP SAPI'!$B$10:$B$116,$A29,'DAILY CHAMP SAPI'!X$10:X$116)</f>
        <v>0</v>
      </c>
      <c r="S29" s="8">
        <f>SUMIF('DAILY CHAMP SAPI'!$B$10:$B$116,$A29,'DAILY CHAMP SAPI'!Y$10:Y$116)</f>
        <v>0</v>
      </c>
      <c r="T29" s="8">
        <f>SUMIF('DAILY CHAMP SAPI'!$B$10:$B$116,$A29,'DAILY CHAMP SAPI'!Z$10:Z$116)</f>
        <v>0</v>
      </c>
      <c r="U29" s="8">
        <f>SUMIF('DAILY CHAMP SAPI'!$B$10:$B$116,$A29,'DAILY CHAMP SAPI'!AA$10:AA$116)</f>
        <v>0</v>
      </c>
      <c r="V29" s="8">
        <f>SUMIF('DAILY CHAMP SAPI'!$B$10:$B$116,$A29,'DAILY CHAMP SAPI'!AB$10:AB$116)</f>
        <v>0</v>
      </c>
      <c r="W29" s="59">
        <f t="shared" si="0"/>
        <v>0</v>
      </c>
      <c r="X29" s="60">
        <f t="shared" ca="1" si="1"/>
        <v>0</v>
      </c>
      <c r="Y29" s="47">
        <f t="shared" ca="1" si="2"/>
        <v>0</v>
      </c>
      <c r="Z29" s="88" t="e">
        <f t="shared" ca="1" si="5"/>
        <v>#DIV/0!</v>
      </c>
      <c r="AA29" s="89" t="e">
        <f t="shared" ca="1" si="6"/>
        <v>#DIV/0!</v>
      </c>
      <c r="AB29" s="112">
        <f>+'Actual VS SAP'!O31</f>
        <v>0</v>
      </c>
      <c r="AC29" s="48">
        <f t="shared" si="3"/>
        <v>0</v>
      </c>
      <c r="AD29" s="89" t="e">
        <f t="shared" si="4"/>
        <v>#DIV/0!</v>
      </c>
    </row>
    <row r="30" spans="1:30">
      <c r="A30" s="7">
        <f>+'ALL SORTASI'!A32</f>
        <v>46230</v>
      </c>
      <c r="B30" s="8">
        <f ca="1">SUMIF('DAILY CHAMP SAPI'!$B$10:$B$116,$A30,'DAILY CHAMP SAPI'!$D$10:$D$115)</f>
        <v>0</v>
      </c>
      <c r="C30" s="8">
        <f>SUMIF('DAILY CHAMP SAPI'!$B$10:$B$116,$A30,'DAILY CHAMP SAPI'!I$10:I$116)</f>
        <v>0</v>
      </c>
      <c r="D30" s="8">
        <f>SUMIF('DAILY CHAMP SAPI'!$B$10:$B$116,$A30,'DAILY CHAMP SAPI'!J$10:J$116)</f>
        <v>0</v>
      </c>
      <c r="E30" s="8">
        <f>SUMIF('DAILY CHAMP SAPI'!$B$10:$B$116,$A30,'DAILY CHAMP SAPI'!K$10:K$116)</f>
        <v>0</v>
      </c>
      <c r="F30" s="8">
        <f>SUMIF('DAILY CHAMP SAPI'!$B$10:$B$116,$A30,'DAILY CHAMP SAPI'!L$10:L$116)</f>
        <v>0</v>
      </c>
      <c r="G30" s="8">
        <f>SUMIF('DAILY CHAMP SAPI'!$B$10:$B$116,$A30,'DAILY CHAMP SAPI'!M$10:M$116)</f>
        <v>0</v>
      </c>
      <c r="H30" s="8">
        <f>SUMIF('DAILY CHAMP SAPI'!$B$10:$B$116,$A30,'DAILY CHAMP SAPI'!N$10:N$116)</f>
        <v>0</v>
      </c>
      <c r="I30" s="8">
        <f>SUMIF('DAILY CHAMP SAPI'!$B$10:$B$116,$A30,'DAILY CHAMP SAPI'!O$10:O$116)</f>
        <v>0</v>
      </c>
      <c r="J30" s="8">
        <f>SUMIF('DAILY CHAMP SAPI'!$B$10:$B$116,$A30,'DAILY CHAMP SAPI'!P$10:P$116)</f>
        <v>0</v>
      </c>
      <c r="K30" s="8">
        <f>SUMIF('DAILY CHAMP SAPI'!$B$10:$B$116,$A30,'DAILY CHAMP SAPI'!Q$10:Q$116)</f>
        <v>0</v>
      </c>
      <c r="L30" s="8">
        <f>SUMIF('DAILY CHAMP SAPI'!$B$10:$B$116,$A30,'DAILY CHAMP SAPI'!R$10:R$116)</f>
        <v>0</v>
      </c>
      <c r="M30" s="8">
        <f>SUMIF('DAILY CHAMP SAPI'!$B$10:$B$116,$A30,'DAILY CHAMP SAPI'!S$10:S$116)</f>
        <v>0</v>
      </c>
      <c r="N30" s="8">
        <f>SUMIF('DAILY CHAMP SAPI'!$B$10:$B$116,$A30,'DAILY CHAMP SAPI'!T$10:T$116)</f>
        <v>0</v>
      </c>
      <c r="O30" s="8">
        <f>SUMIF('DAILY CHAMP SAPI'!$B$10:$B$116,$A30,'DAILY CHAMP SAPI'!U$10:U$116)</f>
        <v>0</v>
      </c>
      <c r="P30" s="8">
        <f>SUMIF('DAILY CHAMP SAPI'!$B$10:$B$116,$A30,'DAILY CHAMP SAPI'!V$10:V$116)</f>
        <v>0</v>
      </c>
      <c r="Q30" s="8">
        <f>SUMIF('DAILY CHAMP SAPI'!$B$10:$B$116,$A30,'DAILY CHAMP SAPI'!W$10:W$116)</f>
        <v>0</v>
      </c>
      <c r="R30" s="8">
        <f>SUMIF('DAILY CHAMP SAPI'!$B$10:$B$116,$A30,'DAILY CHAMP SAPI'!X$10:X$116)</f>
        <v>0</v>
      </c>
      <c r="S30" s="8">
        <f>SUMIF('DAILY CHAMP SAPI'!$B$10:$B$116,$A30,'DAILY CHAMP SAPI'!Y$10:Y$116)</f>
        <v>0</v>
      </c>
      <c r="T30" s="8">
        <f>SUMIF('DAILY CHAMP SAPI'!$B$10:$B$116,$A30,'DAILY CHAMP SAPI'!Z$10:Z$116)</f>
        <v>0</v>
      </c>
      <c r="U30" s="8">
        <f>SUMIF('DAILY CHAMP SAPI'!$B$10:$B$116,$A30,'DAILY CHAMP SAPI'!AA$10:AA$116)</f>
        <v>0</v>
      </c>
      <c r="V30" s="8">
        <f>SUMIF('DAILY CHAMP SAPI'!$B$10:$B$116,$A30,'DAILY CHAMP SAPI'!AB$10:AB$116)</f>
        <v>0</v>
      </c>
      <c r="W30" s="59">
        <f t="shared" si="0"/>
        <v>0</v>
      </c>
      <c r="X30" s="60">
        <f t="shared" ca="1" si="1"/>
        <v>0</v>
      </c>
      <c r="Y30" s="47">
        <f t="shared" ca="1" si="2"/>
        <v>0</v>
      </c>
      <c r="Z30" s="88" t="e">
        <f t="shared" ca="1" si="5"/>
        <v>#DIV/0!</v>
      </c>
      <c r="AA30" s="89" t="e">
        <f t="shared" ca="1" si="6"/>
        <v>#DIV/0!</v>
      </c>
      <c r="AB30" s="112">
        <f>+'Actual VS SAP'!O32</f>
        <v>0</v>
      </c>
      <c r="AC30" s="48">
        <f t="shared" si="3"/>
        <v>0</v>
      </c>
      <c r="AD30" s="89" t="e">
        <f t="shared" si="4"/>
        <v>#DIV/0!</v>
      </c>
    </row>
    <row r="31" spans="1:30">
      <c r="A31" s="7">
        <f>+'ALL SORTASI'!A33</f>
        <v>46231</v>
      </c>
      <c r="B31" s="8">
        <f ca="1">SUMIF('DAILY CHAMP SAPI'!$B$10:$B$116,$A31,'DAILY CHAMP SAPI'!$D$10:$D$115)</f>
        <v>0</v>
      </c>
      <c r="C31" s="8">
        <f>SUMIF('DAILY CHAMP SAPI'!$B$10:$B$116,$A31,'DAILY CHAMP SAPI'!I$10:I$116)</f>
        <v>0</v>
      </c>
      <c r="D31" s="8">
        <f>SUMIF('DAILY CHAMP SAPI'!$B$10:$B$116,$A31,'DAILY CHAMP SAPI'!J$10:J$116)</f>
        <v>0</v>
      </c>
      <c r="E31" s="8">
        <f>SUMIF('DAILY CHAMP SAPI'!$B$10:$B$116,$A31,'DAILY CHAMP SAPI'!K$10:K$116)</f>
        <v>0</v>
      </c>
      <c r="F31" s="8">
        <f>SUMIF('DAILY CHAMP SAPI'!$B$10:$B$116,$A31,'DAILY CHAMP SAPI'!L$10:L$116)</f>
        <v>0</v>
      </c>
      <c r="G31" s="8">
        <f>SUMIF('DAILY CHAMP SAPI'!$B$10:$B$116,$A31,'DAILY CHAMP SAPI'!M$10:M$116)</f>
        <v>0</v>
      </c>
      <c r="H31" s="8">
        <f>SUMIF('DAILY CHAMP SAPI'!$B$10:$B$116,$A31,'DAILY CHAMP SAPI'!N$10:N$116)</f>
        <v>0</v>
      </c>
      <c r="I31" s="8">
        <f>SUMIF('DAILY CHAMP SAPI'!$B$10:$B$116,$A31,'DAILY CHAMP SAPI'!O$10:O$116)</f>
        <v>0</v>
      </c>
      <c r="J31" s="8">
        <f>SUMIF('DAILY CHAMP SAPI'!$B$10:$B$116,$A31,'DAILY CHAMP SAPI'!P$10:P$116)</f>
        <v>0</v>
      </c>
      <c r="K31" s="8">
        <f>SUMIF('DAILY CHAMP SAPI'!$B$10:$B$116,$A31,'DAILY CHAMP SAPI'!Q$10:Q$116)</f>
        <v>0</v>
      </c>
      <c r="L31" s="8">
        <f>SUMIF('DAILY CHAMP SAPI'!$B$10:$B$116,$A31,'DAILY CHAMP SAPI'!R$10:R$116)</f>
        <v>0</v>
      </c>
      <c r="M31" s="8">
        <f>SUMIF('DAILY CHAMP SAPI'!$B$10:$B$116,$A31,'DAILY CHAMP SAPI'!S$10:S$116)</f>
        <v>0</v>
      </c>
      <c r="N31" s="8">
        <f>SUMIF('DAILY CHAMP SAPI'!$B$10:$B$116,$A31,'DAILY CHAMP SAPI'!T$10:T$116)</f>
        <v>0</v>
      </c>
      <c r="O31" s="8">
        <f>SUMIF('DAILY CHAMP SAPI'!$B$10:$B$116,$A31,'DAILY CHAMP SAPI'!U$10:U$116)</f>
        <v>0</v>
      </c>
      <c r="P31" s="8">
        <f>SUMIF('DAILY CHAMP SAPI'!$B$10:$B$116,$A31,'DAILY CHAMP SAPI'!V$10:V$116)</f>
        <v>0</v>
      </c>
      <c r="Q31" s="8">
        <f>SUMIF('DAILY CHAMP SAPI'!$B$10:$B$116,$A31,'DAILY CHAMP SAPI'!W$10:W$116)</f>
        <v>0</v>
      </c>
      <c r="R31" s="8">
        <f>SUMIF('DAILY CHAMP SAPI'!$B$10:$B$116,$A31,'DAILY CHAMP SAPI'!X$10:X$116)</f>
        <v>0</v>
      </c>
      <c r="S31" s="8">
        <f>SUMIF('DAILY CHAMP SAPI'!$B$10:$B$116,$A31,'DAILY CHAMP SAPI'!Y$10:Y$116)</f>
        <v>0</v>
      </c>
      <c r="T31" s="8">
        <f>SUMIF('DAILY CHAMP SAPI'!$B$10:$B$116,$A31,'DAILY CHAMP SAPI'!Z$10:Z$116)</f>
        <v>0</v>
      </c>
      <c r="U31" s="8">
        <f>SUMIF('DAILY CHAMP SAPI'!$B$10:$B$116,$A31,'DAILY CHAMP SAPI'!AA$10:AA$116)</f>
        <v>0</v>
      </c>
      <c r="V31" s="8">
        <f>SUMIF('DAILY CHAMP SAPI'!$B$10:$B$116,$A31,'DAILY CHAMP SAPI'!AB$10:AB$116)</f>
        <v>0</v>
      </c>
      <c r="W31" s="59">
        <f t="shared" si="0"/>
        <v>0</v>
      </c>
      <c r="X31" s="60">
        <f t="shared" ca="1" si="1"/>
        <v>0</v>
      </c>
      <c r="Y31" s="47">
        <f t="shared" ca="1" si="2"/>
        <v>0</v>
      </c>
      <c r="Z31" s="88" t="e">
        <f t="shared" ca="1" si="5"/>
        <v>#DIV/0!</v>
      </c>
      <c r="AA31" s="89" t="e">
        <f t="shared" ca="1" si="6"/>
        <v>#DIV/0!</v>
      </c>
      <c r="AB31" s="112">
        <f>+'Actual VS SAP'!O33</f>
        <v>0</v>
      </c>
      <c r="AC31" s="48">
        <f t="shared" si="3"/>
        <v>0</v>
      </c>
      <c r="AD31" s="89" t="e">
        <f t="shared" si="4"/>
        <v>#DIV/0!</v>
      </c>
    </row>
    <row r="32" spans="1:30">
      <c r="A32" s="7">
        <f>+'ALL SORTASI'!A34</f>
        <v>46232</v>
      </c>
      <c r="B32" s="8">
        <f ca="1">SUMIF('DAILY CHAMP SAPI'!$B$10:$B$116,$A32,'DAILY CHAMP SAPI'!$D$10:$D$115)</f>
        <v>0</v>
      </c>
      <c r="C32" s="8">
        <f>SUMIF('DAILY CHAMP SAPI'!$B$10:$B$116,$A32,'DAILY CHAMP SAPI'!I$10:I$116)</f>
        <v>0</v>
      </c>
      <c r="D32" s="8">
        <f>SUMIF('DAILY CHAMP SAPI'!$B$10:$B$116,$A32,'DAILY CHAMP SAPI'!J$10:J$116)</f>
        <v>0</v>
      </c>
      <c r="E32" s="8">
        <f>SUMIF('DAILY CHAMP SAPI'!$B$10:$B$116,$A32,'DAILY CHAMP SAPI'!K$10:K$116)</f>
        <v>0</v>
      </c>
      <c r="F32" s="8">
        <f>SUMIF('DAILY CHAMP SAPI'!$B$10:$B$116,$A32,'DAILY CHAMP SAPI'!L$10:L$116)</f>
        <v>0</v>
      </c>
      <c r="G32" s="8">
        <f>SUMIF('DAILY CHAMP SAPI'!$B$10:$B$116,$A32,'DAILY CHAMP SAPI'!M$10:M$116)</f>
        <v>0</v>
      </c>
      <c r="H32" s="8">
        <f>SUMIF('DAILY CHAMP SAPI'!$B$10:$B$116,$A32,'DAILY CHAMP SAPI'!N$10:N$116)</f>
        <v>0</v>
      </c>
      <c r="I32" s="8">
        <f>SUMIF('DAILY CHAMP SAPI'!$B$10:$B$116,$A32,'DAILY CHAMP SAPI'!O$10:O$116)</f>
        <v>0</v>
      </c>
      <c r="J32" s="8">
        <f>SUMIF('DAILY CHAMP SAPI'!$B$10:$B$116,$A32,'DAILY CHAMP SAPI'!P$10:P$116)</f>
        <v>0</v>
      </c>
      <c r="K32" s="8">
        <f>SUMIF('DAILY CHAMP SAPI'!$B$10:$B$116,$A32,'DAILY CHAMP SAPI'!Q$10:Q$116)</f>
        <v>0</v>
      </c>
      <c r="L32" s="8">
        <f>SUMIF('DAILY CHAMP SAPI'!$B$10:$B$116,$A32,'DAILY CHAMP SAPI'!R$10:R$116)</f>
        <v>0</v>
      </c>
      <c r="M32" s="8">
        <f>SUMIF('DAILY CHAMP SAPI'!$B$10:$B$116,$A32,'DAILY CHAMP SAPI'!S$10:S$116)</f>
        <v>0</v>
      </c>
      <c r="N32" s="8">
        <f>SUMIF('DAILY CHAMP SAPI'!$B$10:$B$116,$A32,'DAILY CHAMP SAPI'!T$10:T$116)</f>
        <v>0</v>
      </c>
      <c r="O32" s="8">
        <f>SUMIF('DAILY CHAMP SAPI'!$B$10:$B$116,$A32,'DAILY CHAMP SAPI'!U$10:U$116)</f>
        <v>0</v>
      </c>
      <c r="P32" s="8">
        <f>SUMIF('DAILY CHAMP SAPI'!$B$10:$B$116,$A32,'DAILY CHAMP SAPI'!V$10:V$116)</f>
        <v>0</v>
      </c>
      <c r="Q32" s="8">
        <f>SUMIF('DAILY CHAMP SAPI'!$B$10:$B$116,$A32,'DAILY CHAMP SAPI'!W$10:W$116)</f>
        <v>0</v>
      </c>
      <c r="R32" s="8">
        <f>SUMIF('DAILY CHAMP SAPI'!$B$10:$B$116,$A32,'DAILY CHAMP SAPI'!X$10:X$116)</f>
        <v>0</v>
      </c>
      <c r="S32" s="8">
        <f>SUMIF('DAILY CHAMP SAPI'!$B$10:$B$116,$A32,'DAILY CHAMP SAPI'!Y$10:Y$116)</f>
        <v>0</v>
      </c>
      <c r="T32" s="8">
        <f>SUMIF('DAILY CHAMP SAPI'!$B$10:$B$116,$A32,'DAILY CHAMP SAPI'!Z$10:Z$116)</f>
        <v>0</v>
      </c>
      <c r="U32" s="8">
        <f>SUMIF('DAILY CHAMP SAPI'!$B$10:$B$116,$A32,'DAILY CHAMP SAPI'!AA$10:AA$116)</f>
        <v>0</v>
      </c>
      <c r="V32" s="8">
        <f>SUMIF('DAILY CHAMP SAPI'!$B$10:$B$116,$A32,'DAILY CHAMP SAPI'!AB$10:AB$116)</f>
        <v>0</v>
      </c>
      <c r="W32" s="59">
        <f t="shared" si="0"/>
        <v>0</v>
      </c>
      <c r="X32" s="60">
        <f t="shared" ca="1" si="1"/>
        <v>0</v>
      </c>
      <c r="Y32" s="47">
        <f t="shared" ca="1" si="2"/>
        <v>0</v>
      </c>
      <c r="Z32" s="88" t="e">
        <f t="shared" ca="1" si="5"/>
        <v>#DIV/0!</v>
      </c>
      <c r="AA32" s="89" t="e">
        <f t="shared" ca="1" si="6"/>
        <v>#DIV/0!</v>
      </c>
      <c r="AB32" s="112">
        <f>+'Actual VS SAP'!O34</f>
        <v>0</v>
      </c>
      <c r="AC32" s="48">
        <f t="shared" ref="AC32:AC33" si="7">+AB32*$AC$3</f>
        <v>0</v>
      </c>
      <c r="AD32" s="89" t="e">
        <f t="shared" ref="AD32:AD33" si="8">+C32/AC32</f>
        <v>#DIV/0!</v>
      </c>
    </row>
    <row r="33" spans="1:30">
      <c r="A33" s="7">
        <f>+'ALL SORTASI'!A35</f>
        <v>46233</v>
      </c>
      <c r="B33" s="8">
        <f ca="1">SUMIF('DAILY CHAMP SAPI'!$B$10:$B$116,$A33,'DAILY CHAMP SAPI'!$D$10:$D$115)</f>
        <v>0</v>
      </c>
      <c r="C33" s="8">
        <f>SUMIF('DAILY CHAMP SAPI'!$B$10:$B$116,$A33,'DAILY CHAMP SAPI'!I$10:I$116)</f>
        <v>0</v>
      </c>
      <c r="D33" s="8">
        <f>SUMIF('DAILY CHAMP SAPI'!$B$10:$B$116,$A33,'DAILY CHAMP SAPI'!J$10:J$116)</f>
        <v>0</v>
      </c>
      <c r="E33" s="8">
        <f>SUMIF('DAILY CHAMP SAPI'!$B$10:$B$116,$A33,'DAILY CHAMP SAPI'!K$10:K$116)</f>
        <v>0</v>
      </c>
      <c r="F33" s="8">
        <f>SUMIF('DAILY CHAMP SAPI'!$B$10:$B$116,$A33,'DAILY CHAMP SAPI'!L$10:L$116)</f>
        <v>0</v>
      </c>
      <c r="G33" s="8">
        <f>SUMIF('DAILY CHAMP SAPI'!$B$10:$B$116,$A33,'DAILY CHAMP SAPI'!M$10:M$116)</f>
        <v>0</v>
      </c>
      <c r="H33" s="8">
        <f>SUMIF('DAILY CHAMP SAPI'!$B$10:$B$116,$A33,'DAILY CHAMP SAPI'!N$10:N$116)</f>
        <v>0</v>
      </c>
      <c r="I33" s="8">
        <f>SUMIF('DAILY CHAMP SAPI'!$B$10:$B$116,$A33,'DAILY CHAMP SAPI'!O$10:O$116)</f>
        <v>0</v>
      </c>
      <c r="J33" s="8">
        <f>SUMIF('DAILY CHAMP SAPI'!$B$10:$B$116,$A33,'DAILY CHAMP SAPI'!P$10:P$116)</f>
        <v>0</v>
      </c>
      <c r="K33" s="8">
        <f>SUMIF('DAILY CHAMP SAPI'!$B$10:$B$116,$A33,'DAILY CHAMP SAPI'!Q$10:Q$116)</f>
        <v>0</v>
      </c>
      <c r="L33" s="8">
        <f>SUMIF('DAILY CHAMP SAPI'!$B$10:$B$116,$A33,'DAILY CHAMP SAPI'!R$10:R$116)</f>
        <v>0</v>
      </c>
      <c r="M33" s="8">
        <f>SUMIF('DAILY CHAMP SAPI'!$B$10:$B$116,$A33,'DAILY CHAMP SAPI'!S$10:S$116)</f>
        <v>0</v>
      </c>
      <c r="N33" s="8">
        <f>SUMIF('DAILY CHAMP SAPI'!$B$10:$B$116,$A33,'DAILY CHAMP SAPI'!T$10:T$116)</f>
        <v>0</v>
      </c>
      <c r="O33" s="8">
        <f>SUMIF('DAILY CHAMP SAPI'!$B$10:$B$116,$A33,'DAILY CHAMP SAPI'!U$10:U$116)</f>
        <v>0</v>
      </c>
      <c r="P33" s="8">
        <f>SUMIF('DAILY CHAMP SAPI'!$B$10:$B$116,$A33,'DAILY CHAMP SAPI'!V$10:V$116)</f>
        <v>0</v>
      </c>
      <c r="Q33" s="8">
        <f>SUMIF('DAILY CHAMP SAPI'!$B$10:$B$116,$A33,'DAILY CHAMP SAPI'!W$10:W$116)</f>
        <v>0</v>
      </c>
      <c r="R33" s="8">
        <f>SUMIF('DAILY CHAMP SAPI'!$B$10:$B$116,$A33,'DAILY CHAMP SAPI'!X$10:X$116)</f>
        <v>0</v>
      </c>
      <c r="S33" s="8">
        <f>SUMIF('DAILY CHAMP SAPI'!$B$10:$B$116,$A33,'DAILY CHAMP SAPI'!Y$10:Y$116)</f>
        <v>0</v>
      </c>
      <c r="T33" s="8">
        <f>SUMIF('DAILY CHAMP SAPI'!$B$10:$B$116,$A33,'DAILY CHAMP SAPI'!Z$10:Z$116)</f>
        <v>0</v>
      </c>
      <c r="U33" s="8">
        <f>SUMIF('DAILY CHAMP SAPI'!$B$10:$B$116,$A33,'DAILY CHAMP SAPI'!AA$10:AA$116)</f>
        <v>0</v>
      </c>
      <c r="V33" s="8">
        <f>SUMIF('DAILY CHAMP SAPI'!$B$10:$B$116,$A33,'DAILY CHAMP SAPI'!AB$10:AB$116)</f>
        <v>0</v>
      </c>
      <c r="W33" s="59">
        <f t="shared" si="0"/>
        <v>0</v>
      </c>
      <c r="X33" s="60">
        <f t="shared" ca="1" si="1"/>
        <v>0</v>
      </c>
      <c r="Y33" s="47">
        <f t="shared" ca="1" si="2"/>
        <v>0</v>
      </c>
      <c r="Z33" s="88" t="e">
        <f t="shared" ca="1" si="5"/>
        <v>#DIV/0!</v>
      </c>
      <c r="AA33" s="89" t="e">
        <f t="shared" ca="1" si="6"/>
        <v>#DIV/0!</v>
      </c>
      <c r="AB33" s="112">
        <f>+'Actual VS SAP'!O35</f>
        <v>0</v>
      </c>
      <c r="AC33" s="48">
        <f t="shared" si="7"/>
        <v>0</v>
      </c>
      <c r="AD33" s="89" t="e">
        <f t="shared" si="8"/>
        <v>#DIV/0!</v>
      </c>
    </row>
    <row r="34" spans="1:30">
      <c r="A34" s="7">
        <f>+'ALL SORTASI'!A36</f>
        <v>46234</v>
      </c>
      <c r="B34" s="8">
        <f ca="1">SUMIF('DAILY CHAMP SAPI'!$B$10:$B$116,$A34,'DAILY CHAMP SAPI'!$D$10:$D$115)</f>
        <v>0</v>
      </c>
      <c r="C34" s="8">
        <f>SUMIF('DAILY CHAMP SAPI'!$B$10:$B$116,$A34,'DAILY CHAMP SAPI'!I$10:I$116)</f>
        <v>0</v>
      </c>
      <c r="D34" s="8">
        <f>SUMIF('DAILY CHAMP SAPI'!$B$10:$B$116,$A34,'DAILY CHAMP SAPI'!J$10:J$116)</f>
        <v>0</v>
      </c>
      <c r="E34" s="8">
        <f>SUMIF('DAILY CHAMP SAPI'!$B$10:$B$116,$A34,'DAILY CHAMP SAPI'!K$10:K$116)</f>
        <v>0</v>
      </c>
      <c r="F34" s="8">
        <f>SUMIF('DAILY CHAMP SAPI'!$B$10:$B$116,$A34,'DAILY CHAMP SAPI'!L$10:L$116)</f>
        <v>0</v>
      </c>
      <c r="G34" s="8">
        <f>SUMIF('DAILY CHAMP SAPI'!$B$10:$B$116,$A34,'DAILY CHAMP SAPI'!M$10:M$116)</f>
        <v>0</v>
      </c>
      <c r="H34" s="8">
        <f>SUMIF('DAILY CHAMP SAPI'!$B$10:$B$116,$A34,'DAILY CHAMP SAPI'!N$10:N$116)</f>
        <v>0</v>
      </c>
      <c r="I34" s="8">
        <f>SUMIF('DAILY CHAMP SAPI'!$B$10:$B$116,$A34,'DAILY CHAMP SAPI'!O$10:O$116)</f>
        <v>0</v>
      </c>
      <c r="J34" s="8">
        <f>SUMIF('DAILY CHAMP SAPI'!$B$10:$B$116,$A34,'DAILY CHAMP SAPI'!P$10:P$116)</f>
        <v>0</v>
      </c>
      <c r="K34" s="8">
        <f>SUMIF('DAILY CHAMP SAPI'!$B$10:$B$116,$A34,'DAILY CHAMP SAPI'!Q$10:Q$116)</f>
        <v>0</v>
      </c>
      <c r="L34" s="8">
        <f>SUMIF('DAILY CHAMP SAPI'!$B$10:$B$116,$A34,'DAILY CHAMP SAPI'!R$10:R$116)</f>
        <v>0</v>
      </c>
      <c r="M34" s="8">
        <f>SUMIF('DAILY CHAMP SAPI'!$B$10:$B$116,$A34,'DAILY CHAMP SAPI'!S$10:S$116)</f>
        <v>0</v>
      </c>
      <c r="N34" s="8">
        <f>SUMIF('DAILY CHAMP SAPI'!$B$10:$B$116,$A34,'DAILY CHAMP SAPI'!T$10:T$116)</f>
        <v>0</v>
      </c>
      <c r="O34" s="8">
        <f>SUMIF('DAILY CHAMP SAPI'!$B$10:$B$116,$A34,'DAILY CHAMP SAPI'!U$10:U$116)</f>
        <v>0</v>
      </c>
      <c r="P34" s="8">
        <f>SUMIF('DAILY CHAMP SAPI'!$B$10:$B$116,$A34,'DAILY CHAMP SAPI'!V$10:V$116)</f>
        <v>0</v>
      </c>
      <c r="Q34" s="8">
        <f>SUMIF('DAILY CHAMP SAPI'!$B$10:$B$116,$A34,'DAILY CHAMP SAPI'!W$10:W$116)</f>
        <v>0</v>
      </c>
      <c r="R34" s="8">
        <f>SUMIF('DAILY CHAMP SAPI'!$B$10:$B$116,$A34,'DAILY CHAMP SAPI'!X$10:X$116)</f>
        <v>0</v>
      </c>
      <c r="S34" s="8">
        <f>SUMIF('DAILY CHAMP SAPI'!$B$10:$B$116,$A34,'DAILY CHAMP SAPI'!Y$10:Y$116)</f>
        <v>0</v>
      </c>
      <c r="T34" s="8">
        <f>SUMIF('DAILY CHAMP SAPI'!$B$10:$B$116,$A34,'DAILY CHAMP SAPI'!Z$10:Z$116)</f>
        <v>0</v>
      </c>
      <c r="U34" s="8">
        <f>SUMIF('DAILY CHAMP SAPI'!$B$10:$B$116,$A34,'DAILY CHAMP SAPI'!AA$10:AA$116)</f>
        <v>0</v>
      </c>
      <c r="V34" s="8">
        <f>SUMIF('DAILY CHAMP SAPI'!$B$10:$B$116,$A34,'DAILY CHAMP SAPI'!AB$10:AB$116)</f>
        <v>0</v>
      </c>
      <c r="W34" s="59">
        <f t="shared" ref="W34" si="9">SUM(E34:V34)</f>
        <v>0</v>
      </c>
      <c r="X34" s="60">
        <f t="shared" ref="X34" ca="1" si="10">+B34-C34-D34-W34</f>
        <v>0</v>
      </c>
      <c r="Y34" s="47">
        <f t="shared" ca="1" si="2"/>
        <v>0</v>
      </c>
      <c r="Z34" s="88" t="e">
        <f t="shared" ref="Z34" ca="1" si="11">+C34/B34</f>
        <v>#DIV/0!</v>
      </c>
      <c r="AA34" s="89" t="e">
        <f t="shared" ca="1" si="6"/>
        <v>#DIV/0!</v>
      </c>
      <c r="AB34" s="112"/>
      <c r="AC34" s="48"/>
      <c r="AD34" s="89"/>
    </row>
    <row r="35" spans="1:30">
      <c r="A35" s="7"/>
      <c r="B35" s="8">
        <f ca="1">SUMIF('DAILY CHAMP SAPI'!$B$10:$B$116,$A35,'DAILY CHAMP SAPI'!$D$10:$D$115)</f>
        <v>0</v>
      </c>
      <c r="C35" s="8">
        <f>SUMIF('DAILY CHAMP SAPI'!$B$10:$B$116,$A35,'DAILY CHAMP SAPI'!I$10:I$116)</f>
        <v>0</v>
      </c>
      <c r="D35" s="8">
        <f>SUMIF('DAILY CHAMP SAPI'!$B$10:$B$116,$A35,'DAILY CHAMP SAPI'!J$10:J$116)</f>
        <v>0</v>
      </c>
      <c r="E35" s="8">
        <f>SUMIF('DAILY CHAMP SAPI'!$B$10:$B$116,$A35,'DAILY CHAMP SAPI'!K$10:K$116)</f>
        <v>0</v>
      </c>
      <c r="F35" s="8">
        <f>SUMIF('DAILY CHAMP SAPI'!$B$10:$B$116,$A35,'DAILY CHAMP SAPI'!L$10:L$116)</f>
        <v>0</v>
      </c>
      <c r="G35" s="8">
        <f>SUMIF('DAILY CHAMP SAPI'!$B$10:$B$116,$A35,'DAILY CHAMP SAPI'!M$10:M$116)</f>
        <v>0</v>
      </c>
      <c r="H35" s="8">
        <f>SUMIF('DAILY CHAMP SAPI'!$B$10:$B$116,$A35,'DAILY CHAMP SAPI'!N$10:N$116)</f>
        <v>0</v>
      </c>
      <c r="I35" s="8">
        <f>SUMIF('DAILY CHAMP SAPI'!$B$10:$B$116,$A35,'DAILY CHAMP SAPI'!O$10:O$116)</f>
        <v>0</v>
      </c>
      <c r="J35" s="8">
        <f>SUMIF('DAILY CHAMP SAPI'!$B$10:$B$116,$A35,'DAILY CHAMP SAPI'!P$10:P$116)</f>
        <v>0</v>
      </c>
      <c r="K35" s="8">
        <f>SUMIF('DAILY CHAMP SAPI'!$B$10:$B$116,$A35,'DAILY CHAMP SAPI'!Q$10:Q$116)</f>
        <v>0</v>
      </c>
      <c r="L35" s="8">
        <f>SUMIF('DAILY CHAMP SAPI'!$B$10:$B$116,$A35,'DAILY CHAMP SAPI'!R$10:R$116)</f>
        <v>0</v>
      </c>
      <c r="M35" s="8">
        <f>SUMIF('DAILY CHAMP SAPI'!$B$10:$B$116,$A35,'DAILY CHAMP SAPI'!S$10:S$116)</f>
        <v>0</v>
      </c>
      <c r="N35" s="8">
        <f>SUMIF('DAILY CHAMP SAPI'!$B$10:$B$116,$A35,'DAILY CHAMP SAPI'!T$10:T$116)</f>
        <v>0</v>
      </c>
      <c r="O35" s="8">
        <f>SUMIF('DAILY CHAMP SAPI'!$B$10:$B$116,$A35,'DAILY CHAMP SAPI'!U$10:U$116)</f>
        <v>0</v>
      </c>
      <c r="P35" s="8">
        <f>SUMIF('DAILY CHAMP SAPI'!$B$10:$B$116,$A35,'DAILY CHAMP SAPI'!V$10:V$116)</f>
        <v>0</v>
      </c>
      <c r="Q35" s="8">
        <f>SUMIF('DAILY CHAMP SAPI'!$B$10:$B$116,$A35,'DAILY CHAMP SAPI'!W$10:W$116)</f>
        <v>0</v>
      </c>
      <c r="R35" s="8">
        <f>SUMIF('DAILY CHAMP SAPI'!$B$10:$B$116,$A35,'DAILY CHAMP SAPI'!X$10:X$116)</f>
        <v>0</v>
      </c>
      <c r="S35" s="8">
        <f>SUMIF('DAILY CHAMP SAPI'!$B$10:$B$116,$A35,'DAILY CHAMP SAPI'!Y$10:Y$116)</f>
        <v>0</v>
      </c>
      <c r="T35" s="8">
        <f>SUMIF('DAILY CHAMP SAPI'!$B$10:$B$116,$A35,'DAILY CHAMP SAPI'!Z$10:Z$116)</f>
        <v>0</v>
      </c>
      <c r="U35" s="8">
        <f>SUMIF('DAILY CHAMP SAPI'!$B$10:$B$116,$A35,'DAILY CHAMP SAPI'!AA$10:AA$116)</f>
        <v>0</v>
      </c>
      <c r="V35" s="8">
        <f>SUMIF('DAILY CHAMP SAPI'!$B$10:$B$116,$A35,'DAILY CHAMP SAPI'!AB$10:AB$116)</f>
        <v>0</v>
      </c>
      <c r="W35" s="59">
        <f>SUM(E35:V35)</f>
        <v>0</v>
      </c>
      <c r="X35" s="60">
        <f ca="1">+B35-C35-D35-W35</f>
        <v>0</v>
      </c>
      <c r="Y35" s="47">
        <f t="shared" ref="Y35" ca="1" si="12">+X35/3.276</f>
        <v>0</v>
      </c>
      <c r="AB35" s="112"/>
      <c r="AC35" s="48"/>
      <c r="AD35" s="89"/>
    </row>
    <row r="36" spans="1:30">
      <c r="B36" s="59">
        <f t="shared" ref="B36:X36" ca="1" si="13">SUM(B4:B35)</f>
        <v>17680.572</v>
      </c>
      <c r="C36" s="59">
        <f t="shared" si="13"/>
        <v>16766.567999999999</v>
      </c>
      <c r="D36" s="59">
        <f t="shared" si="13"/>
        <v>19.655999999999999</v>
      </c>
      <c r="E36" s="59">
        <f t="shared" si="13"/>
        <v>54.12</v>
      </c>
      <c r="F36" s="59">
        <f t="shared" si="13"/>
        <v>84.11</v>
      </c>
      <c r="G36" s="59">
        <f t="shared" si="13"/>
        <v>1.1000000000000001</v>
      </c>
      <c r="H36" s="59">
        <f t="shared" si="13"/>
        <v>0</v>
      </c>
      <c r="I36" s="59">
        <f t="shared" si="13"/>
        <v>82.54</v>
      </c>
      <c r="J36" s="59">
        <f t="shared" si="13"/>
        <v>3.47</v>
      </c>
      <c r="K36" s="59">
        <f t="shared" si="13"/>
        <v>0</v>
      </c>
      <c r="L36" s="59">
        <f t="shared" si="13"/>
        <v>6.47</v>
      </c>
      <c r="M36" s="59">
        <f t="shared" si="13"/>
        <v>11.78</v>
      </c>
      <c r="N36" s="59">
        <f t="shared" si="13"/>
        <v>35.320000000000007</v>
      </c>
      <c r="O36" s="59">
        <f t="shared" si="13"/>
        <v>0.78</v>
      </c>
      <c r="P36" s="59">
        <f t="shared" si="13"/>
        <v>0</v>
      </c>
      <c r="Q36" s="59">
        <f t="shared" si="13"/>
        <v>0</v>
      </c>
      <c r="R36" s="59">
        <f t="shared" si="13"/>
        <v>0</v>
      </c>
      <c r="S36" s="59">
        <f t="shared" si="13"/>
        <v>0</v>
      </c>
      <c r="T36" s="59">
        <f t="shared" si="13"/>
        <v>0</v>
      </c>
      <c r="U36" s="59">
        <f t="shared" si="13"/>
        <v>0</v>
      </c>
      <c r="V36" s="59">
        <f t="shared" si="13"/>
        <v>0</v>
      </c>
      <c r="W36" s="59">
        <f t="shared" si="13"/>
        <v>279.69</v>
      </c>
      <c r="X36" s="59">
        <f t="shared" ca="1" si="13"/>
        <v>614.65799999999808</v>
      </c>
      <c r="AB36" s="113">
        <f>SUM(AB4:AB31)</f>
        <v>10</v>
      </c>
      <c r="AC36" s="109">
        <f>SUM(AC4:AC31)</f>
        <v>17547.12</v>
      </c>
      <c r="AD36" s="110">
        <f>SUM(C36:D36)/AC36</f>
        <v>0.95663698658241347</v>
      </c>
    </row>
    <row r="37" spans="1:30">
      <c r="C37" s="61">
        <f ca="1">+C36/$B$36</f>
        <v>0.94830461367426344</v>
      </c>
      <c r="D37" s="61">
        <f t="shared" ref="D37:X37" ca="1" si="14">+D36/$B$36</f>
        <v>1.1117287381878821E-3</v>
      </c>
      <c r="E37" s="61">
        <f t="shared" ca="1" si="14"/>
        <v>3.060986940920237E-3</v>
      </c>
      <c r="F37" s="61">
        <f t="shared" ca="1" si="14"/>
        <v>4.7571990317960304E-3</v>
      </c>
      <c r="G37" s="61">
        <f t="shared" ca="1" si="14"/>
        <v>6.2215181726021085E-5</v>
      </c>
      <c r="H37" s="61">
        <f t="shared" ca="1" si="14"/>
        <v>0</v>
      </c>
      <c r="I37" s="61">
        <f t="shared" ca="1" si="14"/>
        <v>4.668400999696164E-3</v>
      </c>
      <c r="J37" s="61">
        <f t="shared" ca="1" si="14"/>
        <v>1.9626061871753925E-4</v>
      </c>
      <c r="K37" s="61">
        <f t="shared" ca="1" si="14"/>
        <v>0</v>
      </c>
      <c r="L37" s="61">
        <f t="shared" ca="1" si="14"/>
        <v>3.6593838706123306E-4</v>
      </c>
      <c r="M37" s="61">
        <f t="shared" ca="1" si="14"/>
        <v>6.6626803702957117E-4</v>
      </c>
      <c r="N37" s="61">
        <f t="shared" ca="1" si="14"/>
        <v>1.9976729259664227E-3</v>
      </c>
      <c r="O37" s="61">
        <f t="shared" ca="1" si="14"/>
        <v>4.4116219769360407E-5</v>
      </c>
      <c r="P37" s="61">
        <f t="shared" ca="1" si="14"/>
        <v>0</v>
      </c>
      <c r="Q37" s="61">
        <f t="shared" ca="1" si="14"/>
        <v>0</v>
      </c>
      <c r="R37" s="61">
        <f t="shared" ca="1" si="14"/>
        <v>0</v>
      </c>
      <c r="S37" s="61">
        <f t="shared" ca="1" si="14"/>
        <v>0</v>
      </c>
      <c r="T37" s="61">
        <f t="shared" ca="1" si="14"/>
        <v>0</v>
      </c>
      <c r="U37" s="61">
        <f ca="1">+U36/$B$36</f>
        <v>0</v>
      </c>
      <c r="V37" s="61">
        <f ca="1">+V36/$B$36</f>
        <v>0</v>
      </c>
      <c r="W37" s="62">
        <f t="shared" ca="1" si="14"/>
        <v>1.5819058342682577E-2</v>
      </c>
      <c r="X37" s="61">
        <f t="shared" ca="1" si="14"/>
        <v>3.4764599244865954E-2</v>
      </c>
    </row>
    <row r="39" spans="1:30" ht="13.5">
      <c r="B39" s="300"/>
      <c r="D39" s="300"/>
      <c r="E39" s="300"/>
      <c r="F39" s="47"/>
    </row>
    <row r="40" spans="1:30">
      <c r="F40" s="47"/>
    </row>
    <row r="41" spans="1:30">
      <c r="F41" s="47"/>
    </row>
  </sheetData>
  <mergeCells count="10">
    <mergeCell ref="E2:S2"/>
    <mergeCell ref="AB2:AB3"/>
    <mergeCell ref="AD2:AD3"/>
    <mergeCell ref="C1:D1"/>
    <mergeCell ref="A2:A3"/>
    <mergeCell ref="B2:B3"/>
    <mergeCell ref="C2:C3"/>
    <mergeCell ref="D2:D3"/>
    <mergeCell ref="W2:W3"/>
    <mergeCell ref="X2:X3"/>
  </mergeCells>
  <pageMargins left="0.7" right="0.7" top="0.75" bottom="0.75" header="0.3" footer="0.3"/>
  <pageSetup paperSize="9" orientation="portrait" r:id="rId1"/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>
  <sheetPr codeName="Sheet18">
    <tabColor rgb="FFFFC000"/>
  </sheetPr>
  <dimension ref="A1:AD37"/>
  <sheetViews>
    <sheetView workbookViewId="0">
      <pane xSplit="1" ySplit="3" topLeftCell="B9" activePane="bottomRight" state="frozen"/>
      <selection activeCell="EE10" sqref="EE10"/>
      <selection pane="topRight" activeCell="EE10" sqref="EE10"/>
      <selection pane="bottomLeft" activeCell="EE10" sqref="EE10"/>
      <selection pane="bottomRight" activeCell="H38" sqref="H38"/>
    </sheetView>
  </sheetViews>
  <sheetFormatPr defaultRowHeight="12.75"/>
  <cols>
    <col min="1" max="1" width="10.28515625" style="47" customWidth="1"/>
    <col min="2" max="3" width="13.7109375" style="47" customWidth="1"/>
    <col min="4" max="4" width="9.140625" style="47" customWidth="1"/>
    <col min="5" max="5" width="12.7109375" style="47" customWidth="1"/>
    <col min="6" max="6" width="9.140625" style="46" customWidth="1"/>
    <col min="7" max="9" width="12.28515625" style="47" customWidth="1"/>
    <col min="10" max="10" width="11.7109375" style="47" customWidth="1"/>
    <col min="11" max="17" width="9.140625" style="47"/>
    <col min="18" max="18" width="13" style="47" customWidth="1"/>
    <col min="19" max="20" width="9.140625" style="47"/>
    <col min="21" max="21" width="10.28515625" style="47" customWidth="1"/>
    <col min="22" max="22" width="11.140625" style="47" customWidth="1"/>
    <col min="23" max="23" width="10" style="47" bestFit="1" customWidth="1"/>
    <col min="24" max="24" width="10.7109375" style="47" customWidth="1"/>
    <col min="25" max="16384" width="9.140625" style="47"/>
  </cols>
  <sheetData>
    <row r="1" spans="1:30">
      <c r="A1" s="9"/>
      <c r="B1" s="9"/>
      <c r="C1" s="717" t="s">
        <v>10</v>
      </c>
      <c r="D1" s="717"/>
      <c r="E1" s="9"/>
      <c r="H1" s="48"/>
    </row>
    <row r="2" spans="1:30" ht="12.75" customHeight="1">
      <c r="A2" s="718" t="s">
        <v>24</v>
      </c>
      <c r="B2" s="719" t="s">
        <v>7</v>
      </c>
      <c r="C2" s="720" t="s">
        <v>8</v>
      </c>
      <c r="D2" s="720" t="s">
        <v>13</v>
      </c>
      <c r="E2" s="715" t="s">
        <v>23</v>
      </c>
      <c r="F2" s="715"/>
      <c r="G2" s="715"/>
      <c r="H2" s="715"/>
      <c r="I2" s="715"/>
      <c r="J2" s="715"/>
      <c r="K2" s="715"/>
      <c r="L2" s="715"/>
      <c r="M2" s="715"/>
      <c r="N2" s="715"/>
      <c r="O2" s="715"/>
      <c r="P2" s="715"/>
      <c r="Q2" s="715"/>
      <c r="R2" s="715"/>
      <c r="S2" s="715"/>
      <c r="T2" s="22"/>
      <c r="U2" s="115"/>
      <c r="V2" s="22"/>
      <c r="W2" s="721" t="s">
        <v>15</v>
      </c>
      <c r="X2" s="722" t="s">
        <v>9</v>
      </c>
      <c r="AB2" s="716" t="s">
        <v>67</v>
      </c>
      <c r="AC2" s="108" t="s">
        <v>68</v>
      </c>
      <c r="AD2" s="716" t="s">
        <v>69</v>
      </c>
    </row>
    <row r="3" spans="1:30" ht="12.75" customHeight="1">
      <c r="A3" s="718"/>
      <c r="B3" s="719"/>
      <c r="C3" s="719"/>
      <c r="D3" s="719"/>
      <c r="E3" s="96" t="s">
        <v>16</v>
      </c>
      <c r="F3" s="96" t="s">
        <v>17</v>
      </c>
      <c r="G3" s="96" t="s">
        <v>58</v>
      </c>
      <c r="H3" s="96" t="s">
        <v>59</v>
      </c>
      <c r="I3" s="96" t="s">
        <v>18</v>
      </c>
      <c r="J3" s="96" t="s">
        <v>60</v>
      </c>
      <c r="K3" s="96" t="s">
        <v>19</v>
      </c>
      <c r="L3" s="96" t="s">
        <v>55</v>
      </c>
      <c r="M3" s="96" t="s">
        <v>61</v>
      </c>
      <c r="N3" s="96" t="s">
        <v>62</v>
      </c>
      <c r="O3" s="96" t="s">
        <v>63</v>
      </c>
      <c r="P3" s="96" t="s">
        <v>56</v>
      </c>
      <c r="Q3" s="96" t="s">
        <v>20</v>
      </c>
      <c r="R3" s="96" t="s">
        <v>57</v>
      </c>
      <c r="S3" s="272" t="s">
        <v>154</v>
      </c>
      <c r="T3" s="96" t="s">
        <v>21</v>
      </c>
      <c r="U3" s="126" t="s">
        <v>155</v>
      </c>
      <c r="V3" s="118" t="s">
        <v>22</v>
      </c>
      <c r="W3" s="721"/>
      <c r="X3" s="722"/>
      <c r="AB3" s="716"/>
      <c r="AC3" s="108">
        <v>1721.98</v>
      </c>
      <c r="AD3" s="716"/>
    </row>
    <row r="4" spans="1:30">
      <c r="A4" s="7">
        <f>+'ALL SORTASI'!A6</f>
        <v>46204</v>
      </c>
      <c r="B4" s="8">
        <f ca="1">SUMIF('DAILY CHAMP OTAK-OTAK'!$B$10:$B$115,$A4,'DAILY CHAMP OTAK-OTAK'!$C$10:$C$114)</f>
        <v>0</v>
      </c>
      <c r="C4" s="8">
        <f>SUMIF('DAILY CHAMP OTAK-OTAK'!$B$10:$B$115,$A4,'DAILY CHAMP OTAK-OTAK'!H$10:H$115)</f>
        <v>0</v>
      </c>
      <c r="D4" s="8">
        <f>SUMIF('DAILY CHAMP OTAK-OTAK'!$B$10:$B$115,$A4,'DAILY CHAMP OTAK-OTAK'!I$10:I$115)</f>
        <v>0</v>
      </c>
      <c r="E4" s="8">
        <f>SUMIF('DAILY CHAMP OTAK-OTAK'!$B$10:$B$115,$A4,'DAILY CHAMP OTAK-OTAK'!J$10:J$115)</f>
        <v>0</v>
      </c>
      <c r="F4" s="8">
        <f>SUMIF('DAILY CHAMP OTAK-OTAK'!$B$10:$B$115,$A4,'DAILY CHAMP OTAK-OTAK'!K$10:K$115)</f>
        <v>0</v>
      </c>
      <c r="G4" s="8">
        <f>SUMIF('DAILY CHAMP OTAK-OTAK'!$B$10:$B$115,$A4,'DAILY CHAMP OTAK-OTAK'!L$10:L$115)</f>
        <v>0</v>
      </c>
      <c r="H4" s="8">
        <f>SUMIF('DAILY CHAMP OTAK-OTAK'!$B$10:$B$115,$A4,'DAILY CHAMP OTAK-OTAK'!M$10:M$115)</f>
        <v>0</v>
      </c>
      <c r="I4" s="8">
        <f>SUMIF('DAILY CHAMP OTAK-OTAK'!$B$10:$B$115,$A4,'DAILY CHAMP OTAK-OTAK'!N$10:N$115)</f>
        <v>0</v>
      </c>
      <c r="J4" s="8">
        <f>SUMIF('DAILY CHAMP OTAK-OTAK'!$B$10:$B$115,$A4,'DAILY CHAMP OTAK-OTAK'!O$10:O$115)</f>
        <v>0</v>
      </c>
      <c r="K4" s="8">
        <f>SUMIF('DAILY CHAMP OTAK-OTAK'!$B$10:$B$115,$A4,'DAILY CHAMP OTAK-OTAK'!P$10:P$115)</f>
        <v>0</v>
      </c>
      <c r="L4" s="8">
        <f>SUMIF('DAILY CHAMP OTAK-OTAK'!$B$10:$B$115,$A4,'DAILY CHAMP OTAK-OTAK'!Q$10:Q$115)</f>
        <v>0</v>
      </c>
      <c r="M4" s="8">
        <f>SUMIF('DAILY CHAMP OTAK-OTAK'!$B$10:$B$115,$A4,'DAILY CHAMP OTAK-OTAK'!R$10:R$115)</f>
        <v>0</v>
      </c>
      <c r="N4" s="8">
        <f>SUMIF('DAILY CHAMP OTAK-OTAK'!$B$10:$B$115,$A4,'DAILY CHAMP OTAK-OTAK'!S$10:S$115)</f>
        <v>0</v>
      </c>
      <c r="O4" s="8">
        <f>SUMIF('DAILY CHAMP OTAK-OTAK'!$B$10:$B$115,$A4,'DAILY CHAMP OTAK-OTAK'!T$10:T$115)</f>
        <v>0</v>
      </c>
      <c r="P4" s="8">
        <f>SUMIF('DAILY CHAMP OTAK-OTAK'!$B$10:$B$115,$A4,'DAILY CHAMP OTAK-OTAK'!U$10:U$115)</f>
        <v>0</v>
      </c>
      <c r="Q4" s="8">
        <f>SUMIF('DAILY CHAMP OTAK-OTAK'!$B$10:$B$115,$A4,'DAILY CHAMP OTAK-OTAK'!V$10:V$115)</f>
        <v>0</v>
      </c>
      <c r="R4" s="8">
        <f>SUMIF('DAILY CHAMP OTAK-OTAK'!$B$10:$B$115,$A4,'DAILY CHAMP OTAK-OTAK'!W$10:W$115)</f>
        <v>0</v>
      </c>
      <c r="S4" s="8">
        <f>SUMIF('DAILY CHAMP OTAK-OTAK'!$B$10:$B$115,$A4,'DAILY CHAMP OTAK-OTAK'!X$10:X$115)</f>
        <v>0</v>
      </c>
      <c r="T4" s="8">
        <f>SUMIF('DAILY CHAMP OTAK-OTAK'!$B$10:$B$115,$A4,'DAILY CHAMP OTAK-OTAK'!Y$10:Y$115)</f>
        <v>0</v>
      </c>
      <c r="U4" s="8">
        <f>SUMIF('DAILY CHAMP OTAK-OTAK'!$B$10:$B$115,$A4,'DAILY CHAMP OTAK-OTAK'!Z$10:Z$115)</f>
        <v>0</v>
      </c>
      <c r="V4" s="8">
        <f>SUMIF('DAILY CHAMP OTAK-OTAK'!$B$10:$B$115,$A4,'DAILY CHAMP OTAK-OTAK'!AA$10:AA$115)</f>
        <v>0</v>
      </c>
      <c r="W4" s="59">
        <f t="shared" ref="W4:W34" si="0">SUM(E4:V4)</f>
        <v>0</v>
      </c>
      <c r="X4" s="60">
        <f t="shared" ref="X4:X34" ca="1" si="1">+B4-C4-D4-W4</f>
        <v>0</v>
      </c>
      <c r="Y4" s="47">
        <f t="shared" ref="Y4:Y34" ca="1" si="2">+X4/3.276</f>
        <v>0</v>
      </c>
      <c r="AB4" s="112">
        <f>+'Actual VS SAP'!U6</f>
        <v>0</v>
      </c>
      <c r="AC4" s="48">
        <f>+AB4*$AC$3</f>
        <v>0</v>
      </c>
      <c r="AD4" s="89" t="e">
        <f>+C4/AC4</f>
        <v>#DIV/0!</v>
      </c>
    </row>
    <row r="5" spans="1:30">
      <c r="A5" s="7">
        <f>+'ALL SORTASI'!A7</f>
        <v>46205</v>
      </c>
      <c r="B5" s="8">
        <f ca="1">SUMIF('DAILY CHAMP OTAK-OTAK'!$B$10:$B$115,$A5,'DAILY CHAMP OTAK-OTAK'!$C$10:$C$114)</f>
        <v>0</v>
      </c>
      <c r="C5" s="8">
        <f>SUMIF('DAILY CHAMP OTAK-OTAK'!$B$10:$B$115,$A5,'DAILY CHAMP OTAK-OTAK'!H$10:H$115)</f>
        <v>0</v>
      </c>
      <c r="D5" s="8">
        <f>SUMIF('DAILY CHAMP OTAK-OTAK'!$B$10:$B$115,$A5,'DAILY CHAMP OTAK-OTAK'!I$10:I$115)</f>
        <v>0</v>
      </c>
      <c r="E5" s="8">
        <f>SUMIF('DAILY CHAMP OTAK-OTAK'!$B$10:$B$115,$A5,'DAILY CHAMP OTAK-OTAK'!J$10:J$115)</f>
        <v>0</v>
      </c>
      <c r="F5" s="8">
        <f>SUMIF('DAILY CHAMP OTAK-OTAK'!$B$10:$B$115,$A5,'DAILY CHAMP OTAK-OTAK'!K$10:K$115)</f>
        <v>0</v>
      </c>
      <c r="G5" s="8">
        <f>SUMIF('DAILY CHAMP OTAK-OTAK'!$B$10:$B$115,$A5,'DAILY CHAMP OTAK-OTAK'!L$10:L$115)</f>
        <v>0</v>
      </c>
      <c r="H5" s="8">
        <f>SUMIF('DAILY CHAMP OTAK-OTAK'!$B$10:$B$115,$A5,'DAILY CHAMP OTAK-OTAK'!M$10:M$115)</f>
        <v>0</v>
      </c>
      <c r="I5" s="8">
        <f>SUMIF('DAILY CHAMP OTAK-OTAK'!$B$10:$B$115,$A5,'DAILY CHAMP OTAK-OTAK'!N$10:N$115)</f>
        <v>0</v>
      </c>
      <c r="J5" s="8">
        <f>SUMIF('DAILY CHAMP OTAK-OTAK'!$B$10:$B$115,$A5,'DAILY CHAMP OTAK-OTAK'!O$10:O$115)</f>
        <v>0</v>
      </c>
      <c r="K5" s="8">
        <f>SUMIF('DAILY CHAMP OTAK-OTAK'!$B$10:$B$115,$A5,'DAILY CHAMP OTAK-OTAK'!P$10:P$115)</f>
        <v>0</v>
      </c>
      <c r="L5" s="8">
        <f>SUMIF('DAILY CHAMP OTAK-OTAK'!$B$10:$B$115,$A5,'DAILY CHAMP OTAK-OTAK'!Q$10:Q$115)</f>
        <v>0</v>
      </c>
      <c r="M5" s="8">
        <f>SUMIF('DAILY CHAMP OTAK-OTAK'!$B$10:$B$115,$A5,'DAILY CHAMP OTAK-OTAK'!R$10:R$115)</f>
        <v>0</v>
      </c>
      <c r="N5" s="8">
        <f>SUMIF('DAILY CHAMP OTAK-OTAK'!$B$10:$B$115,$A5,'DAILY CHAMP OTAK-OTAK'!S$10:S$115)</f>
        <v>0</v>
      </c>
      <c r="O5" s="8">
        <f>SUMIF('DAILY CHAMP OTAK-OTAK'!$B$10:$B$115,$A5,'DAILY CHAMP OTAK-OTAK'!T$10:T$115)</f>
        <v>0</v>
      </c>
      <c r="P5" s="8">
        <f>SUMIF('DAILY CHAMP OTAK-OTAK'!$B$10:$B$115,$A5,'DAILY CHAMP OTAK-OTAK'!U$10:U$115)</f>
        <v>0</v>
      </c>
      <c r="Q5" s="8">
        <f>SUMIF('DAILY CHAMP OTAK-OTAK'!$B$10:$B$115,$A5,'DAILY CHAMP OTAK-OTAK'!V$10:V$115)</f>
        <v>0</v>
      </c>
      <c r="R5" s="8">
        <f>SUMIF('DAILY CHAMP OTAK-OTAK'!$B$10:$B$115,$A5,'DAILY CHAMP OTAK-OTAK'!W$10:W$115)</f>
        <v>0</v>
      </c>
      <c r="S5" s="8">
        <f>SUMIF('DAILY CHAMP OTAK-OTAK'!$B$10:$B$115,$A5,'DAILY CHAMP OTAK-OTAK'!X$10:X$115)</f>
        <v>0</v>
      </c>
      <c r="T5" s="8">
        <f>SUMIF('DAILY CHAMP OTAK-OTAK'!$B$10:$B$115,$A5,'DAILY CHAMP OTAK-OTAK'!Y$10:Y$115)</f>
        <v>0</v>
      </c>
      <c r="U5" s="8">
        <f>SUMIF('DAILY CHAMP OTAK-OTAK'!$B$10:$B$115,$A5,'DAILY CHAMP OTAK-OTAK'!Z$10:Z$115)</f>
        <v>0</v>
      </c>
      <c r="V5" s="8">
        <f>SUMIF('DAILY CHAMP OTAK-OTAK'!$B$10:$B$115,$A5,'DAILY CHAMP OTAK-OTAK'!AA$10:AA$115)</f>
        <v>0</v>
      </c>
      <c r="W5" s="59">
        <f t="shared" si="0"/>
        <v>0</v>
      </c>
      <c r="X5" s="60">
        <f t="shared" ca="1" si="1"/>
        <v>0</v>
      </c>
      <c r="Y5" s="47">
        <f t="shared" ca="1" si="2"/>
        <v>0</v>
      </c>
      <c r="Z5" s="88" t="e">
        <f ca="1">+C5/B5</f>
        <v>#DIV/0!</v>
      </c>
      <c r="AA5" s="89" t="e">
        <f ca="1">100%-Z5</f>
        <v>#DIV/0!</v>
      </c>
      <c r="AB5" s="112">
        <f>+'Actual VS SAP'!U7</f>
        <v>0</v>
      </c>
      <c r="AC5" s="48">
        <f t="shared" ref="AC5:AC31" si="3">+AB5*$AC$3</f>
        <v>0</v>
      </c>
      <c r="AD5" s="89" t="e">
        <f t="shared" ref="AD5:AD31" si="4">+C5/AC5</f>
        <v>#DIV/0!</v>
      </c>
    </row>
    <row r="6" spans="1:30">
      <c r="A6" s="7">
        <f>+'ALL SORTASI'!A8</f>
        <v>46206</v>
      </c>
      <c r="B6" s="8">
        <f ca="1">SUMIF('DAILY CHAMP OTAK-OTAK'!$B$10:$B$115,$A6,'DAILY CHAMP OTAK-OTAK'!$C$10:$C$114)</f>
        <v>0</v>
      </c>
      <c r="C6" s="8">
        <f>SUMIF('DAILY CHAMP OTAK-OTAK'!$B$10:$B$115,$A6,'DAILY CHAMP OTAK-OTAK'!H$10:H$115)</f>
        <v>0</v>
      </c>
      <c r="D6" s="8">
        <f>SUMIF('DAILY CHAMP OTAK-OTAK'!$B$10:$B$115,$A6,'DAILY CHAMP OTAK-OTAK'!I$10:I$115)</f>
        <v>0</v>
      </c>
      <c r="E6" s="8">
        <f>SUMIF('DAILY CHAMP OTAK-OTAK'!$B$10:$B$115,$A6,'DAILY CHAMP OTAK-OTAK'!J$10:J$115)</f>
        <v>0</v>
      </c>
      <c r="F6" s="8">
        <f>SUMIF('DAILY CHAMP OTAK-OTAK'!$B$10:$B$115,$A6,'DAILY CHAMP OTAK-OTAK'!K$10:K$115)</f>
        <v>0</v>
      </c>
      <c r="G6" s="8">
        <f>SUMIF('DAILY CHAMP OTAK-OTAK'!$B$10:$B$115,$A6,'DAILY CHAMP OTAK-OTAK'!L$10:L$115)</f>
        <v>0</v>
      </c>
      <c r="H6" s="8">
        <f>SUMIF('DAILY CHAMP OTAK-OTAK'!$B$10:$B$115,$A6,'DAILY CHAMP OTAK-OTAK'!M$10:M$115)</f>
        <v>0</v>
      </c>
      <c r="I6" s="8">
        <f>SUMIF('DAILY CHAMP OTAK-OTAK'!$B$10:$B$115,$A6,'DAILY CHAMP OTAK-OTAK'!N$10:N$115)</f>
        <v>0</v>
      </c>
      <c r="J6" s="8">
        <f>SUMIF('DAILY CHAMP OTAK-OTAK'!$B$10:$B$115,$A6,'DAILY CHAMP OTAK-OTAK'!O$10:O$115)</f>
        <v>0</v>
      </c>
      <c r="K6" s="8">
        <f>SUMIF('DAILY CHAMP OTAK-OTAK'!$B$10:$B$115,$A6,'DAILY CHAMP OTAK-OTAK'!P$10:P$115)</f>
        <v>0</v>
      </c>
      <c r="L6" s="8">
        <f>SUMIF('DAILY CHAMP OTAK-OTAK'!$B$10:$B$115,$A6,'DAILY CHAMP OTAK-OTAK'!Q$10:Q$115)</f>
        <v>0</v>
      </c>
      <c r="M6" s="8">
        <f>SUMIF('DAILY CHAMP OTAK-OTAK'!$B$10:$B$115,$A6,'DAILY CHAMP OTAK-OTAK'!R$10:R$115)</f>
        <v>0</v>
      </c>
      <c r="N6" s="8">
        <f>SUMIF('DAILY CHAMP OTAK-OTAK'!$B$10:$B$115,$A6,'DAILY CHAMP OTAK-OTAK'!S$10:S$115)</f>
        <v>0</v>
      </c>
      <c r="O6" s="8">
        <f>SUMIF('DAILY CHAMP OTAK-OTAK'!$B$10:$B$115,$A6,'DAILY CHAMP OTAK-OTAK'!T$10:T$115)</f>
        <v>0</v>
      </c>
      <c r="P6" s="8">
        <f>SUMIF('DAILY CHAMP OTAK-OTAK'!$B$10:$B$115,$A6,'DAILY CHAMP OTAK-OTAK'!U$10:U$115)</f>
        <v>0</v>
      </c>
      <c r="Q6" s="8">
        <f>SUMIF('DAILY CHAMP OTAK-OTAK'!$B$10:$B$115,$A6,'DAILY CHAMP OTAK-OTAK'!V$10:V$115)</f>
        <v>0</v>
      </c>
      <c r="R6" s="8">
        <f>SUMIF('DAILY CHAMP OTAK-OTAK'!$B$10:$B$115,$A6,'DAILY CHAMP OTAK-OTAK'!W$10:W$115)</f>
        <v>0</v>
      </c>
      <c r="S6" s="8">
        <f>SUMIF('DAILY CHAMP OTAK-OTAK'!$B$10:$B$115,$A6,'DAILY CHAMP OTAK-OTAK'!X$10:X$115)</f>
        <v>0</v>
      </c>
      <c r="T6" s="8">
        <f>SUMIF('DAILY CHAMP OTAK-OTAK'!$B$10:$B$115,$A6,'DAILY CHAMP OTAK-OTAK'!Y$10:Y$115)</f>
        <v>0</v>
      </c>
      <c r="U6" s="8">
        <f>SUMIF('DAILY CHAMP OTAK-OTAK'!$B$10:$B$115,$A6,'DAILY CHAMP OTAK-OTAK'!Z$10:Z$115)</f>
        <v>0</v>
      </c>
      <c r="V6" s="8">
        <f>SUMIF('DAILY CHAMP OTAK-OTAK'!$B$10:$B$115,$A6,'DAILY CHAMP OTAK-OTAK'!AA$10:AA$115)</f>
        <v>0</v>
      </c>
      <c r="W6" s="59">
        <f t="shared" si="0"/>
        <v>0</v>
      </c>
      <c r="X6" s="60">
        <f t="shared" ca="1" si="1"/>
        <v>0</v>
      </c>
      <c r="Y6" s="47">
        <f t="shared" ca="1" si="2"/>
        <v>0</v>
      </c>
      <c r="Z6" s="88" t="e">
        <f ca="1">+C6/B6</f>
        <v>#DIV/0!</v>
      </c>
      <c r="AA6" s="89" t="e">
        <f ca="1">100%-Z6</f>
        <v>#DIV/0!</v>
      </c>
      <c r="AB6" s="112">
        <f>+'Actual VS SAP'!U8</f>
        <v>0</v>
      </c>
      <c r="AC6" s="48">
        <f t="shared" si="3"/>
        <v>0</v>
      </c>
      <c r="AD6" s="89" t="e">
        <f t="shared" si="4"/>
        <v>#DIV/0!</v>
      </c>
    </row>
    <row r="7" spans="1:30">
      <c r="A7" s="7">
        <f>+'ALL SORTASI'!A9</f>
        <v>46207</v>
      </c>
      <c r="B7" s="8">
        <f ca="1">SUMIF('DAILY CHAMP OTAK-OTAK'!$B$10:$B$115,$A7,'DAILY CHAMP OTAK-OTAK'!$C$10:$C$114)</f>
        <v>0</v>
      </c>
      <c r="C7" s="8">
        <f>SUMIF('DAILY CHAMP OTAK-OTAK'!$B$10:$B$115,$A7,'DAILY CHAMP OTAK-OTAK'!H$10:H$115)</f>
        <v>0</v>
      </c>
      <c r="D7" s="8">
        <f>SUMIF('DAILY CHAMP OTAK-OTAK'!$B$10:$B$115,$A7,'DAILY CHAMP OTAK-OTAK'!I$10:I$115)</f>
        <v>0</v>
      </c>
      <c r="E7" s="8">
        <f>SUMIF('DAILY CHAMP OTAK-OTAK'!$B$10:$B$115,$A7,'DAILY CHAMP OTAK-OTAK'!J$10:J$115)</f>
        <v>0</v>
      </c>
      <c r="F7" s="8">
        <f>SUMIF('DAILY CHAMP OTAK-OTAK'!$B$10:$B$115,$A7,'DAILY CHAMP OTAK-OTAK'!K$10:K$115)</f>
        <v>0</v>
      </c>
      <c r="G7" s="8">
        <f>SUMIF('DAILY CHAMP OTAK-OTAK'!$B$10:$B$115,$A7,'DAILY CHAMP OTAK-OTAK'!L$10:L$115)</f>
        <v>0</v>
      </c>
      <c r="H7" s="8">
        <f>SUMIF('DAILY CHAMP OTAK-OTAK'!$B$10:$B$115,$A7,'DAILY CHAMP OTAK-OTAK'!M$10:M$115)</f>
        <v>0</v>
      </c>
      <c r="I7" s="8">
        <f>SUMIF('DAILY CHAMP OTAK-OTAK'!$B$10:$B$115,$A7,'DAILY CHAMP OTAK-OTAK'!N$10:N$115)</f>
        <v>0</v>
      </c>
      <c r="J7" s="8">
        <f>SUMIF('DAILY CHAMP OTAK-OTAK'!$B$10:$B$115,$A7,'DAILY CHAMP OTAK-OTAK'!O$10:O$115)</f>
        <v>0</v>
      </c>
      <c r="K7" s="8">
        <f>SUMIF('DAILY CHAMP OTAK-OTAK'!$B$10:$B$115,$A7,'DAILY CHAMP OTAK-OTAK'!P$10:P$115)</f>
        <v>0</v>
      </c>
      <c r="L7" s="8">
        <f>SUMIF('DAILY CHAMP OTAK-OTAK'!$B$10:$B$115,$A7,'DAILY CHAMP OTAK-OTAK'!Q$10:Q$115)</f>
        <v>0</v>
      </c>
      <c r="M7" s="8">
        <f>SUMIF('DAILY CHAMP OTAK-OTAK'!$B$10:$B$115,$A7,'DAILY CHAMP OTAK-OTAK'!R$10:R$115)</f>
        <v>0</v>
      </c>
      <c r="N7" s="8">
        <f>SUMIF('DAILY CHAMP OTAK-OTAK'!$B$10:$B$115,$A7,'DAILY CHAMP OTAK-OTAK'!S$10:S$115)</f>
        <v>0</v>
      </c>
      <c r="O7" s="8">
        <f>SUMIF('DAILY CHAMP OTAK-OTAK'!$B$10:$B$115,$A7,'DAILY CHAMP OTAK-OTAK'!T$10:T$115)</f>
        <v>0</v>
      </c>
      <c r="P7" s="8">
        <f>SUMIF('DAILY CHAMP OTAK-OTAK'!$B$10:$B$115,$A7,'DAILY CHAMP OTAK-OTAK'!U$10:U$115)</f>
        <v>0</v>
      </c>
      <c r="Q7" s="8">
        <f>SUMIF('DAILY CHAMP OTAK-OTAK'!$B$10:$B$115,$A7,'DAILY CHAMP OTAK-OTAK'!V$10:V$115)</f>
        <v>0</v>
      </c>
      <c r="R7" s="8">
        <f>SUMIF('DAILY CHAMP OTAK-OTAK'!$B$10:$B$115,$A7,'DAILY CHAMP OTAK-OTAK'!W$10:W$115)</f>
        <v>0</v>
      </c>
      <c r="S7" s="8">
        <f>SUMIF('DAILY CHAMP OTAK-OTAK'!$B$10:$B$115,$A7,'DAILY CHAMP OTAK-OTAK'!X$10:X$115)</f>
        <v>0</v>
      </c>
      <c r="T7" s="8">
        <f>SUMIF('DAILY CHAMP OTAK-OTAK'!$B$10:$B$115,$A7,'DAILY CHAMP OTAK-OTAK'!Y$10:Y$115)</f>
        <v>0</v>
      </c>
      <c r="U7" s="8">
        <f>SUMIF('DAILY CHAMP OTAK-OTAK'!$B$10:$B$115,$A7,'DAILY CHAMP OTAK-OTAK'!Z$10:Z$115)</f>
        <v>0</v>
      </c>
      <c r="V7" s="8">
        <f>SUMIF('DAILY CHAMP OTAK-OTAK'!$B$10:$B$115,$A7,'DAILY CHAMP OTAK-OTAK'!AA$10:AA$115)</f>
        <v>0</v>
      </c>
      <c r="W7" s="59">
        <f>SUM(E7:V7)</f>
        <v>0</v>
      </c>
      <c r="X7" s="60">
        <f t="shared" ca="1" si="1"/>
        <v>0</v>
      </c>
      <c r="Y7" s="47">
        <f t="shared" ca="1" si="2"/>
        <v>0</v>
      </c>
      <c r="Z7" s="88" t="e">
        <f ca="1">+C7/B7</f>
        <v>#DIV/0!</v>
      </c>
      <c r="AA7" s="89" t="e">
        <f ca="1">100%-Z7</f>
        <v>#DIV/0!</v>
      </c>
      <c r="AB7" s="112">
        <f>+'Actual VS SAP'!U9</f>
        <v>0</v>
      </c>
      <c r="AC7" s="48">
        <f t="shared" si="3"/>
        <v>0</v>
      </c>
      <c r="AD7" s="89" t="e">
        <f t="shared" si="4"/>
        <v>#DIV/0!</v>
      </c>
    </row>
    <row r="8" spans="1:30">
      <c r="A8" s="7">
        <f>+'ALL SORTASI'!A10</f>
        <v>46208</v>
      </c>
      <c r="B8" s="8">
        <f ca="1">SUMIF('DAILY CHAMP OTAK-OTAK'!$B$10:$B$115,$A8,'DAILY CHAMP OTAK-OTAK'!$C$10:$C$114)</f>
        <v>0</v>
      </c>
      <c r="C8" s="8">
        <f>SUMIF('DAILY CHAMP OTAK-OTAK'!$B$10:$B$115,$A8,'DAILY CHAMP OTAK-OTAK'!H$10:H$115)</f>
        <v>0</v>
      </c>
      <c r="D8" s="8">
        <f>SUMIF('DAILY CHAMP OTAK-OTAK'!$B$10:$B$115,$A8,'DAILY CHAMP OTAK-OTAK'!I$10:I$115)</f>
        <v>0</v>
      </c>
      <c r="E8" s="8">
        <f>SUMIF('DAILY CHAMP OTAK-OTAK'!$B$10:$B$115,$A8,'DAILY CHAMP OTAK-OTAK'!J$10:J$115)</f>
        <v>0</v>
      </c>
      <c r="F8" s="8">
        <f>SUMIF('DAILY CHAMP OTAK-OTAK'!$B$10:$B$115,$A8,'DAILY CHAMP OTAK-OTAK'!K$10:K$115)</f>
        <v>0</v>
      </c>
      <c r="G8" s="8">
        <f>SUMIF('DAILY CHAMP OTAK-OTAK'!$B$10:$B$115,$A8,'DAILY CHAMP OTAK-OTAK'!L$10:L$115)</f>
        <v>0</v>
      </c>
      <c r="H8" s="8">
        <f>SUMIF('DAILY CHAMP OTAK-OTAK'!$B$10:$B$115,$A8,'DAILY CHAMP OTAK-OTAK'!M$10:M$115)</f>
        <v>0</v>
      </c>
      <c r="I8" s="8">
        <f>SUMIF('DAILY CHAMP OTAK-OTAK'!$B$10:$B$115,$A8,'DAILY CHAMP OTAK-OTAK'!N$10:N$115)</f>
        <v>0</v>
      </c>
      <c r="J8" s="8">
        <f>SUMIF('DAILY CHAMP OTAK-OTAK'!$B$10:$B$115,$A8,'DAILY CHAMP OTAK-OTAK'!O$10:O$115)</f>
        <v>0</v>
      </c>
      <c r="K8" s="8">
        <f>SUMIF('DAILY CHAMP OTAK-OTAK'!$B$10:$B$115,$A8,'DAILY CHAMP OTAK-OTAK'!P$10:P$115)</f>
        <v>0</v>
      </c>
      <c r="L8" s="8">
        <f>SUMIF('DAILY CHAMP OTAK-OTAK'!$B$10:$B$115,$A8,'DAILY CHAMP OTAK-OTAK'!Q$10:Q$115)</f>
        <v>0</v>
      </c>
      <c r="M8" s="8">
        <f>SUMIF('DAILY CHAMP OTAK-OTAK'!$B$10:$B$115,$A8,'DAILY CHAMP OTAK-OTAK'!R$10:R$115)</f>
        <v>0</v>
      </c>
      <c r="N8" s="8">
        <f>SUMIF('DAILY CHAMP OTAK-OTAK'!$B$10:$B$115,$A8,'DAILY CHAMP OTAK-OTAK'!S$10:S$115)</f>
        <v>0</v>
      </c>
      <c r="O8" s="8">
        <f>SUMIF('DAILY CHAMP OTAK-OTAK'!$B$10:$B$115,$A8,'DAILY CHAMP OTAK-OTAK'!T$10:T$115)</f>
        <v>0</v>
      </c>
      <c r="P8" s="8">
        <f>SUMIF('DAILY CHAMP OTAK-OTAK'!$B$10:$B$115,$A8,'DAILY CHAMP OTAK-OTAK'!U$10:U$115)</f>
        <v>0</v>
      </c>
      <c r="Q8" s="8">
        <f>SUMIF('DAILY CHAMP OTAK-OTAK'!$B$10:$B$115,$A8,'DAILY CHAMP OTAK-OTAK'!V$10:V$115)</f>
        <v>0</v>
      </c>
      <c r="R8" s="8">
        <f>SUMIF('DAILY CHAMP OTAK-OTAK'!$B$10:$B$115,$A8,'DAILY CHAMP OTAK-OTAK'!W$10:W$115)</f>
        <v>0</v>
      </c>
      <c r="S8" s="8">
        <f>SUMIF('DAILY CHAMP OTAK-OTAK'!$B$10:$B$115,$A8,'DAILY CHAMP OTAK-OTAK'!X$10:X$115)</f>
        <v>0</v>
      </c>
      <c r="T8" s="8">
        <f>SUMIF('DAILY CHAMP OTAK-OTAK'!$B$10:$B$115,$A8,'DAILY CHAMP OTAK-OTAK'!Y$10:Y$115)</f>
        <v>0</v>
      </c>
      <c r="U8" s="8">
        <f>SUMIF('DAILY CHAMP OTAK-OTAK'!$B$10:$B$115,$A8,'DAILY CHAMP OTAK-OTAK'!Z$10:Z$115)</f>
        <v>0</v>
      </c>
      <c r="V8" s="8">
        <f>SUMIF('DAILY CHAMP OTAK-OTAK'!$B$10:$B$115,$A8,'DAILY CHAMP OTAK-OTAK'!AA$10:AA$115)</f>
        <v>0</v>
      </c>
      <c r="W8" s="59">
        <f t="shared" si="0"/>
        <v>0</v>
      </c>
      <c r="X8" s="60">
        <f t="shared" ca="1" si="1"/>
        <v>0</v>
      </c>
      <c r="Y8" s="47">
        <f t="shared" ca="1" si="2"/>
        <v>0</v>
      </c>
      <c r="Z8" s="88" t="e">
        <f ca="1">+C8/B8</f>
        <v>#DIV/0!</v>
      </c>
      <c r="AA8" s="89" t="e">
        <f ca="1">100%-Z8</f>
        <v>#DIV/0!</v>
      </c>
      <c r="AB8" s="112">
        <f>+'Actual VS SAP'!U10</f>
        <v>0</v>
      </c>
      <c r="AC8" s="48">
        <f t="shared" si="3"/>
        <v>0</v>
      </c>
      <c r="AD8" s="89" t="e">
        <f t="shared" si="4"/>
        <v>#DIV/0!</v>
      </c>
    </row>
    <row r="9" spans="1:30">
      <c r="A9" s="7">
        <f>+'ALL SORTASI'!A11</f>
        <v>46209</v>
      </c>
      <c r="B9" s="8">
        <f ca="1">SUMIF('DAILY CHAMP OTAK-OTAK'!$B$10:$B$115,$A9,'DAILY CHAMP OTAK-OTAK'!$C$10:$C$114)</f>
        <v>0</v>
      </c>
      <c r="C9" s="8">
        <f>SUMIF('DAILY CHAMP OTAK-OTAK'!$B$10:$B$115,$A9,'DAILY CHAMP OTAK-OTAK'!H$10:H$115)</f>
        <v>0</v>
      </c>
      <c r="D9" s="8">
        <f>SUMIF('DAILY CHAMP OTAK-OTAK'!$B$10:$B$115,$A9,'DAILY CHAMP OTAK-OTAK'!I$10:I$115)</f>
        <v>0</v>
      </c>
      <c r="E9" s="8">
        <f>SUMIF('DAILY CHAMP OTAK-OTAK'!$B$10:$B$115,$A9,'DAILY CHAMP OTAK-OTAK'!J$10:J$115)</f>
        <v>0</v>
      </c>
      <c r="F9" s="8">
        <f>SUMIF('DAILY CHAMP OTAK-OTAK'!$B$10:$B$115,$A9,'DAILY CHAMP OTAK-OTAK'!K$10:K$115)</f>
        <v>0</v>
      </c>
      <c r="G9" s="8">
        <f>SUMIF('DAILY CHAMP OTAK-OTAK'!$B$10:$B$115,$A9,'DAILY CHAMP OTAK-OTAK'!L$10:L$115)</f>
        <v>0</v>
      </c>
      <c r="H9" s="8">
        <f>SUMIF('DAILY CHAMP OTAK-OTAK'!$B$10:$B$115,$A9,'DAILY CHAMP OTAK-OTAK'!M$10:M$115)</f>
        <v>0</v>
      </c>
      <c r="I9" s="8">
        <f>SUMIF('DAILY CHAMP OTAK-OTAK'!$B$10:$B$115,$A9,'DAILY CHAMP OTAK-OTAK'!N$10:N$115)</f>
        <v>0</v>
      </c>
      <c r="J9" s="8">
        <f>SUMIF('DAILY CHAMP OTAK-OTAK'!$B$10:$B$115,$A9,'DAILY CHAMP OTAK-OTAK'!O$10:O$115)</f>
        <v>0</v>
      </c>
      <c r="K9" s="8">
        <f>SUMIF('DAILY CHAMP OTAK-OTAK'!$B$10:$B$115,$A9,'DAILY CHAMP OTAK-OTAK'!P$10:P$115)</f>
        <v>0</v>
      </c>
      <c r="L9" s="8">
        <f>SUMIF('DAILY CHAMP OTAK-OTAK'!$B$10:$B$115,$A9,'DAILY CHAMP OTAK-OTAK'!Q$10:Q$115)</f>
        <v>0</v>
      </c>
      <c r="M9" s="8">
        <f>SUMIF('DAILY CHAMP OTAK-OTAK'!$B$10:$B$115,$A9,'DAILY CHAMP OTAK-OTAK'!R$10:R$115)</f>
        <v>0</v>
      </c>
      <c r="N9" s="8">
        <f>SUMIF('DAILY CHAMP OTAK-OTAK'!$B$10:$B$115,$A9,'DAILY CHAMP OTAK-OTAK'!S$10:S$115)</f>
        <v>0</v>
      </c>
      <c r="O9" s="8">
        <f>SUMIF('DAILY CHAMP OTAK-OTAK'!$B$10:$B$115,$A9,'DAILY CHAMP OTAK-OTAK'!T$10:T$115)</f>
        <v>0</v>
      </c>
      <c r="P9" s="8">
        <f>SUMIF('DAILY CHAMP OTAK-OTAK'!$B$10:$B$115,$A9,'DAILY CHAMP OTAK-OTAK'!U$10:U$115)</f>
        <v>0</v>
      </c>
      <c r="Q9" s="8">
        <f>SUMIF('DAILY CHAMP OTAK-OTAK'!$B$10:$B$115,$A9,'DAILY CHAMP OTAK-OTAK'!V$10:V$115)</f>
        <v>0</v>
      </c>
      <c r="R9" s="8">
        <f>SUMIF('DAILY CHAMP OTAK-OTAK'!$B$10:$B$115,$A9,'DAILY CHAMP OTAK-OTAK'!W$10:W$115)</f>
        <v>0</v>
      </c>
      <c r="S9" s="8">
        <f>SUMIF('DAILY CHAMP OTAK-OTAK'!$B$10:$B$115,$A9,'DAILY CHAMP OTAK-OTAK'!X$10:X$115)</f>
        <v>0</v>
      </c>
      <c r="T9" s="8">
        <f>SUMIF('DAILY CHAMP OTAK-OTAK'!$B$10:$B$115,$A9,'DAILY CHAMP OTAK-OTAK'!Y$10:Y$115)</f>
        <v>0</v>
      </c>
      <c r="U9" s="8">
        <f>SUMIF('DAILY CHAMP OTAK-OTAK'!$B$10:$B$115,$A9,'DAILY CHAMP OTAK-OTAK'!Z$10:Z$115)</f>
        <v>0</v>
      </c>
      <c r="V9" s="8">
        <f>SUMIF('DAILY CHAMP OTAK-OTAK'!$B$10:$B$115,$A9,'DAILY CHAMP OTAK-OTAK'!AA$10:AA$115)</f>
        <v>0</v>
      </c>
      <c r="W9" s="59">
        <f t="shared" si="0"/>
        <v>0</v>
      </c>
      <c r="X9" s="60">
        <f t="shared" ca="1" si="1"/>
        <v>0</v>
      </c>
      <c r="Y9" s="47">
        <f t="shared" ca="1" si="2"/>
        <v>0</v>
      </c>
      <c r="Z9" s="88" t="e">
        <f t="shared" ref="Z9:Z34" ca="1" si="5">+C9/B9</f>
        <v>#DIV/0!</v>
      </c>
      <c r="AA9" s="89" t="e">
        <f t="shared" ref="AA9:AA34" ca="1" si="6">100%-Z9</f>
        <v>#DIV/0!</v>
      </c>
      <c r="AB9" s="112">
        <f>+'Actual VS SAP'!U11</f>
        <v>0</v>
      </c>
      <c r="AC9" s="48">
        <f t="shared" si="3"/>
        <v>0</v>
      </c>
      <c r="AD9" s="89" t="e">
        <f t="shared" si="4"/>
        <v>#DIV/0!</v>
      </c>
    </row>
    <row r="10" spans="1:30">
      <c r="A10" s="7">
        <f>+'ALL SORTASI'!A12</f>
        <v>46210</v>
      </c>
      <c r="B10" s="8">
        <f ca="1">SUMIF('DAILY CHAMP OTAK-OTAK'!$B$10:$B$115,$A10,'DAILY CHAMP OTAK-OTAK'!$C$10:$C$114)</f>
        <v>0</v>
      </c>
      <c r="C10" s="8">
        <f>SUMIF('DAILY CHAMP OTAK-OTAK'!$B$10:$B$115,$A10,'DAILY CHAMP OTAK-OTAK'!H$10:H$115)</f>
        <v>0</v>
      </c>
      <c r="D10" s="8">
        <f>SUMIF('DAILY CHAMP OTAK-OTAK'!$B$10:$B$115,$A10,'DAILY CHAMP OTAK-OTAK'!I$10:I$115)</f>
        <v>0</v>
      </c>
      <c r="E10" s="8">
        <f>SUMIF('DAILY CHAMP OTAK-OTAK'!$B$10:$B$115,$A10,'DAILY CHAMP OTAK-OTAK'!J$10:J$115)</f>
        <v>0</v>
      </c>
      <c r="F10" s="8">
        <f>SUMIF('DAILY CHAMP OTAK-OTAK'!$B$10:$B$115,$A10,'DAILY CHAMP OTAK-OTAK'!K$10:K$115)</f>
        <v>0</v>
      </c>
      <c r="G10" s="8">
        <f>SUMIF('DAILY CHAMP OTAK-OTAK'!$B$10:$B$115,$A10,'DAILY CHAMP OTAK-OTAK'!L$10:L$115)</f>
        <v>0</v>
      </c>
      <c r="H10" s="8">
        <f>SUMIF('DAILY CHAMP OTAK-OTAK'!$B$10:$B$115,$A10,'DAILY CHAMP OTAK-OTAK'!M$10:M$115)</f>
        <v>0</v>
      </c>
      <c r="I10" s="8">
        <f>SUMIF('DAILY CHAMP OTAK-OTAK'!$B$10:$B$115,$A10,'DAILY CHAMP OTAK-OTAK'!N$10:N$115)</f>
        <v>0</v>
      </c>
      <c r="J10" s="8">
        <f>SUMIF('DAILY CHAMP OTAK-OTAK'!$B$10:$B$115,$A10,'DAILY CHAMP OTAK-OTAK'!O$10:O$115)</f>
        <v>0</v>
      </c>
      <c r="K10" s="8">
        <f>SUMIF('DAILY CHAMP OTAK-OTAK'!$B$10:$B$115,$A10,'DAILY CHAMP OTAK-OTAK'!P$10:P$115)</f>
        <v>0</v>
      </c>
      <c r="L10" s="8">
        <f>SUMIF('DAILY CHAMP OTAK-OTAK'!$B$10:$B$115,$A10,'DAILY CHAMP OTAK-OTAK'!Q$10:Q$115)</f>
        <v>0</v>
      </c>
      <c r="M10" s="8">
        <f>SUMIF('DAILY CHAMP OTAK-OTAK'!$B$10:$B$115,$A10,'DAILY CHAMP OTAK-OTAK'!R$10:R$115)</f>
        <v>0</v>
      </c>
      <c r="N10" s="8">
        <f>SUMIF('DAILY CHAMP OTAK-OTAK'!$B$10:$B$115,$A10,'DAILY CHAMP OTAK-OTAK'!S$10:S$115)</f>
        <v>0</v>
      </c>
      <c r="O10" s="8">
        <f>SUMIF('DAILY CHAMP OTAK-OTAK'!$B$10:$B$115,$A10,'DAILY CHAMP OTAK-OTAK'!T$10:T$115)</f>
        <v>0</v>
      </c>
      <c r="P10" s="8">
        <f>SUMIF('DAILY CHAMP OTAK-OTAK'!$B$10:$B$115,$A10,'DAILY CHAMP OTAK-OTAK'!U$10:U$115)</f>
        <v>0</v>
      </c>
      <c r="Q10" s="8">
        <f>SUMIF('DAILY CHAMP OTAK-OTAK'!$B$10:$B$115,$A10,'DAILY CHAMP OTAK-OTAK'!V$10:V$115)</f>
        <v>0</v>
      </c>
      <c r="R10" s="8">
        <f>SUMIF('DAILY CHAMP OTAK-OTAK'!$B$10:$B$115,$A10,'DAILY CHAMP OTAK-OTAK'!W$10:W$115)</f>
        <v>0</v>
      </c>
      <c r="S10" s="8">
        <f>SUMIF('DAILY CHAMP OTAK-OTAK'!$B$10:$B$115,$A10,'DAILY CHAMP OTAK-OTAK'!X$10:X$115)</f>
        <v>0</v>
      </c>
      <c r="T10" s="8">
        <f>SUMIF('DAILY CHAMP OTAK-OTAK'!$B$10:$B$115,$A10,'DAILY CHAMP OTAK-OTAK'!Y$10:Y$115)</f>
        <v>0</v>
      </c>
      <c r="U10" s="8">
        <f>SUMIF('DAILY CHAMP OTAK-OTAK'!$B$10:$B$115,$A10,'DAILY CHAMP OTAK-OTAK'!Z$10:Z$115)</f>
        <v>0</v>
      </c>
      <c r="V10" s="8">
        <f>SUMIF('DAILY CHAMP OTAK-OTAK'!$B$10:$B$115,$A10,'DAILY CHAMP OTAK-OTAK'!AA$10:AA$115)</f>
        <v>0</v>
      </c>
      <c r="W10" s="59">
        <f t="shared" si="0"/>
        <v>0</v>
      </c>
      <c r="X10" s="60">
        <f t="shared" ca="1" si="1"/>
        <v>0</v>
      </c>
      <c r="Y10" s="47">
        <f t="shared" ca="1" si="2"/>
        <v>0</v>
      </c>
      <c r="Z10" s="88" t="e">
        <f t="shared" ca="1" si="5"/>
        <v>#DIV/0!</v>
      </c>
      <c r="AA10" s="89" t="e">
        <f t="shared" ca="1" si="6"/>
        <v>#DIV/0!</v>
      </c>
      <c r="AB10" s="112">
        <f>+'Actual VS SAP'!U12</f>
        <v>0</v>
      </c>
      <c r="AC10" s="48">
        <f t="shared" si="3"/>
        <v>0</v>
      </c>
      <c r="AD10" s="89" t="e">
        <f t="shared" si="4"/>
        <v>#DIV/0!</v>
      </c>
    </row>
    <row r="11" spans="1:30">
      <c r="A11" s="7">
        <f>+'ALL SORTASI'!A13</f>
        <v>46211</v>
      </c>
      <c r="B11" s="8">
        <f ca="1">SUMIF('DAILY CHAMP OTAK-OTAK'!$B$10:$B$115,$A11,'DAILY CHAMP OTAK-OTAK'!$C$10:$C$114)</f>
        <v>0</v>
      </c>
      <c r="C11" s="8">
        <f>SUMIF('DAILY CHAMP OTAK-OTAK'!$B$10:$B$115,$A11,'DAILY CHAMP OTAK-OTAK'!H$10:H$115)</f>
        <v>0</v>
      </c>
      <c r="D11" s="8">
        <f>SUMIF('DAILY CHAMP OTAK-OTAK'!$B$10:$B$115,$A11,'DAILY CHAMP OTAK-OTAK'!I$10:I$115)</f>
        <v>0</v>
      </c>
      <c r="E11" s="8">
        <f>SUMIF('DAILY CHAMP OTAK-OTAK'!$B$10:$B$115,$A11,'DAILY CHAMP OTAK-OTAK'!J$10:J$115)</f>
        <v>0</v>
      </c>
      <c r="F11" s="8">
        <f>SUMIF('DAILY CHAMP OTAK-OTAK'!$B$10:$B$115,$A11,'DAILY CHAMP OTAK-OTAK'!K$10:K$115)</f>
        <v>0</v>
      </c>
      <c r="G11" s="8">
        <f>SUMIF('DAILY CHAMP OTAK-OTAK'!$B$10:$B$115,$A11,'DAILY CHAMP OTAK-OTAK'!L$10:L$115)</f>
        <v>0</v>
      </c>
      <c r="H11" s="8">
        <f>SUMIF('DAILY CHAMP OTAK-OTAK'!$B$10:$B$115,$A11,'DAILY CHAMP OTAK-OTAK'!M$10:M$115)</f>
        <v>0</v>
      </c>
      <c r="I11" s="8">
        <f>SUMIF('DAILY CHAMP OTAK-OTAK'!$B$10:$B$115,$A11,'DAILY CHAMP OTAK-OTAK'!N$10:N$115)</f>
        <v>0</v>
      </c>
      <c r="J11" s="8">
        <f>SUMIF('DAILY CHAMP OTAK-OTAK'!$B$10:$B$115,$A11,'DAILY CHAMP OTAK-OTAK'!O$10:O$115)</f>
        <v>0</v>
      </c>
      <c r="K11" s="8">
        <f>SUMIF('DAILY CHAMP OTAK-OTAK'!$B$10:$B$115,$A11,'DAILY CHAMP OTAK-OTAK'!P$10:P$115)</f>
        <v>0</v>
      </c>
      <c r="L11" s="8">
        <f>SUMIF('DAILY CHAMP OTAK-OTAK'!$B$10:$B$115,$A11,'DAILY CHAMP OTAK-OTAK'!Q$10:Q$115)</f>
        <v>0</v>
      </c>
      <c r="M11" s="8">
        <f>SUMIF('DAILY CHAMP OTAK-OTAK'!$B$10:$B$115,$A11,'DAILY CHAMP OTAK-OTAK'!R$10:R$115)</f>
        <v>0</v>
      </c>
      <c r="N11" s="8">
        <f>SUMIF('DAILY CHAMP OTAK-OTAK'!$B$10:$B$115,$A11,'DAILY CHAMP OTAK-OTAK'!S$10:S$115)</f>
        <v>0</v>
      </c>
      <c r="O11" s="8">
        <f>SUMIF('DAILY CHAMP OTAK-OTAK'!$B$10:$B$115,$A11,'DAILY CHAMP OTAK-OTAK'!T$10:T$115)</f>
        <v>0</v>
      </c>
      <c r="P11" s="8">
        <f>SUMIF('DAILY CHAMP OTAK-OTAK'!$B$10:$B$115,$A11,'DAILY CHAMP OTAK-OTAK'!U$10:U$115)</f>
        <v>0</v>
      </c>
      <c r="Q11" s="8">
        <f>SUMIF('DAILY CHAMP OTAK-OTAK'!$B$10:$B$115,$A11,'DAILY CHAMP OTAK-OTAK'!V$10:V$115)</f>
        <v>0</v>
      </c>
      <c r="R11" s="8">
        <f>SUMIF('DAILY CHAMP OTAK-OTAK'!$B$10:$B$115,$A11,'DAILY CHAMP OTAK-OTAK'!W$10:W$115)</f>
        <v>0</v>
      </c>
      <c r="S11" s="8">
        <f>SUMIF('DAILY CHAMP OTAK-OTAK'!$B$10:$B$115,$A11,'DAILY CHAMP OTAK-OTAK'!X$10:X$115)</f>
        <v>0</v>
      </c>
      <c r="T11" s="8">
        <f>SUMIF('DAILY CHAMP OTAK-OTAK'!$B$10:$B$115,$A11,'DAILY CHAMP OTAK-OTAK'!Y$10:Y$115)</f>
        <v>0</v>
      </c>
      <c r="U11" s="8">
        <f>SUMIF('DAILY CHAMP OTAK-OTAK'!$B$10:$B$115,$A11,'DAILY CHAMP OTAK-OTAK'!Z$10:Z$115)</f>
        <v>0</v>
      </c>
      <c r="V11" s="8">
        <f>SUMIF('DAILY CHAMP OTAK-OTAK'!$B$10:$B$115,$A11,'DAILY CHAMP OTAK-OTAK'!AA$10:AA$115)</f>
        <v>0</v>
      </c>
      <c r="W11" s="59">
        <f t="shared" si="0"/>
        <v>0</v>
      </c>
      <c r="X11" s="60">
        <f t="shared" ca="1" si="1"/>
        <v>0</v>
      </c>
      <c r="Y11" s="47">
        <f t="shared" ca="1" si="2"/>
        <v>0</v>
      </c>
      <c r="Z11" s="88" t="e">
        <f t="shared" ca="1" si="5"/>
        <v>#DIV/0!</v>
      </c>
      <c r="AA11" s="89" t="e">
        <f t="shared" ca="1" si="6"/>
        <v>#DIV/0!</v>
      </c>
      <c r="AB11" s="112">
        <f>+'Actual VS SAP'!U13</f>
        <v>0</v>
      </c>
      <c r="AC11" s="48">
        <f t="shared" si="3"/>
        <v>0</v>
      </c>
      <c r="AD11" s="89" t="e">
        <f t="shared" si="4"/>
        <v>#DIV/0!</v>
      </c>
    </row>
    <row r="12" spans="1:30">
      <c r="A12" s="7">
        <f>+'ALL SORTASI'!A14</f>
        <v>46212</v>
      </c>
      <c r="B12" s="8">
        <f ca="1">SUMIF('DAILY CHAMP OTAK-OTAK'!$B$10:$B$115,$A12,'DAILY CHAMP OTAK-OTAK'!$C$10:$C$114)</f>
        <v>0</v>
      </c>
      <c r="C12" s="8">
        <f>SUMIF('DAILY CHAMP OTAK-OTAK'!$B$10:$B$115,$A12,'DAILY CHAMP OTAK-OTAK'!H$10:H$115)</f>
        <v>0</v>
      </c>
      <c r="D12" s="8">
        <f>SUMIF('DAILY CHAMP OTAK-OTAK'!$B$10:$B$115,$A12,'DAILY CHAMP OTAK-OTAK'!I$10:I$115)</f>
        <v>0</v>
      </c>
      <c r="E12" s="8">
        <f>SUMIF('DAILY CHAMP OTAK-OTAK'!$B$10:$B$115,$A12,'DAILY CHAMP OTAK-OTAK'!J$10:J$115)</f>
        <v>0</v>
      </c>
      <c r="F12" s="8">
        <f>SUMIF('DAILY CHAMP OTAK-OTAK'!$B$10:$B$115,$A12,'DAILY CHAMP OTAK-OTAK'!K$10:K$115)</f>
        <v>0</v>
      </c>
      <c r="G12" s="8">
        <f>SUMIF('DAILY CHAMP OTAK-OTAK'!$B$10:$B$115,$A12,'DAILY CHAMP OTAK-OTAK'!L$10:L$115)</f>
        <v>0</v>
      </c>
      <c r="H12" s="8">
        <f>SUMIF('DAILY CHAMP OTAK-OTAK'!$B$10:$B$115,$A12,'DAILY CHAMP OTAK-OTAK'!M$10:M$115)</f>
        <v>0</v>
      </c>
      <c r="I12" s="8">
        <f>SUMIF('DAILY CHAMP OTAK-OTAK'!$B$10:$B$115,$A12,'DAILY CHAMP OTAK-OTAK'!N$10:N$115)</f>
        <v>0</v>
      </c>
      <c r="J12" s="8">
        <f>SUMIF('DAILY CHAMP OTAK-OTAK'!$B$10:$B$115,$A12,'DAILY CHAMP OTAK-OTAK'!O$10:O$115)</f>
        <v>0</v>
      </c>
      <c r="K12" s="8">
        <f>SUMIF('DAILY CHAMP OTAK-OTAK'!$B$10:$B$115,$A12,'DAILY CHAMP OTAK-OTAK'!P$10:P$115)</f>
        <v>0</v>
      </c>
      <c r="L12" s="8">
        <f>SUMIF('DAILY CHAMP OTAK-OTAK'!$B$10:$B$115,$A12,'DAILY CHAMP OTAK-OTAK'!Q$10:Q$115)</f>
        <v>0</v>
      </c>
      <c r="M12" s="8">
        <f>SUMIF('DAILY CHAMP OTAK-OTAK'!$B$10:$B$115,$A12,'DAILY CHAMP OTAK-OTAK'!R$10:R$115)</f>
        <v>0</v>
      </c>
      <c r="N12" s="8">
        <f>SUMIF('DAILY CHAMP OTAK-OTAK'!$B$10:$B$115,$A12,'DAILY CHAMP OTAK-OTAK'!S$10:S$115)</f>
        <v>0</v>
      </c>
      <c r="O12" s="8">
        <f>SUMIF('DAILY CHAMP OTAK-OTAK'!$B$10:$B$115,$A12,'DAILY CHAMP OTAK-OTAK'!T$10:T$115)</f>
        <v>0</v>
      </c>
      <c r="P12" s="8">
        <f>SUMIF('DAILY CHAMP OTAK-OTAK'!$B$10:$B$115,$A12,'DAILY CHAMP OTAK-OTAK'!U$10:U$115)</f>
        <v>0</v>
      </c>
      <c r="Q12" s="8">
        <f>SUMIF('DAILY CHAMP OTAK-OTAK'!$B$10:$B$115,$A12,'DAILY CHAMP OTAK-OTAK'!V$10:V$115)</f>
        <v>0</v>
      </c>
      <c r="R12" s="8">
        <f>SUMIF('DAILY CHAMP OTAK-OTAK'!$B$10:$B$115,$A12,'DAILY CHAMP OTAK-OTAK'!W$10:W$115)</f>
        <v>0</v>
      </c>
      <c r="S12" s="8">
        <f>SUMIF('DAILY CHAMP OTAK-OTAK'!$B$10:$B$115,$A12,'DAILY CHAMP OTAK-OTAK'!X$10:X$115)</f>
        <v>0</v>
      </c>
      <c r="T12" s="8">
        <f>SUMIF('DAILY CHAMP OTAK-OTAK'!$B$10:$B$115,$A12,'DAILY CHAMP OTAK-OTAK'!Y$10:Y$115)</f>
        <v>0</v>
      </c>
      <c r="U12" s="8">
        <f>SUMIF('DAILY CHAMP OTAK-OTAK'!$B$10:$B$115,$A12,'DAILY CHAMP OTAK-OTAK'!Z$10:Z$115)</f>
        <v>0</v>
      </c>
      <c r="V12" s="8">
        <f>SUMIF('DAILY CHAMP OTAK-OTAK'!$B$10:$B$115,$A12,'DAILY CHAMP OTAK-OTAK'!AA$10:AA$115)</f>
        <v>0</v>
      </c>
      <c r="W12" s="59">
        <f t="shared" si="0"/>
        <v>0</v>
      </c>
      <c r="X12" s="60">
        <f t="shared" ca="1" si="1"/>
        <v>0</v>
      </c>
      <c r="Y12" s="47">
        <f t="shared" ca="1" si="2"/>
        <v>0</v>
      </c>
      <c r="Z12" s="88" t="e">
        <f t="shared" ca="1" si="5"/>
        <v>#DIV/0!</v>
      </c>
      <c r="AA12" s="89" t="e">
        <f t="shared" ca="1" si="6"/>
        <v>#DIV/0!</v>
      </c>
      <c r="AB12" s="112">
        <f>+'Actual VS SAP'!U14</f>
        <v>0</v>
      </c>
      <c r="AC12" s="48">
        <f t="shared" si="3"/>
        <v>0</v>
      </c>
      <c r="AD12" s="89" t="e">
        <f t="shared" si="4"/>
        <v>#DIV/0!</v>
      </c>
    </row>
    <row r="13" spans="1:30">
      <c r="A13" s="7">
        <f>+'ALL SORTASI'!A15</f>
        <v>46213</v>
      </c>
      <c r="B13" s="8">
        <f ca="1">SUMIF('DAILY CHAMP OTAK-OTAK'!$B$10:$B$115,$A13,'DAILY CHAMP OTAK-OTAK'!$C$10:$C$114)</f>
        <v>0</v>
      </c>
      <c r="C13" s="8">
        <f>SUMIF('DAILY CHAMP OTAK-OTAK'!$B$10:$B$115,$A13,'DAILY CHAMP OTAK-OTAK'!H$10:H$115)</f>
        <v>0</v>
      </c>
      <c r="D13" s="8">
        <f>SUMIF('DAILY CHAMP OTAK-OTAK'!$B$10:$B$115,$A13,'DAILY CHAMP OTAK-OTAK'!I$10:I$115)</f>
        <v>0</v>
      </c>
      <c r="E13" s="8">
        <f>SUMIF('DAILY CHAMP OTAK-OTAK'!$B$10:$B$115,$A13,'DAILY CHAMP OTAK-OTAK'!J$10:J$115)</f>
        <v>0</v>
      </c>
      <c r="F13" s="8">
        <f>SUMIF('DAILY CHAMP OTAK-OTAK'!$B$10:$B$115,$A13,'DAILY CHAMP OTAK-OTAK'!K$10:K$115)</f>
        <v>0</v>
      </c>
      <c r="G13" s="8">
        <f>SUMIF('DAILY CHAMP OTAK-OTAK'!$B$10:$B$115,$A13,'DAILY CHAMP OTAK-OTAK'!L$10:L$115)</f>
        <v>0</v>
      </c>
      <c r="H13" s="8">
        <f>SUMIF('DAILY CHAMP OTAK-OTAK'!$B$10:$B$115,$A13,'DAILY CHAMP OTAK-OTAK'!M$10:M$115)</f>
        <v>0</v>
      </c>
      <c r="I13" s="8">
        <f>SUMIF('DAILY CHAMP OTAK-OTAK'!$B$10:$B$115,$A13,'DAILY CHAMP OTAK-OTAK'!N$10:N$115)</f>
        <v>0</v>
      </c>
      <c r="J13" s="8">
        <f>SUMIF('DAILY CHAMP OTAK-OTAK'!$B$10:$B$115,$A13,'DAILY CHAMP OTAK-OTAK'!O$10:O$115)</f>
        <v>0</v>
      </c>
      <c r="K13" s="8">
        <f>SUMIF('DAILY CHAMP OTAK-OTAK'!$B$10:$B$115,$A13,'DAILY CHAMP OTAK-OTAK'!P$10:P$115)</f>
        <v>0</v>
      </c>
      <c r="L13" s="8">
        <f>SUMIF('DAILY CHAMP OTAK-OTAK'!$B$10:$B$115,$A13,'DAILY CHAMP OTAK-OTAK'!Q$10:Q$115)</f>
        <v>0</v>
      </c>
      <c r="M13" s="8">
        <f>SUMIF('DAILY CHAMP OTAK-OTAK'!$B$10:$B$115,$A13,'DAILY CHAMP OTAK-OTAK'!R$10:R$115)</f>
        <v>0</v>
      </c>
      <c r="N13" s="8">
        <f>SUMIF('DAILY CHAMP OTAK-OTAK'!$B$10:$B$115,$A13,'DAILY CHAMP OTAK-OTAK'!S$10:S$115)</f>
        <v>0</v>
      </c>
      <c r="O13" s="8">
        <f>SUMIF('DAILY CHAMP OTAK-OTAK'!$B$10:$B$115,$A13,'DAILY CHAMP OTAK-OTAK'!T$10:T$115)</f>
        <v>0</v>
      </c>
      <c r="P13" s="8">
        <f>SUMIF('DAILY CHAMP OTAK-OTAK'!$B$10:$B$115,$A13,'DAILY CHAMP OTAK-OTAK'!U$10:U$115)</f>
        <v>0</v>
      </c>
      <c r="Q13" s="8">
        <f>SUMIF('DAILY CHAMP OTAK-OTAK'!$B$10:$B$115,$A13,'DAILY CHAMP OTAK-OTAK'!V$10:V$115)</f>
        <v>0</v>
      </c>
      <c r="R13" s="8">
        <f>SUMIF('DAILY CHAMP OTAK-OTAK'!$B$10:$B$115,$A13,'DAILY CHAMP OTAK-OTAK'!W$10:W$115)</f>
        <v>0</v>
      </c>
      <c r="S13" s="8">
        <f>SUMIF('DAILY CHAMP OTAK-OTAK'!$B$10:$B$115,$A13,'DAILY CHAMP OTAK-OTAK'!X$10:X$115)</f>
        <v>0</v>
      </c>
      <c r="T13" s="8">
        <f>SUMIF('DAILY CHAMP OTAK-OTAK'!$B$10:$B$115,$A13,'DAILY CHAMP OTAK-OTAK'!Y$10:Y$115)</f>
        <v>0</v>
      </c>
      <c r="U13" s="8">
        <f>SUMIF('DAILY CHAMP OTAK-OTAK'!$B$10:$B$115,$A13,'DAILY CHAMP OTAK-OTAK'!Z$10:Z$115)</f>
        <v>0</v>
      </c>
      <c r="V13" s="8">
        <f>SUMIF('DAILY CHAMP OTAK-OTAK'!$B$10:$B$115,$A13,'DAILY CHAMP OTAK-OTAK'!AA$10:AA$115)</f>
        <v>0</v>
      </c>
      <c r="W13" s="59">
        <f t="shared" si="0"/>
        <v>0</v>
      </c>
      <c r="X13" s="60">
        <f t="shared" ca="1" si="1"/>
        <v>0</v>
      </c>
      <c r="Y13" s="47">
        <f t="shared" ca="1" si="2"/>
        <v>0</v>
      </c>
      <c r="Z13" s="88" t="e">
        <f t="shared" ca="1" si="5"/>
        <v>#DIV/0!</v>
      </c>
      <c r="AA13" s="89" t="e">
        <f t="shared" ca="1" si="6"/>
        <v>#DIV/0!</v>
      </c>
      <c r="AB13" s="112">
        <f>+'Actual VS SAP'!U15</f>
        <v>0</v>
      </c>
      <c r="AC13" s="48">
        <f t="shared" si="3"/>
        <v>0</v>
      </c>
      <c r="AD13" s="89" t="e">
        <f t="shared" si="4"/>
        <v>#DIV/0!</v>
      </c>
    </row>
    <row r="14" spans="1:30">
      <c r="A14" s="7">
        <f>+'ALL SORTASI'!A16</f>
        <v>46214</v>
      </c>
      <c r="B14" s="8">
        <f ca="1">SUMIF('DAILY CHAMP OTAK-OTAK'!$B$10:$B$115,$A14,'DAILY CHAMP OTAK-OTAK'!$C$10:$C$114)</f>
        <v>0</v>
      </c>
      <c r="C14" s="8">
        <f>SUMIF('DAILY CHAMP OTAK-OTAK'!$B$10:$B$115,$A14,'DAILY CHAMP OTAK-OTAK'!H$10:H$115)</f>
        <v>0</v>
      </c>
      <c r="D14" s="8">
        <f>SUMIF('DAILY CHAMP OTAK-OTAK'!$B$10:$B$115,$A14,'DAILY CHAMP OTAK-OTAK'!I$10:I$115)</f>
        <v>0</v>
      </c>
      <c r="E14" s="8">
        <f>SUMIF('DAILY CHAMP OTAK-OTAK'!$B$10:$B$115,$A14,'DAILY CHAMP OTAK-OTAK'!J$10:J$115)</f>
        <v>0</v>
      </c>
      <c r="F14" s="8">
        <f>SUMIF('DAILY CHAMP OTAK-OTAK'!$B$10:$B$115,$A14,'DAILY CHAMP OTAK-OTAK'!K$10:K$115)</f>
        <v>0</v>
      </c>
      <c r="G14" s="8">
        <f>SUMIF('DAILY CHAMP OTAK-OTAK'!$B$10:$B$115,$A14,'DAILY CHAMP OTAK-OTAK'!L$10:L$115)</f>
        <v>0</v>
      </c>
      <c r="H14" s="8">
        <f>SUMIF('DAILY CHAMP OTAK-OTAK'!$B$10:$B$115,$A14,'DAILY CHAMP OTAK-OTAK'!M$10:M$115)</f>
        <v>0</v>
      </c>
      <c r="I14" s="8">
        <f>SUMIF('DAILY CHAMP OTAK-OTAK'!$B$10:$B$115,$A14,'DAILY CHAMP OTAK-OTAK'!N$10:N$115)</f>
        <v>0</v>
      </c>
      <c r="J14" s="8">
        <f>SUMIF('DAILY CHAMP OTAK-OTAK'!$B$10:$B$115,$A14,'DAILY CHAMP OTAK-OTAK'!O$10:O$115)</f>
        <v>0</v>
      </c>
      <c r="K14" s="8">
        <f>SUMIF('DAILY CHAMP OTAK-OTAK'!$B$10:$B$115,$A14,'DAILY CHAMP OTAK-OTAK'!P$10:P$115)</f>
        <v>0</v>
      </c>
      <c r="L14" s="8">
        <f>SUMIF('DAILY CHAMP OTAK-OTAK'!$B$10:$B$115,$A14,'DAILY CHAMP OTAK-OTAK'!Q$10:Q$115)</f>
        <v>0</v>
      </c>
      <c r="M14" s="8">
        <f>SUMIF('DAILY CHAMP OTAK-OTAK'!$B$10:$B$115,$A14,'DAILY CHAMP OTAK-OTAK'!R$10:R$115)</f>
        <v>0</v>
      </c>
      <c r="N14" s="8">
        <f>SUMIF('DAILY CHAMP OTAK-OTAK'!$B$10:$B$115,$A14,'DAILY CHAMP OTAK-OTAK'!S$10:S$115)</f>
        <v>0</v>
      </c>
      <c r="O14" s="8">
        <f>SUMIF('DAILY CHAMP OTAK-OTAK'!$B$10:$B$115,$A14,'DAILY CHAMP OTAK-OTAK'!T$10:T$115)</f>
        <v>0</v>
      </c>
      <c r="P14" s="8">
        <f>SUMIF('DAILY CHAMP OTAK-OTAK'!$B$10:$B$115,$A14,'DAILY CHAMP OTAK-OTAK'!U$10:U$115)</f>
        <v>0</v>
      </c>
      <c r="Q14" s="8">
        <f>SUMIF('DAILY CHAMP OTAK-OTAK'!$B$10:$B$115,$A14,'DAILY CHAMP OTAK-OTAK'!V$10:V$115)</f>
        <v>0</v>
      </c>
      <c r="R14" s="8">
        <f>SUMIF('DAILY CHAMP OTAK-OTAK'!$B$10:$B$115,$A14,'DAILY CHAMP OTAK-OTAK'!W$10:W$115)</f>
        <v>0</v>
      </c>
      <c r="S14" s="8">
        <f>SUMIF('DAILY CHAMP OTAK-OTAK'!$B$10:$B$115,$A14,'DAILY CHAMP OTAK-OTAK'!X$10:X$115)</f>
        <v>0</v>
      </c>
      <c r="T14" s="8">
        <f>SUMIF('DAILY CHAMP OTAK-OTAK'!$B$10:$B$115,$A14,'DAILY CHAMP OTAK-OTAK'!Y$10:Y$115)</f>
        <v>0</v>
      </c>
      <c r="U14" s="8">
        <f>SUMIF('DAILY CHAMP OTAK-OTAK'!$B$10:$B$115,$A14,'DAILY CHAMP OTAK-OTAK'!Z$10:Z$115)</f>
        <v>0</v>
      </c>
      <c r="V14" s="8">
        <f>SUMIF('DAILY CHAMP OTAK-OTAK'!$B$10:$B$115,$A14,'DAILY CHAMP OTAK-OTAK'!AA$10:AA$115)</f>
        <v>0</v>
      </c>
      <c r="W14" s="59">
        <f t="shared" si="0"/>
        <v>0</v>
      </c>
      <c r="X14" s="60">
        <f t="shared" ca="1" si="1"/>
        <v>0</v>
      </c>
      <c r="Y14" s="47">
        <f t="shared" ca="1" si="2"/>
        <v>0</v>
      </c>
      <c r="Z14" s="88" t="e">
        <f t="shared" ca="1" si="5"/>
        <v>#DIV/0!</v>
      </c>
      <c r="AA14" s="89" t="e">
        <f t="shared" ca="1" si="6"/>
        <v>#DIV/0!</v>
      </c>
      <c r="AB14" s="112">
        <f>+'Actual VS SAP'!U16</f>
        <v>0</v>
      </c>
      <c r="AC14" s="48">
        <f t="shared" si="3"/>
        <v>0</v>
      </c>
      <c r="AD14" s="89" t="e">
        <f t="shared" si="4"/>
        <v>#DIV/0!</v>
      </c>
    </row>
    <row r="15" spans="1:30">
      <c r="A15" s="7">
        <f>+'ALL SORTASI'!A17</f>
        <v>46215</v>
      </c>
      <c r="B15" s="8">
        <f ca="1">SUMIF('DAILY CHAMP OTAK-OTAK'!$B$10:$B$115,$A15,'DAILY CHAMP OTAK-OTAK'!$C$10:$C$114)</f>
        <v>0</v>
      </c>
      <c r="C15" s="8">
        <f>SUMIF('DAILY CHAMP OTAK-OTAK'!$B$10:$B$115,$A15,'DAILY CHAMP OTAK-OTAK'!H$10:H$115)</f>
        <v>0</v>
      </c>
      <c r="D15" s="8">
        <f>SUMIF('DAILY CHAMP OTAK-OTAK'!$B$10:$B$115,$A15,'DAILY CHAMP OTAK-OTAK'!I$10:I$115)</f>
        <v>0</v>
      </c>
      <c r="E15" s="8">
        <f>SUMIF('DAILY CHAMP OTAK-OTAK'!$B$10:$B$115,$A15,'DAILY CHAMP OTAK-OTAK'!J$10:J$115)</f>
        <v>0</v>
      </c>
      <c r="F15" s="8">
        <f>SUMIF('DAILY CHAMP OTAK-OTAK'!$B$10:$B$115,$A15,'DAILY CHAMP OTAK-OTAK'!K$10:K$115)</f>
        <v>0</v>
      </c>
      <c r="G15" s="8">
        <f>SUMIF('DAILY CHAMP OTAK-OTAK'!$B$10:$B$115,$A15,'DAILY CHAMP OTAK-OTAK'!L$10:L$115)</f>
        <v>0</v>
      </c>
      <c r="H15" s="8">
        <f>SUMIF('DAILY CHAMP OTAK-OTAK'!$B$10:$B$115,$A15,'DAILY CHAMP OTAK-OTAK'!M$10:M$115)</f>
        <v>0</v>
      </c>
      <c r="I15" s="8">
        <f>SUMIF('DAILY CHAMP OTAK-OTAK'!$B$10:$B$115,$A15,'DAILY CHAMP OTAK-OTAK'!N$10:N$115)</f>
        <v>0</v>
      </c>
      <c r="J15" s="8">
        <f>SUMIF('DAILY CHAMP OTAK-OTAK'!$B$10:$B$115,$A15,'DAILY CHAMP OTAK-OTAK'!O$10:O$115)</f>
        <v>0</v>
      </c>
      <c r="K15" s="8">
        <f>SUMIF('DAILY CHAMP OTAK-OTAK'!$B$10:$B$115,$A15,'DAILY CHAMP OTAK-OTAK'!P$10:P$115)</f>
        <v>0</v>
      </c>
      <c r="L15" s="8">
        <f>SUMIF('DAILY CHAMP OTAK-OTAK'!$B$10:$B$115,$A15,'DAILY CHAMP OTAK-OTAK'!Q$10:Q$115)</f>
        <v>0</v>
      </c>
      <c r="M15" s="8">
        <f>SUMIF('DAILY CHAMP OTAK-OTAK'!$B$10:$B$115,$A15,'DAILY CHAMP OTAK-OTAK'!R$10:R$115)</f>
        <v>0</v>
      </c>
      <c r="N15" s="8">
        <f>SUMIF('DAILY CHAMP OTAK-OTAK'!$B$10:$B$115,$A15,'DAILY CHAMP OTAK-OTAK'!S$10:S$115)</f>
        <v>0</v>
      </c>
      <c r="O15" s="8">
        <f>SUMIF('DAILY CHAMP OTAK-OTAK'!$B$10:$B$115,$A15,'DAILY CHAMP OTAK-OTAK'!T$10:T$115)</f>
        <v>0</v>
      </c>
      <c r="P15" s="8">
        <f>SUMIF('DAILY CHAMP OTAK-OTAK'!$B$10:$B$115,$A15,'DAILY CHAMP OTAK-OTAK'!U$10:U$115)</f>
        <v>0</v>
      </c>
      <c r="Q15" s="8">
        <f>SUMIF('DAILY CHAMP OTAK-OTAK'!$B$10:$B$115,$A15,'DAILY CHAMP OTAK-OTAK'!V$10:V$115)</f>
        <v>0</v>
      </c>
      <c r="R15" s="8">
        <f>SUMIF('DAILY CHAMP OTAK-OTAK'!$B$10:$B$115,$A15,'DAILY CHAMP OTAK-OTAK'!W$10:W$115)</f>
        <v>0</v>
      </c>
      <c r="S15" s="8">
        <f>SUMIF('DAILY CHAMP OTAK-OTAK'!$B$10:$B$115,$A15,'DAILY CHAMP OTAK-OTAK'!X$10:X$115)</f>
        <v>0</v>
      </c>
      <c r="T15" s="8">
        <f>SUMIF('DAILY CHAMP OTAK-OTAK'!$B$10:$B$115,$A15,'DAILY CHAMP OTAK-OTAK'!Y$10:Y$115)</f>
        <v>0</v>
      </c>
      <c r="U15" s="8">
        <f>SUMIF('DAILY CHAMP OTAK-OTAK'!$B$10:$B$115,$A15,'DAILY CHAMP OTAK-OTAK'!Z$10:Z$115)</f>
        <v>0</v>
      </c>
      <c r="V15" s="8">
        <f>SUMIF('DAILY CHAMP OTAK-OTAK'!$B$10:$B$115,$A15,'DAILY CHAMP OTAK-OTAK'!AA$10:AA$115)</f>
        <v>0</v>
      </c>
      <c r="W15" s="59">
        <f t="shared" si="0"/>
        <v>0</v>
      </c>
      <c r="X15" s="60">
        <f t="shared" ca="1" si="1"/>
        <v>0</v>
      </c>
      <c r="Y15" s="47">
        <f t="shared" ca="1" si="2"/>
        <v>0</v>
      </c>
      <c r="Z15" s="88" t="e">
        <f t="shared" ca="1" si="5"/>
        <v>#DIV/0!</v>
      </c>
      <c r="AA15" s="89" t="e">
        <f t="shared" ca="1" si="6"/>
        <v>#DIV/0!</v>
      </c>
      <c r="AB15" s="112">
        <f>+'Actual VS SAP'!U17</f>
        <v>0</v>
      </c>
      <c r="AC15" s="48">
        <f t="shared" si="3"/>
        <v>0</v>
      </c>
      <c r="AD15" s="89" t="e">
        <f t="shared" si="4"/>
        <v>#DIV/0!</v>
      </c>
    </row>
    <row r="16" spans="1:30">
      <c r="A16" s="7">
        <f>+'ALL SORTASI'!A18</f>
        <v>46216</v>
      </c>
      <c r="B16" s="8">
        <f ca="1">SUMIF('DAILY CHAMP OTAK-OTAK'!$B$10:$B$115,$A16,'DAILY CHAMP OTAK-OTAK'!$C$10:$C$114)</f>
        <v>0</v>
      </c>
      <c r="C16" s="8">
        <f>SUMIF('DAILY CHAMP OTAK-OTAK'!$B$10:$B$115,$A16,'DAILY CHAMP OTAK-OTAK'!H$10:H$115)</f>
        <v>0</v>
      </c>
      <c r="D16" s="8">
        <f>SUMIF('DAILY CHAMP OTAK-OTAK'!$B$10:$B$115,$A16,'DAILY CHAMP OTAK-OTAK'!I$10:I$115)</f>
        <v>0</v>
      </c>
      <c r="E16" s="8">
        <f>SUMIF('DAILY CHAMP OTAK-OTAK'!$B$10:$B$115,$A16,'DAILY CHAMP OTAK-OTAK'!J$10:J$115)</f>
        <v>0</v>
      </c>
      <c r="F16" s="8">
        <f>SUMIF('DAILY CHAMP OTAK-OTAK'!$B$10:$B$115,$A16,'DAILY CHAMP OTAK-OTAK'!K$10:K$115)</f>
        <v>0</v>
      </c>
      <c r="G16" s="8">
        <f>SUMIF('DAILY CHAMP OTAK-OTAK'!$B$10:$B$115,$A16,'DAILY CHAMP OTAK-OTAK'!L$10:L$115)</f>
        <v>0</v>
      </c>
      <c r="H16" s="8">
        <f>SUMIF('DAILY CHAMP OTAK-OTAK'!$B$10:$B$115,$A16,'DAILY CHAMP OTAK-OTAK'!M$10:M$115)</f>
        <v>0</v>
      </c>
      <c r="I16" s="8">
        <f>SUMIF('DAILY CHAMP OTAK-OTAK'!$B$10:$B$115,$A16,'DAILY CHAMP OTAK-OTAK'!N$10:N$115)</f>
        <v>0</v>
      </c>
      <c r="J16" s="8">
        <f>SUMIF('DAILY CHAMP OTAK-OTAK'!$B$10:$B$115,$A16,'DAILY CHAMP OTAK-OTAK'!O$10:O$115)</f>
        <v>0</v>
      </c>
      <c r="K16" s="8">
        <f>SUMIF('DAILY CHAMP OTAK-OTAK'!$B$10:$B$115,$A16,'DAILY CHAMP OTAK-OTAK'!P$10:P$115)</f>
        <v>0</v>
      </c>
      <c r="L16" s="8">
        <f>SUMIF('DAILY CHAMP OTAK-OTAK'!$B$10:$B$115,$A16,'DAILY CHAMP OTAK-OTAK'!Q$10:Q$115)</f>
        <v>0</v>
      </c>
      <c r="M16" s="8">
        <f>SUMIF('DAILY CHAMP OTAK-OTAK'!$B$10:$B$115,$A16,'DAILY CHAMP OTAK-OTAK'!R$10:R$115)</f>
        <v>0</v>
      </c>
      <c r="N16" s="8">
        <f>SUMIF('DAILY CHAMP OTAK-OTAK'!$B$10:$B$115,$A16,'DAILY CHAMP OTAK-OTAK'!S$10:S$115)</f>
        <v>0</v>
      </c>
      <c r="O16" s="8">
        <f>SUMIF('DAILY CHAMP OTAK-OTAK'!$B$10:$B$115,$A16,'DAILY CHAMP OTAK-OTAK'!T$10:T$115)</f>
        <v>0</v>
      </c>
      <c r="P16" s="8">
        <f>SUMIF('DAILY CHAMP OTAK-OTAK'!$B$10:$B$115,$A16,'DAILY CHAMP OTAK-OTAK'!U$10:U$115)</f>
        <v>0</v>
      </c>
      <c r="Q16" s="8">
        <f>SUMIF('DAILY CHAMP OTAK-OTAK'!$B$10:$B$115,$A16,'DAILY CHAMP OTAK-OTAK'!V$10:V$115)</f>
        <v>0</v>
      </c>
      <c r="R16" s="8">
        <f>SUMIF('DAILY CHAMP OTAK-OTAK'!$B$10:$B$115,$A16,'DAILY CHAMP OTAK-OTAK'!W$10:W$115)</f>
        <v>0</v>
      </c>
      <c r="S16" s="8">
        <f>SUMIF('DAILY CHAMP OTAK-OTAK'!$B$10:$B$115,$A16,'DAILY CHAMP OTAK-OTAK'!X$10:X$115)</f>
        <v>0</v>
      </c>
      <c r="T16" s="8">
        <f>SUMIF('DAILY CHAMP OTAK-OTAK'!$B$10:$B$115,$A16,'DAILY CHAMP OTAK-OTAK'!Y$10:Y$115)</f>
        <v>0</v>
      </c>
      <c r="U16" s="8">
        <f>SUMIF('DAILY CHAMP OTAK-OTAK'!$B$10:$B$115,$A16,'DAILY CHAMP OTAK-OTAK'!Z$10:Z$115)</f>
        <v>0</v>
      </c>
      <c r="V16" s="8">
        <f>SUMIF('DAILY CHAMP OTAK-OTAK'!$B$10:$B$115,$A16,'DAILY CHAMP OTAK-OTAK'!AA$10:AA$115)</f>
        <v>0</v>
      </c>
      <c r="W16" s="59">
        <f t="shared" si="0"/>
        <v>0</v>
      </c>
      <c r="X16" s="60">
        <f t="shared" ca="1" si="1"/>
        <v>0</v>
      </c>
      <c r="Y16" s="47">
        <f t="shared" ca="1" si="2"/>
        <v>0</v>
      </c>
      <c r="Z16" s="88" t="e">
        <f t="shared" ca="1" si="5"/>
        <v>#DIV/0!</v>
      </c>
      <c r="AA16" s="89" t="e">
        <f t="shared" ca="1" si="6"/>
        <v>#DIV/0!</v>
      </c>
      <c r="AB16" s="112">
        <f>+'Actual VS SAP'!U18</f>
        <v>0</v>
      </c>
      <c r="AC16" s="48">
        <f t="shared" si="3"/>
        <v>0</v>
      </c>
      <c r="AD16" s="89" t="e">
        <f t="shared" si="4"/>
        <v>#DIV/0!</v>
      </c>
    </row>
    <row r="17" spans="1:30">
      <c r="A17" s="7">
        <f>+'ALL SORTASI'!A19</f>
        <v>46217</v>
      </c>
      <c r="B17" s="8">
        <f ca="1">SUMIF('DAILY CHAMP OTAK-OTAK'!$B$10:$B$115,$A17,'DAILY CHAMP OTAK-OTAK'!$C$10:$C$114)</f>
        <v>0</v>
      </c>
      <c r="C17" s="8">
        <f>SUMIF('DAILY CHAMP OTAK-OTAK'!$B$10:$B$115,$A17,'DAILY CHAMP OTAK-OTAK'!H$10:H$115)</f>
        <v>0</v>
      </c>
      <c r="D17" s="8">
        <f>SUMIF('DAILY CHAMP OTAK-OTAK'!$B$10:$B$115,$A17,'DAILY CHAMP OTAK-OTAK'!I$10:I$115)</f>
        <v>0</v>
      </c>
      <c r="E17" s="8">
        <f>SUMIF('DAILY CHAMP OTAK-OTAK'!$B$10:$B$115,$A17,'DAILY CHAMP OTAK-OTAK'!J$10:J$115)</f>
        <v>0</v>
      </c>
      <c r="F17" s="8">
        <f>SUMIF('DAILY CHAMP OTAK-OTAK'!$B$10:$B$115,$A17,'DAILY CHAMP OTAK-OTAK'!K$10:K$115)</f>
        <v>0</v>
      </c>
      <c r="G17" s="8">
        <f>SUMIF('DAILY CHAMP OTAK-OTAK'!$B$10:$B$115,$A17,'DAILY CHAMP OTAK-OTAK'!L$10:L$115)</f>
        <v>0</v>
      </c>
      <c r="H17" s="8">
        <f>SUMIF('DAILY CHAMP OTAK-OTAK'!$B$10:$B$115,$A17,'DAILY CHAMP OTAK-OTAK'!M$10:M$115)</f>
        <v>0</v>
      </c>
      <c r="I17" s="8">
        <f>SUMIF('DAILY CHAMP OTAK-OTAK'!$B$10:$B$115,$A17,'DAILY CHAMP OTAK-OTAK'!N$10:N$115)</f>
        <v>0</v>
      </c>
      <c r="J17" s="8">
        <f>SUMIF('DAILY CHAMP OTAK-OTAK'!$B$10:$B$115,$A17,'DAILY CHAMP OTAK-OTAK'!O$10:O$115)</f>
        <v>0</v>
      </c>
      <c r="K17" s="8">
        <f>SUMIF('DAILY CHAMP OTAK-OTAK'!$B$10:$B$115,$A17,'DAILY CHAMP OTAK-OTAK'!P$10:P$115)</f>
        <v>0</v>
      </c>
      <c r="L17" s="8">
        <f>SUMIF('DAILY CHAMP OTAK-OTAK'!$B$10:$B$115,$A17,'DAILY CHAMP OTAK-OTAK'!Q$10:Q$115)</f>
        <v>0</v>
      </c>
      <c r="M17" s="8">
        <f>SUMIF('DAILY CHAMP OTAK-OTAK'!$B$10:$B$115,$A17,'DAILY CHAMP OTAK-OTAK'!R$10:R$115)</f>
        <v>0</v>
      </c>
      <c r="N17" s="8">
        <f>SUMIF('DAILY CHAMP OTAK-OTAK'!$B$10:$B$115,$A17,'DAILY CHAMP OTAK-OTAK'!S$10:S$115)</f>
        <v>0</v>
      </c>
      <c r="O17" s="8">
        <f>SUMIF('DAILY CHAMP OTAK-OTAK'!$B$10:$B$115,$A17,'DAILY CHAMP OTAK-OTAK'!T$10:T$115)</f>
        <v>0</v>
      </c>
      <c r="P17" s="8">
        <f>SUMIF('DAILY CHAMP OTAK-OTAK'!$B$10:$B$115,$A17,'DAILY CHAMP OTAK-OTAK'!U$10:U$115)</f>
        <v>0</v>
      </c>
      <c r="Q17" s="8">
        <f>SUMIF('DAILY CHAMP OTAK-OTAK'!$B$10:$B$115,$A17,'DAILY CHAMP OTAK-OTAK'!V$10:V$115)</f>
        <v>0</v>
      </c>
      <c r="R17" s="8">
        <f>SUMIF('DAILY CHAMP OTAK-OTAK'!$B$10:$B$115,$A17,'DAILY CHAMP OTAK-OTAK'!W$10:W$115)</f>
        <v>0</v>
      </c>
      <c r="S17" s="8">
        <f>SUMIF('DAILY CHAMP OTAK-OTAK'!$B$10:$B$115,$A17,'DAILY CHAMP OTAK-OTAK'!X$10:X$115)</f>
        <v>0</v>
      </c>
      <c r="T17" s="8">
        <f>SUMIF('DAILY CHAMP OTAK-OTAK'!$B$10:$B$115,$A17,'DAILY CHAMP OTAK-OTAK'!Y$10:Y$115)</f>
        <v>0</v>
      </c>
      <c r="U17" s="8">
        <f>SUMIF('DAILY CHAMP OTAK-OTAK'!$B$10:$B$115,$A17,'DAILY CHAMP OTAK-OTAK'!Z$10:Z$115)</f>
        <v>0</v>
      </c>
      <c r="V17" s="8">
        <f>SUMIF('DAILY CHAMP OTAK-OTAK'!$B$10:$B$115,$A17,'DAILY CHAMP OTAK-OTAK'!AA$10:AA$115)</f>
        <v>0</v>
      </c>
      <c r="W17" s="59">
        <f t="shared" si="0"/>
        <v>0</v>
      </c>
      <c r="X17" s="60">
        <f t="shared" ca="1" si="1"/>
        <v>0</v>
      </c>
      <c r="Y17" s="47">
        <f t="shared" ca="1" si="2"/>
        <v>0</v>
      </c>
      <c r="Z17" s="88" t="e">
        <f t="shared" ca="1" si="5"/>
        <v>#DIV/0!</v>
      </c>
      <c r="AA17" s="89" t="e">
        <f t="shared" ca="1" si="6"/>
        <v>#DIV/0!</v>
      </c>
      <c r="AB17" s="112">
        <f>+'Actual VS SAP'!U19</f>
        <v>0</v>
      </c>
      <c r="AC17" s="48">
        <f t="shared" si="3"/>
        <v>0</v>
      </c>
      <c r="AD17" s="89" t="e">
        <f t="shared" si="4"/>
        <v>#DIV/0!</v>
      </c>
    </row>
    <row r="18" spans="1:30">
      <c r="A18" s="7">
        <f>+'ALL SORTASI'!A20</f>
        <v>46218</v>
      </c>
      <c r="B18" s="8">
        <f ca="1">SUMIF('DAILY CHAMP OTAK-OTAK'!$B$10:$B$115,$A18,'DAILY CHAMP OTAK-OTAK'!$C$10:$C$114)</f>
        <v>0</v>
      </c>
      <c r="C18" s="8">
        <f>SUMIF('DAILY CHAMP OTAK-OTAK'!$B$10:$B$115,$A18,'DAILY CHAMP OTAK-OTAK'!H$10:H$115)</f>
        <v>0</v>
      </c>
      <c r="D18" s="8">
        <f>SUMIF('DAILY CHAMP OTAK-OTAK'!$B$10:$B$115,$A18,'DAILY CHAMP OTAK-OTAK'!I$10:I$115)</f>
        <v>0</v>
      </c>
      <c r="E18" s="8">
        <f>SUMIF('DAILY CHAMP OTAK-OTAK'!$B$10:$B$115,$A18,'DAILY CHAMP OTAK-OTAK'!J$10:J$115)</f>
        <v>0</v>
      </c>
      <c r="F18" s="8">
        <f>SUMIF('DAILY CHAMP OTAK-OTAK'!$B$10:$B$115,$A18,'DAILY CHAMP OTAK-OTAK'!K$10:K$115)</f>
        <v>0</v>
      </c>
      <c r="G18" s="8">
        <f>SUMIF('DAILY CHAMP OTAK-OTAK'!$B$10:$B$115,$A18,'DAILY CHAMP OTAK-OTAK'!L$10:L$115)</f>
        <v>0</v>
      </c>
      <c r="H18" s="8">
        <f>SUMIF('DAILY CHAMP OTAK-OTAK'!$B$10:$B$115,$A18,'DAILY CHAMP OTAK-OTAK'!M$10:M$115)</f>
        <v>0</v>
      </c>
      <c r="I18" s="8">
        <f>SUMIF('DAILY CHAMP OTAK-OTAK'!$B$10:$B$115,$A18,'DAILY CHAMP OTAK-OTAK'!N$10:N$115)</f>
        <v>0</v>
      </c>
      <c r="J18" s="8">
        <f>SUMIF('DAILY CHAMP OTAK-OTAK'!$B$10:$B$115,$A18,'DAILY CHAMP OTAK-OTAK'!O$10:O$115)</f>
        <v>0</v>
      </c>
      <c r="K18" s="8">
        <f>SUMIF('DAILY CHAMP OTAK-OTAK'!$B$10:$B$115,$A18,'DAILY CHAMP OTAK-OTAK'!P$10:P$115)</f>
        <v>0</v>
      </c>
      <c r="L18" s="8">
        <f>SUMIF('DAILY CHAMP OTAK-OTAK'!$B$10:$B$115,$A18,'DAILY CHAMP OTAK-OTAK'!Q$10:Q$115)</f>
        <v>0</v>
      </c>
      <c r="M18" s="8">
        <f>SUMIF('DAILY CHAMP OTAK-OTAK'!$B$10:$B$115,$A18,'DAILY CHAMP OTAK-OTAK'!R$10:R$115)</f>
        <v>0</v>
      </c>
      <c r="N18" s="8">
        <f>SUMIF('DAILY CHAMP OTAK-OTAK'!$B$10:$B$115,$A18,'DAILY CHAMP OTAK-OTAK'!S$10:S$115)</f>
        <v>0</v>
      </c>
      <c r="O18" s="8">
        <f>SUMIF('DAILY CHAMP OTAK-OTAK'!$B$10:$B$115,$A18,'DAILY CHAMP OTAK-OTAK'!T$10:T$115)</f>
        <v>0</v>
      </c>
      <c r="P18" s="8">
        <f>SUMIF('DAILY CHAMP OTAK-OTAK'!$B$10:$B$115,$A18,'DAILY CHAMP OTAK-OTAK'!U$10:U$115)</f>
        <v>0</v>
      </c>
      <c r="Q18" s="8">
        <f>SUMIF('DAILY CHAMP OTAK-OTAK'!$B$10:$B$115,$A18,'DAILY CHAMP OTAK-OTAK'!V$10:V$115)</f>
        <v>0</v>
      </c>
      <c r="R18" s="8">
        <f>SUMIF('DAILY CHAMP OTAK-OTAK'!$B$10:$B$115,$A18,'DAILY CHAMP OTAK-OTAK'!W$10:W$115)</f>
        <v>0</v>
      </c>
      <c r="S18" s="8">
        <f>SUMIF('DAILY CHAMP OTAK-OTAK'!$B$10:$B$115,$A18,'DAILY CHAMP OTAK-OTAK'!X$10:X$115)</f>
        <v>0</v>
      </c>
      <c r="T18" s="8">
        <f>SUMIF('DAILY CHAMP OTAK-OTAK'!$B$10:$B$115,$A18,'DAILY CHAMP OTAK-OTAK'!Y$10:Y$115)</f>
        <v>0</v>
      </c>
      <c r="U18" s="8">
        <f>SUMIF('DAILY CHAMP OTAK-OTAK'!$B$10:$B$115,$A18,'DAILY CHAMP OTAK-OTAK'!Z$10:Z$115)</f>
        <v>0</v>
      </c>
      <c r="V18" s="8">
        <f>SUMIF('DAILY CHAMP OTAK-OTAK'!$B$10:$B$115,$A18,'DAILY CHAMP OTAK-OTAK'!AA$10:AA$115)</f>
        <v>0</v>
      </c>
      <c r="W18" s="59">
        <f t="shared" si="0"/>
        <v>0</v>
      </c>
      <c r="X18" s="60">
        <f t="shared" ca="1" si="1"/>
        <v>0</v>
      </c>
      <c r="Y18" s="47">
        <f t="shared" ca="1" si="2"/>
        <v>0</v>
      </c>
      <c r="Z18" s="88" t="e">
        <f t="shared" ca="1" si="5"/>
        <v>#DIV/0!</v>
      </c>
      <c r="AA18" s="89" t="e">
        <f t="shared" ca="1" si="6"/>
        <v>#DIV/0!</v>
      </c>
      <c r="AB18" s="112">
        <f>+'Actual VS SAP'!U20</f>
        <v>0</v>
      </c>
      <c r="AC18" s="48">
        <f t="shared" si="3"/>
        <v>0</v>
      </c>
      <c r="AD18" s="89" t="e">
        <f t="shared" si="4"/>
        <v>#DIV/0!</v>
      </c>
    </row>
    <row r="19" spans="1:30">
      <c r="A19" s="7">
        <f>+'ALL SORTASI'!A21</f>
        <v>46219</v>
      </c>
      <c r="B19" s="8">
        <f ca="1">SUMIF('DAILY CHAMP OTAK-OTAK'!$B$10:$B$115,$A19,'DAILY CHAMP OTAK-OTAK'!$C$10:$C$114)</f>
        <v>0</v>
      </c>
      <c r="C19" s="8">
        <f>SUMIF('DAILY CHAMP OTAK-OTAK'!$B$10:$B$115,$A19,'DAILY CHAMP OTAK-OTAK'!H$10:H$115)</f>
        <v>0</v>
      </c>
      <c r="D19" s="8">
        <f>SUMIF('DAILY CHAMP OTAK-OTAK'!$B$10:$B$115,$A19,'DAILY CHAMP OTAK-OTAK'!I$10:I$115)</f>
        <v>0</v>
      </c>
      <c r="E19" s="8">
        <f>SUMIF('DAILY CHAMP OTAK-OTAK'!$B$10:$B$115,$A19,'DAILY CHAMP OTAK-OTAK'!J$10:J$115)</f>
        <v>0</v>
      </c>
      <c r="F19" s="8">
        <f>SUMIF('DAILY CHAMP OTAK-OTAK'!$B$10:$B$115,$A19,'DAILY CHAMP OTAK-OTAK'!K$10:K$115)</f>
        <v>0</v>
      </c>
      <c r="G19" s="8">
        <f>SUMIF('DAILY CHAMP OTAK-OTAK'!$B$10:$B$115,$A19,'DAILY CHAMP OTAK-OTAK'!L$10:L$115)</f>
        <v>0</v>
      </c>
      <c r="H19" s="8">
        <f>SUMIF('DAILY CHAMP OTAK-OTAK'!$B$10:$B$115,$A19,'DAILY CHAMP OTAK-OTAK'!M$10:M$115)</f>
        <v>0</v>
      </c>
      <c r="I19" s="8">
        <f>SUMIF('DAILY CHAMP OTAK-OTAK'!$B$10:$B$115,$A19,'DAILY CHAMP OTAK-OTAK'!N$10:N$115)</f>
        <v>0</v>
      </c>
      <c r="J19" s="8">
        <f>SUMIF('DAILY CHAMP OTAK-OTAK'!$B$10:$B$115,$A19,'DAILY CHAMP OTAK-OTAK'!O$10:O$115)</f>
        <v>0</v>
      </c>
      <c r="K19" s="8">
        <f>SUMIF('DAILY CHAMP OTAK-OTAK'!$B$10:$B$115,$A19,'DAILY CHAMP OTAK-OTAK'!P$10:P$115)</f>
        <v>0</v>
      </c>
      <c r="L19" s="8">
        <f>SUMIF('DAILY CHAMP OTAK-OTAK'!$B$10:$B$115,$A19,'DAILY CHAMP OTAK-OTAK'!Q$10:Q$115)</f>
        <v>0</v>
      </c>
      <c r="M19" s="8">
        <f>SUMIF('DAILY CHAMP OTAK-OTAK'!$B$10:$B$115,$A19,'DAILY CHAMP OTAK-OTAK'!R$10:R$115)</f>
        <v>0</v>
      </c>
      <c r="N19" s="8">
        <f>SUMIF('DAILY CHAMP OTAK-OTAK'!$B$10:$B$115,$A19,'DAILY CHAMP OTAK-OTAK'!S$10:S$115)</f>
        <v>0</v>
      </c>
      <c r="O19" s="8">
        <f>SUMIF('DAILY CHAMP OTAK-OTAK'!$B$10:$B$115,$A19,'DAILY CHAMP OTAK-OTAK'!T$10:T$115)</f>
        <v>0</v>
      </c>
      <c r="P19" s="8">
        <f>SUMIF('DAILY CHAMP OTAK-OTAK'!$B$10:$B$115,$A19,'DAILY CHAMP OTAK-OTAK'!U$10:U$115)</f>
        <v>0</v>
      </c>
      <c r="Q19" s="8">
        <f>SUMIF('DAILY CHAMP OTAK-OTAK'!$B$10:$B$115,$A19,'DAILY CHAMP OTAK-OTAK'!V$10:V$115)</f>
        <v>0</v>
      </c>
      <c r="R19" s="8">
        <f>SUMIF('DAILY CHAMP OTAK-OTAK'!$B$10:$B$115,$A19,'DAILY CHAMP OTAK-OTAK'!W$10:W$115)</f>
        <v>0</v>
      </c>
      <c r="S19" s="8">
        <f>SUMIF('DAILY CHAMP OTAK-OTAK'!$B$10:$B$115,$A19,'DAILY CHAMP OTAK-OTAK'!X$10:X$115)</f>
        <v>0</v>
      </c>
      <c r="T19" s="8">
        <f>SUMIF('DAILY CHAMP OTAK-OTAK'!$B$10:$B$115,$A19,'DAILY CHAMP OTAK-OTAK'!Y$10:Y$115)</f>
        <v>0</v>
      </c>
      <c r="U19" s="8">
        <f>SUMIF('DAILY CHAMP OTAK-OTAK'!$B$10:$B$115,$A19,'DAILY CHAMP OTAK-OTAK'!Z$10:Z$115)</f>
        <v>0</v>
      </c>
      <c r="V19" s="8">
        <f>SUMIF('DAILY CHAMP OTAK-OTAK'!$B$10:$B$115,$A19,'DAILY CHAMP OTAK-OTAK'!AA$10:AA$115)</f>
        <v>0</v>
      </c>
      <c r="W19" s="59">
        <f t="shared" si="0"/>
        <v>0</v>
      </c>
      <c r="X19" s="60">
        <f t="shared" ca="1" si="1"/>
        <v>0</v>
      </c>
      <c r="Y19" s="47">
        <f t="shared" ca="1" si="2"/>
        <v>0</v>
      </c>
      <c r="Z19" s="88" t="e">
        <f t="shared" ca="1" si="5"/>
        <v>#DIV/0!</v>
      </c>
      <c r="AA19" s="89" t="e">
        <f t="shared" ca="1" si="6"/>
        <v>#DIV/0!</v>
      </c>
      <c r="AB19" s="112">
        <f>+'Actual VS SAP'!U21</f>
        <v>0</v>
      </c>
      <c r="AC19" s="48">
        <f t="shared" si="3"/>
        <v>0</v>
      </c>
      <c r="AD19" s="89" t="e">
        <f t="shared" si="4"/>
        <v>#DIV/0!</v>
      </c>
    </row>
    <row r="20" spans="1:30">
      <c r="A20" s="7">
        <f>+'ALL SORTASI'!A22</f>
        <v>46220</v>
      </c>
      <c r="B20" s="8">
        <f ca="1">SUMIF('DAILY CHAMP OTAK-OTAK'!$B$10:$B$115,$A20,'DAILY CHAMP OTAK-OTAK'!$C$10:$C$114)</f>
        <v>0</v>
      </c>
      <c r="C20" s="8">
        <f>SUMIF('DAILY CHAMP OTAK-OTAK'!$B$10:$B$115,$A20,'DAILY CHAMP OTAK-OTAK'!H$10:H$115)</f>
        <v>0</v>
      </c>
      <c r="D20" s="8">
        <f>SUMIF('DAILY CHAMP OTAK-OTAK'!$B$10:$B$115,$A20,'DAILY CHAMP OTAK-OTAK'!I$10:I$115)</f>
        <v>0</v>
      </c>
      <c r="E20" s="8">
        <f>SUMIF('DAILY CHAMP OTAK-OTAK'!$B$10:$B$115,$A20,'DAILY CHAMP OTAK-OTAK'!J$10:J$115)</f>
        <v>0</v>
      </c>
      <c r="F20" s="8">
        <f>SUMIF('DAILY CHAMP OTAK-OTAK'!$B$10:$B$115,$A20,'DAILY CHAMP OTAK-OTAK'!K$10:K$115)</f>
        <v>0</v>
      </c>
      <c r="G20" s="8">
        <f>SUMIF('DAILY CHAMP OTAK-OTAK'!$B$10:$B$115,$A20,'DAILY CHAMP OTAK-OTAK'!L$10:L$115)</f>
        <v>0</v>
      </c>
      <c r="H20" s="8">
        <f>SUMIF('DAILY CHAMP OTAK-OTAK'!$B$10:$B$115,$A20,'DAILY CHAMP OTAK-OTAK'!M$10:M$115)</f>
        <v>0</v>
      </c>
      <c r="I20" s="8">
        <f>SUMIF('DAILY CHAMP OTAK-OTAK'!$B$10:$B$115,$A20,'DAILY CHAMP OTAK-OTAK'!N$10:N$115)</f>
        <v>0</v>
      </c>
      <c r="J20" s="8">
        <f>SUMIF('DAILY CHAMP OTAK-OTAK'!$B$10:$B$115,$A20,'DAILY CHAMP OTAK-OTAK'!O$10:O$115)</f>
        <v>0</v>
      </c>
      <c r="K20" s="8">
        <f>SUMIF('DAILY CHAMP OTAK-OTAK'!$B$10:$B$115,$A20,'DAILY CHAMP OTAK-OTAK'!P$10:P$115)</f>
        <v>0</v>
      </c>
      <c r="L20" s="8">
        <f>SUMIF('DAILY CHAMP OTAK-OTAK'!$B$10:$B$115,$A20,'DAILY CHAMP OTAK-OTAK'!Q$10:Q$115)</f>
        <v>0</v>
      </c>
      <c r="M20" s="8">
        <f>SUMIF('DAILY CHAMP OTAK-OTAK'!$B$10:$B$115,$A20,'DAILY CHAMP OTAK-OTAK'!R$10:R$115)</f>
        <v>0</v>
      </c>
      <c r="N20" s="8">
        <f>SUMIF('DAILY CHAMP OTAK-OTAK'!$B$10:$B$115,$A20,'DAILY CHAMP OTAK-OTAK'!S$10:S$115)</f>
        <v>0</v>
      </c>
      <c r="O20" s="8">
        <f>SUMIF('DAILY CHAMP OTAK-OTAK'!$B$10:$B$115,$A20,'DAILY CHAMP OTAK-OTAK'!T$10:T$115)</f>
        <v>0</v>
      </c>
      <c r="P20" s="8">
        <f>SUMIF('DAILY CHAMP OTAK-OTAK'!$B$10:$B$115,$A20,'DAILY CHAMP OTAK-OTAK'!U$10:U$115)</f>
        <v>0</v>
      </c>
      <c r="Q20" s="8">
        <f>SUMIF('DAILY CHAMP OTAK-OTAK'!$B$10:$B$115,$A20,'DAILY CHAMP OTAK-OTAK'!V$10:V$115)</f>
        <v>0</v>
      </c>
      <c r="R20" s="8">
        <f>SUMIF('DAILY CHAMP OTAK-OTAK'!$B$10:$B$115,$A20,'DAILY CHAMP OTAK-OTAK'!W$10:W$115)</f>
        <v>0</v>
      </c>
      <c r="S20" s="8">
        <f>SUMIF('DAILY CHAMP OTAK-OTAK'!$B$10:$B$115,$A20,'DAILY CHAMP OTAK-OTAK'!X$10:X$115)</f>
        <v>0</v>
      </c>
      <c r="T20" s="8">
        <f>SUMIF('DAILY CHAMP OTAK-OTAK'!$B$10:$B$115,$A20,'DAILY CHAMP OTAK-OTAK'!Y$10:Y$115)</f>
        <v>0</v>
      </c>
      <c r="U20" s="8">
        <f>SUMIF('DAILY CHAMP OTAK-OTAK'!$B$10:$B$115,$A20,'DAILY CHAMP OTAK-OTAK'!Z$10:Z$115)</f>
        <v>0</v>
      </c>
      <c r="V20" s="8">
        <f>SUMIF('DAILY CHAMP OTAK-OTAK'!$B$10:$B$115,$A20,'DAILY CHAMP OTAK-OTAK'!AA$10:AA$115)</f>
        <v>0</v>
      </c>
      <c r="W20" s="59">
        <f t="shared" si="0"/>
        <v>0</v>
      </c>
      <c r="X20" s="60">
        <f t="shared" ca="1" si="1"/>
        <v>0</v>
      </c>
      <c r="Y20" s="47">
        <f t="shared" ca="1" si="2"/>
        <v>0</v>
      </c>
      <c r="Z20" s="88" t="e">
        <f t="shared" ca="1" si="5"/>
        <v>#DIV/0!</v>
      </c>
      <c r="AA20" s="89" t="e">
        <f t="shared" ca="1" si="6"/>
        <v>#DIV/0!</v>
      </c>
      <c r="AB20" s="112">
        <f>+'Actual VS SAP'!U22</f>
        <v>0</v>
      </c>
      <c r="AC20" s="48">
        <f t="shared" si="3"/>
        <v>0</v>
      </c>
      <c r="AD20" s="89" t="e">
        <f t="shared" si="4"/>
        <v>#DIV/0!</v>
      </c>
    </row>
    <row r="21" spans="1:30">
      <c r="A21" s="7">
        <f>+'ALL SORTASI'!A23</f>
        <v>46221</v>
      </c>
      <c r="B21" s="8">
        <f ca="1">SUMIF('DAILY CHAMP OTAK-OTAK'!$B$10:$B$115,$A21,'DAILY CHAMP OTAK-OTAK'!$C$10:$C$114)</f>
        <v>0</v>
      </c>
      <c r="C21" s="8">
        <f>SUMIF('DAILY CHAMP OTAK-OTAK'!$B$10:$B$115,$A21,'DAILY CHAMP OTAK-OTAK'!H$10:H$115)</f>
        <v>0</v>
      </c>
      <c r="D21" s="8">
        <f>SUMIF('DAILY CHAMP OTAK-OTAK'!$B$10:$B$115,$A21,'DAILY CHAMP OTAK-OTAK'!I$10:I$115)</f>
        <v>0</v>
      </c>
      <c r="E21" s="8">
        <f>SUMIF('DAILY CHAMP OTAK-OTAK'!$B$10:$B$115,$A21,'DAILY CHAMP OTAK-OTAK'!J$10:J$115)</f>
        <v>0</v>
      </c>
      <c r="F21" s="8">
        <f>SUMIF('DAILY CHAMP OTAK-OTAK'!$B$10:$B$115,$A21,'DAILY CHAMP OTAK-OTAK'!K$10:K$115)</f>
        <v>0</v>
      </c>
      <c r="G21" s="8">
        <f>SUMIF('DAILY CHAMP OTAK-OTAK'!$B$10:$B$115,$A21,'DAILY CHAMP OTAK-OTAK'!L$10:L$115)</f>
        <v>0</v>
      </c>
      <c r="H21" s="8">
        <f>SUMIF('DAILY CHAMP OTAK-OTAK'!$B$10:$B$115,$A21,'DAILY CHAMP OTAK-OTAK'!M$10:M$115)</f>
        <v>0</v>
      </c>
      <c r="I21" s="8">
        <f>SUMIF('DAILY CHAMP OTAK-OTAK'!$B$10:$B$115,$A21,'DAILY CHAMP OTAK-OTAK'!N$10:N$115)</f>
        <v>0</v>
      </c>
      <c r="J21" s="8">
        <f>SUMIF('DAILY CHAMP OTAK-OTAK'!$B$10:$B$115,$A21,'DAILY CHAMP OTAK-OTAK'!O$10:O$115)</f>
        <v>0</v>
      </c>
      <c r="K21" s="8">
        <f>SUMIF('DAILY CHAMP OTAK-OTAK'!$B$10:$B$115,$A21,'DAILY CHAMP OTAK-OTAK'!P$10:P$115)</f>
        <v>0</v>
      </c>
      <c r="L21" s="8">
        <f>SUMIF('DAILY CHAMP OTAK-OTAK'!$B$10:$B$115,$A21,'DAILY CHAMP OTAK-OTAK'!Q$10:Q$115)</f>
        <v>0</v>
      </c>
      <c r="M21" s="8">
        <f>SUMIF('DAILY CHAMP OTAK-OTAK'!$B$10:$B$115,$A21,'DAILY CHAMP OTAK-OTAK'!R$10:R$115)</f>
        <v>0</v>
      </c>
      <c r="N21" s="8">
        <f>SUMIF('DAILY CHAMP OTAK-OTAK'!$B$10:$B$115,$A21,'DAILY CHAMP OTAK-OTAK'!S$10:S$115)</f>
        <v>0</v>
      </c>
      <c r="O21" s="8">
        <f>SUMIF('DAILY CHAMP OTAK-OTAK'!$B$10:$B$115,$A21,'DAILY CHAMP OTAK-OTAK'!T$10:T$115)</f>
        <v>0</v>
      </c>
      <c r="P21" s="8">
        <f>SUMIF('DAILY CHAMP OTAK-OTAK'!$B$10:$B$115,$A21,'DAILY CHAMP OTAK-OTAK'!U$10:U$115)</f>
        <v>0</v>
      </c>
      <c r="Q21" s="8">
        <f>SUMIF('DAILY CHAMP OTAK-OTAK'!$B$10:$B$115,$A21,'DAILY CHAMP OTAK-OTAK'!V$10:V$115)</f>
        <v>0</v>
      </c>
      <c r="R21" s="8">
        <f>SUMIF('DAILY CHAMP OTAK-OTAK'!$B$10:$B$115,$A21,'DAILY CHAMP OTAK-OTAK'!W$10:W$115)</f>
        <v>0</v>
      </c>
      <c r="S21" s="8">
        <f>SUMIF('DAILY CHAMP OTAK-OTAK'!$B$10:$B$115,$A21,'DAILY CHAMP OTAK-OTAK'!X$10:X$115)</f>
        <v>0</v>
      </c>
      <c r="T21" s="8">
        <f>SUMIF('DAILY CHAMP OTAK-OTAK'!$B$10:$B$115,$A21,'DAILY CHAMP OTAK-OTAK'!Y$10:Y$115)</f>
        <v>0</v>
      </c>
      <c r="U21" s="8">
        <f>SUMIF('DAILY CHAMP OTAK-OTAK'!$B$10:$B$115,$A21,'DAILY CHAMP OTAK-OTAK'!Z$10:Z$115)</f>
        <v>0</v>
      </c>
      <c r="V21" s="8">
        <f>SUMIF('DAILY CHAMP OTAK-OTAK'!$B$10:$B$115,$A21,'DAILY CHAMP OTAK-OTAK'!AA$10:AA$115)</f>
        <v>0</v>
      </c>
      <c r="W21" s="59">
        <f t="shared" si="0"/>
        <v>0</v>
      </c>
      <c r="X21" s="60">
        <f t="shared" ca="1" si="1"/>
        <v>0</v>
      </c>
      <c r="Y21" s="47">
        <f t="shared" ca="1" si="2"/>
        <v>0</v>
      </c>
      <c r="Z21" s="88" t="e">
        <f t="shared" ca="1" si="5"/>
        <v>#DIV/0!</v>
      </c>
      <c r="AA21" s="89" t="e">
        <f t="shared" ca="1" si="6"/>
        <v>#DIV/0!</v>
      </c>
      <c r="AB21" s="112">
        <f>+'Actual VS SAP'!U23</f>
        <v>0</v>
      </c>
      <c r="AC21" s="48">
        <f t="shared" si="3"/>
        <v>0</v>
      </c>
      <c r="AD21" s="89" t="e">
        <f t="shared" si="4"/>
        <v>#DIV/0!</v>
      </c>
    </row>
    <row r="22" spans="1:30">
      <c r="A22" s="7">
        <f>+'ALL SORTASI'!A24</f>
        <v>46222</v>
      </c>
      <c r="B22" s="8">
        <f ca="1">SUMIF('DAILY CHAMP OTAK-OTAK'!$B$10:$B$115,$A22,'DAILY CHAMP OTAK-OTAK'!$C$10:$C$114)</f>
        <v>0</v>
      </c>
      <c r="C22" s="8">
        <f>SUMIF('DAILY CHAMP OTAK-OTAK'!$B$10:$B$115,$A22,'DAILY CHAMP OTAK-OTAK'!H$10:H$115)</f>
        <v>0</v>
      </c>
      <c r="D22" s="8">
        <f>SUMIF('DAILY CHAMP OTAK-OTAK'!$B$10:$B$115,$A22,'DAILY CHAMP OTAK-OTAK'!I$10:I$115)</f>
        <v>0</v>
      </c>
      <c r="E22" s="8">
        <f>SUMIF('DAILY CHAMP OTAK-OTAK'!$B$10:$B$115,$A22,'DAILY CHAMP OTAK-OTAK'!J$10:J$115)</f>
        <v>0</v>
      </c>
      <c r="F22" s="8">
        <f>SUMIF('DAILY CHAMP OTAK-OTAK'!$B$10:$B$115,$A22,'DAILY CHAMP OTAK-OTAK'!K$10:K$115)</f>
        <v>0</v>
      </c>
      <c r="G22" s="8">
        <f>SUMIF('DAILY CHAMP OTAK-OTAK'!$B$10:$B$115,$A22,'DAILY CHAMP OTAK-OTAK'!L$10:L$115)</f>
        <v>0</v>
      </c>
      <c r="H22" s="8">
        <f>SUMIF('DAILY CHAMP OTAK-OTAK'!$B$10:$B$115,$A22,'DAILY CHAMP OTAK-OTAK'!M$10:M$115)</f>
        <v>0</v>
      </c>
      <c r="I22" s="8">
        <f>SUMIF('DAILY CHAMP OTAK-OTAK'!$B$10:$B$115,$A22,'DAILY CHAMP OTAK-OTAK'!N$10:N$115)</f>
        <v>0</v>
      </c>
      <c r="J22" s="8">
        <f>SUMIF('DAILY CHAMP OTAK-OTAK'!$B$10:$B$115,$A22,'DAILY CHAMP OTAK-OTAK'!O$10:O$115)</f>
        <v>0</v>
      </c>
      <c r="K22" s="8">
        <f>SUMIF('DAILY CHAMP OTAK-OTAK'!$B$10:$B$115,$A22,'DAILY CHAMP OTAK-OTAK'!P$10:P$115)</f>
        <v>0</v>
      </c>
      <c r="L22" s="8">
        <f>SUMIF('DAILY CHAMP OTAK-OTAK'!$B$10:$B$115,$A22,'DAILY CHAMP OTAK-OTAK'!Q$10:Q$115)</f>
        <v>0</v>
      </c>
      <c r="M22" s="8">
        <f>SUMIF('DAILY CHAMP OTAK-OTAK'!$B$10:$B$115,$A22,'DAILY CHAMP OTAK-OTAK'!R$10:R$115)</f>
        <v>0</v>
      </c>
      <c r="N22" s="8">
        <f>SUMIF('DAILY CHAMP OTAK-OTAK'!$B$10:$B$115,$A22,'DAILY CHAMP OTAK-OTAK'!S$10:S$115)</f>
        <v>0</v>
      </c>
      <c r="O22" s="8">
        <f>SUMIF('DAILY CHAMP OTAK-OTAK'!$B$10:$B$115,$A22,'DAILY CHAMP OTAK-OTAK'!T$10:T$115)</f>
        <v>0</v>
      </c>
      <c r="P22" s="8">
        <f>SUMIF('DAILY CHAMP OTAK-OTAK'!$B$10:$B$115,$A22,'DAILY CHAMP OTAK-OTAK'!U$10:U$115)</f>
        <v>0</v>
      </c>
      <c r="Q22" s="8">
        <f>SUMIF('DAILY CHAMP OTAK-OTAK'!$B$10:$B$115,$A22,'DAILY CHAMP OTAK-OTAK'!V$10:V$115)</f>
        <v>0</v>
      </c>
      <c r="R22" s="8">
        <f>SUMIF('DAILY CHAMP OTAK-OTAK'!$B$10:$B$115,$A22,'DAILY CHAMP OTAK-OTAK'!W$10:W$115)</f>
        <v>0</v>
      </c>
      <c r="S22" s="8">
        <f>SUMIF('DAILY CHAMP OTAK-OTAK'!$B$10:$B$115,$A22,'DAILY CHAMP OTAK-OTAK'!X$10:X$115)</f>
        <v>0</v>
      </c>
      <c r="T22" s="8">
        <f>SUMIF('DAILY CHAMP OTAK-OTAK'!$B$10:$B$115,$A22,'DAILY CHAMP OTAK-OTAK'!Y$10:Y$115)</f>
        <v>0</v>
      </c>
      <c r="U22" s="8">
        <f>SUMIF('DAILY CHAMP OTAK-OTAK'!$B$10:$B$115,$A22,'DAILY CHAMP OTAK-OTAK'!Z$10:Z$115)</f>
        <v>0</v>
      </c>
      <c r="V22" s="8">
        <f>SUMIF('DAILY CHAMP OTAK-OTAK'!$B$10:$B$115,$A22,'DAILY CHAMP OTAK-OTAK'!AA$10:AA$115)</f>
        <v>0</v>
      </c>
      <c r="W22" s="59">
        <f t="shared" si="0"/>
        <v>0</v>
      </c>
      <c r="X22" s="60">
        <f t="shared" ca="1" si="1"/>
        <v>0</v>
      </c>
      <c r="Y22" s="47">
        <f t="shared" ca="1" si="2"/>
        <v>0</v>
      </c>
      <c r="Z22" s="88" t="e">
        <f t="shared" ca="1" si="5"/>
        <v>#DIV/0!</v>
      </c>
      <c r="AA22" s="89" t="e">
        <f t="shared" ca="1" si="6"/>
        <v>#DIV/0!</v>
      </c>
      <c r="AB22" s="112">
        <f>+'Actual VS SAP'!U24</f>
        <v>0</v>
      </c>
      <c r="AC22" s="48">
        <f t="shared" si="3"/>
        <v>0</v>
      </c>
      <c r="AD22" s="89" t="e">
        <f t="shared" si="4"/>
        <v>#DIV/0!</v>
      </c>
    </row>
    <row r="23" spans="1:30">
      <c r="A23" s="7">
        <f>+'ALL SORTASI'!A25</f>
        <v>46223</v>
      </c>
      <c r="B23" s="8">
        <f ca="1">SUMIF('DAILY CHAMP OTAK-OTAK'!$B$10:$B$115,$A23,'DAILY CHAMP OTAK-OTAK'!$C$10:$C$114)</f>
        <v>0</v>
      </c>
      <c r="C23" s="8">
        <f>SUMIF('DAILY CHAMP OTAK-OTAK'!$B$10:$B$115,$A23,'DAILY CHAMP OTAK-OTAK'!H$10:H$115)</f>
        <v>0</v>
      </c>
      <c r="D23" s="8">
        <f>SUMIF('DAILY CHAMP OTAK-OTAK'!$B$10:$B$115,$A23,'DAILY CHAMP OTAK-OTAK'!I$10:I$115)</f>
        <v>0</v>
      </c>
      <c r="E23" s="8">
        <f>SUMIF('DAILY CHAMP OTAK-OTAK'!$B$10:$B$115,$A23,'DAILY CHAMP OTAK-OTAK'!J$10:J$115)</f>
        <v>0</v>
      </c>
      <c r="F23" s="8">
        <f>SUMIF('DAILY CHAMP OTAK-OTAK'!$B$10:$B$115,$A23,'DAILY CHAMP OTAK-OTAK'!K$10:K$115)</f>
        <v>0</v>
      </c>
      <c r="G23" s="8">
        <f>SUMIF('DAILY CHAMP OTAK-OTAK'!$B$10:$B$115,$A23,'DAILY CHAMP OTAK-OTAK'!L$10:L$115)</f>
        <v>0</v>
      </c>
      <c r="H23" s="8">
        <f>SUMIF('DAILY CHAMP OTAK-OTAK'!$B$10:$B$115,$A23,'DAILY CHAMP OTAK-OTAK'!M$10:M$115)</f>
        <v>0</v>
      </c>
      <c r="I23" s="8">
        <f>SUMIF('DAILY CHAMP OTAK-OTAK'!$B$10:$B$115,$A23,'DAILY CHAMP OTAK-OTAK'!N$10:N$115)</f>
        <v>0</v>
      </c>
      <c r="J23" s="8">
        <f>SUMIF('DAILY CHAMP OTAK-OTAK'!$B$10:$B$115,$A23,'DAILY CHAMP OTAK-OTAK'!O$10:O$115)</f>
        <v>0</v>
      </c>
      <c r="K23" s="8">
        <f>SUMIF('DAILY CHAMP OTAK-OTAK'!$B$10:$B$115,$A23,'DAILY CHAMP OTAK-OTAK'!P$10:P$115)</f>
        <v>0</v>
      </c>
      <c r="L23" s="8">
        <f>SUMIF('DAILY CHAMP OTAK-OTAK'!$B$10:$B$115,$A23,'DAILY CHAMP OTAK-OTAK'!Q$10:Q$115)</f>
        <v>0</v>
      </c>
      <c r="M23" s="8">
        <f>SUMIF('DAILY CHAMP OTAK-OTAK'!$B$10:$B$115,$A23,'DAILY CHAMP OTAK-OTAK'!R$10:R$115)</f>
        <v>0</v>
      </c>
      <c r="N23" s="8">
        <f>SUMIF('DAILY CHAMP OTAK-OTAK'!$B$10:$B$115,$A23,'DAILY CHAMP OTAK-OTAK'!S$10:S$115)</f>
        <v>0</v>
      </c>
      <c r="O23" s="8">
        <f>SUMIF('DAILY CHAMP OTAK-OTAK'!$B$10:$B$115,$A23,'DAILY CHAMP OTAK-OTAK'!T$10:T$115)</f>
        <v>0</v>
      </c>
      <c r="P23" s="8">
        <f>SUMIF('DAILY CHAMP OTAK-OTAK'!$B$10:$B$115,$A23,'DAILY CHAMP OTAK-OTAK'!U$10:U$115)</f>
        <v>0</v>
      </c>
      <c r="Q23" s="8">
        <f>SUMIF('DAILY CHAMP OTAK-OTAK'!$B$10:$B$115,$A23,'DAILY CHAMP OTAK-OTAK'!V$10:V$115)</f>
        <v>0</v>
      </c>
      <c r="R23" s="8">
        <f>SUMIF('DAILY CHAMP OTAK-OTAK'!$B$10:$B$115,$A23,'DAILY CHAMP OTAK-OTAK'!W$10:W$115)</f>
        <v>0</v>
      </c>
      <c r="S23" s="8">
        <f>SUMIF('DAILY CHAMP OTAK-OTAK'!$B$10:$B$115,$A23,'DAILY CHAMP OTAK-OTAK'!X$10:X$115)</f>
        <v>0</v>
      </c>
      <c r="T23" s="8">
        <f>SUMIF('DAILY CHAMP OTAK-OTAK'!$B$10:$B$115,$A23,'DAILY CHAMP OTAK-OTAK'!Y$10:Y$115)</f>
        <v>0</v>
      </c>
      <c r="U23" s="8">
        <f>SUMIF('DAILY CHAMP OTAK-OTAK'!$B$10:$B$115,$A23,'DAILY CHAMP OTAK-OTAK'!Z$10:Z$115)</f>
        <v>0</v>
      </c>
      <c r="V23" s="8">
        <f>SUMIF('DAILY CHAMP OTAK-OTAK'!$B$10:$B$115,$A23,'DAILY CHAMP OTAK-OTAK'!AA$10:AA$115)</f>
        <v>0</v>
      </c>
      <c r="W23" s="59">
        <f t="shared" si="0"/>
        <v>0</v>
      </c>
      <c r="X23" s="60">
        <f t="shared" ca="1" si="1"/>
        <v>0</v>
      </c>
      <c r="Y23" s="47">
        <f t="shared" ca="1" si="2"/>
        <v>0</v>
      </c>
      <c r="Z23" s="88" t="e">
        <f t="shared" ca="1" si="5"/>
        <v>#DIV/0!</v>
      </c>
      <c r="AA23" s="89" t="e">
        <f t="shared" ca="1" si="6"/>
        <v>#DIV/0!</v>
      </c>
      <c r="AB23" s="112">
        <f>+'Actual VS SAP'!U25</f>
        <v>0</v>
      </c>
      <c r="AC23" s="48">
        <f t="shared" si="3"/>
        <v>0</v>
      </c>
      <c r="AD23" s="89" t="e">
        <f t="shared" si="4"/>
        <v>#DIV/0!</v>
      </c>
    </row>
    <row r="24" spans="1:30">
      <c r="A24" s="7">
        <f>+'ALL SORTASI'!A26</f>
        <v>46224</v>
      </c>
      <c r="B24" s="8">
        <f ca="1">SUMIF('DAILY CHAMP OTAK-OTAK'!$B$10:$B$115,$A24,'DAILY CHAMP OTAK-OTAK'!$C$10:$C$114)</f>
        <v>0</v>
      </c>
      <c r="C24" s="8">
        <f>SUMIF('DAILY CHAMP OTAK-OTAK'!$B$10:$B$115,$A24,'DAILY CHAMP OTAK-OTAK'!H$10:H$115)</f>
        <v>0</v>
      </c>
      <c r="D24" s="8">
        <f>SUMIF('DAILY CHAMP OTAK-OTAK'!$B$10:$B$115,$A24,'DAILY CHAMP OTAK-OTAK'!I$10:I$115)</f>
        <v>0</v>
      </c>
      <c r="E24" s="8">
        <f>SUMIF('DAILY CHAMP OTAK-OTAK'!$B$10:$B$115,$A24,'DAILY CHAMP OTAK-OTAK'!J$10:J$115)</f>
        <v>0</v>
      </c>
      <c r="F24" s="8">
        <f>SUMIF('DAILY CHAMP OTAK-OTAK'!$B$10:$B$115,$A24,'DAILY CHAMP OTAK-OTAK'!K$10:K$115)</f>
        <v>0</v>
      </c>
      <c r="G24" s="8">
        <f>SUMIF('DAILY CHAMP OTAK-OTAK'!$B$10:$B$115,$A24,'DAILY CHAMP OTAK-OTAK'!L$10:L$115)</f>
        <v>0</v>
      </c>
      <c r="H24" s="8">
        <f>SUMIF('DAILY CHAMP OTAK-OTAK'!$B$10:$B$115,$A24,'DAILY CHAMP OTAK-OTAK'!M$10:M$115)</f>
        <v>0</v>
      </c>
      <c r="I24" s="8">
        <f>SUMIF('DAILY CHAMP OTAK-OTAK'!$B$10:$B$115,$A24,'DAILY CHAMP OTAK-OTAK'!N$10:N$115)</f>
        <v>0</v>
      </c>
      <c r="J24" s="8">
        <f>SUMIF('DAILY CHAMP OTAK-OTAK'!$B$10:$B$115,$A24,'DAILY CHAMP OTAK-OTAK'!O$10:O$115)</f>
        <v>0</v>
      </c>
      <c r="K24" s="8">
        <f>SUMIF('DAILY CHAMP OTAK-OTAK'!$B$10:$B$115,$A24,'DAILY CHAMP OTAK-OTAK'!P$10:P$115)</f>
        <v>0</v>
      </c>
      <c r="L24" s="8">
        <f>SUMIF('DAILY CHAMP OTAK-OTAK'!$B$10:$B$115,$A24,'DAILY CHAMP OTAK-OTAK'!Q$10:Q$115)</f>
        <v>0</v>
      </c>
      <c r="M24" s="8">
        <f>SUMIF('DAILY CHAMP OTAK-OTAK'!$B$10:$B$115,$A24,'DAILY CHAMP OTAK-OTAK'!R$10:R$115)</f>
        <v>0</v>
      </c>
      <c r="N24" s="8">
        <f>SUMIF('DAILY CHAMP OTAK-OTAK'!$B$10:$B$115,$A24,'DAILY CHAMP OTAK-OTAK'!S$10:S$115)</f>
        <v>0</v>
      </c>
      <c r="O24" s="8">
        <f>SUMIF('DAILY CHAMP OTAK-OTAK'!$B$10:$B$115,$A24,'DAILY CHAMP OTAK-OTAK'!T$10:T$115)</f>
        <v>0</v>
      </c>
      <c r="P24" s="8">
        <f>SUMIF('DAILY CHAMP OTAK-OTAK'!$B$10:$B$115,$A24,'DAILY CHAMP OTAK-OTAK'!U$10:U$115)</f>
        <v>0</v>
      </c>
      <c r="Q24" s="8">
        <f>SUMIF('DAILY CHAMP OTAK-OTAK'!$B$10:$B$115,$A24,'DAILY CHAMP OTAK-OTAK'!V$10:V$115)</f>
        <v>0</v>
      </c>
      <c r="R24" s="8">
        <f>SUMIF('DAILY CHAMP OTAK-OTAK'!$B$10:$B$115,$A24,'DAILY CHAMP OTAK-OTAK'!W$10:W$115)</f>
        <v>0</v>
      </c>
      <c r="S24" s="8">
        <f>SUMIF('DAILY CHAMP OTAK-OTAK'!$B$10:$B$115,$A24,'DAILY CHAMP OTAK-OTAK'!X$10:X$115)</f>
        <v>0</v>
      </c>
      <c r="T24" s="8">
        <f>SUMIF('DAILY CHAMP OTAK-OTAK'!$B$10:$B$115,$A24,'DAILY CHAMP OTAK-OTAK'!Y$10:Y$115)</f>
        <v>0</v>
      </c>
      <c r="U24" s="8">
        <f>SUMIF('DAILY CHAMP OTAK-OTAK'!$B$10:$B$115,$A24,'DAILY CHAMP OTAK-OTAK'!Z$10:Z$115)</f>
        <v>0</v>
      </c>
      <c r="V24" s="8">
        <f>SUMIF('DAILY CHAMP OTAK-OTAK'!$B$10:$B$115,$A24,'DAILY CHAMP OTAK-OTAK'!AA$10:AA$115)</f>
        <v>0</v>
      </c>
      <c r="W24" s="59">
        <f t="shared" si="0"/>
        <v>0</v>
      </c>
      <c r="X24" s="60">
        <f t="shared" ca="1" si="1"/>
        <v>0</v>
      </c>
      <c r="Y24" s="47">
        <f t="shared" ca="1" si="2"/>
        <v>0</v>
      </c>
      <c r="Z24" s="88" t="e">
        <f t="shared" ca="1" si="5"/>
        <v>#DIV/0!</v>
      </c>
      <c r="AA24" s="89" t="e">
        <f t="shared" ca="1" si="6"/>
        <v>#DIV/0!</v>
      </c>
      <c r="AB24" s="112">
        <f>+'Actual VS SAP'!U26</f>
        <v>0</v>
      </c>
      <c r="AC24" s="48">
        <f t="shared" si="3"/>
        <v>0</v>
      </c>
      <c r="AD24" s="89" t="e">
        <f t="shared" si="4"/>
        <v>#DIV/0!</v>
      </c>
    </row>
    <row r="25" spans="1:30">
      <c r="A25" s="7">
        <f>+'ALL SORTASI'!A27</f>
        <v>46225</v>
      </c>
      <c r="B25" s="8">
        <f ca="1">SUMIF('DAILY CHAMP OTAK-OTAK'!$B$10:$B$115,$A25,'DAILY CHAMP OTAK-OTAK'!$C$10:$C$114)</f>
        <v>0</v>
      </c>
      <c r="C25" s="8">
        <f>SUMIF('DAILY CHAMP OTAK-OTAK'!$B$10:$B$115,$A25,'DAILY CHAMP OTAK-OTAK'!H$10:H$115)</f>
        <v>0</v>
      </c>
      <c r="D25" s="8">
        <f>SUMIF('DAILY CHAMP OTAK-OTAK'!$B$10:$B$115,$A25,'DAILY CHAMP OTAK-OTAK'!I$10:I$115)</f>
        <v>0</v>
      </c>
      <c r="E25" s="8">
        <f>SUMIF('DAILY CHAMP OTAK-OTAK'!$B$10:$B$115,$A25,'DAILY CHAMP OTAK-OTAK'!J$10:J$115)</f>
        <v>0</v>
      </c>
      <c r="F25" s="8">
        <f>SUMIF('DAILY CHAMP OTAK-OTAK'!$B$10:$B$115,$A25,'DAILY CHAMP OTAK-OTAK'!K$10:K$115)</f>
        <v>0</v>
      </c>
      <c r="G25" s="8">
        <f>SUMIF('DAILY CHAMP OTAK-OTAK'!$B$10:$B$115,$A25,'DAILY CHAMP OTAK-OTAK'!L$10:L$115)</f>
        <v>0</v>
      </c>
      <c r="H25" s="8">
        <f>SUMIF('DAILY CHAMP OTAK-OTAK'!$B$10:$B$115,$A25,'DAILY CHAMP OTAK-OTAK'!M$10:M$115)</f>
        <v>0</v>
      </c>
      <c r="I25" s="8">
        <f>SUMIF('DAILY CHAMP OTAK-OTAK'!$B$10:$B$115,$A25,'DAILY CHAMP OTAK-OTAK'!N$10:N$115)</f>
        <v>0</v>
      </c>
      <c r="J25" s="8">
        <f>SUMIF('DAILY CHAMP OTAK-OTAK'!$B$10:$B$115,$A25,'DAILY CHAMP OTAK-OTAK'!O$10:O$115)</f>
        <v>0</v>
      </c>
      <c r="K25" s="8">
        <f>SUMIF('DAILY CHAMP OTAK-OTAK'!$B$10:$B$115,$A25,'DAILY CHAMP OTAK-OTAK'!P$10:P$115)</f>
        <v>0</v>
      </c>
      <c r="L25" s="8">
        <f>SUMIF('DAILY CHAMP OTAK-OTAK'!$B$10:$B$115,$A25,'DAILY CHAMP OTAK-OTAK'!Q$10:Q$115)</f>
        <v>0</v>
      </c>
      <c r="M25" s="8">
        <f>SUMIF('DAILY CHAMP OTAK-OTAK'!$B$10:$B$115,$A25,'DAILY CHAMP OTAK-OTAK'!R$10:R$115)</f>
        <v>0</v>
      </c>
      <c r="N25" s="8">
        <f>SUMIF('DAILY CHAMP OTAK-OTAK'!$B$10:$B$115,$A25,'DAILY CHAMP OTAK-OTAK'!S$10:S$115)</f>
        <v>0</v>
      </c>
      <c r="O25" s="8">
        <f>SUMIF('DAILY CHAMP OTAK-OTAK'!$B$10:$B$115,$A25,'DAILY CHAMP OTAK-OTAK'!T$10:T$115)</f>
        <v>0</v>
      </c>
      <c r="P25" s="8">
        <f>SUMIF('DAILY CHAMP OTAK-OTAK'!$B$10:$B$115,$A25,'DAILY CHAMP OTAK-OTAK'!U$10:U$115)</f>
        <v>0</v>
      </c>
      <c r="Q25" s="8">
        <f>SUMIF('DAILY CHAMP OTAK-OTAK'!$B$10:$B$115,$A25,'DAILY CHAMP OTAK-OTAK'!V$10:V$115)</f>
        <v>0</v>
      </c>
      <c r="R25" s="8">
        <f>SUMIF('DAILY CHAMP OTAK-OTAK'!$B$10:$B$115,$A25,'DAILY CHAMP OTAK-OTAK'!W$10:W$115)</f>
        <v>0</v>
      </c>
      <c r="S25" s="8">
        <f>SUMIF('DAILY CHAMP OTAK-OTAK'!$B$10:$B$115,$A25,'DAILY CHAMP OTAK-OTAK'!X$10:X$115)</f>
        <v>0</v>
      </c>
      <c r="T25" s="8">
        <f>SUMIF('DAILY CHAMP OTAK-OTAK'!$B$10:$B$115,$A25,'DAILY CHAMP OTAK-OTAK'!Y$10:Y$115)</f>
        <v>0</v>
      </c>
      <c r="U25" s="8">
        <f>SUMIF('DAILY CHAMP OTAK-OTAK'!$B$10:$B$115,$A25,'DAILY CHAMP OTAK-OTAK'!Z$10:Z$115)</f>
        <v>0</v>
      </c>
      <c r="V25" s="8">
        <f>SUMIF('DAILY CHAMP OTAK-OTAK'!$B$10:$B$115,$A25,'DAILY CHAMP OTAK-OTAK'!AA$10:AA$115)</f>
        <v>0</v>
      </c>
      <c r="W25" s="59">
        <f t="shared" si="0"/>
        <v>0</v>
      </c>
      <c r="X25" s="60">
        <f t="shared" ca="1" si="1"/>
        <v>0</v>
      </c>
      <c r="Y25" s="47">
        <f t="shared" ca="1" si="2"/>
        <v>0</v>
      </c>
      <c r="Z25" s="88" t="e">
        <f t="shared" ca="1" si="5"/>
        <v>#DIV/0!</v>
      </c>
      <c r="AA25" s="89" t="e">
        <f t="shared" ca="1" si="6"/>
        <v>#DIV/0!</v>
      </c>
      <c r="AB25" s="112">
        <f>+'Actual VS SAP'!U27</f>
        <v>0</v>
      </c>
      <c r="AC25" s="48">
        <f t="shared" si="3"/>
        <v>0</v>
      </c>
      <c r="AD25" s="89" t="e">
        <f t="shared" si="4"/>
        <v>#DIV/0!</v>
      </c>
    </row>
    <row r="26" spans="1:30">
      <c r="A26" s="7">
        <f>+'ALL SORTASI'!A28</f>
        <v>46226</v>
      </c>
      <c r="B26" s="8">
        <f ca="1">SUMIF('DAILY CHAMP OTAK-OTAK'!$B$10:$B$115,$A26,'DAILY CHAMP OTAK-OTAK'!$C$10:$C$114)</f>
        <v>0</v>
      </c>
      <c r="C26" s="8">
        <f>SUMIF('DAILY CHAMP OTAK-OTAK'!$B$10:$B$115,$A26,'DAILY CHAMP OTAK-OTAK'!H$10:H$115)</f>
        <v>0</v>
      </c>
      <c r="D26" s="8">
        <f>SUMIF('DAILY CHAMP OTAK-OTAK'!$B$10:$B$115,$A26,'DAILY CHAMP OTAK-OTAK'!I$10:I$115)</f>
        <v>0</v>
      </c>
      <c r="E26" s="8">
        <f>SUMIF('DAILY CHAMP OTAK-OTAK'!$B$10:$B$115,$A26,'DAILY CHAMP OTAK-OTAK'!J$10:J$115)</f>
        <v>0</v>
      </c>
      <c r="F26" s="8">
        <f>SUMIF('DAILY CHAMP OTAK-OTAK'!$B$10:$B$115,$A26,'DAILY CHAMP OTAK-OTAK'!K$10:K$115)</f>
        <v>0</v>
      </c>
      <c r="G26" s="8">
        <f>SUMIF('DAILY CHAMP OTAK-OTAK'!$B$10:$B$115,$A26,'DAILY CHAMP OTAK-OTAK'!L$10:L$115)</f>
        <v>0</v>
      </c>
      <c r="H26" s="8">
        <f>SUMIF('DAILY CHAMP OTAK-OTAK'!$B$10:$B$115,$A26,'DAILY CHAMP OTAK-OTAK'!M$10:M$115)</f>
        <v>0</v>
      </c>
      <c r="I26" s="8">
        <f>SUMIF('DAILY CHAMP OTAK-OTAK'!$B$10:$B$115,$A26,'DAILY CHAMP OTAK-OTAK'!N$10:N$115)</f>
        <v>0</v>
      </c>
      <c r="J26" s="8">
        <f>SUMIF('DAILY CHAMP OTAK-OTAK'!$B$10:$B$115,$A26,'DAILY CHAMP OTAK-OTAK'!O$10:O$115)</f>
        <v>0</v>
      </c>
      <c r="K26" s="8">
        <f>SUMIF('DAILY CHAMP OTAK-OTAK'!$B$10:$B$115,$A26,'DAILY CHAMP OTAK-OTAK'!P$10:P$115)</f>
        <v>0</v>
      </c>
      <c r="L26" s="8">
        <f>SUMIF('DAILY CHAMP OTAK-OTAK'!$B$10:$B$115,$A26,'DAILY CHAMP OTAK-OTAK'!Q$10:Q$115)</f>
        <v>0</v>
      </c>
      <c r="M26" s="8">
        <f>SUMIF('DAILY CHAMP OTAK-OTAK'!$B$10:$B$115,$A26,'DAILY CHAMP OTAK-OTAK'!R$10:R$115)</f>
        <v>0</v>
      </c>
      <c r="N26" s="8">
        <f>SUMIF('DAILY CHAMP OTAK-OTAK'!$B$10:$B$115,$A26,'DAILY CHAMP OTAK-OTAK'!S$10:S$115)</f>
        <v>0</v>
      </c>
      <c r="O26" s="8">
        <f>SUMIF('DAILY CHAMP OTAK-OTAK'!$B$10:$B$115,$A26,'DAILY CHAMP OTAK-OTAK'!T$10:T$115)</f>
        <v>0</v>
      </c>
      <c r="P26" s="8">
        <f>SUMIF('DAILY CHAMP OTAK-OTAK'!$B$10:$B$115,$A26,'DAILY CHAMP OTAK-OTAK'!U$10:U$115)</f>
        <v>0</v>
      </c>
      <c r="Q26" s="8">
        <f>SUMIF('DAILY CHAMP OTAK-OTAK'!$B$10:$B$115,$A26,'DAILY CHAMP OTAK-OTAK'!V$10:V$115)</f>
        <v>0</v>
      </c>
      <c r="R26" s="8">
        <f>SUMIF('DAILY CHAMP OTAK-OTAK'!$B$10:$B$115,$A26,'DAILY CHAMP OTAK-OTAK'!W$10:W$115)</f>
        <v>0</v>
      </c>
      <c r="S26" s="8">
        <f>SUMIF('DAILY CHAMP OTAK-OTAK'!$B$10:$B$115,$A26,'DAILY CHAMP OTAK-OTAK'!X$10:X$115)</f>
        <v>0</v>
      </c>
      <c r="T26" s="8">
        <f>SUMIF('DAILY CHAMP OTAK-OTAK'!$B$10:$B$115,$A26,'DAILY CHAMP OTAK-OTAK'!Y$10:Y$115)</f>
        <v>0</v>
      </c>
      <c r="U26" s="8">
        <f>SUMIF('DAILY CHAMP OTAK-OTAK'!$B$10:$B$115,$A26,'DAILY CHAMP OTAK-OTAK'!Z$10:Z$115)</f>
        <v>0</v>
      </c>
      <c r="V26" s="8">
        <f>SUMIF('DAILY CHAMP OTAK-OTAK'!$B$10:$B$115,$A26,'DAILY CHAMP OTAK-OTAK'!AA$10:AA$115)</f>
        <v>0</v>
      </c>
      <c r="W26" s="59">
        <f t="shared" si="0"/>
        <v>0</v>
      </c>
      <c r="X26" s="60">
        <f t="shared" ca="1" si="1"/>
        <v>0</v>
      </c>
      <c r="Y26" s="47">
        <f t="shared" ca="1" si="2"/>
        <v>0</v>
      </c>
      <c r="Z26" s="88" t="e">
        <f t="shared" ca="1" si="5"/>
        <v>#DIV/0!</v>
      </c>
      <c r="AA26" s="89" t="e">
        <f t="shared" ca="1" si="6"/>
        <v>#DIV/0!</v>
      </c>
      <c r="AB26" s="112">
        <f>+'Actual VS SAP'!U28</f>
        <v>0</v>
      </c>
      <c r="AC26" s="48">
        <f t="shared" si="3"/>
        <v>0</v>
      </c>
      <c r="AD26" s="89" t="e">
        <f t="shared" si="4"/>
        <v>#DIV/0!</v>
      </c>
    </row>
    <row r="27" spans="1:30">
      <c r="A27" s="7">
        <f>+'ALL SORTASI'!A29</f>
        <v>46227</v>
      </c>
      <c r="B27" s="8">
        <f ca="1">SUMIF('DAILY CHAMP OTAK-OTAK'!$B$10:$B$115,$A27,'DAILY CHAMP OTAK-OTAK'!$C$10:$C$114)</f>
        <v>0</v>
      </c>
      <c r="C27" s="8">
        <f>SUMIF('DAILY CHAMP OTAK-OTAK'!$B$10:$B$115,$A27,'DAILY CHAMP OTAK-OTAK'!H$10:H$115)</f>
        <v>0</v>
      </c>
      <c r="D27" s="8">
        <f>SUMIF('DAILY CHAMP OTAK-OTAK'!$B$10:$B$115,$A27,'DAILY CHAMP OTAK-OTAK'!I$10:I$115)</f>
        <v>0</v>
      </c>
      <c r="E27" s="8">
        <f>SUMIF('DAILY CHAMP OTAK-OTAK'!$B$10:$B$115,$A27,'DAILY CHAMP OTAK-OTAK'!J$10:J$115)</f>
        <v>0</v>
      </c>
      <c r="F27" s="8">
        <f>SUMIF('DAILY CHAMP OTAK-OTAK'!$B$10:$B$115,$A27,'DAILY CHAMP OTAK-OTAK'!K$10:K$115)</f>
        <v>0</v>
      </c>
      <c r="G27" s="8">
        <f>SUMIF('DAILY CHAMP OTAK-OTAK'!$B$10:$B$115,$A27,'DAILY CHAMP OTAK-OTAK'!L$10:L$115)</f>
        <v>0</v>
      </c>
      <c r="H27" s="8">
        <f>SUMIF('DAILY CHAMP OTAK-OTAK'!$B$10:$B$115,$A27,'DAILY CHAMP OTAK-OTAK'!M$10:M$115)</f>
        <v>0</v>
      </c>
      <c r="I27" s="8">
        <f>SUMIF('DAILY CHAMP OTAK-OTAK'!$B$10:$B$115,$A27,'DAILY CHAMP OTAK-OTAK'!N$10:N$115)</f>
        <v>0</v>
      </c>
      <c r="J27" s="8">
        <f>SUMIF('DAILY CHAMP OTAK-OTAK'!$B$10:$B$115,$A27,'DAILY CHAMP OTAK-OTAK'!O$10:O$115)</f>
        <v>0</v>
      </c>
      <c r="K27" s="8">
        <f>SUMIF('DAILY CHAMP OTAK-OTAK'!$B$10:$B$115,$A27,'DAILY CHAMP OTAK-OTAK'!P$10:P$115)</f>
        <v>0</v>
      </c>
      <c r="L27" s="8">
        <f>SUMIF('DAILY CHAMP OTAK-OTAK'!$B$10:$B$115,$A27,'DAILY CHAMP OTAK-OTAK'!Q$10:Q$115)</f>
        <v>0</v>
      </c>
      <c r="M27" s="8">
        <f>SUMIF('DAILY CHAMP OTAK-OTAK'!$B$10:$B$115,$A27,'DAILY CHAMP OTAK-OTAK'!R$10:R$115)</f>
        <v>0</v>
      </c>
      <c r="N27" s="8">
        <f>SUMIF('DAILY CHAMP OTAK-OTAK'!$B$10:$B$115,$A27,'DAILY CHAMP OTAK-OTAK'!S$10:S$115)</f>
        <v>0</v>
      </c>
      <c r="O27" s="8">
        <f>SUMIF('DAILY CHAMP OTAK-OTAK'!$B$10:$B$115,$A27,'DAILY CHAMP OTAK-OTAK'!T$10:T$115)</f>
        <v>0</v>
      </c>
      <c r="P27" s="8">
        <f>SUMIF('DAILY CHAMP OTAK-OTAK'!$B$10:$B$115,$A27,'DAILY CHAMP OTAK-OTAK'!U$10:U$115)</f>
        <v>0</v>
      </c>
      <c r="Q27" s="8">
        <f>SUMIF('DAILY CHAMP OTAK-OTAK'!$B$10:$B$115,$A27,'DAILY CHAMP OTAK-OTAK'!V$10:V$115)</f>
        <v>0</v>
      </c>
      <c r="R27" s="8">
        <f>SUMIF('DAILY CHAMP OTAK-OTAK'!$B$10:$B$115,$A27,'DAILY CHAMP OTAK-OTAK'!W$10:W$115)</f>
        <v>0</v>
      </c>
      <c r="S27" s="8">
        <f>SUMIF('DAILY CHAMP OTAK-OTAK'!$B$10:$B$115,$A27,'DAILY CHAMP OTAK-OTAK'!X$10:X$115)</f>
        <v>0</v>
      </c>
      <c r="T27" s="8">
        <f>SUMIF('DAILY CHAMP OTAK-OTAK'!$B$10:$B$115,$A27,'DAILY CHAMP OTAK-OTAK'!Y$10:Y$115)</f>
        <v>0</v>
      </c>
      <c r="U27" s="8">
        <f>SUMIF('DAILY CHAMP OTAK-OTAK'!$B$10:$B$115,$A27,'DAILY CHAMP OTAK-OTAK'!Z$10:Z$115)</f>
        <v>0</v>
      </c>
      <c r="V27" s="8">
        <f>SUMIF('DAILY CHAMP OTAK-OTAK'!$B$10:$B$115,$A27,'DAILY CHAMP OTAK-OTAK'!AA$10:AA$115)</f>
        <v>0</v>
      </c>
      <c r="W27" s="59">
        <f t="shared" si="0"/>
        <v>0</v>
      </c>
      <c r="X27" s="60">
        <f t="shared" ca="1" si="1"/>
        <v>0</v>
      </c>
      <c r="Y27" s="47">
        <f t="shared" ca="1" si="2"/>
        <v>0</v>
      </c>
      <c r="Z27" s="88" t="e">
        <f t="shared" ca="1" si="5"/>
        <v>#DIV/0!</v>
      </c>
      <c r="AA27" s="89" t="e">
        <f t="shared" ca="1" si="6"/>
        <v>#DIV/0!</v>
      </c>
      <c r="AB27" s="112">
        <f>+'Actual VS SAP'!U29</f>
        <v>0</v>
      </c>
      <c r="AC27" s="48">
        <f t="shared" si="3"/>
        <v>0</v>
      </c>
      <c r="AD27" s="89" t="e">
        <f t="shared" si="4"/>
        <v>#DIV/0!</v>
      </c>
    </row>
    <row r="28" spans="1:30">
      <c r="A28" s="7">
        <f>+'ALL SORTASI'!A30</f>
        <v>46228</v>
      </c>
      <c r="B28" s="8">
        <f ca="1">SUMIF('DAILY CHAMP OTAK-OTAK'!$B$10:$B$115,$A28,'DAILY CHAMP OTAK-OTAK'!$C$10:$C$114)</f>
        <v>0</v>
      </c>
      <c r="C28" s="8">
        <f>SUMIF('DAILY CHAMP OTAK-OTAK'!$B$10:$B$115,$A28,'DAILY CHAMP OTAK-OTAK'!H$10:H$115)</f>
        <v>0</v>
      </c>
      <c r="D28" s="8">
        <f>SUMIF('DAILY CHAMP OTAK-OTAK'!$B$10:$B$115,$A28,'DAILY CHAMP OTAK-OTAK'!I$10:I$115)</f>
        <v>0</v>
      </c>
      <c r="E28" s="8">
        <f>SUMIF('DAILY CHAMP OTAK-OTAK'!$B$10:$B$115,$A28,'DAILY CHAMP OTAK-OTAK'!J$10:J$115)</f>
        <v>0</v>
      </c>
      <c r="F28" s="8">
        <f>SUMIF('DAILY CHAMP OTAK-OTAK'!$B$10:$B$115,$A28,'DAILY CHAMP OTAK-OTAK'!K$10:K$115)</f>
        <v>0</v>
      </c>
      <c r="G28" s="8">
        <f>SUMIF('DAILY CHAMP OTAK-OTAK'!$B$10:$B$115,$A28,'DAILY CHAMP OTAK-OTAK'!L$10:L$115)</f>
        <v>0</v>
      </c>
      <c r="H28" s="8">
        <f>SUMIF('DAILY CHAMP OTAK-OTAK'!$B$10:$B$115,$A28,'DAILY CHAMP OTAK-OTAK'!M$10:M$115)</f>
        <v>0</v>
      </c>
      <c r="I28" s="8">
        <f>SUMIF('DAILY CHAMP OTAK-OTAK'!$B$10:$B$115,$A28,'DAILY CHAMP OTAK-OTAK'!N$10:N$115)</f>
        <v>0</v>
      </c>
      <c r="J28" s="8">
        <f>SUMIF('DAILY CHAMP OTAK-OTAK'!$B$10:$B$115,$A28,'DAILY CHAMP OTAK-OTAK'!O$10:O$115)</f>
        <v>0</v>
      </c>
      <c r="K28" s="8">
        <f>SUMIF('DAILY CHAMP OTAK-OTAK'!$B$10:$B$115,$A28,'DAILY CHAMP OTAK-OTAK'!P$10:P$115)</f>
        <v>0</v>
      </c>
      <c r="L28" s="8">
        <f>SUMIF('DAILY CHAMP OTAK-OTAK'!$B$10:$B$115,$A28,'DAILY CHAMP OTAK-OTAK'!Q$10:Q$115)</f>
        <v>0</v>
      </c>
      <c r="M28" s="8">
        <f>SUMIF('DAILY CHAMP OTAK-OTAK'!$B$10:$B$115,$A28,'DAILY CHAMP OTAK-OTAK'!R$10:R$115)</f>
        <v>0</v>
      </c>
      <c r="N28" s="8">
        <f>SUMIF('DAILY CHAMP OTAK-OTAK'!$B$10:$B$115,$A28,'DAILY CHAMP OTAK-OTAK'!S$10:S$115)</f>
        <v>0</v>
      </c>
      <c r="O28" s="8">
        <f>SUMIF('DAILY CHAMP OTAK-OTAK'!$B$10:$B$115,$A28,'DAILY CHAMP OTAK-OTAK'!T$10:T$115)</f>
        <v>0</v>
      </c>
      <c r="P28" s="8">
        <f>SUMIF('DAILY CHAMP OTAK-OTAK'!$B$10:$B$115,$A28,'DAILY CHAMP OTAK-OTAK'!U$10:U$115)</f>
        <v>0</v>
      </c>
      <c r="Q28" s="8">
        <f>SUMIF('DAILY CHAMP OTAK-OTAK'!$B$10:$B$115,$A28,'DAILY CHAMP OTAK-OTAK'!V$10:V$115)</f>
        <v>0</v>
      </c>
      <c r="R28" s="8">
        <f>SUMIF('DAILY CHAMP OTAK-OTAK'!$B$10:$B$115,$A28,'DAILY CHAMP OTAK-OTAK'!W$10:W$115)</f>
        <v>0</v>
      </c>
      <c r="S28" s="8">
        <f>SUMIF('DAILY CHAMP OTAK-OTAK'!$B$10:$B$115,$A28,'DAILY CHAMP OTAK-OTAK'!X$10:X$115)</f>
        <v>0</v>
      </c>
      <c r="T28" s="8">
        <f>SUMIF('DAILY CHAMP OTAK-OTAK'!$B$10:$B$115,$A28,'DAILY CHAMP OTAK-OTAK'!Y$10:Y$115)</f>
        <v>0</v>
      </c>
      <c r="U28" s="8">
        <f>SUMIF('DAILY CHAMP OTAK-OTAK'!$B$10:$B$115,$A28,'DAILY CHAMP OTAK-OTAK'!Z$10:Z$115)</f>
        <v>0</v>
      </c>
      <c r="V28" s="8">
        <f>SUMIF('DAILY CHAMP OTAK-OTAK'!$B$10:$B$115,$A28,'DAILY CHAMP OTAK-OTAK'!AA$10:AA$115)</f>
        <v>0</v>
      </c>
      <c r="W28" s="59">
        <f t="shared" si="0"/>
        <v>0</v>
      </c>
      <c r="X28" s="60">
        <f t="shared" ca="1" si="1"/>
        <v>0</v>
      </c>
      <c r="Y28" s="47">
        <f t="shared" ca="1" si="2"/>
        <v>0</v>
      </c>
      <c r="Z28" s="88" t="e">
        <f t="shared" ca="1" si="5"/>
        <v>#DIV/0!</v>
      </c>
      <c r="AA28" s="89" t="e">
        <f t="shared" ca="1" si="6"/>
        <v>#DIV/0!</v>
      </c>
      <c r="AB28" s="112">
        <f>+'Actual VS SAP'!U30</f>
        <v>0</v>
      </c>
      <c r="AC28" s="48">
        <f t="shared" si="3"/>
        <v>0</v>
      </c>
      <c r="AD28" s="89" t="e">
        <f t="shared" si="4"/>
        <v>#DIV/0!</v>
      </c>
    </row>
    <row r="29" spans="1:30">
      <c r="A29" s="7">
        <f>+'ALL SORTASI'!A31</f>
        <v>46229</v>
      </c>
      <c r="B29" s="8">
        <f ca="1">SUMIF('DAILY CHAMP OTAK-OTAK'!$B$10:$B$115,$A29,'DAILY CHAMP OTAK-OTAK'!$C$10:$C$114)</f>
        <v>0</v>
      </c>
      <c r="C29" s="8">
        <f>SUMIF('DAILY CHAMP OTAK-OTAK'!$B$10:$B$115,$A29,'DAILY CHAMP OTAK-OTAK'!H$10:H$115)</f>
        <v>0</v>
      </c>
      <c r="D29" s="8">
        <f>SUMIF('DAILY CHAMP OTAK-OTAK'!$B$10:$B$115,$A29,'DAILY CHAMP OTAK-OTAK'!I$10:I$115)</f>
        <v>0</v>
      </c>
      <c r="E29" s="8">
        <f>SUMIF('DAILY CHAMP OTAK-OTAK'!$B$10:$B$115,$A29,'DAILY CHAMP OTAK-OTAK'!J$10:J$115)</f>
        <v>0</v>
      </c>
      <c r="F29" s="8">
        <f>SUMIF('DAILY CHAMP OTAK-OTAK'!$B$10:$B$115,$A29,'DAILY CHAMP OTAK-OTAK'!K$10:K$115)</f>
        <v>0</v>
      </c>
      <c r="G29" s="8">
        <f>SUMIF('DAILY CHAMP OTAK-OTAK'!$B$10:$B$115,$A29,'DAILY CHAMP OTAK-OTAK'!L$10:L$115)</f>
        <v>0</v>
      </c>
      <c r="H29" s="8">
        <f>SUMIF('DAILY CHAMP OTAK-OTAK'!$B$10:$B$115,$A29,'DAILY CHAMP OTAK-OTAK'!M$10:M$115)</f>
        <v>0</v>
      </c>
      <c r="I29" s="8">
        <f>SUMIF('DAILY CHAMP OTAK-OTAK'!$B$10:$B$115,$A29,'DAILY CHAMP OTAK-OTAK'!N$10:N$115)</f>
        <v>0</v>
      </c>
      <c r="J29" s="8">
        <f>SUMIF('DAILY CHAMP OTAK-OTAK'!$B$10:$B$115,$A29,'DAILY CHAMP OTAK-OTAK'!O$10:O$115)</f>
        <v>0</v>
      </c>
      <c r="K29" s="8">
        <f>SUMIF('DAILY CHAMP OTAK-OTAK'!$B$10:$B$115,$A29,'DAILY CHAMP OTAK-OTAK'!P$10:P$115)</f>
        <v>0</v>
      </c>
      <c r="L29" s="8">
        <f>SUMIF('DAILY CHAMP OTAK-OTAK'!$B$10:$B$115,$A29,'DAILY CHAMP OTAK-OTAK'!Q$10:Q$115)</f>
        <v>0</v>
      </c>
      <c r="M29" s="8">
        <f>SUMIF('DAILY CHAMP OTAK-OTAK'!$B$10:$B$115,$A29,'DAILY CHAMP OTAK-OTAK'!R$10:R$115)</f>
        <v>0</v>
      </c>
      <c r="N29" s="8">
        <f>SUMIF('DAILY CHAMP OTAK-OTAK'!$B$10:$B$115,$A29,'DAILY CHAMP OTAK-OTAK'!S$10:S$115)</f>
        <v>0</v>
      </c>
      <c r="O29" s="8">
        <f>SUMIF('DAILY CHAMP OTAK-OTAK'!$B$10:$B$115,$A29,'DAILY CHAMP OTAK-OTAK'!T$10:T$115)</f>
        <v>0</v>
      </c>
      <c r="P29" s="8">
        <f>SUMIF('DAILY CHAMP OTAK-OTAK'!$B$10:$B$115,$A29,'DAILY CHAMP OTAK-OTAK'!U$10:U$115)</f>
        <v>0</v>
      </c>
      <c r="Q29" s="8">
        <f>SUMIF('DAILY CHAMP OTAK-OTAK'!$B$10:$B$115,$A29,'DAILY CHAMP OTAK-OTAK'!V$10:V$115)</f>
        <v>0</v>
      </c>
      <c r="R29" s="8">
        <f>SUMIF('DAILY CHAMP OTAK-OTAK'!$B$10:$B$115,$A29,'DAILY CHAMP OTAK-OTAK'!W$10:W$115)</f>
        <v>0</v>
      </c>
      <c r="S29" s="8">
        <f>SUMIF('DAILY CHAMP OTAK-OTAK'!$B$10:$B$115,$A29,'DAILY CHAMP OTAK-OTAK'!X$10:X$115)</f>
        <v>0</v>
      </c>
      <c r="T29" s="8">
        <f>SUMIF('DAILY CHAMP OTAK-OTAK'!$B$10:$B$115,$A29,'DAILY CHAMP OTAK-OTAK'!Y$10:Y$115)</f>
        <v>0</v>
      </c>
      <c r="U29" s="8">
        <f>SUMIF('DAILY CHAMP OTAK-OTAK'!$B$10:$B$115,$A29,'DAILY CHAMP OTAK-OTAK'!Z$10:Z$115)</f>
        <v>0</v>
      </c>
      <c r="V29" s="8">
        <f>SUMIF('DAILY CHAMP OTAK-OTAK'!$B$10:$B$115,$A29,'DAILY CHAMP OTAK-OTAK'!AA$10:AA$115)</f>
        <v>0</v>
      </c>
      <c r="W29" s="59">
        <f t="shared" si="0"/>
        <v>0</v>
      </c>
      <c r="X29" s="60">
        <f t="shared" ca="1" si="1"/>
        <v>0</v>
      </c>
      <c r="Y29" s="47">
        <f t="shared" ca="1" si="2"/>
        <v>0</v>
      </c>
      <c r="Z29" s="88" t="e">
        <f t="shared" ca="1" si="5"/>
        <v>#DIV/0!</v>
      </c>
      <c r="AA29" s="89" t="e">
        <f t="shared" ca="1" si="6"/>
        <v>#DIV/0!</v>
      </c>
      <c r="AB29" s="112">
        <f>+'Actual VS SAP'!U31</f>
        <v>0</v>
      </c>
      <c r="AC29" s="48">
        <f t="shared" si="3"/>
        <v>0</v>
      </c>
      <c r="AD29" s="89" t="e">
        <f t="shared" si="4"/>
        <v>#DIV/0!</v>
      </c>
    </row>
    <row r="30" spans="1:30">
      <c r="A30" s="7">
        <f>+'ALL SORTASI'!A32</f>
        <v>46230</v>
      </c>
      <c r="B30" s="8">
        <f ca="1">SUMIF('DAILY CHAMP OTAK-OTAK'!$B$10:$B$115,$A30,'DAILY CHAMP OTAK-OTAK'!$C$10:$C$114)</f>
        <v>0</v>
      </c>
      <c r="C30" s="8">
        <f>SUMIF('DAILY CHAMP OTAK-OTAK'!$B$10:$B$115,$A30,'DAILY CHAMP OTAK-OTAK'!H$10:H$115)</f>
        <v>0</v>
      </c>
      <c r="D30" s="8">
        <f>SUMIF('DAILY CHAMP OTAK-OTAK'!$B$10:$B$115,$A30,'DAILY CHAMP OTAK-OTAK'!I$10:I$115)</f>
        <v>0</v>
      </c>
      <c r="E30" s="8">
        <f>SUMIF('DAILY CHAMP OTAK-OTAK'!$B$10:$B$115,$A30,'DAILY CHAMP OTAK-OTAK'!J$10:J$115)</f>
        <v>0</v>
      </c>
      <c r="F30" s="8">
        <f>SUMIF('DAILY CHAMP OTAK-OTAK'!$B$10:$B$115,$A30,'DAILY CHAMP OTAK-OTAK'!K$10:K$115)</f>
        <v>0</v>
      </c>
      <c r="G30" s="8">
        <f>SUMIF('DAILY CHAMP OTAK-OTAK'!$B$10:$B$115,$A30,'DAILY CHAMP OTAK-OTAK'!L$10:L$115)</f>
        <v>0</v>
      </c>
      <c r="H30" s="8">
        <f>SUMIF('DAILY CHAMP OTAK-OTAK'!$B$10:$B$115,$A30,'DAILY CHAMP OTAK-OTAK'!M$10:M$115)</f>
        <v>0</v>
      </c>
      <c r="I30" s="8">
        <f>SUMIF('DAILY CHAMP OTAK-OTAK'!$B$10:$B$115,$A30,'DAILY CHAMP OTAK-OTAK'!N$10:N$115)</f>
        <v>0</v>
      </c>
      <c r="J30" s="8">
        <f>SUMIF('DAILY CHAMP OTAK-OTAK'!$B$10:$B$115,$A30,'DAILY CHAMP OTAK-OTAK'!O$10:O$115)</f>
        <v>0</v>
      </c>
      <c r="K30" s="8">
        <f>SUMIF('DAILY CHAMP OTAK-OTAK'!$B$10:$B$115,$A30,'DAILY CHAMP OTAK-OTAK'!P$10:P$115)</f>
        <v>0</v>
      </c>
      <c r="L30" s="8">
        <f>SUMIF('DAILY CHAMP OTAK-OTAK'!$B$10:$B$115,$A30,'DAILY CHAMP OTAK-OTAK'!Q$10:Q$115)</f>
        <v>0</v>
      </c>
      <c r="M30" s="8">
        <f>SUMIF('DAILY CHAMP OTAK-OTAK'!$B$10:$B$115,$A30,'DAILY CHAMP OTAK-OTAK'!R$10:R$115)</f>
        <v>0</v>
      </c>
      <c r="N30" s="8">
        <f>SUMIF('DAILY CHAMP OTAK-OTAK'!$B$10:$B$115,$A30,'DAILY CHAMP OTAK-OTAK'!S$10:S$115)</f>
        <v>0</v>
      </c>
      <c r="O30" s="8">
        <f>SUMIF('DAILY CHAMP OTAK-OTAK'!$B$10:$B$115,$A30,'DAILY CHAMP OTAK-OTAK'!T$10:T$115)</f>
        <v>0</v>
      </c>
      <c r="P30" s="8">
        <f>SUMIF('DAILY CHAMP OTAK-OTAK'!$B$10:$B$115,$A30,'DAILY CHAMP OTAK-OTAK'!U$10:U$115)</f>
        <v>0</v>
      </c>
      <c r="Q30" s="8">
        <f>SUMIF('DAILY CHAMP OTAK-OTAK'!$B$10:$B$115,$A30,'DAILY CHAMP OTAK-OTAK'!V$10:V$115)</f>
        <v>0</v>
      </c>
      <c r="R30" s="8">
        <f>SUMIF('DAILY CHAMP OTAK-OTAK'!$B$10:$B$115,$A30,'DAILY CHAMP OTAK-OTAK'!W$10:W$115)</f>
        <v>0</v>
      </c>
      <c r="S30" s="8">
        <f>SUMIF('DAILY CHAMP OTAK-OTAK'!$B$10:$B$115,$A30,'DAILY CHAMP OTAK-OTAK'!X$10:X$115)</f>
        <v>0</v>
      </c>
      <c r="T30" s="8">
        <f>SUMIF('DAILY CHAMP OTAK-OTAK'!$B$10:$B$115,$A30,'DAILY CHAMP OTAK-OTAK'!Y$10:Y$115)</f>
        <v>0</v>
      </c>
      <c r="U30" s="8">
        <f>SUMIF('DAILY CHAMP OTAK-OTAK'!$B$10:$B$115,$A30,'DAILY CHAMP OTAK-OTAK'!Z$10:Z$115)</f>
        <v>0</v>
      </c>
      <c r="V30" s="8">
        <f>SUMIF('DAILY CHAMP OTAK-OTAK'!$B$10:$B$115,$A30,'DAILY CHAMP OTAK-OTAK'!AA$10:AA$115)</f>
        <v>0</v>
      </c>
      <c r="W30" s="59">
        <f t="shared" si="0"/>
        <v>0</v>
      </c>
      <c r="X30" s="60">
        <f t="shared" ca="1" si="1"/>
        <v>0</v>
      </c>
      <c r="Y30" s="47">
        <f t="shared" ca="1" si="2"/>
        <v>0</v>
      </c>
      <c r="Z30" s="88" t="e">
        <f t="shared" ca="1" si="5"/>
        <v>#DIV/0!</v>
      </c>
      <c r="AA30" s="89" t="e">
        <f t="shared" ca="1" si="6"/>
        <v>#DIV/0!</v>
      </c>
      <c r="AB30" s="112">
        <f>+'Actual VS SAP'!U32</f>
        <v>0</v>
      </c>
      <c r="AC30" s="48">
        <f t="shared" si="3"/>
        <v>0</v>
      </c>
      <c r="AD30" s="89" t="e">
        <f t="shared" si="4"/>
        <v>#DIV/0!</v>
      </c>
    </row>
    <row r="31" spans="1:30">
      <c r="A31" s="7">
        <f>+'ALL SORTASI'!A33</f>
        <v>46231</v>
      </c>
      <c r="B31" s="8">
        <f ca="1">SUMIF('DAILY CHAMP OTAK-OTAK'!$B$10:$B$115,$A31,'DAILY CHAMP OTAK-OTAK'!$C$10:$C$114)</f>
        <v>0</v>
      </c>
      <c r="C31" s="8">
        <f>SUMIF('DAILY CHAMP OTAK-OTAK'!$B$10:$B$115,$A31,'DAILY CHAMP OTAK-OTAK'!H$10:H$115)</f>
        <v>0</v>
      </c>
      <c r="D31" s="8">
        <f>SUMIF('DAILY CHAMP OTAK-OTAK'!$B$10:$B$115,$A31,'DAILY CHAMP OTAK-OTAK'!I$10:I$115)</f>
        <v>0</v>
      </c>
      <c r="E31" s="8">
        <f>SUMIF('DAILY CHAMP OTAK-OTAK'!$B$10:$B$115,$A31,'DAILY CHAMP OTAK-OTAK'!J$10:J$115)</f>
        <v>0</v>
      </c>
      <c r="F31" s="8">
        <f>SUMIF('DAILY CHAMP OTAK-OTAK'!$B$10:$B$115,$A31,'DAILY CHAMP OTAK-OTAK'!K$10:K$115)</f>
        <v>0</v>
      </c>
      <c r="G31" s="8">
        <f>SUMIF('DAILY CHAMP OTAK-OTAK'!$B$10:$B$115,$A31,'DAILY CHAMP OTAK-OTAK'!L$10:L$115)</f>
        <v>0</v>
      </c>
      <c r="H31" s="8">
        <f>SUMIF('DAILY CHAMP OTAK-OTAK'!$B$10:$B$115,$A31,'DAILY CHAMP OTAK-OTAK'!M$10:M$115)</f>
        <v>0</v>
      </c>
      <c r="I31" s="8">
        <f>SUMIF('DAILY CHAMP OTAK-OTAK'!$B$10:$B$115,$A31,'DAILY CHAMP OTAK-OTAK'!N$10:N$115)</f>
        <v>0</v>
      </c>
      <c r="J31" s="8">
        <f>SUMIF('DAILY CHAMP OTAK-OTAK'!$B$10:$B$115,$A31,'DAILY CHAMP OTAK-OTAK'!O$10:O$115)</f>
        <v>0</v>
      </c>
      <c r="K31" s="8">
        <f>SUMIF('DAILY CHAMP OTAK-OTAK'!$B$10:$B$115,$A31,'DAILY CHAMP OTAK-OTAK'!P$10:P$115)</f>
        <v>0</v>
      </c>
      <c r="L31" s="8">
        <f>SUMIF('DAILY CHAMP OTAK-OTAK'!$B$10:$B$115,$A31,'DAILY CHAMP OTAK-OTAK'!Q$10:Q$115)</f>
        <v>0</v>
      </c>
      <c r="M31" s="8">
        <f>SUMIF('DAILY CHAMP OTAK-OTAK'!$B$10:$B$115,$A31,'DAILY CHAMP OTAK-OTAK'!R$10:R$115)</f>
        <v>0</v>
      </c>
      <c r="N31" s="8">
        <f>SUMIF('DAILY CHAMP OTAK-OTAK'!$B$10:$B$115,$A31,'DAILY CHAMP OTAK-OTAK'!S$10:S$115)</f>
        <v>0</v>
      </c>
      <c r="O31" s="8">
        <f>SUMIF('DAILY CHAMP OTAK-OTAK'!$B$10:$B$115,$A31,'DAILY CHAMP OTAK-OTAK'!T$10:T$115)</f>
        <v>0</v>
      </c>
      <c r="P31" s="8">
        <f>SUMIF('DAILY CHAMP OTAK-OTAK'!$B$10:$B$115,$A31,'DAILY CHAMP OTAK-OTAK'!U$10:U$115)</f>
        <v>0</v>
      </c>
      <c r="Q31" s="8">
        <f>SUMIF('DAILY CHAMP OTAK-OTAK'!$B$10:$B$115,$A31,'DAILY CHAMP OTAK-OTAK'!V$10:V$115)</f>
        <v>0</v>
      </c>
      <c r="R31" s="8">
        <f>SUMIF('DAILY CHAMP OTAK-OTAK'!$B$10:$B$115,$A31,'DAILY CHAMP OTAK-OTAK'!W$10:W$115)</f>
        <v>0</v>
      </c>
      <c r="S31" s="8">
        <f>SUMIF('DAILY CHAMP OTAK-OTAK'!$B$10:$B$115,$A31,'DAILY CHAMP OTAK-OTAK'!X$10:X$115)</f>
        <v>0</v>
      </c>
      <c r="T31" s="8">
        <f>SUMIF('DAILY CHAMP OTAK-OTAK'!$B$10:$B$115,$A31,'DAILY CHAMP OTAK-OTAK'!Y$10:Y$115)</f>
        <v>0</v>
      </c>
      <c r="U31" s="8">
        <f>SUMIF('DAILY CHAMP OTAK-OTAK'!$B$10:$B$115,$A31,'DAILY CHAMP OTAK-OTAK'!Z$10:Z$115)</f>
        <v>0</v>
      </c>
      <c r="V31" s="8">
        <f>SUMIF('DAILY CHAMP OTAK-OTAK'!$B$10:$B$115,$A31,'DAILY CHAMP OTAK-OTAK'!AA$10:AA$115)</f>
        <v>0</v>
      </c>
      <c r="W31" s="59">
        <f t="shared" si="0"/>
        <v>0</v>
      </c>
      <c r="X31" s="60">
        <f t="shared" ca="1" si="1"/>
        <v>0</v>
      </c>
      <c r="Y31" s="47">
        <f ca="1">+X31/3.276</f>
        <v>0</v>
      </c>
      <c r="Z31" s="88" t="e">
        <f t="shared" ca="1" si="5"/>
        <v>#DIV/0!</v>
      </c>
      <c r="AA31" s="89" t="e">
        <f t="shared" ca="1" si="6"/>
        <v>#DIV/0!</v>
      </c>
      <c r="AB31" s="112">
        <f>+'Actual VS SAP'!U33</f>
        <v>0</v>
      </c>
      <c r="AC31" s="48">
        <f t="shared" si="3"/>
        <v>0</v>
      </c>
      <c r="AD31" s="89" t="e">
        <f t="shared" si="4"/>
        <v>#DIV/0!</v>
      </c>
    </row>
    <row r="32" spans="1:30">
      <c r="A32" s="7">
        <f>+'ALL SORTASI'!A34</f>
        <v>46232</v>
      </c>
      <c r="B32" s="8">
        <f ca="1">SUMIF('DAILY CHAMP SAPI'!$B$10:$B$116,$A32,'DAILY CHAMP SAPI'!$D$10:$D$115)</f>
        <v>0</v>
      </c>
      <c r="C32" s="8">
        <f>SUMIF('DAILY CHAMP SAPI'!$B$10:$B$116,$A32,'DAILY CHAMP SAPI'!I$10:I$116)</f>
        <v>0</v>
      </c>
      <c r="D32" s="8">
        <f>SUMIF('DAILY CHAMP SAPI'!$B$10:$B$116,$A32,'DAILY CHAMP SAPI'!J$10:J$116)</f>
        <v>0</v>
      </c>
      <c r="E32" s="8">
        <f>SUMIF('DAILY CHAMP SAPI'!$B$10:$B$116,$A32,'DAILY CHAMP SAPI'!K$10:K$116)</f>
        <v>0</v>
      </c>
      <c r="F32" s="8">
        <f>SUMIF('DAILY CHAMP SAPI'!$B$10:$B$116,$A32,'DAILY CHAMP SAPI'!L$10:L$116)</f>
        <v>0</v>
      </c>
      <c r="G32" s="8">
        <f>SUMIF('DAILY CHAMP SAPI'!$B$10:$B$116,$A32,'DAILY CHAMP SAPI'!M$10:M$116)</f>
        <v>0</v>
      </c>
      <c r="H32" s="8">
        <f>SUMIF('DAILY CHAMP SAPI'!$B$10:$B$116,$A32,'DAILY CHAMP SAPI'!N$10:N$116)</f>
        <v>0</v>
      </c>
      <c r="I32" s="8">
        <f>SUMIF('DAILY CHAMP SAPI'!$B$10:$B$116,$A32,'DAILY CHAMP SAPI'!O$10:O$116)</f>
        <v>0</v>
      </c>
      <c r="J32" s="8">
        <f>SUMIF('DAILY CHAMP SAPI'!$B$10:$B$116,$A32,'DAILY CHAMP SAPI'!P$10:P$116)</f>
        <v>0</v>
      </c>
      <c r="K32" s="8">
        <f>SUMIF('DAILY CHAMP SAPI'!$B$10:$B$116,$A32,'DAILY CHAMP SAPI'!Q$10:Q$116)</f>
        <v>0</v>
      </c>
      <c r="L32" s="8">
        <f>SUMIF('DAILY CHAMP SAPI'!$B$10:$B$116,$A32,'DAILY CHAMP SAPI'!R$10:R$116)</f>
        <v>0</v>
      </c>
      <c r="M32" s="8">
        <f>SUMIF('DAILY CHAMP SAPI'!$B$10:$B$116,$A32,'DAILY CHAMP SAPI'!S$10:S$116)</f>
        <v>0</v>
      </c>
      <c r="N32" s="8">
        <f>SUMIF('DAILY CHAMP SAPI'!$B$10:$B$116,$A32,'DAILY CHAMP SAPI'!T$10:T$116)</f>
        <v>0</v>
      </c>
      <c r="O32" s="8">
        <f>SUMIF('DAILY CHAMP SAPI'!$B$10:$B$116,$A32,'DAILY CHAMP SAPI'!U$10:U$116)</f>
        <v>0</v>
      </c>
      <c r="P32" s="8">
        <f>SUMIF('DAILY CHAMP SAPI'!$B$10:$B$116,$A32,'DAILY CHAMP SAPI'!V$10:V$116)</f>
        <v>0</v>
      </c>
      <c r="Q32" s="8">
        <f>SUMIF('DAILY CHAMP SAPI'!$B$10:$B$116,$A32,'DAILY CHAMP SAPI'!W$10:W$116)</f>
        <v>0</v>
      </c>
      <c r="R32" s="8">
        <f>SUMIF('DAILY CHAMP SAPI'!$B$10:$B$116,$A32,'DAILY CHAMP SAPI'!X$10:X$116)</f>
        <v>0</v>
      </c>
      <c r="S32" s="8">
        <f>SUMIF('DAILY CHAMP SAPI'!$B$10:$B$116,$A32,'DAILY CHAMP SAPI'!Y$10:Y$116)</f>
        <v>0</v>
      </c>
      <c r="T32" s="8">
        <f>SUMIF('DAILY CHAMP SAPI'!$B$10:$B$116,$A32,'DAILY CHAMP SAPI'!Z$10:Z$116)</f>
        <v>0</v>
      </c>
      <c r="U32" s="8">
        <f>SUMIF('DAILY CHAMP SAPI'!$B$10:$B$116,$A32,'DAILY CHAMP SAPI'!AA$10:AA$116)</f>
        <v>0</v>
      </c>
      <c r="V32" s="8">
        <f>SUMIF('DAILY CHAMP SAPI'!$B$10:$B$116,$A32,'DAILY CHAMP SAPI'!AB$10:AB$116)</f>
        <v>0</v>
      </c>
      <c r="W32" s="59">
        <f t="shared" si="0"/>
        <v>0</v>
      </c>
      <c r="X32" s="60">
        <f t="shared" ca="1" si="1"/>
        <v>0</v>
      </c>
      <c r="Y32" s="47">
        <f t="shared" ca="1" si="2"/>
        <v>0</v>
      </c>
      <c r="Z32" s="88" t="e">
        <f t="shared" ca="1" si="5"/>
        <v>#DIV/0!</v>
      </c>
      <c r="AA32" s="89" t="e">
        <f t="shared" ca="1" si="6"/>
        <v>#DIV/0!</v>
      </c>
      <c r="AB32" s="112">
        <f>+'Actual VS SAP'!U34</f>
        <v>0</v>
      </c>
      <c r="AC32" s="48">
        <f t="shared" ref="AC32:AC34" si="7">+AB32*$AC$3</f>
        <v>0</v>
      </c>
      <c r="AD32" s="89" t="e">
        <f t="shared" ref="AD32:AD34" si="8">+C32/AC32</f>
        <v>#DIV/0!</v>
      </c>
    </row>
    <row r="33" spans="1:30">
      <c r="A33" s="7">
        <f>+'ALL SORTASI'!A35</f>
        <v>46233</v>
      </c>
      <c r="B33" s="8">
        <f ca="1">SUMIF('DAILY CHAMP SAPI'!$B$10:$B$116,$A33,'DAILY CHAMP SAPI'!$D$10:$D$115)</f>
        <v>0</v>
      </c>
      <c r="C33" s="8">
        <f>SUMIF('DAILY CHAMP SAPI'!$B$10:$B$116,$A33,'DAILY CHAMP SAPI'!I$10:I$116)</f>
        <v>0</v>
      </c>
      <c r="D33" s="8">
        <f>SUMIF('DAILY CHAMP SAPI'!$B$10:$B$116,$A33,'DAILY CHAMP SAPI'!J$10:J$116)</f>
        <v>0</v>
      </c>
      <c r="E33" s="8">
        <f>SUMIF('DAILY CHAMP SAPI'!$B$10:$B$116,$A33,'DAILY CHAMP SAPI'!K$10:K$116)</f>
        <v>0</v>
      </c>
      <c r="F33" s="8">
        <f>SUMIF('DAILY CHAMP SAPI'!$B$10:$B$116,$A33,'DAILY CHAMP SAPI'!L$10:L$116)</f>
        <v>0</v>
      </c>
      <c r="G33" s="8">
        <f>SUMIF('DAILY CHAMP SAPI'!$B$10:$B$116,$A33,'DAILY CHAMP SAPI'!M$10:M$116)</f>
        <v>0</v>
      </c>
      <c r="H33" s="8">
        <f>SUMIF('DAILY CHAMP SAPI'!$B$10:$B$116,$A33,'DAILY CHAMP SAPI'!N$10:N$116)</f>
        <v>0</v>
      </c>
      <c r="I33" s="8">
        <f>SUMIF('DAILY CHAMP SAPI'!$B$10:$B$116,$A33,'DAILY CHAMP SAPI'!O$10:O$116)</f>
        <v>0</v>
      </c>
      <c r="J33" s="8">
        <f>SUMIF('DAILY CHAMP SAPI'!$B$10:$B$116,$A33,'DAILY CHAMP SAPI'!P$10:P$116)</f>
        <v>0</v>
      </c>
      <c r="K33" s="8">
        <f>SUMIF('DAILY CHAMP SAPI'!$B$10:$B$116,$A33,'DAILY CHAMP SAPI'!Q$10:Q$116)</f>
        <v>0</v>
      </c>
      <c r="L33" s="8">
        <f>SUMIF('DAILY CHAMP SAPI'!$B$10:$B$116,$A33,'DAILY CHAMP SAPI'!R$10:R$116)</f>
        <v>0</v>
      </c>
      <c r="M33" s="8">
        <f>SUMIF('DAILY CHAMP SAPI'!$B$10:$B$116,$A33,'DAILY CHAMP SAPI'!S$10:S$116)</f>
        <v>0</v>
      </c>
      <c r="N33" s="8">
        <f>SUMIF('DAILY CHAMP SAPI'!$B$10:$B$116,$A33,'DAILY CHAMP SAPI'!T$10:T$116)</f>
        <v>0</v>
      </c>
      <c r="O33" s="8">
        <f>SUMIF('DAILY CHAMP SAPI'!$B$10:$B$116,$A33,'DAILY CHAMP SAPI'!U$10:U$116)</f>
        <v>0</v>
      </c>
      <c r="P33" s="8">
        <f>SUMIF('DAILY CHAMP SAPI'!$B$10:$B$116,$A33,'DAILY CHAMP SAPI'!V$10:V$116)</f>
        <v>0</v>
      </c>
      <c r="Q33" s="8">
        <f>SUMIF('DAILY CHAMP SAPI'!$B$10:$B$116,$A33,'DAILY CHAMP SAPI'!W$10:W$116)</f>
        <v>0</v>
      </c>
      <c r="R33" s="8">
        <f>SUMIF('DAILY CHAMP SAPI'!$B$10:$B$116,$A33,'DAILY CHAMP SAPI'!X$10:X$116)</f>
        <v>0</v>
      </c>
      <c r="S33" s="8">
        <f>SUMIF('DAILY CHAMP SAPI'!$B$10:$B$116,$A33,'DAILY CHAMP SAPI'!Y$10:Y$116)</f>
        <v>0</v>
      </c>
      <c r="T33" s="8">
        <f>SUMIF('DAILY CHAMP SAPI'!$B$10:$B$116,$A33,'DAILY CHAMP SAPI'!Z$10:Z$116)</f>
        <v>0</v>
      </c>
      <c r="U33" s="8">
        <f>SUMIF('DAILY CHAMP SAPI'!$B$10:$B$116,$A33,'DAILY CHAMP SAPI'!AA$10:AA$116)</f>
        <v>0</v>
      </c>
      <c r="V33" s="8">
        <f>SUMIF('DAILY CHAMP SAPI'!$B$10:$B$116,$A33,'DAILY CHAMP SAPI'!AB$10:AB$116)</f>
        <v>0</v>
      </c>
      <c r="W33" s="59">
        <f t="shared" si="0"/>
        <v>0</v>
      </c>
      <c r="X33" s="60">
        <f t="shared" ca="1" si="1"/>
        <v>0</v>
      </c>
      <c r="Y33" s="47">
        <f t="shared" ca="1" si="2"/>
        <v>0</v>
      </c>
      <c r="Z33" s="88" t="e">
        <f t="shared" ca="1" si="5"/>
        <v>#DIV/0!</v>
      </c>
      <c r="AA33" s="89" t="e">
        <f t="shared" ca="1" si="6"/>
        <v>#DIV/0!</v>
      </c>
      <c r="AB33" s="112">
        <f>+'Actual VS SAP'!U35</f>
        <v>0</v>
      </c>
      <c r="AC33" s="48">
        <f t="shared" si="7"/>
        <v>0</v>
      </c>
      <c r="AD33" s="89" t="e">
        <f t="shared" si="8"/>
        <v>#DIV/0!</v>
      </c>
    </row>
    <row r="34" spans="1:30">
      <c r="A34" s="7">
        <f>+'ALL SORTASI'!A36</f>
        <v>46234</v>
      </c>
      <c r="B34" s="8">
        <f ca="1">SUMIF('DAILY CHAMP SAPI'!$B$10:$B$116,$A34,'DAILY CHAMP SAPI'!$D$10:$D$115)</f>
        <v>0</v>
      </c>
      <c r="C34" s="8">
        <f>SUMIF('DAILY CHAMP SAPI'!$B$10:$B$116,$A34,'DAILY CHAMP SAPI'!I$10:I$116)</f>
        <v>0</v>
      </c>
      <c r="D34" s="8">
        <f>SUMIF('DAILY CHAMP SAPI'!$B$10:$B$116,$A34,'DAILY CHAMP SAPI'!J$10:J$116)</f>
        <v>0</v>
      </c>
      <c r="E34" s="8">
        <f>SUMIF('DAILY CHAMP SAPI'!$B$10:$B$116,$A34,'DAILY CHAMP SAPI'!K$10:K$116)</f>
        <v>0</v>
      </c>
      <c r="F34" s="8">
        <f>SUMIF('DAILY CHAMP SAPI'!$B$10:$B$116,$A34,'DAILY CHAMP SAPI'!L$10:L$116)</f>
        <v>0</v>
      </c>
      <c r="G34" s="8">
        <f>SUMIF('DAILY CHAMP SAPI'!$B$10:$B$116,$A34,'DAILY CHAMP SAPI'!M$10:M$116)</f>
        <v>0</v>
      </c>
      <c r="H34" s="8">
        <f>SUMIF('DAILY CHAMP SAPI'!$B$10:$B$116,$A34,'DAILY CHAMP SAPI'!N$10:N$116)</f>
        <v>0</v>
      </c>
      <c r="I34" s="8">
        <f>SUMIF('DAILY CHAMP SAPI'!$B$10:$B$116,$A34,'DAILY CHAMP SAPI'!O$10:O$116)</f>
        <v>0</v>
      </c>
      <c r="J34" s="8">
        <f>SUMIF('DAILY CHAMP SAPI'!$B$10:$B$116,$A34,'DAILY CHAMP SAPI'!P$10:P$116)</f>
        <v>0</v>
      </c>
      <c r="K34" s="8">
        <f>SUMIF('DAILY CHAMP SAPI'!$B$10:$B$116,$A34,'DAILY CHAMP SAPI'!Q$10:Q$116)</f>
        <v>0</v>
      </c>
      <c r="L34" s="8">
        <f>SUMIF('DAILY CHAMP SAPI'!$B$10:$B$116,$A34,'DAILY CHAMP SAPI'!R$10:R$116)</f>
        <v>0</v>
      </c>
      <c r="M34" s="8">
        <f>SUMIF('DAILY CHAMP SAPI'!$B$10:$B$116,$A34,'DAILY CHAMP SAPI'!S$10:S$116)</f>
        <v>0</v>
      </c>
      <c r="N34" s="8">
        <f>SUMIF('DAILY CHAMP SAPI'!$B$10:$B$116,$A34,'DAILY CHAMP SAPI'!T$10:T$116)</f>
        <v>0</v>
      </c>
      <c r="O34" s="8">
        <f>SUMIF('DAILY CHAMP SAPI'!$B$10:$B$116,$A34,'DAILY CHAMP SAPI'!U$10:U$116)</f>
        <v>0</v>
      </c>
      <c r="P34" s="8">
        <f>SUMIF('DAILY CHAMP SAPI'!$B$10:$B$116,$A34,'DAILY CHAMP SAPI'!V$10:V$116)</f>
        <v>0</v>
      </c>
      <c r="Q34" s="8">
        <f>SUMIF('DAILY CHAMP SAPI'!$B$10:$B$116,$A34,'DAILY CHAMP SAPI'!W$10:W$116)</f>
        <v>0</v>
      </c>
      <c r="R34" s="8">
        <f>SUMIF('DAILY CHAMP SAPI'!$B$10:$B$116,$A34,'DAILY CHAMP SAPI'!X$10:X$116)</f>
        <v>0</v>
      </c>
      <c r="S34" s="8">
        <f>SUMIF('DAILY CHAMP SAPI'!$B$10:$B$116,$A34,'DAILY CHAMP SAPI'!Y$10:Y$116)</f>
        <v>0</v>
      </c>
      <c r="T34" s="8">
        <f>SUMIF('DAILY CHAMP SAPI'!$B$10:$B$116,$A34,'DAILY CHAMP SAPI'!Z$10:Z$116)</f>
        <v>0</v>
      </c>
      <c r="U34" s="8">
        <f>SUMIF('DAILY CHAMP SAPI'!$B$10:$B$116,$A34,'DAILY CHAMP SAPI'!AA$10:AA$116)</f>
        <v>0</v>
      </c>
      <c r="V34" s="8">
        <f>SUMIF('DAILY CHAMP SAPI'!$B$10:$B$116,$A34,'DAILY CHAMP SAPI'!AB$10:AB$116)</f>
        <v>0</v>
      </c>
      <c r="W34" s="59">
        <f t="shared" si="0"/>
        <v>0</v>
      </c>
      <c r="X34" s="60">
        <f t="shared" ca="1" si="1"/>
        <v>0</v>
      </c>
      <c r="Y34" s="47">
        <f t="shared" ca="1" si="2"/>
        <v>0</v>
      </c>
      <c r="Z34" s="88" t="e">
        <f t="shared" ca="1" si="5"/>
        <v>#DIV/0!</v>
      </c>
      <c r="AA34" s="89" t="e">
        <f t="shared" ca="1" si="6"/>
        <v>#DIV/0!</v>
      </c>
      <c r="AB34" s="112">
        <f>+'Actual VS SAP'!U36</f>
        <v>0</v>
      </c>
      <c r="AC34" s="48">
        <f t="shared" si="7"/>
        <v>0</v>
      </c>
      <c r="AD34" s="89" t="e">
        <f t="shared" si="8"/>
        <v>#DIV/0!</v>
      </c>
    </row>
    <row r="35" spans="1:30">
      <c r="A35" s="7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59"/>
      <c r="X35" s="60"/>
      <c r="Z35" s="88"/>
      <c r="AA35" s="89"/>
      <c r="AB35" s="112"/>
      <c r="AC35" s="48"/>
      <c r="AD35" s="89"/>
    </row>
    <row r="36" spans="1:30">
      <c r="B36" s="59">
        <f t="shared" ref="B36:X36" ca="1" si="9">SUM(B4:B34)</f>
        <v>0</v>
      </c>
      <c r="C36" s="59">
        <f t="shared" si="9"/>
        <v>0</v>
      </c>
      <c r="D36" s="59">
        <f t="shared" si="9"/>
        <v>0</v>
      </c>
      <c r="E36" s="59">
        <f t="shared" si="9"/>
        <v>0</v>
      </c>
      <c r="F36" s="59">
        <f t="shared" si="9"/>
        <v>0</v>
      </c>
      <c r="G36" s="59">
        <f t="shared" si="9"/>
        <v>0</v>
      </c>
      <c r="H36" s="59">
        <f t="shared" si="9"/>
        <v>0</v>
      </c>
      <c r="I36" s="59">
        <f t="shared" si="9"/>
        <v>0</v>
      </c>
      <c r="J36" s="59">
        <f t="shared" si="9"/>
        <v>0</v>
      </c>
      <c r="K36" s="59">
        <f t="shared" si="9"/>
        <v>0</v>
      </c>
      <c r="L36" s="59">
        <f t="shared" si="9"/>
        <v>0</v>
      </c>
      <c r="M36" s="59">
        <f t="shared" si="9"/>
        <v>0</v>
      </c>
      <c r="N36" s="59">
        <f t="shared" si="9"/>
        <v>0</v>
      </c>
      <c r="O36" s="59">
        <f t="shared" si="9"/>
        <v>0</v>
      </c>
      <c r="P36" s="59">
        <f t="shared" si="9"/>
        <v>0</v>
      </c>
      <c r="Q36" s="59">
        <f t="shared" si="9"/>
        <v>0</v>
      </c>
      <c r="R36" s="59">
        <f t="shared" si="9"/>
        <v>0</v>
      </c>
      <c r="S36" s="59">
        <f t="shared" si="9"/>
        <v>0</v>
      </c>
      <c r="T36" s="59">
        <f t="shared" si="9"/>
        <v>0</v>
      </c>
      <c r="U36" s="59">
        <f t="shared" si="9"/>
        <v>0</v>
      </c>
      <c r="V36" s="59">
        <f t="shared" si="9"/>
        <v>0</v>
      </c>
      <c r="W36" s="59">
        <f t="shared" si="9"/>
        <v>0</v>
      </c>
      <c r="X36" s="59">
        <f t="shared" ca="1" si="9"/>
        <v>0</v>
      </c>
      <c r="AB36" s="111">
        <f>SUM(AB4:AB31)</f>
        <v>0</v>
      </c>
      <c r="AC36" s="109">
        <f>SUM(AC4:AC31)</f>
        <v>0</v>
      </c>
      <c r="AD36" s="110" t="e">
        <f>SUM(C36:D36)/AC36</f>
        <v>#DIV/0!</v>
      </c>
    </row>
    <row r="37" spans="1:30">
      <c r="C37" s="61" t="e">
        <f ca="1">+C36/$B$36</f>
        <v>#DIV/0!</v>
      </c>
      <c r="D37" s="61" t="e">
        <f t="shared" ref="D37:X37" ca="1" si="10">+D36/$B$36</f>
        <v>#DIV/0!</v>
      </c>
      <c r="E37" s="61" t="e">
        <f t="shared" ca="1" si="10"/>
        <v>#DIV/0!</v>
      </c>
      <c r="F37" s="61" t="e">
        <f t="shared" ca="1" si="10"/>
        <v>#DIV/0!</v>
      </c>
      <c r="G37" s="61" t="e">
        <f t="shared" ca="1" si="10"/>
        <v>#DIV/0!</v>
      </c>
      <c r="H37" s="61" t="e">
        <f t="shared" ca="1" si="10"/>
        <v>#DIV/0!</v>
      </c>
      <c r="I37" s="61" t="e">
        <f t="shared" ca="1" si="10"/>
        <v>#DIV/0!</v>
      </c>
      <c r="J37" s="61" t="e">
        <f t="shared" ca="1" si="10"/>
        <v>#DIV/0!</v>
      </c>
      <c r="K37" s="61" t="e">
        <f t="shared" ca="1" si="10"/>
        <v>#DIV/0!</v>
      </c>
      <c r="L37" s="61" t="e">
        <f t="shared" ca="1" si="10"/>
        <v>#DIV/0!</v>
      </c>
      <c r="M37" s="61" t="e">
        <f t="shared" ca="1" si="10"/>
        <v>#DIV/0!</v>
      </c>
      <c r="N37" s="61" t="e">
        <f t="shared" ca="1" si="10"/>
        <v>#DIV/0!</v>
      </c>
      <c r="O37" s="61" t="e">
        <f t="shared" ca="1" si="10"/>
        <v>#DIV/0!</v>
      </c>
      <c r="P37" s="61" t="e">
        <f t="shared" ca="1" si="10"/>
        <v>#DIV/0!</v>
      </c>
      <c r="Q37" s="61" t="e">
        <f t="shared" ca="1" si="10"/>
        <v>#DIV/0!</v>
      </c>
      <c r="R37" s="61" t="e">
        <f t="shared" ca="1" si="10"/>
        <v>#DIV/0!</v>
      </c>
      <c r="S37" s="61" t="e">
        <f t="shared" ca="1" si="10"/>
        <v>#DIV/0!</v>
      </c>
      <c r="T37" s="61" t="e">
        <f t="shared" ca="1" si="10"/>
        <v>#DIV/0!</v>
      </c>
      <c r="U37" s="61" t="e">
        <f ca="1">+U36/$B$36</f>
        <v>#DIV/0!</v>
      </c>
      <c r="V37" s="61" t="e">
        <f ca="1">+V36/$B$36</f>
        <v>#DIV/0!</v>
      </c>
      <c r="W37" s="62" t="e">
        <f t="shared" ca="1" si="10"/>
        <v>#DIV/0!</v>
      </c>
      <c r="X37" s="61" t="e">
        <f t="shared" ca="1" si="10"/>
        <v>#DIV/0!</v>
      </c>
    </row>
  </sheetData>
  <mergeCells count="10">
    <mergeCell ref="E2:S2"/>
    <mergeCell ref="AB2:AB3"/>
    <mergeCell ref="AD2:AD3"/>
    <mergeCell ref="C1:D1"/>
    <mergeCell ref="A2:A3"/>
    <mergeCell ref="B2:B3"/>
    <mergeCell ref="C2:C3"/>
    <mergeCell ref="D2:D3"/>
    <mergeCell ref="W2:W3"/>
    <mergeCell ref="X2:X3"/>
  </mergeCells>
  <pageMargins left="0.7" right="0.7" top="0.75" bottom="0.75" header="0.3" footer="0.3"/>
  <pageSetup paperSize="9" orientation="portrait" r:id="rId1"/>
  <legacyDrawing r:id="rId2"/>
</worksheet>
</file>

<file path=xl/worksheets/sheet14.xml><?xml version="1.0" encoding="utf-8"?>
<worksheet xmlns="http://schemas.openxmlformats.org/spreadsheetml/2006/main" xmlns:r="http://schemas.openxmlformats.org/officeDocument/2006/relationships">
  <sheetPr codeName="Sheet19">
    <tabColor rgb="FFFFC000"/>
  </sheetPr>
  <dimension ref="A1:AD152"/>
  <sheetViews>
    <sheetView workbookViewId="0">
      <pane xSplit="1" ySplit="3" topLeftCell="B4" activePane="bottomRight" state="frozen"/>
      <selection activeCell="EE10" sqref="EE10"/>
      <selection pane="topRight" activeCell="EE10" sqref="EE10"/>
      <selection pane="bottomLeft" activeCell="EE10" sqref="EE10"/>
      <selection pane="bottomRight" activeCell="K154" sqref="K154"/>
    </sheetView>
  </sheetViews>
  <sheetFormatPr defaultRowHeight="12.75"/>
  <cols>
    <col min="1" max="1" width="10.28515625" style="47" customWidth="1"/>
    <col min="2" max="3" width="13.7109375" style="47" customWidth="1"/>
    <col min="4" max="4" width="9.140625" style="47" customWidth="1"/>
    <col min="5" max="5" width="12.7109375" style="47" customWidth="1"/>
    <col min="6" max="6" width="9.140625" style="46" customWidth="1"/>
    <col min="7" max="9" width="12.28515625" style="47" customWidth="1"/>
    <col min="10" max="10" width="11.7109375" style="47" customWidth="1"/>
    <col min="11" max="17" width="9.140625" style="47"/>
    <col min="18" max="18" width="13" style="47" customWidth="1"/>
    <col min="19" max="20" width="9.140625" style="47"/>
    <col min="21" max="21" width="10.28515625" style="47" customWidth="1"/>
    <col min="22" max="22" width="11.140625" style="47" customWidth="1"/>
    <col min="23" max="23" width="10" style="47" bestFit="1" customWidth="1"/>
    <col min="24" max="24" width="10.7109375" style="47" customWidth="1"/>
    <col min="25" max="16384" width="9.140625" style="47"/>
  </cols>
  <sheetData>
    <row r="1" spans="1:30">
      <c r="A1" s="9"/>
      <c r="B1" s="9"/>
      <c r="C1" s="717" t="s">
        <v>10</v>
      </c>
      <c r="D1" s="717"/>
      <c r="E1" s="9"/>
      <c r="H1" s="48"/>
    </row>
    <row r="2" spans="1:30" ht="12.75" customHeight="1">
      <c r="A2" s="718" t="s">
        <v>24</v>
      </c>
      <c r="B2" s="719" t="s">
        <v>7</v>
      </c>
      <c r="C2" s="720" t="s">
        <v>8</v>
      </c>
      <c r="D2" s="720" t="s">
        <v>13</v>
      </c>
      <c r="E2" s="715" t="s">
        <v>23</v>
      </c>
      <c r="F2" s="715"/>
      <c r="G2" s="715"/>
      <c r="H2" s="715"/>
      <c r="I2" s="715"/>
      <c r="J2" s="715"/>
      <c r="K2" s="715"/>
      <c r="L2" s="715"/>
      <c r="M2" s="715"/>
      <c r="N2" s="715"/>
      <c r="O2" s="715"/>
      <c r="P2" s="715"/>
      <c r="Q2" s="715"/>
      <c r="R2" s="715"/>
      <c r="S2" s="715"/>
      <c r="T2" s="122"/>
      <c r="U2" s="122"/>
      <c r="V2" s="122"/>
      <c r="W2" s="721" t="s">
        <v>15</v>
      </c>
      <c r="X2" s="722" t="s">
        <v>9</v>
      </c>
      <c r="AB2" s="716" t="s">
        <v>67</v>
      </c>
      <c r="AC2" s="121" t="s">
        <v>68</v>
      </c>
      <c r="AD2" s="716" t="s">
        <v>69</v>
      </c>
    </row>
    <row r="3" spans="1:30" ht="12.75" customHeight="1">
      <c r="A3" s="718"/>
      <c r="B3" s="719"/>
      <c r="C3" s="719"/>
      <c r="D3" s="719"/>
      <c r="E3" s="123" t="s">
        <v>16</v>
      </c>
      <c r="F3" s="123" t="s">
        <v>17</v>
      </c>
      <c r="G3" s="123" t="s">
        <v>58</v>
      </c>
      <c r="H3" s="123" t="s">
        <v>59</v>
      </c>
      <c r="I3" s="123" t="s">
        <v>18</v>
      </c>
      <c r="J3" s="123" t="s">
        <v>60</v>
      </c>
      <c r="K3" s="123" t="s">
        <v>19</v>
      </c>
      <c r="L3" s="123" t="s">
        <v>55</v>
      </c>
      <c r="M3" s="123" t="s">
        <v>61</v>
      </c>
      <c r="N3" s="123" t="s">
        <v>62</v>
      </c>
      <c r="O3" s="123" t="s">
        <v>63</v>
      </c>
      <c r="P3" s="123" t="s">
        <v>56</v>
      </c>
      <c r="Q3" s="123" t="s">
        <v>20</v>
      </c>
      <c r="R3" s="123" t="s">
        <v>57</v>
      </c>
      <c r="S3" s="272" t="s">
        <v>154</v>
      </c>
      <c r="T3" s="123" t="s">
        <v>21</v>
      </c>
      <c r="U3" s="126" t="s">
        <v>155</v>
      </c>
      <c r="V3" s="123" t="s">
        <v>22</v>
      </c>
      <c r="W3" s="721"/>
      <c r="X3" s="722"/>
      <c r="AB3" s="716"/>
      <c r="AC3" s="121">
        <v>1678.06</v>
      </c>
      <c r="AD3" s="716"/>
    </row>
    <row r="4" spans="1:30">
      <c r="A4" s="7">
        <f>+'ALL SORTASI'!A6</f>
        <v>46204</v>
      </c>
      <c r="B4" s="8">
        <f ca="1">SUMIF('DAILY FIESTA'!$B$10:$B$115,$A4,'DAILY FIESTA'!$C$10:$C$114)</f>
        <v>0</v>
      </c>
      <c r="C4" s="8">
        <f>SUMIF('DAILY FIESTA'!$B$10:$B$115,$A4,'DAILY FIESTA'!H$10:H$115)</f>
        <v>0</v>
      </c>
      <c r="D4" s="8">
        <f>SUMIF('DAILY FIESTA'!$B$10:$B$115,$A4,'DAILY FIESTA'!I$10:I$115)</f>
        <v>0</v>
      </c>
      <c r="E4" s="8">
        <f>SUMIF('DAILY FIESTA'!$B$10:$B$115,$A4,'DAILY FIESTA'!J$10:J$115)</f>
        <v>0</v>
      </c>
      <c r="F4" s="8">
        <f>SUMIF('DAILY FIESTA'!$B$10:$B$115,$A4,'DAILY FIESTA'!K$10:K$115)</f>
        <v>0</v>
      </c>
      <c r="G4" s="8">
        <f>SUMIF('DAILY FIESTA'!$B$10:$B$115,$A4,'DAILY FIESTA'!L$10:L$115)</f>
        <v>0</v>
      </c>
      <c r="H4" s="8">
        <f>SUMIF('DAILY FIESTA'!$B$10:$B$115,$A4,'DAILY FIESTA'!M$10:M$115)</f>
        <v>0</v>
      </c>
      <c r="I4" s="8">
        <f>SUMIF('DAILY FIESTA'!$B$10:$B$115,$A4,'DAILY FIESTA'!N$10:N$115)</f>
        <v>0</v>
      </c>
      <c r="J4" s="8">
        <f>SUMIF('DAILY FIESTA'!$B$10:$B$115,$A4,'DAILY FIESTA'!O$10:O$115)</f>
        <v>0</v>
      </c>
      <c r="K4" s="8">
        <f>SUMIF('DAILY FIESTA'!$B$10:$B$115,$A4,'DAILY FIESTA'!P$10:P$115)</f>
        <v>0</v>
      </c>
      <c r="L4" s="8">
        <f>SUMIF('DAILY FIESTA'!$B$10:$B$115,$A4,'DAILY FIESTA'!Q$10:Q$115)</f>
        <v>0</v>
      </c>
      <c r="M4" s="8">
        <f>SUMIF('DAILY FIESTA'!$B$10:$B$115,$A4,'DAILY FIESTA'!R$10:R$115)</f>
        <v>0</v>
      </c>
      <c r="N4" s="8">
        <f>SUMIF('DAILY FIESTA'!$B$10:$B$115,$A4,'DAILY FIESTA'!S$10:S$115)</f>
        <v>0</v>
      </c>
      <c r="O4" s="8">
        <f>SUMIF('DAILY FIESTA'!$B$10:$B$115,$A4,'DAILY FIESTA'!T$10:T$115)</f>
        <v>0</v>
      </c>
      <c r="P4" s="8">
        <f>SUMIF('DAILY FIESTA'!$B$10:$B$115,$A4,'DAILY FIESTA'!U$10:U$115)</f>
        <v>0</v>
      </c>
      <c r="Q4" s="8">
        <f>SUMIF('DAILY FIESTA'!$B$10:$B$115,$A4,'DAILY FIESTA'!V$10:V$115)</f>
        <v>0</v>
      </c>
      <c r="R4" s="8">
        <f>SUMIF('DAILY FIESTA'!$B$10:$B$115,$A4,'DAILY FIESTA'!W$10:W$115)</f>
        <v>0</v>
      </c>
      <c r="S4" s="8">
        <f>SUMIF('DAILY FIESTA'!$B$10:$B$115,$A4,'DAILY FIESTA'!X$10:X$115)</f>
        <v>0</v>
      </c>
      <c r="T4" s="8">
        <f>SUMIF('DAILY FIESTA'!$B$10:$B$115,$A4,'DAILY FIESTA'!Y$10:Y$115)</f>
        <v>0</v>
      </c>
      <c r="U4" s="8">
        <f>SUMIF('DAILY FIESTA'!$B$10:$B$115,$A4,'DAILY FIESTA'!Z$10:Z$115)</f>
        <v>0</v>
      </c>
      <c r="V4" s="8">
        <f>SUMIF('DAILY FIESTA'!$B$10:$B$115,$A4,'DAILY FIESTA'!AA$10:AA$115)</f>
        <v>0</v>
      </c>
      <c r="W4" s="59">
        <f t="shared" ref="W4:W66" si="0">SUM(E4:V4)</f>
        <v>0</v>
      </c>
      <c r="X4" s="60">
        <f t="shared" ref="X4:X66" ca="1" si="1">+B4-C4-D4-W4</f>
        <v>0</v>
      </c>
      <c r="Y4" s="47">
        <f ca="1">+X4/2.4</f>
        <v>0</v>
      </c>
      <c r="AB4" s="112">
        <f>+'Actual VS SAP'!AA6</f>
        <v>0</v>
      </c>
      <c r="AC4" s="48">
        <f>+AB4*$AC$3</f>
        <v>0</v>
      </c>
      <c r="AD4" s="89" t="e">
        <f>+C4/AC4</f>
        <v>#DIV/0!</v>
      </c>
    </row>
    <row r="5" spans="1:30">
      <c r="A5" s="7">
        <f>+'ALL SORTASI'!A7</f>
        <v>46205</v>
      </c>
      <c r="B5" s="8">
        <f ca="1">SUMIF('DAILY FIESTA'!$B$10:$B$115,$A5,'DAILY FIESTA'!$C$10:$C$114)</f>
        <v>0</v>
      </c>
      <c r="C5" s="8">
        <f>SUMIF('DAILY FIESTA'!$B$10:$B$115,$A5,'DAILY FIESTA'!H$10:H$115)</f>
        <v>0</v>
      </c>
      <c r="D5" s="8">
        <f>SUMIF('DAILY FIESTA'!$B$10:$B$115,$A5,'DAILY FIESTA'!I$10:I$115)</f>
        <v>0</v>
      </c>
      <c r="E5" s="8">
        <f>SUMIF('DAILY FIESTA'!$B$10:$B$115,$A5,'DAILY FIESTA'!J$10:J$115)</f>
        <v>0</v>
      </c>
      <c r="F5" s="8">
        <f>SUMIF('DAILY FIESTA'!$B$10:$B$115,$A5,'DAILY FIESTA'!K$10:K$115)</f>
        <v>0</v>
      </c>
      <c r="G5" s="8">
        <f>SUMIF('DAILY FIESTA'!$B$10:$B$115,$A5,'DAILY FIESTA'!L$10:L$115)</f>
        <v>0</v>
      </c>
      <c r="H5" s="8">
        <f>SUMIF('DAILY FIESTA'!$B$10:$B$115,$A5,'DAILY FIESTA'!M$10:M$115)</f>
        <v>0</v>
      </c>
      <c r="I5" s="8">
        <f>SUMIF('DAILY FIESTA'!$B$10:$B$115,$A5,'DAILY FIESTA'!N$10:N$115)</f>
        <v>0</v>
      </c>
      <c r="J5" s="8">
        <f>SUMIF('DAILY FIESTA'!$B$10:$B$115,$A5,'DAILY FIESTA'!O$10:O$115)</f>
        <v>0</v>
      </c>
      <c r="K5" s="8">
        <f>SUMIF('DAILY FIESTA'!$B$10:$B$115,$A5,'DAILY FIESTA'!P$10:P$115)</f>
        <v>0</v>
      </c>
      <c r="L5" s="8">
        <f>SUMIF('DAILY FIESTA'!$B$10:$B$115,$A5,'DAILY FIESTA'!Q$10:Q$115)</f>
        <v>0</v>
      </c>
      <c r="M5" s="8">
        <f>SUMIF('DAILY FIESTA'!$B$10:$B$115,$A5,'DAILY FIESTA'!R$10:R$115)</f>
        <v>0</v>
      </c>
      <c r="N5" s="8">
        <f>SUMIF('DAILY FIESTA'!$B$10:$B$115,$A5,'DAILY FIESTA'!S$10:S$115)</f>
        <v>0</v>
      </c>
      <c r="O5" s="8">
        <f>SUMIF('DAILY FIESTA'!$B$10:$B$115,$A5,'DAILY FIESTA'!T$10:T$115)</f>
        <v>0</v>
      </c>
      <c r="P5" s="8">
        <f>SUMIF('DAILY FIESTA'!$B$10:$B$115,$A5,'DAILY FIESTA'!U$10:U$115)</f>
        <v>0</v>
      </c>
      <c r="Q5" s="8">
        <f>SUMIF('DAILY FIESTA'!$B$10:$B$115,$A5,'DAILY FIESTA'!V$10:V$115)</f>
        <v>0</v>
      </c>
      <c r="R5" s="8">
        <f>SUMIF('DAILY FIESTA'!$B$10:$B$115,$A5,'DAILY FIESTA'!W$10:W$115)</f>
        <v>0</v>
      </c>
      <c r="S5" s="8">
        <f>SUMIF('DAILY FIESTA'!$B$10:$B$115,$A5,'DAILY FIESTA'!X$10:X$115)</f>
        <v>0</v>
      </c>
      <c r="T5" s="8">
        <f>SUMIF('DAILY FIESTA'!$B$10:$B$115,$A5,'DAILY FIESTA'!Y$10:Y$115)</f>
        <v>0</v>
      </c>
      <c r="U5" s="8">
        <f>SUMIF('DAILY FIESTA'!$B$10:$B$115,$A5,'DAILY FIESTA'!Z$10:Z$115)</f>
        <v>0</v>
      </c>
      <c r="V5" s="8">
        <f>SUMIF('DAILY FIESTA'!$B$10:$B$115,$A5,'DAILY FIESTA'!AA$10:AA$115)</f>
        <v>0</v>
      </c>
      <c r="W5" s="59">
        <f t="shared" si="0"/>
        <v>0</v>
      </c>
      <c r="X5" s="60">
        <f t="shared" ca="1" si="1"/>
        <v>0</v>
      </c>
      <c r="Y5" s="47">
        <f t="shared" ref="Y5:Y68" ca="1" si="2">+X5/2.4</f>
        <v>0</v>
      </c>
      <c r="Z5" s="88" t="e">
        <f ca="1">+C5/B5</f>
        <v>#DIV/0!</v>
      </c>
      <c r="AA5" s="89" t="e">
        <f ca="1">100%-Z5</f>
        <v>#DIV/0!</v>
      </c>
      <c r="AB5" s="112">
        <f>+'Actual VS SAP'!AA7</f>
        <v>0</v>
      </c>
      <c r="AC5" s="48">
        <f t="shared" ref="AC5:AC31" si="3">+AB5*$AC$3</f>
        <v>0</v>
      </c>
      <c r="AD5" s="89" t="e">
        <f t="shared" ref="AD5:AD31" si="4">+C5/AC5</f>
        <v>#DIV/0!</v>
      </c>
    </row>
    <row r="6" spans="1:30">
      <c r="A6" s="7">
        <f>+'ALL SORTASI'!A8</f>
        <v>46206</v>
      </c>
      <c r="B6" s="8">
        <f ca="1">SUMIF('DAILY FIESTA'!$B$10:$B$115,$A6,'DAILY FIESTA'!$C$10:$C$114)</f>
        <v>0</v>
      </c>
      <c r="C6" s="8">
        <f>SUMIF('DAILY FIESTA'!$B$10:$B$115,$A6,'DAILY FIESTA'!H$10:H$115)</f>
        <v>0</v>
      </c>
      <c r="D6" s="8">
        <f>SUMIF('DAILY FIESTA'!$B$10:$B$115,$A6,'DAILY FIESTA'!I$10:I$115)</f>
        <v>0</v>
      </c>
      <c r="E6" s="8">
        <f>SUMIF('DAILY FIESTA'!$B$10:$B$115,$A6,'DAILY FIESTA'!J$10:J$115)</f>
        <v>0</v>
      </c>
      <c r="F6" s="8">
        <f>SUMIF('DAILY FIESTA'!$B$10:$B$115,$A6,'DAILY FIESTA'!K$10:K$115)</f>
        <v>0</v>
      </c>
      <c r="G6" s="8">
        <f>SUMIF('DAILY FIESTA'!$B$10:$B$115,$A6,'DAILY FIESTA'!L$10:L$115)</f>
        <v>0</v>
      </c>
      <c r="H6" s="8">
        <f>SUMIF('DAILY FIESTA'!$B$10:$B$115,$A6,'DAILY FIESTA'!M$10:M$115)</f>
        <v>0</v>
      </c>
      <c r="I6" s="8">
        <f>SUMIF('DAILY FIESTA'!$B$10:$B$115,$A6,'DAILY FIESTA'!N$10:N$115)</f>
        <v>0</v>
      </c>
      <c r="J6" s="8">
        <f>SUMIF('DAILY FIESTA'!$B$10:$B$115,$A6,'DAILY FIESTA'!O$10:O$115)</f>
        <v>0</v>
      </c>
      <c r="K6" s="8">
        <f>SUMIF('DAILY FIESTA'!$B$10:$B$115,$A6,'DAILY FIESTA'!P$10:P$115)</f>
        <v>0</v>
      </c>
      <c r="L6" s="8">
        <f>SUMIF('DAILY FIESTA'!$B$10:$B$115,$A6,'DAILY FIESTA'!Q$10:Q$115)</f>
        <v>0</v>
      </c>
      <c r="M6" s="8">
        <f>SUMIF('DAILY FIESTA'!$B$10:$B$115,$A6,'DAILY FIESTA'!R$10:R$115)</f>
        <v>0</v>
      </c>
      <c r="N6" s="8">
        <f>SUMIF('DAILY FIESTA'!$B$10:$B$115,$A6,'DAILY FIESTA'!S$10:S$115)</f>
        <v>0</v>
      </c>
      <c r="O6" s="8">
        <f>SUMIF('DAILY FIESTA'!$B$10:$B$115,$A6,'DAILY FIESTA'!T$10:T$115)</f>
        <v>0</v>
      </c>
      <c r="P6" s="8">
        <f>SUMIF('DAILY FIESTA'!$B$10:$B$115,$A6,'DAILY FIESTA'!U$10:U$115)</f>
        <v>0</v>
      </c>
      <c r="Q6" s="8">
        <f>SUMIF('DAILY FIESTA'!$B$10:$B$115,$A6,'DAILY FIESTA'!V$10:V$115)</f>
        <v>0</v>
      </c>
      <c r="R6" s="8">
        <f>SUMIF('DAILY FIESTA'!$B$10:$B$115,$A6,'DAILY FIESTA'!W$10:W$115)</f>
        <v>0</v>
      </c>
      <c r="S6" s="8">
        <f>SUMIF('DAILY FIESTA'!$B$10:$B$115,$A6,'DAILY FIESTA'!X$10:X$115)</f>
        <v>0</v>
      </c>
      <c r="T6" s="8">
        <f>SUMIF('DAILY FIESTA'!$B$10:$B$115,$A6,'DAILY FIESTA'!Y$10:Y$115)</f>
        <v>0</v>
      </c>
      <c r="U6" s="8">
        <f>SUMIF('DAILY FIESTA'!$B$10:$B$115,$A6,'DAILY FIESTA'!Z$10:Z$115)</f>
        <v>0</v>
      </c>
      <c r="V6" s="8">
        <f>SUMIF('DAILY FIESTA'!$B$10:$B$115,$A6,'DAILY FIESTA'!AA$10:AA$115)</f>
        <v>0</v>
      </c>
      <c r="W6" s="59">
        <f t="shared" si="0"/>
        <v>0</v>
      </c>
      <c r="X6" s="60">
        <f t="shared" ca="1" si="1"/>
        <v>0</v>
      </c>
      <c r="Y6" s="47">
        <f t="shared" ca="1" si="2"/>
        <v>0</v>
      </c>
      <c r="Z6" s="88" t="e">
        <f ca="1">+C6/B6</f>
        <v>#DIV/0!</v>
      </c>
      <c r="AA6" s="89" t="e">
        <f ca="1">100%-Z6</f>
        <v>#DIV/0!</v>
      </c>
      <c r="AB6" s="112">
        <f>+'Actual VS SAP'!AA8</f>
        <v>0</v>
      </c>
      <c r="AC6" s="48">
        <f t="shared" si="3"/>
        <v>0</v>
      </c>
      <c r="AD6" s="89" t="e">
        <f t="shared" si="4"/>
        <v>#DIV/0!</v>
      </c>
    </row>
    <row r="7" spans="1:30">
      <c r="A7" s="7">
        <f>+'ALL SORTASI'!A9</f>
        <v>46207</v>
      </c>
      <c r="B7" s="8">
        <f ca="1">SUMIF('DAILY FIESTA'!$B$10:$B$115,$A7,'DAILY FIESTA'!$C$10:$C$114)</f>
        <v>0</v>
      </c>
      <c r="C7" s="8">
        <f>SUMIF('DAILY FIESTA'!$B$10:$B$115,$A7,'DAILY FIESTA'!H$10:H$115)</f>
        <v>0</v>
      </c>
      <c r="D7" s="8">
        <f>SUMIF('DAILY FIESTA'!$B$10:$B$115,$A7,'DAILY FIESTA'!I$10:I$115)</f>
        <v>0</v>
      </c>
      <c r="E7" s="8">
        <f>SUMIF('DAILY FIESTA'!$B$10:$B$115,$A7,'DAILY FIESTA'!J$10:J$115)</f>
        <v>0</v>
      </c>
      <c r="F7" s="8">
        <f>SUMIF('DAILY FIESTA'!$B$10:$B$115,$A7,'DAILY FIESTA'!K$10:K$115)</f>
        <v>0</v>
      </c>
      <c r="G7" s="8">
        <f>SUMIF('DAILY FIESTA'!$B$10:$B$115,$A7,'DAILY FIESTA'!L$10:L$115)</f>
        <v>0</v>
      </c>
      <c r="H7" s="8">
        <f>SUMIF('DAILY FIESTA'!$B$10:$B$115,$A7,'DAILY FIESTA'!M$10:M$115)</f>
        <v>0</v>
      </c>
      <c r="I7" s="8">
        <f>SUMIF('DAILY FIESTA'!$B$10:$B$115,$A7,'DAILY FIESTA'!N$10:N$115)</f>
        <v>0</v>
      </c>
      <c r="J7" s="8">
        <f>SUMIF('DAILY FIESTA'!$B$10:$B$115,$A7,'DAILY FIESTA'!O$10:O$115)</f>
        <v>0</v>
      </c>
      <c r="K7" s="8">
        <f>SUMIF('DAILY FIESTA'!$B$10:$B$115,$A7,'DAILY FIESTA'!P$10:P$115)</f>
        <v>0</v>
      </c>
      <c r="L7" s="8">
        <f>SUMIF('DAILY FIESTA'!$B$10:$B$115,$A7,'DAILY FIESTA'!Q$10:Q$115)</f>
        <v>0</v>
      </c>
      <c r="M7" s="8">
        <f>SUMIF('DAILY FIESTA'!$B$10:$B$115,$A7,'DAILY FIESTA'!R$10:R$115)</f>
        <v>0</v>
      </c>
      <c r="N7" s="8">
        <f>SUMIF('DAILY FIESTA'!$B$10:$B$115,$A7,'DAILY FIESTA'!S$10:S$115)</f>
        <v>0</v>
      </c>
      <c r="O7" s="8">
        <f>SUMIF('DAILY FIESTA'!$B$10:$B$115,$A7,'DAILY FIESTA'!T$10:T$115)</f>
        <v>0</v>
      </c>
      <c r="P7" s="8">
        <f>SUMIF('DAILY FIESTA'!$B$10:$B$115,$A7,'DAILY FIESTA'!U$10:U$115)</f>
        <v>0</v>
      </c>
      <c r="Q7" s="8">
        <f>SUMIF('DAILY FIESTA'!$B$10:$B$115,$A7,'DAILY FIESTA'!V$10:V$115)</f>
        <v>0</v>
      </c>
      <c r="R7" s="8">
        <f>SUMIF('DAILY FIESTA'!$B$10:$B$115,$A7,'DAILY FIESTA'!W$10:W$115)</f>
        <v>0</v>
      </c>
      <c r="S7" s="8">
        <f>SUMIF('DAILY FIESTA'!$B$10:$B$115,$A7,'DAILY FIESTA'!X$10:X$115)</f>
        <v>0</v>
      </c>
      <c r="T7" s="8">
        <f>SUMIF('DAILY FIESTA'!$B$10:$B$115,$A7,'DAILY FIESTA'!Y$10:Y$115)</f>
        <v>0</v>
      </c>
      <c r="U7" s="8">
        <f>SUMIF('DAILY FIESTA'!$B$10:$B$115,$A7,'DAILY FIESTA'!Z$10:Z$115)</f>
        <v>0</v>
      </c>
      <c r="V7" s="8">
        <f>SUMIF('DAILY FIESTA'!$B$10:$B$115,$A7,'DAILY FIESTA'!AA$10:AA$115)</f>
        <v>0</v>
      </c>
      <c r="W7" s="59">
        <f>SUM(E7:V7)</f>
        <v>0</v>
      </c>
      <c r="X7" s="60">
        <f t="shared" ca="1" si="1"/>
        <v>0</v>
      </c>
      <c r="Y7" s="47">
        <f t="shared" ca="1" si="2"/>
        <v>0</v>
      </c>
      <c r="Z7" s="88" t="e">
        <f ca="1">+C7/B7</f>
        <v>#DIV/0!</v>
      </c>
      <c r="AA7" s="89" t="e">
        <f ca="1">100%-Z7</f>
        <v>#DIV/0!</v>
      </c>
      <c r="AB7" s="112">
        <f>+'Actual VS SAP'!AA9</f>
        <v>0</v>
      </c>
      <c r="AC7" s="48">
        <f t="shared" si="3"/>
        <v>0</v>
      </c>
      <c r="AD7" s="89" t="e">
        <f t="shared" si="4"/>
        <v>#DIV/0!</v>
      </c>
    </row>
    <row r="8" spans="1:30">
      <c r="A8" s="7">
        <f>+'ALL SORTASI'!A10</f>
        <v>46208</v>
      </c>
      <c r="B8" s="8">
        <f ca="1">SUMIF('DAILY FIESTA'!$B$10:$B$115,$A8,'DAILY FIESTA'!$C$10:$C$114)</f>
        <v>0</v>
      </c>
      <c r="C8" s="8">
        <f>SUMIF('DAILY FIESTA'!$B$10:$B$115,$A8,'DAILY FIESTA'!H$10:H$115)</f>
        <v>0</v>
      </c>
      <c r="D8" s="8">
        <f>SUMIF('DAILY FIESTA'!$B$10:$B$115,$A8,'DAILY FIESTA'!I$10:I$115)</f>
        <v>0</v>
      </c>
      <c r="E8" s="8">
        <f>SUMIF('DAILY FIESTA'!$B$10:$B$115,$A8,'DAILY FIESTA'!J$10:J$115)</f>
        <v>0</v>
      </c>
      <c r="F8" s="8">
        <f>SUMIF('DAILY FIESTA'!$B$10:$B$115,$A8,'DAILY FIESTA'!K$10:K$115)</f>
        <v>0</v>
      </c>
      <c r="G8" s="8">
        <f>SUMIF('DAILY FIESTA'!$B$10:$B$115,$A8,'DAILY FIESTA'!L$10:L$115)</f>
        <v>0</v>
      </c>
      <c r="H8" s="8">
        <f>SUMIF('DAILY FIESTA'!$B$10:$B$115,$A8,'DAILY FIESTA'!M$10:M$115)</f>
        <v>0</v>
      </c>
      <c r="I8" s="8">
        <f>SUMIF('DAILY FIESTA'!$B$10:$B$115,$A8,'DAILY FIESTA'!N$10:N$115)</f>
        <v>0</v>
      </c>
      <c r="J8" s="8">
        <f>SUMIF('DAILY FIESTA'!$B$10:$B$115,$A8,'DAILY FIESTA'!O$10:O$115)</f>
        <v>0</v>
      </c>
      <c r="K8" s="8">
        <f>SUMIF('DAILY FIESTA'!$B$10:$B$115,$A8,'DAILY FIESTA'!P$10:P$115)</f>
        <v>0</v>
      </c>
      <c r="L8" s="8">
        <f>SUMIF('DAILY FIESTA'!$B$10:$B$115,$A8,'DAILY FIESTA'!Q$10:Q$115)</f>
        <v>0</v>
      </c>
      <c r="M8" s="8">
        <f>SUMIF('DAILY FIESTA'!$B$10:$B$115,$A8,'DAILY FIESTA'!R$10:R$115)</f>
        <v>0</v>
      </c>
      <c r="N8" s="8">
        <f>SUMIF('DAILY FIESTA'!$B$10:$B$115,$A8,'DAILY FIESTA'!S$10:S$115)</f>
        <v>0</v>
      </c>
      <c r="O8" s="8">
        <f>SUMIF('DAILY FIESTA'!$B$10:$B$115,$A8,'DAILY FIESTA'!T$10:T$115)</f>
        <v>0</v>
      </c>
      <c r="P8" s="8">
        <f>SUMIF('DAILY FIESTA'!$B$10:$B$115,$A8,'DAILY FIESTA'!U$10:U$115)</f>
        <v>0</v>
      </c>
      <c r="Q8" s="8">
        <f>SUMIF('DAILY FIESTA'!$B$10:$B$115,$A8,'DAILY FIESTA'!V$10:V$115)</f>
        <v>0</v>
      </c>
      <c r="R8" s="8">
        <f>SUMIF('DAILY FIESTA'!$B$10:$B$115,$A8,'DAILY FIESTA'!W$10:W$115)</f>
        <v>0</v>
      </c>
      <c r="S8" s="8">
        <f>SUMIF('DAILY FIESTA'!$B$10:$B$115,$A8,'DAILY FIESTA'!X$10:X$115)</f>
        <v>0</v>
      </c>
      <c r="T8" s="8">
        <f>SUMIF('DAILY FIESTA'!$B$10:$B$115,$A8,'DAILY FIESTA'!Y$10:Y$115)</f>
        <v>0</v>
      </c>
      <c r="U8" s="8">
        <f>SUMIF('DAILY FIESTA'!$B$10:$B$115,$A8,'DAILY FIESTA'!Z$10:Z$115)</f>
        <v>0</v>
      </c>
      <c r="V8" s="8">
        <f>SUMIF('DAILY FIESTA'!$B$10:$B$115,$A8,'DAILY FIESTA'!AA$10:AA$115)</f>
        <v>0</v>
      </c>
      <c r="W8" s="59">
        <f t="shared" si="0"/>
        <v>0</v>
      </c>
      <c r="X8" s="60">
        <f t="shared" ca="1" si="1"/>
        <v>0</v>
      </c>
      <c r="Y8" s="47">
        <f t="shared" ca="1" si="2"/>
        <v>0</v>
      </c>
      <c r="Z8" s="88" t="e">
        <f ca="1">+C8/B8</f>
        <v>#DIV/0!</v>
      </c>
      <c r="AA8" s="89" t="e">
        <f ca="1">100%-Z8</f>
        <v>#DIV/0!</v>
      </c>
      <c r="AB8" s="112">
        <f>+'Actual VS SAP'!AA10</f>
        <v>0</v>
      </c>
      <c r="AC8" s="48">
        <f t="shared" si="3"/>
        <v>0</v>
      </c>
      <c r="AD8" s="89" t="e">
        <f t="shared" si="4"/>
        <v>#DIV/0!</v>
      </c>
    </row>
    <row r="9" spans="1:30">
      <c r="A9" s="7">
        <f>+'ALL SORTASI'!A11</f>
        <v>46209</v>
      </c>
      <c r="B9" s="8">
        <f ca="1">SUMIF('DAILY FIESTA'!$B$10:$B$115,$A9,'DAILY FIESTA'!$C$10:$C$114)</f>
        <v>0</v>
      </c>
      <c r="C9" s="8">
        <f>SUMIF('DAILY FIESTA'!$B$10:$B$115,$A9,'DAILY FIESTA'!H$10:H$115)</f>
        <v>0</v>
      </c>
      <c r="D9" s="8">
        <f>SUMIF('DAILY FIESTA'!$B$10:$B$115,$A9,'DAILY FIESTA'!I$10:I$115)</f>
        <v>0</v>
      </c>
      <c r="E9" s="8">
        <f>SUMIF('DAILY FIESTA'!$B$10:$B$115,$A9,'DAILY FIESTA'!J$10:J$115)</f>
        <v>0</v>
      </c>
      <c r="F9" s="8">
        <f>SUMIF('DAILY FIESTA'!$B$10:$B$115,$A9,'DAILY FIESTA'!K$10:K$115)</f>
        <v>0</v>
      </c>
      <c r="G9" s="8">
        <f>SUMIF('DAILY FIESTA'!$B$10:$B$115,$A9,'DAILY FIESTA'!L$10:L$115)</f>
        <v>0</v>
      </c>
      <c r="H9" s="8">
        <f>SUMIF('DAILY FIESTA'!$B$10:$B$115,$A9,'DAILY FIESTA'!M$10:M$115)</f>
        <v>0</v>
      </c>
      <c r="I9" s="8">
        <f>SUMIF('DAILY FIESTA'!$B$10:$B$115,$A9,'DAILY FIESTA'!N$10:N$115)</f>
        <v>0</v>
      </c>
      <c r="J9" s="8">
        <f>SUMIF('DAILY FIESTA'!$B$10:$B$115,$A9,'DAILY FIESTA'!O$10:O$115)</f>
        <v>0</v>
      </c>
      <c r="K9" s="8">
        <f>SUMIF('DAILY FIESTA'!$B$10:$B$115,$A9,'DAILY FIESTA'!P$10:P$115)</f>
        <v>0</v>
      </c>
      <c r="L9" s="8">
        <f>SUMIF('DAILY FIESTA'!$B$10:$B$115,$A9,'DAILY FIESTA'!Q$10:Q$115)</f>
        <v>0</v>
      </c>
      <c r="M9" s="8">
        <f>SUMIF('DAILY FIESTA'!$B$10:$B$115,$A9,'DAILY FIESTA'!R$10:R$115)</f>
        <v>0</v>
      </c>
      <c r="N9" s="8">
        <f>SUMIF('DAILY FIESTA'!$B$10:$B$115,$A9,'DAILY FIESTA'!S$10:S$115)</f>
        <v>0</v>
      </c>
      <c r="O9" s="8">
        <f>SUMIF('DAILY FIESTA'!$B$10:$B$115,$A9,'DAILY FIESTA'!T$10:T$115)</f>
        <v>0</v>
      </c>
      <c r="P9" s="8">
        <f>SUMIF('DAILY FIESTA'!$B$10:$B$115,$A9,'DAILY FIESTA'!U$10:U$115)</f>
        <v>0</v>
      </c>
      <c r="Q9" s="8">
        <f>SUMIF('DAILY FIESTA'!$B$10:$B$115,$A9,'DAILY FIESTA'!V$10:V$115)</f>
        <v>0</v>
      </c>
      <c r="R9" s="8">
        <f>SUMIF('DAILY FIESTA'!$B$10:$B$115,$A9,'DAILY FIESTA'!W$10:W$115)</f>
        <v>0</v>
      </c>
      <c r="S9" s="8">
        <f>SUMIF('DAILY FIESTA'!$B$10:$B$115,$A9,'DAILY FIESTA'!X$10:X$115)</f>
        <v>0</v>
      </c>
      <c r="T9" s="8">
        <f>SUMIF('DAILY FIESTA'!$B$10:$B$115,$A9,'DAILY FIESTA'!Y$10:Y$115)</f>
        <v>0</v>
      </c>
      <c r="U9" s="8">
        <f>SUMIF('DAILY FIESTA'!$B$10:$B$115,$A9,'DAILY FIESTA'!Z$10:Z$115)</f>
        <v>0</v>
      </c>
      <c r="V9" s="8">
        <f>SUMIF('DAILY FIESTA'!$B$10:$B$115,$A9,'DAILY FIESTA'!AA$10:AA$115)</f>
        <v>0</v>
      </c>
      <c r="W9" s="59">
        <f t="shared" si="0"/>
        <v>0</v>
      </c>
      <c r="X9" s="60">
        <f t="shared" ca="1" si="1"/>
        <v>0</v>
      </c>
      <c r="Y9" s="47">
        <f t="shared" ca="1" si="2"/>
        <v>0</v>
      </c>
      <c r="Z9" s="88" t="e">
        <f t="shared" ref="Z9:Z72" ca="1" si="5">+C9/B9</f>
        <v>#DIV/0!</v>
      </c>
      <c r="AA9" s="89" t="e">
        <f t="shared" ref="AA9:AA72" ca="1" si="6">100%-Z9</f>
        <v>#DIV/0!</v>
      </c>
      <c r="AB9" s="112">
        <f>+'Actual VS SAP'!AA11</f>
        <v>0</v>
      </c>
      <c r="AC9" s="48">
        <f t="shared" si="3"/>
        <v>0</v>
      </c>
      <c r="AD9" s="89" t="e">
        <f t="shared" si="4"/>
        <v>#DIV/0!</v>
      </c>
    </row>
    <row r="10" spans="1:30">
      <c r="A10" s="7">
        <f>+'ALL SORTASI'!A12</f>
        <v>46210</v>
      </c>
      <c r="B10" s="8">
        <f ca="1">SUMIF('DAILY FIESTA'!$B$10:$B$115,$A10,'DAILY FIESTA'!$C$10:$C$114)</f>
        <v>0</v>
      </c>
      <c r="C10" s="8">
        <f>SUMIF('DAILY FIESTA'!$B$10:$B$115,$A10,'DAILY FIESTA'!H$10:H$115)</f>
        <v>0</v>
      </c>
      <c r="D10" s="8">
        <f>SUMIF('DAILY FIESTA'!$B$10:$B$115,$A10,'DAILY FIESTA'!I$10:I$115)</f>
        <v>0</v>
      </c>
      <c r="E10" s="8">
        <f>SUMIF('DAILY FIESTA'!$B$10:$B$115,$A10,'DAILY FIESTA'!J$10:J$115)</f>
        <v>0</v>
      </c>
      <c r="F10" s="8">
        <f>SUMIF('DAILY FIESTA'!$B$10:$B$115,$A10,'DAILY FIESTA'!K$10:K$115)</f>
        <v>0</v>
      </c>
      <c r="G10" s="8">
        <f>SUMIF('DAILY FIESTA'!$B$10:$B$115,$A10,'DAILY FIESTA'!L$10:L$115)</f>
        <v>0</v>
      </c>
      <c r="H10" s="8">
        <f>SUMIF('DAILY FIESTA'!$B$10:$B$115,$A10,'DAILY FIESTA'!M$10:M$115)</f>
        <v>0</v>
      </c>
      <c r="I10" s="8">
        <f>SUMIF('DAILY FIESTA'!$B$10:$B$115,$A10,'DAILY FIESTA'!N$10:N$115)</f>
        <v>0</v>
      </c>
      <c r="J10" s="8">
        <f>SUMIF('DAILY FIESTA'!$B$10:$B$115,$A10,'DAILY FIESTA'!O$10:O$115)</f>
        <v>0</v>
      </c>
      <c r="K10" s="8">
        <f>SUMIF('DAILY FIESTA'!$B$10:$B$115,$A10,'DAILY FIESTA'!P$10:P$115)</f>
        <v>0</v>
      </c>
      <c r="L10" s="8">
        <f>SUMIF('DAILY FIESTA'!$B$10:$B$115,$A10,'DAILY FIESTA'!Q$10:Q$115)</f>
        <v>0</v>
      </c>
      <c r="M10" s="8">
        <f>SUMIF('DAILY FIESTA'!$B$10:$B$115,$A10,'DAILY FIESTA'!R$10:R$115)</f>
        <v>0</v>
      </c>
      <c r="N10" s="8">
        <f>SUMIF('DAILY FIESTA'!$B$10:$B$115,$A10,'DAILY FIESTA'!S$10:S$115)</f>
        <v>0</v>
      </c>
      <c r="O10" s="8">
        <f>SUMIF('DAILY FIESTA'!$B$10:$B$115,$A10,'DAILY FIESTA'!T$10:T$115)</f>
        <v>0</v>
      </c>
      <c r="P10" s="8">
        <f>SUMIF('DAILY FIESTA'!$B$10:$B$115,$A10,'DAILY FIESTA'!U$10:U$115)</f>
        <v>0</v>
      </c>
      <c r="Q10" s="8">
        <f>SUMIF('DAILY FIESTA'!$B$10:$B$115,$A10,'DAILY FIESTA'!V$10:V$115)</f>
        <v>0</v>
      </c>
      <c r="R10" s="8">
        <f>SUMIF('DAILY FIESTA'!$B$10:$B$115,$A10,'DAILY FIESTA'!W$10:W$115)</f>
        <v>0</v>
      </c>
      <c r="S10" s="8">
        <f>SUMIF('DAILY FIESTA'!$B$10:$B$115,$A10,'DAILY FIESTA'!X$10:X$115)</f>
        <v>0</v>
      </c>
      <c r="T10" s="8">
        <f>SUMIF('DAILY FIESTA'!$B$10:$B$115,$A10,'DAILY FIESTA'!Y$10:Y$115)</f>
        <v>0</v>
      </c>
      <c r="U10" s="8">
        <f>SUMIF('DAILY FIESTA'!$B$10:$B$115,$A10,'DAILY FIESTA'!Z$10:Z$115)</f>
        <v>0</v>
      </c>
      <c r="V10" s="8">
        <f>SUMIF('DAILY FIESTA'!$B$10:$B$115,$A10,'DAILY FIESTA'!AA$10:AA$115)</f>
        <v>0</v>
      </c>
      <c r="W10" s="59">
        <f t="shared" si="0"/>
        <v>0</v>
      </c>
      <c r="X10" s="60">
        <f t="shared" ca="1" si="1"/>
        <v>0</v>
      </c>
      <c r="Y10" s="47">
        <f t="shared" ca="1" si="2"/>
        <v>0</v>
      </c>
      <c r="Z10" s="88" t="e">
        <f t="shared" ca="1" si="5"/>
        <v>#DIV/0!</v>
      </c>
      <c r="AA10" s="89" t="e">
        <f t="shared" ca="1" si="6"/>
        <v>#DIV/0!</v>
      </c>
      <c r="AB10" s="112">
        <f>+'Actual VS SAP'!AA12</f>
        <v>0</v>
      </c>
      <c r="AC10" s="48">
        <f t="shared" si="3"/>
        <v>0</v>
      </c>
      <c r="AD10" s="89" t="e">
        <f t="shared" si="4"/>
        <v>#DIV/0!</v>
      </c>
    </row>
    <row r="11" spans="1:30">
      <c r="A11" s="7">
        <f>+'ALL SORTASI'!A13</f>
        <v>46211</v>
      </c>
      <c r="B11" s="8">
        <f ca="1">SUMIF('DAILY FIESTA'!$B$10:$B$115,$A11,'DAILY FIESTA'!$C$10:$C$114)</f>
        <v>0</v>
      </c>
      <c r="C11" s="8">
        <f>SUMIF('DAILY FIESTA'!$B$10:$B$115,$A11,'DAILY FIESTA'!H$10:H$115)</f>
        <v>0</v>
      </c>
      <c r="D11" s="8">
        <f>SUMIF('DAILY FIESTA'!$B$10:$B$115,$A11,'DAILY FIESTA'!I$10:I$115)</f>
        <v>0</v>
      </c>
      <c r="E11" s="8">
        <f>SUMIF('DAILY FIESTA'!$B$10:$B$115,$A11,'DAILY FIESTA'!J$10:J$115)</f>
        <v>0</v>
      </c>
      <c r="F11" s="8">
        <f>SUMIF('DAILY FIESTA'!$B$10:$B$115,$A11,'DAILY FIESTA'!K$10:K$115)</f>
        <v>0</v>
      </c>
      <c r="G11" s="8">
        <f>SUMIF('DAILY FIESTA'!$B$10:$B$115,$A11,'DAILY FIESTA'!L$10:L$115)</f>
        <v>0</v>
      </c>
      <c r="H11" s="8">
        <f>SUMIF('DAILY FIESTA'!$B$10:$B$115,$A11,'DAILY FIESTA'!M$10:M$115)</f>
        <v>0</v>
      </c>
      <c r="I11" s="8">
        <f>SUMIF('DAILY FIESTA'!$B$10:$B$115,$A11,'DAILY FIESTA'!N$10:N$115)</f>
        <v>0</v>
      </c>
      <c r="J11" s="8">
        <f>SUMIF('DAILY FIESTA'!$B$10:$B$115,$A11,'DAILY FIESTA'!O$10:O$115)</f>
        <v>0</v>
      </c>
      <c r="K11" s="8">
        <f>SUMIF('DAILY FIESTA'!$B$10:$B$115,$A11,'DAILY FIESTA'!P$10:P$115)</f>
        <v>0</v>
      </c>
      <c r="L11" s="8">
        <f>SUMIF('DAILY FIESTA'!$B$10:$B$115,$A11,'DAILY FIESTA'!Q$10:Q$115)</f>
        <v>0</v>
      </c>
      <c r="M11" s="8">
        <f>SUMIF('DAILY FIESTA'!$B$10:$B$115,$A11,'DAILY FIESTA'!R$10:R$115)</f>
        <v>0</v>
      </c>
      <c r="N11" s="8">
        <f>SUMIF('DAILY FIESTA'!$B$10:$B$115,$A11,'DAILY FIESTA'!S$10:S$115)</f>
        <v>0</v>
      </c>
      <c r="O11" s="8">
        <f>SUMIF('DAILY FIESTA'!$B$10:$B$115,$A11,'DAILY FIESTA'!T$10:T$115)</f>
        <v>0</v>
      </c>
      <c r="P11" s="8">
        <f>SUMIF('DAILY FIESTA'!$B$10:$B$115,$A11,'DAILY FIESTA'!U$10:U$115)</f>
        <v>0</v>
      </c>
      <c r="Q11" s="8">
        <f>SUMIF('DAILY FIESTA'!$B$10:$B$115,$A11,'DAILY FIESTA'!V$10:V$115)</f>
        <v>0</v>
      </c>
      <c r="R11" s="8">
        <f>SUMIF('DAILY FIESTA'!$B$10:$B$115,$A11,'DAILY FIESTA'!W$10:W$115)</f>
        <v>0</v>
      </c>
      <c r="S11" s="8">
        <f>SUMIF('DAILY FIESTA'!$B$10:$B$115,$A11,'DAILY FIESTA'!X$10:X$115)</f>
        <v>0</v>
      </c>
      <c r="T11" s="8">
        <f>SUMIF('DAILY FIESTA'!$B$10:$B$115,$A11,'DAILY FIESTA'!Y$10:Y$115)</f>
        <v>0</v>
      </c>
      <c r="U11" s="8">
        <f>SUMIF('DAILY FIESTA'!$B$10:$B$115,$A11,'DAILY FIESTA'!Z$10:Z$115)</f>
        <v>0</v>
      </c>
      <c r="V11" s="8">
        <f>SUMIF('DAILY FIESTA'!$B$10:$B$115,$A11,'DAILY FIESTA'!AA$10:AA$115)</f>
        <v>0</v>
      </c>
      <c r="W11" s="59">
        <f t="shared" si="0"/>
        <v>0</v>
      </c>
      <c r="X11" s="60">
        <f t="shared" ca="1" si="1"/>
        <v>0</v>
      </c>
      <c r="Y11" s="47">
        <f t="shared" ca="1" si="2"/>
        <v>0</v>
      </c>
      <c r="Z11" s="88" t="e">
        <f t="shared" ca="1" si="5"/>
        <v>#DIV/0!</v>
      </c>
      <c r="AA11" s="89" t="e">
        <f t="shared" ca="1" si="6"/>
        <v>#DIV/0!</v>
      </c>
      <c r="AB11" s="112">
        <f>+'Actual VS SAP'!AA13</f>
        <v>0</v>
      </c>
      <c r="AC11" s="48">
        <f t="shared" si="3"/>
        <v>0</v>
      </c>
      <c r="AD11" s="89" t="e">
        <f t="shared" si="4"/>
        <v>#DIV/0!</v>
      </c>
    </row>
    <row r="12" spans="1:30">
      <c r="A12" s="7">
        <f>+'ALL SORTASI'!A14</f>
        <v>46212</v>
      </c>
      <c r="B12" s="8">
        <f ca="1">SUMIF('DAILY FIESTA'!$B$10:$B$115,$A12,'DAILY FIESTA'!$C$10:$C$114)</f>
        <v>0</v>
      </c>
      <c r="C12" s="8">
        <f>SUMIF('DAILY FIESTA'!$B$10:$B$115,$A12,'DAILY FIESTA'!H$10:H$115)</f>
        <v>0</v>
      </c>
      <c r="D12" s="8">
        <f>SUMIF('DAILY FIESTA'!$B$10:$B$115,$A12,'DAILY FIESTA'!I$10:I$115)</f>
        <v>0</v>
      </c>
      <c r="E12" s="8">
        <f>SUMIF('DAILY FIESTA'!$B$10:$B$115,$A12,'DAILY FIESTA'!J$10:J$115)</f>
        <v>0</v>
      </c>
      <c r="F12" s="8">
        <f>SUMIF('DAILY FIESTA'!$B$10:$B$115,$A12,'DAILY FIESTA'!K$10:K$115)</f>
        <v>0</v>
      </c>
      <c r="G12" s="8">
        <f>SUMIF('DAILY FIESTA'!$B$10:$B$115,$A12,'DAILY FIESTA'!L$10:L$115)</f>
        <v>0</v>
      </c>
      <c r="H12" s="8">
        <f>SUMIF('DAILY FIESTA'!$B$10:$B$115,$A12,'DAILY FIESTA'!M$10:M$115)</f>
        <v>0</v>
      </c>
      <c r="I12" s="8">
        <f>SUMIF('DAILY FIESTA'!$B$10:$B$115,$A12,'DAILY FIESTA'!N$10:N$115)</f>
        <v>0</v>
      </c>
      <c r="J12" s="8">
        <f>SUMIF('DAILY FIESTA'!$B$10:$B$115,$A12,'DAILY FIESTA'!O$10:O$115)</f>
        <v>0</v>
      </c>
      <c r="K12" s="8">
        <f>SUMIF('DAILY FIESTA'!$B$10:$B$115,$A12,'DAILY FIESTA'!P$10:P$115)</f>
        <v>0</v>
      </c>
      <c r="L12" s="8">
        <f>SUMIF('DAILY FIESTA'!$B$10:$B$115,$A12,'DAILY FIESTA'!Q$10:Q$115)</f>
        <v>0</v>
      </c>
      <c r="M12" s="8">
        <f>SUMIF('DAILY FIESTA'!$B$10:$B$115,$A12,'DAILY FIESTA'!R$10:R$115)</f>
        <v>0</v>
      </c>
      <c r="N12" s="8">
        <f>SUMIF('DAILY FIESTA'!$B$10:$B$115,$A12,'DAILY FIESTA'!S$10:S$115)</f>
        <v>0</v>
      </c>
      <c r="O12" s="8">
        <f>SUMIF('DAILY FIESTA'!$B$10:$B$115,$A12,'DAILY FIESTA'!T$10:T$115)</f>
        <v>0</v>
      </c>
      <c r="P12" s="8">
        <f>SUMIF('DAILY FIESTA'!$B$10:$B$115,$A12,'DAILY FIESTA'!U$10:U$115)</f>
        <v>0</v>
      </c>
      <c r="Q12" s="8">
        <f>SUMIF('DAILY FIESTA'!$B$10:$B$115,$A12,'DAILY FIESTA'!V$10:V$115)</f>
        <v>0</v>
      </c>
      <c r="R12" s="8">
        <f>SUMIF('DAILY FIESTA'!$B$10:$B$115,$A12,'DAILY FIESTA'!W$10:W$115)</f>
        <v>0</v>
      </c>
      <c r="S12" s="8">
        <f>SUMIF('DAILY FIESTA'!$B$10:$B$115,$A12,'DAILY FIESTA'!X$10:X$115)</f>
        <v>0</v>
      </c>
      <c r="T12" s="8">
        <f>SUMIF('DAILY FIESTA'!$B$10:$B$115,$A12,'DAILY FIESTA'!Y$10:Y$115)</f>
        <v>0</v>
      </c>
      <c r="U12" s="8">
        <f>SUMIF('DAILY FIESTA'!$B$10:$B$115,$A12,'DAILY FIESTA'!Z$10:Z$115)</f>
        <v>0</v>
      </c>
      <c r="V12" s="8">
        <f>SUMIF('DAILY FIESTA'!$B$10:$B$115,$A12,'DAILY FIESTA'!AA$10:AA$115)</f>
        <v>0</v>
      </c>
      <c r="W12" s="59">
        <f t="shared" si="0"/>
        <v>0</v>
      </c>
      <c r="X12" s="60">
        <f t="shared" ca="1" si="1"/>
        <v>0</v>
      </c>
      <c r="Y12" s="47">
        <f t="shared" ca="1" si="2"/>
        <v>0</v>
      </c>
      <c r="Z12" s="88" t="e">
        <f t="shared" ca="1" si="5"/>
        <v>#DIV/0!</v>
      </c>
      <c r="AA12" s="89" t="e">
        <f t="shared" ca="1" si="6"/>
        <v>#DIV/0!</v>
      </c>
      <c r="AB12" s="112">
        <f>+'Actual VS SAP'!AA14</f>
        <v>0</v>
      </c>
      <c r="AC12" s="48">
        <f t="shared" si="3"/>
        <v>0</v>
      </c>
      <c r="AD12" s="89" t="e">
        <f t="shared" si="4"/>
        <v>#DIV/0!</v>
      </c>
    </row>
    <row r="13" spans="1:30">
      <c r="A13" s="7">
        <f>+'ALL SORTASI'!A15</f>
        <v>46213</v>
      </c>
      <c r="B13" s="8">
        <f ca="1">SUMIF('DAILY FIESTA'!$B$10:$B$115,$A13,'DAILY FIESTA'!$C$10:$C$114)</f>
        <v>0</v>
      </c>
      <c r="C13" s="8">
        <f>SUMIF('DAILY FIESTA'!$B$10:$B$115,$A13,'DAILY FIESTA'!H$10:H$115)</f>
        <v>0</v>
      </c>
      <c r="D13" s="8">
        <f>SUMIF('DAILY FIESTA'!$B$10:$B$115,$A13,'DAILY FIESTA'!I$10:I$115)</f>
        <v>0</v>
      </c>
      <c r="E13" s="8">
        <f>SUMIF('DAILY FIESTA'!$B$10:$B$115,$A13,'DAILY FIESTA'!J$10:J$115)</f>
        <v>0</v>
      </c>
      <c r="F13" s="8">
        <f>SUMIF('DAILY FIESTA'!$B$10:$B$115,$A13,'DAILY FIESTA'!K$10:K$115)</f>
        <v>0</v>
      </c>
      <c r="G13" s="8">
        <f>SUMIF('DAILY FIESTA'!$B$10:$B$115,$A13,'DAILY FIESTA'!L$10:L$115)</f>
        <v>0</v>
      </c>
      <c r="H13" s="8">
        <f>SUMIF('DAILY FIESTA'!$B$10:$B$115,$A13,'DAILY FIESTA'!M$10:M$115)</f>
        <v>0</v>
      </c>
      <c r="I13" s="8">
        <f>SUMIF('DAILY FIESTA'!$B$10:$B$115,$A13,'DAILY FIESTA'!N$10:N$115)</f>
        <v>0</v>
      </c>
      <c r="J13" s="8">
        <f>SUMIF('DAILY FIESTA'!$B$10:$B$115,$A13,'DAILY FIESTA'!O$10:O$115)</f>
        <v>0</v>
      </c>
      <c r="K13" s="8">
        <f>SUMIF('DAILY FIESTA'!$B$10:$B$115,$A13,'DAILY FIESTA'!P$10:P$115)</f>
        <v>0</v>
      </c>
      <c r="L13" s="8">
        <f>SUMIF('DAILY FIESTA'!$B$10:$B$115,$A13,'DAILY FIESTA'!Q$10:Q$115)</f>
        <v>0</v>
      </c>
      <c r="M13" s="8">
        <f>SUMIF('DAILY FIESTA'!$B$10:$B$115,$A13,'DAILY FIESTA'!R$10:R$115)</f>
        <v>0</v>
      </c>
      <c r="N13" s="8">
        <f>SUMIF('DAILY FIESTA'!$B$10:$B$115,$A13,'DAILY FIESTA'!S$10:S$115)</f>
        <v>0</v>
      </c>
      <c r="O13" s="8">
        <f>SUMIF('DAILY FIESTA'!$B$10:$B$115,$A13,'DAILY FIESTA'!T$10:T$115)</f>
        <v>0</v>
      </c>
      <c r="P13" s="8">
        <f>SUMIF('DAILY FIESTA'!$B$10:$B$115,$A13,'DAILY FIESTA'!U$10:U$115)</f>
        <v>0</v>
      </c>
      <c r="Q13" s="8">
        <f>SUMIF('DAILY FIESTA'!$B$10:$B$115,$A13,'DAILY FIESTA'!V$10:V$115)</f>
        <v>0</v>
      </c>
      <c r="R13" s="8">
        <f>SUMIF('DAILY FIESTA'!$B$10:$B$115,$A13,'DAILY FIESTA'!W$10:W$115)</f>
        <v>0</v>
      </c>
      <c r="S13" s="8">
        <f>SUMIF('DAILY FIESTA'!$B$10:$B$115,$A13,'DAILY FIESTA'!X$10:X$115)</f>
        <v>0</v>
      </c>
      <c r="T13" s="8">
        <f>SUMIF('DAILY FIESTA'!$B$10:$B$115,$A13,'DAILY FIESTA'!Y$10:Y$115)</f>
        <v>0</v>
      </c>
      <c r="U13" s="8">
        <f>SUMIF('DAILY FIESTA'!$B$10:$B$115,$A13,'DAILY FIESTA'!Z$10:Z$115)</f>
        <v>0</v>
      </c>
      <c r="V13" s="8">
        <f>SUMIF('DAILY FIESTA'!$B$10:$B$115,$A13,'DAILY FIESTA'!AA$10:AA$115)</f>
        <v>0</v>
      </c>
      <c r="W13" s="59">
        <f t="shared" si="0"/>
        <v>0</v>
      </c>
      <c r="X13" s="60">
        <f t="shared" ca="1" si="1"/>
        <v>0</v>
      </c>
      <c r="Y13" s="47">
        <f t="shared" ca="1" si="2"/>
        <v>0</v>
      </c>
      <c r="Z13" s="88" t="e">
        <f t="shared" ca="1" si="5"/>
        <v>#DIV/0!</v>
      </c>
      <c r="AA13" s="89" t="e">
        <f t="shared" ca="1" si="6"/>
        <v>#DIV/0!</v>
      </c>
      <c r="AB13" s="112">
        <f>+'Actual VS SAP'!AA15</f>
        <v>0</v>
      </c>
      <c r="AC13" s="48">
        <f t="shared" si="3"/>
        <v>0</v>
      </c>
      <c r="AD13" s="89" t="e">
        <f t="shared" si="4"/>
        <v>#DIV/0!</v>
      </c>
    </row>
    <row r="14" spans="1:30">
      <c r="A14" s="7">
        <f>+'ALL SORTASI'!A16</f>
        <v>46214</v>
      </c>
      <c r="B14" s="8">
        <f ca="1">SUMIF('DAILY FIESTA'!$B$10:$B$115,$A14,'DAILY FIESTA'!$C$10:$C$114)</f>
        <v>0</v>
      </c>
      <c r="C14" s="8">
        <f>SUMIF('DAILY FIESTA'!$B$10:$B$115,$A14,'DAILY FIESTA'!H$10:H$115)</f>
        <v>0</v>
      </c>
      <c r="D14" s="8">
        <f>SUMIF('DAILY FIESTA'!$B$10:$B$115,$A14,'DAILY FIESTA'!I$10:I$115)</f>
        <v>0</v>
      </c>
      <c r="E14" s="8">
        <f>SUMIF('DAILY FIESTA'!$B$10:$B$115,$A14,'DAILY FIESTA'!J$10:J$115)</f>
        <v>0</v>
      </c>
      <c r="F14" s="8">
        <f>SUMIF('DAILY FIESTA'!$B$10:$B$115,$A14,'DAILY FIESTA'!K$10:K$115)</f>
        <v>0</v>
      </c>
      <c r="G14" s="8">
        <f>SUMIF('DAILY FIESTA'!$B$10:$B$115,$A14,'DAILY FIESTA'!L$10:L$115)</f>
        <v>0</v>
      </c>
      <c r="H14" s="8">
        <f>SUMIF('DAILY FIESTA'!$B$10:$B$115,$A14,'DAILY FIESTA'!M$10:M$115)</f>
        <v>0</v>
      </c>
      <c r="I14" s="8">
        <f>SUMIF('DAILY FIESTA'!$B$10:$B$115,$A14,'DAILY FIESTA'!N$10:N$115)</f>
        <v>0</v>
      </c>
      <c r="J14" s="8">
        <f>SUMIF('DAILY FIESTA'!$B$10:$B$115,$A14,'DAILY FIESTA'!O$10:O$115)</f>
        <v>0</v>
      </c>
      <c r="K14" s="8">
        <f>SUMIF('DAILY FIESTA'!$B$10:$B$115,$A14,'DAILY FIESTA'!P$10:P$115)</f>
        <v>0</v>
      </c>
      <c r="L14" s="8">
        <f>SUMIF('DAILY FIESTA'!$B$10:$B$115,$A14,'DAILY FIESTA'!Q$10:Q$115)</f>
        <v>0</v>
      </c>
      <c r="M14" s="8">
        <f>SUMIF('DAILY FIESTA'!$B$10:$B$115,$A14,'DAILY FIESTA'!R$10:R$115)</f>
        <v>0</v>
      </c>
      <c r="N14" s="8">
        <f>SUMIF('DAILY FIESTA'!$B$10:$B$115,$A14,'DAILY FIESTA'!S$10:S$115)</f>
        <v>0</v>
      </c>
      <c r="O14" s="8">
        <f>SUMIF('DAILY FIESTA'!$B$10:$B$115,$A14,'DAILY FIESTA'!T$10:T$115)</f>
        <v>0</v>
      </c>
      <c r="P14" s="8">
        <f>SUMIF('DAILY FIESTA'!$B$10:$B$115,$A14,'DAILY FIESTA'!U$10:U$115)</f>
        <v>0</v>
      </c>
      <c r="Q14" s="8">
        <f>SUMIF('DAILY FIESTA'!$B$10:$B$115,$A14,'DAILY FIESTA'!V$10:V$115)</f>
        <v>0</v>
      </c>
      <c r="R14" s="8">
        <f>SUMIF('DAILY FIESTA'!$B$10:$B$115,$A14,'DAILY FIESTA'!W$10:W$115)</f>
        <v>0</v>
      </c>
      <c r="S14" s="8">
        <f>SUMIF('DAILY FIESTA'!$B$10:$B$115,$A14,'DAILY FIESTA'!X$10:X$115)</f>
        <v>0</v>
      </c>
      <c r="T14" s="8">
        <f>SUMIF('DAILY FIESTA'!$B$10:$B$115,$A14,'DAILY FIESTA'!Y$10:Y$115)</f>
        <v>0</v>
      </c>
      <c r="U14" s="8">
        <f>SUMIF('DAILY FIESTA'!$B$10:$B$115,$A14,'DAILY FIESTA'!Z$10:Z$115)</f>
        <v>0</v>
      </c>
      <c r="V14" s="8">
        <f>SUMIF('DAILY FIESTA'!$B$10:$B$115,$A14,'DAILY FIESTA'!AA$10:AA$115)</f>
        <v>0</v>
      </c>
      <c r="W14" s="59">
        <f t="shared" si="0"/>
        <v>0</v>
      </c>
      <c r="X14" s="60">
        <f t="shared" ca="1" si="1"/>
        <v>0</v>
      </c>
      <c r="Y14" s="47">
        <f t="shared" ca="1" si="2"/>
        <v>0</v>
      </c>
      <c r="Z14" s="88" t="e">
        <f t="shared" ca="1" si="5"/>
        <v>#DIV/0!</v>
      </c>
      <c r="AA14" s="89" t="e">
        <f t="shared" ca="1" si="6"/>
        <v>#DIV/0!</v>
      </c>
      <c r="AB14" s="112">
        <f>+'Actual VS SAP'!AA16</f>
        <v>0</v>
      </c>
      <c r="AC14" s="48">
        <f t="shared" si="3"/>
        <v>0</v>
      </c>
      <c r="AD14" s="89" t="e">
        <f t="shared" si="4"/>
        <v>#DIV/0!</v>
      </c>
    </row>
    <row r="15" spans="1:30">
      <c r="A15" s="7">
        <f>+'ALL SORTASI'!A17</f>
        <v>46215</v>
      </c>
      <c r="B15" s="8">
        <f ca="1">SUMIF('DAILY FIESTA'!$B$10:$B$115,$A15,'DAILY FIESTA'!$C$10:$C$114)</f>
        <v>0</v>
      </c>
      <c r="C15" s="8">
        <f>SUMIF('DAILY FIESTA'!$B$10:$B$115,$A15,'DAILY FIESTA'!H$10:H$115)</f>
        <v>0</v>
      </c>
      <c r="D15" s="8">
        <f>SUMIF('DAILY FIESTA'!$B$10:$B$115,$A15,'DAILY FIESTA'!I$10:I$115)</f>
        <v>0</v>
      </c>
      <c r="E15" s="8">
        <f>SUMIF('DAILY FIESTA'!$B$10:$B$115,$A15,'DAILY FIESTA'!J$10:J$115)</f>
        <v>0</v>
      </c>
      <c r="F15" s="8">
        <f>SUMIF('DAILY FIESTA'!$B$10:$B$115,$A15,'DAILY FIESTA'!K$10:K$115)</f>
        <v>0</v>
      </c>
      <c r="G15" s="8">
        <f>SUMIF('DAILY FIESTA'!$B$10:$B$115,$A15,'DAILY FIESTA'!L$10:L$115)</f>
        <v>0</v>
      </c>
      <c r="H15" s="8">
        <f>SUMIF('DAILY FIESTA'!$B$10:$B$115,$A15,'DAILY FIESTA'!M$10:M$115)</f>
        <v>0</v>
      </c>
      <c r="I15" s="8">
        <f>SUMIF('DAILY FIESTA'!$B$10:$B$115,$A15,'DAILY FIESTA'!N$10:N$115)</f>
        <v>0</v>
      </c>
      <c r="J15" s="8">
        <f>SUMIF('DAILY FIESTA'!$B$10:$B$115,$A15,'DAILY FIESTA'!O$10:O$115)</f>
        <v>0</v>
      </c>
      <c r="K15" s="8">
        <f>SUMIF('DAILY FIESTA'!$B$10:$B$115,$A15,'DAILY FIESTA'!P$10:P$115)</f>
        <v>0</v>
      </c>
      <c r="L15" s="8">
        <f>SUMIF('DAILY FIESTA'!$B$10:$B$115,$A15,'DAILY FIESTA'!Q$10:Q$115)</f>
        <v>0</v>
      </c>
      <c r="M15" s="8">
        <f>SUMIF('DAILY FIESTA'!$B$10:$B$115,$A15,'DAILY FIESTA'!R$10:R$115)</f>
        <v>0</v>
      </c>
      <c r="N15" s="8">
        <f>SUMIF('DAILY FIESTA'!$B$10:$B$115,$A15,'DAILY FIESTA'!S$10:S$115)</f>
        <v>0</v>
      </c>
      <c r="O15" s="8">
        <f>SUMIF('DAILY FIESTA'!$B$10:$B$115,$A15,'DAILY FIESTA'!T$10:T$115)</f>
        <v>0</v>
      </c>
      <c r="P15" s="8">
        <f>SUMIF('DAILY FIESTA'!$B$10:$B$115,$A15,'DAILY FIESTA'!U$10:U$115)</f>
        <v>0</v>
      </c>
      <c r="Q15" s="8">
        <f>SUMIF('DAILY FIESTA'!$B$10:$B$115,$A15,'DAILY FIESTA'!V$10:V$115)</f>
        <v>0</v>
      </c>
      <c r="R15" s="8">
        <f>SUMIF('DAILY FIESTA'!$B$10:$B$115,$A15,'DAILY FIESTA'!W$10:W$115)</f>
        <v>0</v>
      </c>
      <c r="S15" s="8">
        <f>SUMIF('DAILY FIESTA'!$B$10:$B$115,$A15,'DAILY FIESTA'!X$10:X$115)</f>
        <v>0</v>
      </c>
      <c r="T15" s="8">
        <f>SUMIF('DAILY FIESTA'!$B$10:$B$115,$A15,'DAILY FIESTA'!Y$10:Y$115)</f>
        <v>0</v>
      </c>
      <c r="U15" s="8">
        <f>SUMIF('DAILY FIESTA'!$B$10:$B$115,$A15,'DAILY FIESTA'!Z$10:Z$115)</f>
        <v>0</v>
      </c>
      <c r="V15" s="8">
        <f>SUMIF('DAILY FIESTA'!$B$10:$B$115,$A15,'DAILY FIESTA'!AA$10:AA$115)</f>
        <v>0</v>
      </c>
      <c r="W15" s="59">
        <f t="shared" si="0"/>
        <v>0</v>
      </c>
      <c r="X15" s="60">
        <f t="shared" ca="1" si="1"/>
        <v>0</v>
      </c>
      <c r="Y15" s="47">
        <f t="shared" ca="1" si="2"/>
        <v>0</v>
      </c>
      <c r="Z15" s="88" t="e">
        <f t="shared" ca="1" si="5"/>
        <v>#DIV/0!</v>
      </c>
      <c r="AA15" s="89" t="e">
        <f t="shared" ca="1" si="6"/>
        <v>#DIV/0!</v>
      </c>
      <c r="AB15" s="112">
        <f>+'Actual VS SAP'!AA17</f>
        <v>0</v>
      </c>
      <c r="AC15" s="48">
        <f t="shared" si="3"/>
        <v>0</v>
      </c>
      <c r="AD15" s="89" t="e">
        <f t="shared" si="4"/>
        <v>#DIV/0!</v>
      </c>
    </row>
    <row r="16" spans="1:30">
      <c r="A16" s="7">
        <f>+'ALL SORTASI'!A18</f>
        <v>46216</v>
      </c>
      <c r="B16" s="8">
        <f ca="1">SUMIF('DAILY FIESTA'!$B$10:$B$115,$A16,'DAILY FIESTA'!$C$10:$C$114)</f>
        <v>0</v>
      </c>
      <c r="C16" s="8">
        <f>SUMIF('DAILY FIESTA'!$B$10:$B$115,$A16,'DAILY FIESTA'!H$10:H$115)</f>
        <v>0</v>
      </c>
      <c r="D16" s="8">
        <f>SUMIF('DAILY FIESTA'!$B$10:$B$115,$A16,'DAILY FIESTA'!I$10:I$115)</f>
        <v>0</v>
      </c>
      <c r="E16" s="8">
        <f>SUMIF('DAILY FIESTA'!$B$10:$B$115,$A16,'DAILY FIESTA'!J$10:J$115)</f>
        <v>0</v>
      </c>
      <c r="F16" s="8">
        <f>SUMIF('DAILY FIESTA'!$B$10:$B$115,$A16,'DAILY FIESTA'!K$10:K$115)</f>
        <v>0</v>
      </c>
      <c r="G16" s="8">
        <f>SUMIF('DAILY FIESTA'!$B$10:$B$115,$A16,'DAILY FIESTA'!L$10:L$115)</f>
        <v>0</v>
      </c>
      <c r="H16" s="8">
        <f>SUMIF('DAILY FIESTA'!$B$10:$B$115,$A16,'DAILY FIESTA'!M$10:M$115)</f>
        <v>0</v>
      </c>
      <c r="I16" s="8">
        <f>SUMIF('DAILY FIESTA'!$B$10:$B$115,$A16,'DAILY FIESTA'!N$10:N$115)</f>
        <v>0</v>
      </c>
      <c r="J16" s="8">
        <f>SUMIF('DAILY FIESTA'!$B$10:$B$115,$A16,'DAILY FIESTA'!O$10:O$115)</f>
        <v>0</v>
      </c>
      <c r="K16" s="8">
        <f>SUMIF('DAILY FIESTA'!$B$10:$B$115,$A16,'DAILY FIESTA'!P$10:P$115)</f>
        <v>0</v>
      </c>
      <c r="L16" s="8">
        <f>SUMIF('DAILY FIESTA'!$B$10:$B$115,$A16,'DAILY FIESTA'!Q$10:Q$115)</f>
        <v>0</v>
      </c>
      <c r="M16" s="8">
        <f>SUMIF('DAILY FIESTA'!$B$10:$B$115,$A16,'DAILY FIESTA'!R$10:R$115)</f>
        <v>0</v>
      </c>
      <c r="N16" s="8">
        <f>SUMIF('DAILY FIESTA'!$B$10:$B$115,$A16,'DAILY FIESTA'!S$10:S$115)</f>
        <v>0</v>
      </c>
      <c r="O16" s="8">
        <f>SUMIF('DAILY FIESTA'!$B$10:$B$115,$A16,'DAILY FIESTA'!T$10:T$115)</f>
        <v>0</v>
      </c>
      <c r="P16" s="8">
        <f>SUMIF('DAILY FIESTA'!$B$10:$B$115,$A16,'DAILY FIESTA'!U$10:U$115)</f>
        <v>0</v>
      </c>
      <c r="Q16" s="8">
        <f>SUMIF('DAILY FIESTA'!$B$10:$B$115,$A16,'DAILY FIESTA'!V$10:V$115)</f>
        <v>0</v>
      </c>
      <c r="R16" s="8">
        <f>SUMIF('DAILY FIESTA'!$B$10:$B$115,$A16,'DAILY FIESTA'!W$10:W$115)</f>
        <v>0</v>
      </c>
      <c r="S16" s="8">
        <f>SUMIF('DAILY FIESTA'!$B$10:$B$115,$A16,'DAILY FIESTA'!X$10:X$115)</f>
        <v>0</v>
      </c>
      <c r="T16" s="8">
        <f>SUMIF('DAILY FIESTA'!$B$10:$B$115,$A16,'DAILY FIESTA'!Y$10:Y$115)</f>
        <v>0</v>
      </c>
      <c r="U16" s="8">
        <f>SUMIF('DAILY FIESTA'!$B$10:$B$115,$A16,'DAILY FIESTA'!Z$10:Z$115)</f>
        <v>0</v>
      </c>
      <c r="V16" s="8">
        <f>SUMIF('DAILY FIESTA'!$B$10:$B$115,$A16,'DAILY FIESTA'!AA$10:AA$115)</f>
        <v>0</v>
      </c>
      <c r="W16" s="59">
        <f t="shared" si="0"/>
        <v>0</v>
      </c>
      <c r="X16" s="60">
        <f t="shared" ca="1" si="1"/>
        <v>0</v>
      </c>
      <c r="Y16" s="47">
        <f t="shared" ca="1" si="2"/>
        <v>0</v>
      </c>
      <c r="Z16" s="88" t="e">
        <f t="shared" ca="1" si="5"/>
        <v>#DIV/0!</v>
      </c>
      <c r="AA16" s="89" t="e">
        <f t="shared" ca="1" si="6"/>
        <v>#DIV/0!</v>
      </c>
      <c r="AB16" s="112">
        <f>+'Actual VS SAP'!AA18</f>
        <v>0</v>
      </c>
      <c r="AC16" s="48">
        <f t="shared" si="3"/>
        <v>0</v>
      </c>
      <c r="AD16" s="89" t="e">
        <f t="shared" si="4"/>
        <v>#DIV/0!</v>
      </c>
    </row>
    <row r="17" spans="1:30">
      <c r="A17" s="7">
        <f>+'ALL SORTASI'!A19</f>
        <v>46217</v>
      </c>
      <c r="B17" s="8">
        <f ca="1">SUMIF('DAILY FIESTA'!$B$10:$B$115,$A17,'DAILY FIESTA'!$C$10:$C$114)</f>
        <v>0</v>
      </c>
      <c r="C17" s="8">
        <f>SUMIF('DAILY FIESTA'!$B$10:$B$115,$A17,'DAILY FIESTA'!H$10:H$115)</f>
        <v>0</v>
      </c>
      <c r="D17" s="8">
        <f>SUMIF('DAILY FIESTA'!$B$10:$B$115,$A17,'DAILY FIESTA'!I$10:I$115)</f>
        <v>0</v>
      </c>
      <c r="E17" s="8">
        <f>SUMIF('DAILY FIESTA'!$B$10:$B$115,$A17,'DAILY FIESTA'!J$10:J$115)</f>
        <v>0</v>
      </c>
      <c r="F17" s="8">
        <f>SUMIF('DAILY FIESTA'!$B$10:$B$115,$A17,'DAILY FIESTA'!K$10:K$115)</f>
        <v>0</v>
      </c>
      <c r="G17" s="8">
        <f>SUMIF('DAILY FIESTA'!$B$10:$B$115,$A17,'DAILY FIESTA'!L$10:L$115)</f>
        <v>0</v>
      </c>
      <c r="H17" s="8">
        <f>SUMIF('DAILY FIESTA'!$B$10:$B$115,$A17,'DAILY FIESTA'!M$10:M$115)</f>
        <v>0</v>
      </c>
      <c r="I17" s="8">
        <f>SUMIF('DAILY FIESTA'!$B$10:$B$115,$A17,'DAILY FIESTA'!N$10:N$115)</f>
        <v>0</v>
      </c>
      <c r="J17" s="8">
        <f>SUMIF('DAILY FIESTA'!$B$10:$B$115,$A17,'DAILY FIESTA'!O$10:O$115)</f>
        <v>0</v>
      </c>
      <c r="K17" s="8">
        <f>SUMIF('DAILY FIESTA'!$B$10:$B$115,$A17,'DAILY FIESTA'!P$10:P$115)</f>
        <v>0</v>
      </c>
      <c r="L17" s="8">
        <f>SUMIF('DAILY FIESTA'!$B$10:$B$115,$A17,'DAILY FIESTA'!Q$10:Q$115)</f>
        <v>0</v>
      </c>
      <c r="M17" s="8">
        <f>SUMIF('DAILY FIESTA'!$B$10:$B$115,$A17,'DAILY FIESTA'!R$10:R$115)</f>
        <v>0</v>
      </c>
      <c r="N17" s="8">
        <f>SUMIF('DAILY FIESTA'!$B$10:$B$115,$A17,'DAILY FIESTA'!S$10:S$115)</f>
        <v>0</v>
      </c>
      <c r="O17" s="8">
        <f>SUMIF('DAILY FIESTA'!$B$10:$B$115,$A17,'DAILY FIESTA'!T$10:T$115)</f>
        <v>0</v>
      </c>
      <c r="P17" s="8">
        <f>SUMIF('DAILY FIESTA'!$B$10:$B$115,$A17,'DAILY FIESTA'!U$10:U$115)</f>
        <v>0</v>
      </c>
      <c r="Q17" s="8">
        <f>SUMIF('DAILY FIESTA'!$B$10:$B$115,$A17,'DAILY FIESTA'!V$10:V$115)</f>
        <v>0</v>
      </c>
      <c r="R17" s="8">
        <f>SUMIF('DAILY FIESTA'!$B$10:$B$115,$A17,'DAILY FIESTA'!W$10:W$115)</f>
        <v>0</v>
      </c>
      <c r="S17" s="8">
        <f>SUMIF('DAILY FIESTA'!$B$10:$B$115,$A17,'DAILY FIESTA'!X$10:X$115)</f>
        <v>0</v>
      </c>
      <c r="T17" s="8">
        <f>SUMIF('DAILY FIESTA'!$B$10:$B$115,$A17,'DAILY FIESTA'!Y$10:Y$115)</f>
        <v>0</v>
      </c>
      <c r="U17" s="8">
        <f>SUMIF('DAILY FIESTA'!$B$10:$B$115,$A17,'DAILY FIESTA'!Z$10:Z$115)</f>
        <v>0</v>
      </c>
      <c r="V17" s="8">
        <f>SUMIF('DAILY FIESTA'!$B$10:$B$115,$A17,'DAILY FIESTA'!AA$10:AA$115)</f>
        <v>0</v>
      </c>
      <c r="W17" s="59">
        <f t="shared" si="0"/>
        <v>0</v>
      </c>
      <c r="X17" s="60">
        <f t="shared" ca="1" si="1"/>
        <v>0</v>
      </c>
      <c r="Y17" s="47">
        <f t="shared" ca="1" si="2"/>
        <v>0</v>
      </c>
      <c r="Z17" s="88" t="e">
        <f t="shared" ca="1" si="5"/>
        <v>#DIV/0!</v>
      </c>
      <c r="AA17" s="89" t="e">
        <f t="shared" ca="1" si="6"/>
        <v>#DIV/0!</v>
      </c>
      <c r="AB17" s="112">
        <f>+'Actual VS SAP'!AA19</f>
        <v>0</v>
      </c>
      <c r="AC17" s="48">
        <f t="shared" si="3"/>
        <v>0</v>
      </c>
      <c r="AD17" s="89" t="e">
        <f t="shared" si="4"/>
        <v>#DIV/0!</v>
      </c>
    </row>
    <row r="18" spans="1:30">
      <c r="A18" s="7">
        <f>+'ALL SORTASI'!A20</f>
        <v>46218</v>
      </c>
      <c r="B18" s="8">
        <f ca="1">SUMIF('DAILY FIESTA'!$B$10:$B$115,$A18,'DAILY FIESTA'!$C$10:$C$114)</f>
        <v>0</v>
      </c>
      <c r="C18" s="8">
        <f>SUMIF('DAILY FIESTA'!$B$10:$B$115,$A18,'DAILY FIESTA'!H$10:H$115)</f>
        <v>0</v>
      </c>
      <c r="D18" s="8">
        <f>SUMIF('DAILY FIESTA'!$B$10:$B$115,$A18,'DAILY FIESTA'!I$10:I$115)</f>
        <v>0</v>
      </c>
      <c r="E18" s="8">
        <f>SUMIF('DAILY FIESTA'!$B$10:$B$115,$A18,'DAILY FIESTA'!J$10:J$115)</f>
        <v>0</v>
      </c>
      <c r="F18" s="8">
        <f>SUMIF('DAILY FIESTA'!$B$10:$B$115,$A18,'DAILY FIESTA'!K$10:K$115)</f>
        <v>0</v>
      </c>
      <c r="G18" s="8">
        <f>SUMIF('DAILY FIESTA'!$B$10:$B$115,$A18,'DAILY FIESTA'!L$10:L$115)</f>
        <v>0</v>
      </c>
      <c r="H18" s="8">
        <f>SUMIF('DAILY FIESTA'!$B$10:$B$115,$A18,'DAILY FIESTA'!M$10:M$115)</f>
        <v>0</v>
      </c>
      <c r="I18" s="8">
        <f>SUMIF('DAILY FIESTA'!$B$10:$B$115,$A18,'DAILY FIESTA'!N$10:N$115)</f>
        <v>0</v>
      </c>
      <c r="J18" s="8">
        <f>SUMIF('DAILY FIESTA'!$B$10:$B$115,$A18,'DAILY FIESTA'!O$10:O$115)</f>
        <v>0</v>
      </c>
      <c r="K18" s="8">
        <f>SUMIF('DAILY FIESTA'!$B$10:$B$115,$A18,'DAILY FIESTA'!P$10:P$115)</f>
        <v>0</v>
      </c>
      <c r="L18" s="8">
        <f>SUMIF('DAILY FIESTA'!$B$10:$B$115,$A18,'DAILY FIESTA'!Q$10:Q$115)</f>
        <v>0</v>
      </c>
      <c r="M18" s="8">
        <f>SUMIF('DAILY FIESTA'!$B$10:$B$115,$A18,'DAILY FIESTA'!R$10:R$115)</f>
        <v>0</v>
      </c>
      <c r="N18" s="8">
        <f>SUMIF('DAILY FIESTA'!$B$10:$B$115,$A18,'DAILY FIESTA'!S$10:S$115)</f>
        <v>0</v>
      </c>
      <c r="O18" s="8">
        <f>SUMIF('DAILY FIESTA'!$B$10:$B$115,$A18,'DAILY FIESTA'!T$10:T$115)</f>
        <v>0</v>
      </c>
      <c r="P18" s="8">
        <f>SUMIF('DAILY FIESTA'!$B$10:$B$115,$A18,'DAILY FIESTA'!U$10:U$115)</f>
        <v>0</v>
      </c>
      <c r="Q18" s="8">
        <f>SUMIF('DAILY FIESTA'!$B$10:$B$115,$A18,'DAILY FIESTA'!V$10:V$115)</f>
        <v>0</v>
      </c>
      <c r="R18" s="8">
        <f>SUMIF('DAILY FIESTA'!$B$10:$B$115,$A18,'DAILY FIESTA'!W$10:W$115)</f>
        <v>0</v>
      </c>
      <c r="S18" s="8">
        <f>SUMIF('DAILY FIESTA'!$B$10:$B$115,$A18,'DAILY FIESTA'!X$10:X$115)</f>
        <v>0</v>
      </c>
      <c r="T18" s="8">
        <f>SUMIF('DAILY FIESTA'!$B$10:$B$115,$A18,'DAILY FIESTA'!Y$10:Y$115)</f>
        <v>0</v>
      </c>
      <c r="U18" s="8">
        <f>SUMIF('DAILY FIESTA'!$B$10:$B$115,$A18,'DAILY FIESTA'!Z$10:Z$115)</f>
        <v>0</v>
      </c>
      <c r="V18" s="8">
        <f>SUMIF('DAILY FIESTA'!$B$10:$B$115,$A18,'DAILY FIESTA'!AA$10:AA$115)</f>
        <v>0</v>
      </c>
      <c r="W18" s="59">
        <f t="shared" si="0"/>
        <v>0</v>
      </c>
      <c r="X18" s="60">
        <f t="shared" ca="1" si="1"/>
        <v>0</v>
      </c>
      <c r="Y18" s="47">
        <f t="shared" ca="1" si="2"/>
        <v>0</v>
      </c>
      <c r="Z18" s="88" t="e">
        <f t="shared" ca="1" si="5"/>
        <v>#DIV/0!</v>
      </c>
      <c r="AA18" s="89" t="e">
        <f t="shared" ca="1" si="6"/>
        <v>#DIV/0!</v>
      </c>
      <c r="AB18" s="112">
        <f>+'Actual VS SAP'!AA20</f>
        <v>0</v>
      </c>
      <c r="AC18" s="48">
        <f t="shared" si="3"/>
        <v>0</v>
      </c>
      <c r="AD18" s="89" t="e">
        <f t="shared" si="4"/>
        <v>#DIV/0!</v>
      </c>
    </row>
    <row r="19" spans="1:30">
      <c r="A19" s="7">
        <f>+'ALL SORTASI'!A21</f>
        <v>46219</v>
      </c>
      <c r="B19" s="8">
        <f ca="1">SUMIF('DAILY FIESTA'!$B$10:$B$115,$A19,'DAILY FIESTA'!$C$10:$C$114)</f>
        <v>0</v>
      </c>
      <c r="C19" s="8">
        <f>SUMIF('DAILY FIESTA'!$B$10:$B$115,$A19,'DAILY FIESTA'!H$10:H$115)</f>
        <v>0</v>
      </c>
      <c r="D19" s="8">
        <f>SUMIF('DAILY FIESTA'!$B$10:$B$115,$A19,'DAILY FIESTA'!I$10:I$115)</f>
        <v>0</v>
      </c>
      <c r="E19" s="8">
        <f>SUMIF('DAILY FIESTA'!$B$10:$B$115,$A19,'DAILY FIESTA'!J$10:J$115)</f>
        <v>0</v>
      </c>
      <c r="F19" s="8">
        <f>SUMIF('DAILY FIESTA'!$B$10:$B$115,$A19,'DAILY FIESTA'!K$10:K$115)</f>
        <v>0</v>
      </c>
      <c r="G19" s="8">
        <f>SUMIF('DAILY FIESTA'!$B$10:$B$115,$A19,'DAILY FIESTA'!L$10:L$115)</f>
        <v>0</v>
      </c>
      <c r="H19" s="8">
        <f>SUMIF('DAILY FIESTA'!$B$10:$B$115,$A19,'DAILY FIESTA'!M$10:M$115)</f>
        <v>0</v>
      </c>
      <c r="I19" s="8">
        <f>SUMIF('DAILY FIESTA'!$B$10:$B$115,$A19,'DAILY FIESTA'!N$10:N$115)</f>
        <v>0</v>
      </c>
      <c r="J19" s="8">
        <f>SUMIF('DAILY FIESTA'!$B$10:$B$115,$A19,'DAILY FIESTA'!O$10:O$115)</f>
        <v>0</v>
      </c>
      <c r="K19" s="8">
        <f>SUMIF('DAILY FIESTA'!$B$10:$B$115,$A19,'DAILY FIESTA'!P$10:P$115)</f>
        <v>0</v>
      </c>
      <c r="L19" s="8">
        <f>SUMIF('DAILY FIESTA'!$B$10:$B$115,$A19,'DAILY FIESTA'!Q$10:Q$115)</f>
        <v>0</v>
      </c>
      <c r="M19" s="8">
        <f>SUMIF('DAILY FIESTA'!$B$10:$B$115,$A19,'DAILY FIESTA'!R$10:R$115)</f>
        <v>0</v>
      </c>
      <c r="N19" s="8">
        <f>SUMIF('DAILY FIESTA'!$B$10:$B$115,$A19,'DAILY FIESTA'!S$10:S$115)</f>
        <v>0</v>
      </c>
      <c r="O19" s="8">
        <f>SUMIF('DAILY FIESTA'!$B$10:$B$115,$A19,'DAILY FIESTA'!T$10:T$115)</f>
        <v>0</v>
      </c>
      <c r="P19" s="8">
        <f>SUMIF('DAILY FIESTA'!$B$10:$B$115,$A19,'DAILY FIESTA'!U$10:U$115)</f>
        <v>0</v>
      </c>
      <c r="Q19" s="8">
        <f>SUMIF('DAILY FIESTA'!$B$10:$B$115,$A19,'DAILY FIESTA'!V$10:V$115)</f>
        <v>0</v>
      </c>
      <c r="R19" s="8">
        <f>SUMIF('DAILY FIESTA'!$B$10:$B$115,$A19,'DAILY FIESTA'!W$10:W$115)</f>
        <v>0</v>
      </c>
      <c r="S19" s="8">
        <f>SUMIF('DAILY FIESTA'!$B$10:$B$115,$A19,'DAILY FIESTA'!X$10:X$115)</f>
        <v>0</v>
      </c>
      <c r="T19" s="8">
        <f>SUMIF('DAILY FIESTA'!$B$10:$B$115,$A19,'DAILY FIESTA'!Y$10:Y$115)</f>
        <v>0</v>
      </c>
      <c r="U19" s="8">
        <f>SUMIF('DAILY FIESTA'!$B$10:$B$115,$A19,'DAILY FIESTA'!Z$10:Z$115)</f>
        <v>0</v>
      </c>
      <c r="V19" s="8">
        <f>SUMIF('DAILY FIESTA'!$B$10:$B$115,$A19,'DAILY FIESTA'!AA$10:AA$115)</f>
        <v>0</v>
      </c>
      <c r="W19" s="59">
        <f t="shared" si="0"/>
        <v>0</v>
      </c>
      <c r="X19" s="60">
        <f t="shared" ca="1" si="1"/>
        <v>0</v>
      </c>
      <c r="Y19" s="47">
        <f t="shared" ca="1" si="2"/>
        <v>0</v>
      </c>
      <c r="Z19" s="88" t="e">
        <f t="shared" ca="1" si="5"/>
        <v>#DIV/0!</v>
      </c>
      <c r="AA19" s="89" t="e">
        <f t="shared" ca="1" si="6"/>
        <v>#DIV/0!</v>
      </c>
      <c r="AB19" s="112">
        <f>+'Actual VS SAP'!AA21</f>
        <v>0</v>
      </c>
      <c r="AC19" s="48">
        <f t="shared" si="3"/>
        <v>0</v>
      </c>
      <c r="AD19" s="89" t="e">
        <f t="shared" si="4"/>
        <v>#DIV/0!</v>
      </c>
    </row>
    <row r="20" spans="1:30">
      <c r="A20" s="7">
        <f>+'ALL SORTASI'!A22</f>
        <v>46220</v>
      </c>
      <c r="B20" s="8">
        <f ca="1">SUMIF('DAILY FIESTA'!$B$10:$B$115,$A20,'DAILY FIESTA'!$C$10:$C$114)</f>
        <v>0</v>
      </c>
      <c r="C20" s="8">
        <f>SUMIF('DAILY FIESTA'!$B$10:$B$115,$A20,'DAILY FIESTA'!H$10:H$115)</f>
        <v>0</v>
      </c>
      <c r="D20" s="8">
        <f>SUMIF('DAILY FIESTA'!$B$10:$B$115,$A20,'DAILY FIESTA'!I$10:I$115)</f>
        <v>0</v>
      </c>
      <c r="E20" s="8">
        <f>SUMIF('DAILY FIESTA'!$B$10:$B$115,$A20,'DAILY FIESTA'!J$10:J$115)</f>
        <v>0</v>
      </c>
      <c r="F20" s="8">
        <f>SUMIF('DAILY FIESTA'!$B$10:$B$115,$A20,'DAILY FIESTA'!K$10:K$115)</f>
        <v>0</v>
      </c>
      <c r="G20" s="8">
        <f>SUMIF('DAILY FIESTA'!$B$10:$B$115,$A20,'DAILY FIESTA'!L$10:L$115)</f>
        <v>0</v>
      </c>
      <c r="H20" s="8">
        <f>SUMIF('DAILY FIESTA'!$B$10:$B$115,$A20,'DAILY FIESTA'!M$10:M$115)</f>
        <v>0</v>
      </c>
      <c r="I20" s="8">
        <f>SUMIF('DAILY FIESTA'!$B$10:$B$115,$A20,'DAILY FIESTA'!N$10:N$115)</f>
        <v>0</v>
      </c>
      <c r="J20" s="8">
        <f>SUMIF('DAILY FIESTA'!$B$10:$B$115,$A20,'DAILY FIESTA'!O$10:O$115)</f>
        <v>0</v>
      </c>
      <c r="K20" s="8">
        <f>SUMIF('DAILY FIESTA'!$B$10:$B$115,$A20,'DAILY FIESTA'!P$10:P$115)</f>
        <v>0</v>
      </c>
      <c r="L20" s="8">
        <f>SUMIF('DAILY FIESTA'!$B$10:$B$115,$A20,'DAILY FIESTA'!Q$10:Q$115)</f>
        <v>0</v>
      </c>
      <c r="M20" s="8">
        <f>SUMIF('DAILY FIESTA'!$B$10:$B$115,$A20,'DAILY FIESTA'!R$10:R$115)</f>
        <v>0</v>
      </c>
      <c r="N20" s="8">
        <f>SUMIF('DAILY FIESTA'!$B$10:$B$115,$A20,'DAILY FIESTA'!S$10:S$115)</f>
        <v>0</v>
      </c>
      <c r="O20" s="8">
        <f>SUMIF('DAILY FIESTA'!$B$10:$B$115,$A20,'DAILY FIESTA'!T$10:T$115)</f>
        <v>0</v>
      </c>
      <c r="P20" s="8">
        <f>SUMIF('DAILY FIESTA'!$B$10:$B$115,$A20,'DAILY FIESTA'!U$10:U$115)</f>
        <v>0</v>
      </c>
      <c r="Q20" s="8">
        <f>SUMIF('DAILY FIESTA'!$B$10:$B$115,$A20,'DAILY FIESTA'!V$10:V$115)</f>
        <v>0</v>
      </c>
      <c r="R20" s="8">
        <f>SUMIF('DAILY FIESTA'!$B$10:$B$115,$A20,'DAILY FIESTA'!W$10:W$115)</f>
        <v>0</v>
      </c>
      <c r="S20" s="8">
        <f>SUMIF('DAILY FIESTA'!$B$10:$B$115,$A20,'DAILY FIESTA'!X$10:X$115)</f>
        <v>0</v>
      </c>
      <c r="T20" s="8">
        <f>SUMIF('DAILY FIESTA'!$B$10:$B$115,$A20,'DAILY FIESTA'!Y$10:Y$115)</f>
        <v>0</v>
      </c>
      <c r="U20" s="8">
        <f>SUMIF('DAILY FIESTA'!$B$10:$B$115,$A20,'DAILY FIESTA'!Z$10:Z$115)</f>
        <v>0</v>
      </c>
      <c r="V20" s="8">
        <f>SUMIF('DAILY FIESTA'!$B$10:$B$115,$A20,'DAILY FIESTA'!AA$10:AA$115)</f>
        <v>0</v>
      </c>
      <c r="W20" s="59">
        <f t="shared" si="0"/>
        <v>0</v>
      </c>
      <c r="X20" s="60">
        <f t="shared" ca="1" si="1"/>
        <v>0</v>
      </c>
      <c r="Y20" s="47">
        <f t="shared" ca="1" si="2"/>
        <v>0</v>
      </c>
      <c r="Z20" s="88" t="e">
        <f t="shared" ca="1" si="5"/>
        <v>#DIV/0!</v>
      </c>
      <c r="AA20" s="89" t="e">
        <f t="shared" ca="1" si="6"/>
        <v>#DIV/0!</v>
      </c>
      <c r="AB20" s="112">
        <f>+'Actual VS SAP'!AA22</f>
        <v>0</v>
      </c>
      <c r="AC20" s="48">
        <f t="shared" si="3"/>
        <v>0</v>
      </c>
      <c r="AD20" s="89" t="e">
        <f t="shared" si="4"/>
        <v>#DIV/0!</v>
      </c>
    </row>
    <row r="21" spans="1:30">
      <c r="A21" s="7">
        <f>+'ALL SORTASI'!A23</f>
        <v>46221</v>
      </c>
      <c r="B21" s="8">
        <f ca="1">SUMIF('DAILY FIESTA'!$B$10:$B$115,$A21,'DAILY FIESTA'!$C$10:$C$114)</f>
        <v>0</v>
      </c>
      <c r="C21" s="8">
        <f>SUMIF('DAILY FIESTA'!$B$10:$B$115,$A21,'DAILY FIESTA'!H$10:H$115)</f>
        <v>0</v>
      </c>
      <c r="D21" s="8">
        <f>SUMIF('DAILY FIESTA'!$B$10:$B$115,$A21,'DAILY FIESTA'!I$10:I$115)</f>
        <v>0</v>
      </c>
      <c r="E21" s="8">
        <f>SUMIF('DAILY FIESTA'!$B$10:$B$115,$A21,'DAILY FIESTA'!J$10:J$115)</f>
        <v>0</v>
      </c>
      <c r="F21" s="8">
        <f>SUMIF('DAILY FIESTA'!$B$10:$B$115,$A21,'DAILY FIESTA'!K$10:K$115)</f>
        <v>0</v>
      </c>
      <c r="G21" s="8">
        <f>SUMIF('DAILY FIESTA'!$B$10:$B$115,$A21,'DAILY FIESTA'!L$10:L$115)</f>
        <v>0</v>
      </c>
      <c r="H21" s="8">
        <f>SUMIF('DAILY FIESTA'!$B$10:$B$115,$A21,'DAILY FIESTA'!M$10:M$115)</f>
        <v>0</v>
      </c>
      <c r="I21" s="8">
        <f>SUMIF('DAILY FIESTA'!$B$10:$B$115,$A21,'DAILY FIESTA'!N$10:N$115)</f>
        <v>0</v>
      </c>
      <c r="J21" s="8">
        <f>SUMIF('DAILY FIESTA'!$B$10:$B$115,$A21,'DAILY FIESTA'!O$10:O$115)</f>
        <v>0</v>
      </c>
      <c r="K21" s="8">
        <f>SUMIF('DAILY FIESTA'!$B$10:$B$115,$A21,'DAILY FIESTA'!P$10:P$115)</f>
        <v>0</v>
      </c>
      <c r="L21" s="8">
        <f>SUMIF('DAILY FIESTA'!$B$10:$B$115,$A21,'DAILY FIESTA'!Q$10:Q$115)</f>
        <v>0</v>
      </c>
      <c r="M21" s="8">
        <f>SUMIF('DAILY FIESTA'!$B$10:$B$115,$A21,'DAILY FIESTA'!R$10:R$115)</f>
        <v>0</v>
      </c>
      <c r="N21" s="8">
        <f>SUMIF('DAILY FIESTA'!$B$10:$B$115,$A21,'DAILY FIESTA'!S$10:S$115)</f>
        <v>0</v>
      </c>
      <c r="O21" s="8">
        <f>SUMIF('DAILY FIESTA'!$B$10:$B$115,$A21,'DAILY FIESTA'!T$10:T$115)</f>
        <v>0</v>
      </c>
      <c r="P21" s="8">
        <f>SUMIF('DAILY FIESTA'!$B$10:$B$115,$A21,'DAILY FIESTA'!U$10:U$115)</f>
        <v>0</v>
      </c>
      <c r="Q21" s="8">
        <f>SUMIF('DAILY FIESTA'!$B$10:$B$115,$A21,'DAILY FIESTA'!V$10:V$115)</f>
        <v>0</v>
      </c>
      <c r="R21" s="8">
        <f>SUMIF('DAILY FIESTA'!$B$10:$B$115,$A21,'DAILY FIESTA'!W$10:W$115)</f>
        <v>0</v>
      </c>
      <c r="S21" s="8">
        <f>SUMIF('DAILY FIESTA'!$B$10:$B$115,$A21,'DAILY FIESTA'!X$10:X$115)</f>
        <v>0</v>
      </c>
      <c r="T21" s="8">
        <f>SUMIF('DAILY FIESTA'!$B$10:$B$115,$A21,'DAILY FIESTA'!Y$10:Y$115)</f>
        <v>0</v>
      </c>
      <c r="U21" s="8">
        <f>SUMIF('DAILY FIESTA'!$B$10:$B$115,$A21,'DAILY FIESTA'!Z$10:Z$115)</f>
        <v>0</v>
      </c>
      <c r="V21" s="8">
        <f>SUMIF('DAILY FIESTA'!$B$10:$B$115,$A21,'DAILY FIESTA'!AA$10:AA$115)</f>
        <v>0</v>
      </c>
      <c r="W21" s="59">
        <f t="shared" si="0"/>
        <v>0</v>
      </c>
      <c r="X21" s="60">
        <f t="shared" ca="1" si="1"/>
        <v>0</v>
      </c>
      <c r="Y21" s="47">
        <f t="shared" ca="1" si="2"/>
        <v>0</v>
      </c>
      <c r="Z21" s="88" t="e">
        <f t="shared" ca="1" si="5"/>
        <v>#DIV/0!</v>
      </c>
      <c r="AA21" s="89" t="e">
        <f t="shared" ca="1" si="6"/>
        <v>#DIV/0!</v>
      </c>
      <c r="AB21" s="112">
        <f>+'Actual VS SAP'!AA23</f>
        <v>0</v>
      </c>
      <c r="AC21" s="48">
        <f t="shared" si="3"/>
        <v>0</v>
      </c>
      <c r="AD21" s="89" t="e">
        <f t="shared" si="4"/>
        <v>#DIV/0!</v>
      </c>
    </row>
    <row r="22" spans="1:30">
      <c r="A22" s="7">
        <f>+'ALL SORTASI'!A24</f>
        <v>46222</v>
      </c>
      <c r="B22" s="8">
        <f ca="1">SUMIF('DAILY FIESTA'!$B$10:$B$115,$A22,'DAILY FIESTA'!$C$10:$C$114)</f>
        <v>0</v>
      </c>
      <c r="C22" s="8">
        <f>SUMIF('DAILY FIESTA'!$B$10:$B$115,$A22,'DAILY FIESTA'!H$10:H$115)</f>
        <v>0</v>
      </c>
      <c r="D22" s="8">
        <f>SUMIF('DAILY FIESTA'!$B$10:$B$115,$A22,'DAILY FIESTA'!I$10:I$115)</f>
        <v>0</v>
      </c>
      <c r="E22" s="8">
        <f>SUMIF('DAILY FIESTA'!$B$10:$B$115,$A22,'DAILY FIESTA'!J$10:J$115)</f>
        <v>0</v>
      </c>
      <c r="F22" s="8">
        <f>SUMIF('DAILY FIESTA'!$B$10:$B$115,$A22,'DAILY FIESTA'!K$10:K$115)</f>
        <v>0</v>
      </c>
      <c r="G22" s="8">
        <f>SUMIF('DAILY FIESTA'!$B$10:$B$115,$A22,'DAILY FIESTA'!L$10:L$115)</f>
        <v>0</v>
      </c>
      <c r="H22" s="8">
        <f>SUMIF('DAILY FIESTA'!$B$10:$B$115,$A22,'DAILY FIESTA'!M$10:M$115)</f>
        <v>0</v>
      </c>
      <c r="I22" s="8">
        <f>SUMIF('DAILY FIESTA'!$B$10:$B$115,$A22,'DAILY FIESTA'!N$10:N$115)</f>
        <v>0</v>
      </c>
      <c r="J22" s="8">
        <f>SUMIF('DAILY FIESTA'!$B$10:$B$115,$A22,'DAILY FIESTA'!O$10:O$115)</f>
        <v>0</v>
      </c>
      <c r="K22" s="8">
        <f>SUMIF('DAILY FIESTA'!$B$10:$B$115,$A22,'DAILY FIESTA'!P$10:P$115)</f>
        <v>0</v>
      </c>
      <c r="L22" s="8">
        <f>SUMIF('DAILY FIESTA'!$B$10:$B$115,$A22,'DAILY FIESTA'!Q$10:Q$115)</f>
        <v>0</v>
      </c>
      <c r="M22" s="8">
        <f>SUMIF('DAILY FIESTA'!$B$10:$B$115,$A22,'DAILY FIESTA'!R$10:R$115)</f>
        <v>0</v>
      </c>
      <c r="N22" s="8">
        <f>SUMIF('DAILY FIESTA'!$B$10:$B$115,$A22,'DAILY FIESTA'!S$10:S$115)</f>
        <v>0</v>
      </c>
      <c r="O22" s="8">
        <f>SUMIF('DAILY FIESTA'!$B$10:$B$115,$A22,'DAILY FIESTA'!T$10:T$115)</f>
        <v>0</v>
      </c>
      <c r="P22" s="8">
        <f>SUMIF('DAILY FIESTA'!$B$10:$B$115,$A22,'DAILY FIESTA'!U$10:U$115)</f>
        <v>0</v>
      </c>
      <c r="Q22" s="8">
        <f>SUMIF('DAILY FIESTA'!$B$10:$B$115,$A22,'DAILY FIESTA'!V$10:V$115)</f>
        <v>0</v>
      </c>
      <c r="R22" s="8">
        <f>SUMIF('DAILY FIESTA'!$B$10:$B$115,$A22,'DAILY FIESTA'!W$10:W$115)</f>
        <v>0</v>
      </c>
      <c r="S22" s="8">
        <f>SUMIF('DAILY FIESTA'!$B$10:$B$115,$A22,'DAILY FIESTA'!X$10:X$115)</f>
        <v>0</v>
      </c>
      <c r="T22" s="8">
        <f>SUMIF('DAILY FIESTA'!$B$10:$B$115,$A22,'DAILY FIESTA'!Y$10:Y$115)</f>
        <v>0</v>
      </c>
      <c r="U22" s="8">
        <f>SUMIF('DAILY FIESTA'!$B$10:$B$115,$A22,'DAILY FIESTA'!Z$10:Z$115)</f>
        <v>0</v>
      </c>
      <c r="V22" s="8">
        <f>SUMIF('DAILY FIESTA'!$B$10:$B$115,$A22,'DAILY FIESTA'!AA$10:AA$115)</f>
        <v>0</v>
      </c>
      <c r="W22" s="59">
        <f t="shared" si="0"/>
        <v>0</v>
      </c>
      <c r="X22" s="60">
        <f t="shared" ca="1" si="1"/>
        <v>0</v>
      </c>
      <c r="Y22" s="47">
        <f t="shared" ca="1" si="2"/>
        <v>0</v>
      </c>
      <c r="Z22" s="88" t="e">
        <f t="shared" ca="1" si="5"/>
        <v>#DIV/0!</v>
      </c>
      <c r="AA22" s="89" t="e">
        <f t="shared" ca="1" si="6"/>
        <v>#DIV/0!</v>
      </c>
      <c r="AB22" s="112">
        <f>+'Actual VS SAP'!AA24</f>
        <v>0</v>
      </c>
      <c r="AC22" s="48">
        <f t="shared" si="3"/>
        <v>0</v>
      </c>
      <c r="AD22" s="89" t="e">
        <f t="shared" si="4"/>
        <v>#DIV/0!</v>
      </c>
    </row>
    <row r="23" spans="1:30">
      <c r="A23" s="7">
        <f>+'ALL SORTASI'!A25</f>
        <v>46223</v>
      </c>
      <c r="B23" s="8">
        <f ca="1">SUMIF('DAILY FIESTA'!$B$10:$B$115,$A23,'DAILY FIESTA'!$C$10:$C$114)</f>
        <v>0</v>
      </c>
      <c r="C23" s="8">
        <f>SUMIF('DAILY FIESTA'!$B$10:$B$115,$A23,'DAILY FIESTA'!H$10:H$115)</f>
        <v>0</v>
      </c>
      <c r="D23" s="8">
        <f>SUMIF('DAILY FIESTA'!$B$10:$B$115,$A23,'DAILY FIESTA'!I$10:I$115)</f>
        <v>0</v>
      </c>
      <c r="E23" s="8">
        <f>SUMIF('DAILY FIESTA'!$B$10:$B$115,$A23,'DAILY FIESTA'!J$10:J$115)</f>
        <v>0</v>
      </c>
      <c r="F23" s="8">
        <f>SUMIF('DAILY FIESTA'!$B$10:$B$115,$A23,'DAILY FIESTA'!K$10:K$115)</f>
        <v>0</v>
      </c>
      <c r="G23" s="8">
        <f>SUMIF('DAILY FIESTA'!$B$10:$B$115,$A23,'DAILY FIESTA'!L$10:L$115)</f>
        <v>0</v>
      </c>
      <c r="H23" s="8">
        <f>SUMIF('DAILY FIESTA'!$B$10:$B$115,$A23,'DAILY FIESTA'!M$10:M$115)</f>
        <v>0</v>
      </c>
      <c r="I23" s="8">
        <f>SUMIF('DAILY FIESTA'!$B$10:$B$115,$A23,'DAILY FIESTA'!N$10:N$115)</f>
        <v>0</v>
      </c>
      <c r="J23" s="8">
        <f>SUMIF('DAILY FIESTA'!$B$10:$B$115,$A23,'DAILY FIESTA'!O$10:O$115)</f>
        <v>0</v>
      </c>
      <c r="K23" s="8">
        <f>SUMIF('DAILY FIESTA'!$B$10:$B$115,$A23,'DAILY FIESTA'!P$10:P$115)</f>
        <v>0</v>
      </c>
      <c r="L23" s="8">
        <f>SUMIF('DAILY FIESTA'!$B$10:$B$115,$A23,'DAILY FIESTA'!Q$10:Q$115)</f>
        <v>0</v>
      </c>
      <c r="M23" s="8">
        <f>SUMIF('DAILY FIESTA'!$B$10:$B$115,$A23,'DAILY FIESTA'!R$10:R$115)</f>
        <v>0</v>
      </c>
      <c r="N23" s="8">
        <f>SUMIF('DAILY FIESTA'!$B$10:$B$115,$A23,'DAILY FIESTA'!S$10:S$115)</f>
        <v>0</v>
      </c>
      <c r="O23" s="8">
        <f>SUMIF('DAILY FIESTA'!$B$10:$B$115,$A23,'DAILY FIESTA'!T$10:T$115)</f>
        <v>0</v>
      </c>
      <c r="P23" s="8">
        <f>SUMIF('DAILY FIESTA'!$B$10:$B$115,$A23,'DAILY FIESTA'!U$10:U$115)</f>
        <v>0</v>
      </c>
      <c r="Q23" s="8">
        <f>SUMIF('DAILY FIESTA'!$B$10:$B$115,$A23,'DAILY FIESTA'!V$10:V$115)</f>
        <v>0</v>
      </c>
      <c r="R23" s="8">
        <f>SUMIF('DAILY FIESTA'!$B$10:$B$115,$A23,'DAILY FIESTA'!W$10:W$115)</f>
        <v>0</v>
      </c>
      <c r="S23" s="8">
        <f>SUMIF('DAILY FIESTA'!$B$10:$B$115,$A23,'DAILY FIESTA'!X$10:X$115)</f>
        <v>0</v>
      </c>
      <c r="T23" s="8">
        <f>SUMIF('DAILY FIESTA'!$B$10:$B$115,$A23,'DAILY FIESTA'!Y$10:Y$115)</f>
        <v>0</v>
      </c>
      <c r="U23" s="8">
        <f>SUMIF('DAILY FIESTA'!$B$10:$B$115,$A23,'DAILY FIESTA'!Z$10:Z$115)</f>
        <v>0</v>
      </c>
      <c r="V23" s="8">
        <f>SUMIF('DAILY FIESTA'!$B$10:$B$115,$A23,'DAILY FIESTA'!AA$10:AA$115)</f>
        <v>0</v>
      </c>
      <c r="W23" s="59">
        <f t="shared" si="0"/>
        <v>0</v>
      </c>
      <c r="X23" s="60">
        <f t="shared" ca="1" si="1"/>
        <v>0</v>
      </c>
      <c r="Y23" s="47">
        <f t="shared" ca="1" si="2"/>
        <v>0</v>
      </c>
      <c r="Z23" s="88" t="e">
        <f t="shared" ca="1" si="5"/>
        <v>#DIV/0!</v>
      </c>
      <c r="AA23" s="89" t="e">
        <f t="shared" ca="1" si="6"/>
        <v>#DIV/0!</v>
      </c>
      <c r="AB23" s="112">
        <f>+'Actual VS SAP'!AA25</f>
        <v>0</v>
      </c>
      <c r="AC23" s="48">
        <f t="shared" si="3"/>
        <v>0</v>
      </c>
      <c r="AD23" s="89" t="e">
        <f t="shared" si="4"/>
        <v>#DIV/0!</v>
      </c>
    </row>
    <row r="24" spans="1:30">
      <c r="A24" s="7">
        <f>+'ALL SORTASI'!A26</f>
        <v>46224</v>
      </c>
      <c r="B24" s="8">
        <f ca="1">SUMIF('DAILY FIESTA'!$B$10:$B$115,$A24,'DAILY FIESTA'!$C$10:$C$114)</f>
        <v>0</v>
      </c>
      <c r="C24" s="8">
        <f>SUMIF('DAILY FIESTA'!$B$10:$B$115,$A24,'DAILY FIESTA'!H$10:H$115)</f>
        <v>0</v>
      </c>
      <c r="D24" s="8">
        <f>SUMIF('DAILY FIESTA'!$B$10:$B$115,$A24,'DAILY FIESTA'!I$10:I$115)</f>
        <v>0</v>
      </c>
      <c r="E24" s="8">
        <f>SUMIF('DAILY FIESTA'!$B$10:$B$115,$A24,'DAILY FIESTA'!J$10:J$115)</f>
        <v>0</v>
      </c>
      <c r="F24" s="8">
        <f>SUMIF('DAILY FIESTA'!$B$10:$B$115,$A24,'DAILY FIESTA'!K$10:K$115)</f>
        <v>0</v>
      </c>
      <c r="G24" s="8">
        <f>SUMIF('DAILY FIESTA'!$B$10:$B$115,$A24,'DAILY FIESTA'!L$10:L$115)</f>
        <v>0</v>
      </c>
      <c r="H24" s="8">
        <f>SUMIF('DAILY FIESTA'!$B$10:$B$115,$A24,'DAILY FIESTA'!M$10:M$115)</f>
        <v>0</v>
      </c>
      <c r="I24" s="8">
        <f>SUMIF('DAILY FIESTA'!$B$10:$B$115,$A24,'DAILY FIESTA'!N$10:N$115)</f>
        <v>0</v>
      </c>
      <c r="J24" s="8">
        <f>SUMIF('DAILY FIESTA'!$B$10:$B$115,$A24,'DAILY FIESTA'!O$10:O$115)</f>
        <v>0</v>
      </c>
      <c r="K24" s="8">
        <f>SUMIF('DAILY FIESTA'!$B$10:$B$115,$A24,'DAILY FIESTA'!P$10:P$115)</f>
        <v>0</v>
      </c>
      <c r="L24" s="8">
        <f>SUMIF('DAILY FIESTA'!$B$10:$B$115,$A24,'DAILY FIESTA'!Q$10:Q$115)</f>
        <v>0</v>
      </c>
      <c r="M24" s="8">
        <f>SUMIF('DAILY FIESTA'!$B$10:$B$115,$A24,'DAILY FIESTA'!R$10:R$115)</f>
        <v>0</v>
      </c>
      <c r="N24" s="8">
        <f>SUMIF('DAILY FIESTA'!$B$10:$B$115,$A24,'DAILY FIESTA'!S$10:S$115)</f>
        <v>0</v>
      </c>
      <c r="O24" s="8">
        <f>SUMIF('DAILY FIESTA'!$B$10:$B$115,$A24,'DAILY FIESTA'!T$10:T$115)</f>
        <v>0</v>
      </c>
      <c r="P24" s="8">
        <f>SUMIF('DAILY FIESTA'!$B$10:$B$115,$A24,'DAILY FIESTA'!U$10:U$115)</f>
        <v>0</v>
      </c>
      <c r="Q24" s="8">
        <f>SUMIF('DAILY FIESTA'!$B$10:$B$115,$A24,'DAILY FIESTA'!V$10:V$115)</f>
        <v>0</v>
      </c>
      <c r="R24" s="8">
        <f>SUMIF('DAILY FIESTA'!$B$10:$B$115,$A24,'DAILY FIESTA'!W$10:W$115)</f>
        <v>0</v>
      </c>
      <c r="S24" s="8">
        <f>SUMIF('DAILY FIESTA'!$B$10:$B$115,$A24,'DAILY FIESTA'!X$10:X$115)</f>
        <v>0</v>
      </c>
      <c r="T24" s="8">
        <f>SUMIF('DAILY FIESTA'!$B$10:$B$115,$A24,'DAILY FIESTA'!Y$10:Y$115)</f>
        <v>0</v>
      </c>
      <c r="U24" s="8">
        <f>SUMIF('DAILY FIESTA'!$B$10:$B$115,$A24,'DAILY FIESTA'!Z$10:Z$115)</f>
        <v>0</v>
      </c>
      <c r="V24" s="8">
        <f>SUMIF('DAILY FIESTA'!$B$10:$B$115,$A24,'DAILY FIESTA'!AA$10:AA$115)</f>
        <v>0</v>
      </c>
      <c r="W24" s="59">
        <f t="shared" si="0"/>
        <v>0</v>
      </c>
      <c r="X24" s="60">
        <f t="shared" ca="1" si="1"/>
        <v>0</v>
      </c>
      <c r="Y24" s="47">
        <f t="shared" ca="1" si="2"/>
        <v>0</v>
      </c>
      <c r="Z24" s="88" t="e">
        <f t="shared" ca="1" si="5"/>
        <v>#DIV/0!</v>
      </c>
      <c r="AA24" s="89" t="e">
        <f t="shared" ca="1" si="6"/>
        <v>#DIV/0!</v>
      </c>
      <c r="AB24" s="112">
        <f>+'Actual VS SAP'!AA26</f>
        <v>0</v>
      </c>
      <c r="AC24" s="48">
        <f t="shared" si="3"/>
        <v>0</v>
      </c>
      <c r="AD24" s="89" t="e">
        <f t="shared" si="4"/>
        <v>#DIV/0!</v>
      </c>
    </row>
    <row r="25" spans="1:30">
      <c r="A25" s="7">
        <f>+'ALL SORTASI'!A27</f>
        <v>46225</v>
      </c>
      <c r="B25" s="8">
        <f ca="1">SUMIF('DAILY FIESTA'!$B$10:$B$115,$A25,'DAILY FIESTA'!$C$10:$C$114)</f>
        <v>0</v>
      </c>
      <c r="C25" s="8">
        <f>SUMIF('DAILY FIESTA'!$B$10:$B$115,$A25,'DAILY FIESTA'!H$10:H$115)</f>
        <v>0</v>
      </c>
      <c r="D25" s="8">
        <f>SUMIF('DAILY FIESTA'!$B$10:$B$115,$A25,'DAILY FIESTA'!I$10:I$115)</f>
        <v>0</v>
      </c>
      <c r="E25" s="8">
        <f>SUMIF('DAILY FIESTA'!$B$10:$B$115,$A25,'DAILY FIESTA'!J$10:J$115)</f>
        <v>0</v>
      </c>
      <c r="F25" s="8">
        <f>SUMIF('DAILY FIESTA'!$B$10:$B$115,$A25,'DAILY FIESTA'!K$10:K$115)</f>
        <v>0</v>
      </c>
      <c r="G25" s="8">
        <f>SUMIF('DAILY FIESTA'!$B$10:$B$115,$A25,'DAILY FIESTA'!L$10:L$115)</f>
        <v>0</v>
      </c>
      <c r="H25" s="8">
        <f>SUMIF('DAILY FIESTA'!$B$10:$B$115,$A25,'DAILY FIESTA'!M$10:M$115)</f>
        <v>0</v>
      </c>
      <c r="I25" s="8">
        <f>SUMIF('DAILY FIESTA'!$B$10:$B$115,$A25,'DAILY FIESTA'!N$10:N$115)</f>
        <v>0</v>
      </c>
      <c r="J25" s="8">
        <f>SUMIF('DAILY FIESTA'!$B$10:$B$115,$A25,'DAILY FIESTA'!O$10:O$115)</f>
        <v>0</v>
      </c>
      <c r="K25" s="8">
        <f>SUMIF('DAILY FIESTA'!$B$10:$B$115,$A25,'DAILY FIESTA'!P$10:P$115)</f>
        <v>0</v>
      </c>
      <c r="L25" s="8">
        <f>SUMIF('DAILY FIESTA'!$B$10:$B$115,$A25,'DAILY FIESTA'!Q$10:Q$115)</f>
        <v>0</v>
      </c>
      <c r="M25" s="8">
        <f>SUMIF('DAILY FIESTA'!$B$10:$B$115,$A25,'DAILY FIESTA'!R$10:R$115)</f>
        <v>0</v>
      </c>
      <c r="N25" s="8">
        <f>SUMIF('DAILY FIESTA'!$B$10:$B$115,$A25,'DAILY FIESTA'!S$10:S$115)</f>
        <v>0</v>
      </c>
      <c r="O25" s="8">
        <f>SUMIF('DAILY FIESTA'!$B$10:$B$115,$A25,'DAILY FIESTA'!T$10:T$115)</f>
        <v>0</v>
      </c>
      <c r="P25" s="8">
        <f>SUMIF('DAILY FIESTA'!$B$10:$B$115,$A25,'DAILY FIESTA'!U$10:U$115)</f>
        <v>0</v>
      </c>
      <c r="Q25" s="8">
        <f>SUMIF('DAILY FIESTA'!$B$10:$B$115,$A25,'DAILY FIESTA'!V$10:V$115)</f>
        <v>0</v>
      </c>
      <c r="R25" s="8">
        <f>SUMIF('DAILY FIESTA'!$B$10:$B$115,$A25,'DAILY FIESTA'!W$10:W$115)</f>
        <v>0</v>
      </c>
      <c r="S25" s="8">
        <f>SUMIF('DAILY FIESTA'!$B$10:$B$115,$A25,'DAILY FIESTA'!X$10:X$115)</f>
        <v>0</v>
      </c>
      <c r="T25" s="8">
        <f>SUMIF('DAILY FIESTA'!$B$10:$B$115,$A25,'DAILY FIESTA'!Y$10:Y$115)</f>
        <v>0</v>
      </c>
      <c r="U25" s="8">
        <f>SUMIF('DAILY FIESTA'!$B$10:$B$115,$A25,'DAILY FIESTA'!Z$10:Z$115)</f>
        <v>0</v>
      </c>
      <c r="V25" s="8">
        <f>SUMIF('DAILY FIESTA'!$B$10:$B$115,$A25,'DAILY FIESTA'!AA$10:AA$115)</f>
        <v>0</v>
      </c>
      <c r="W25" s="59">
        <f t="shared" si="0"/>
        <v>0</v>
      </c>
      <c r="X25" s="60">
        <f t="shared" ca="1" si="1"/>
        <v>0</v>
      </c>
      <c r="Y25" s="47">
        <f t="shared" ca="1" si="2"/>
        <v>0</v>
      </c>
      <c r="Z25" s="88" t="e">
        <f t="shared" ca="1" si="5"/>
        <v>#DIV/0!</v>
      </c>
      <c r="AA25" s="89" t="e">
        <f t="shared" ca="1" si="6"/>
        <v>#DIV/0!</v>
      </c>
      <c r="AB25" s="112">
        <f>+'Actual VS SAP'!AA27</f>
        <v>0</v>
      </c>
      <c r="AC25" s="48">
        <f t="shared" si="3"/>
        <v>0</v>
      </c>
      <c r="AD25" s="89" t="e">
        <f t="shared" si="4"/>
        <v>#DIV/0!</v>
      </c>
    </row>
    <row r="26" spans="1:30">
      <c r="A26" s="7">
        <f>+'ALL SORTASI'!A28</f>
        <v>46226</v>
      </c>
      <c r="B26" s="8">
        <f ca="1">SUMIF('DAILY FIESTA'!$B$10:$B$115,$A26,'DAILY FIESTA'!$C$10:$C$114)</f>
        <v>0</v>
      </c>
      <c r="C26" s="8">
        <f>SUMIF('DAILY FIESTA'!$B$10:$B$115,$A26,'DAILY FIESTA'!H$10:H$115)</f>
        <v>0</v>
      </c>
      <c r="D26" s="8">
        <f>SUMIF('DAILY FIESTA'!$B$10:$B$115,$A26,'DAILY FIESTA'!I$10:I$115)</f>
        <v>0</v>
      </c>
      <c r="E26" s="8">
        <f>SUMIF('DAILY FIESTA'!$B$10:$B$115,$A26,'DAILY FIESTA'!J$10:J$115)</f>
        <v>0</v>
      </c>
      <c r="F26" s="8">
        <f>SUMIF('DAILY FIESTA'!$B$10:$B$115,$A26,'DAILY FIESTA'!K$10:K$115)</f>
        <v>0</v>
      </c>
      <c r="G26" s="8">
        <f>SUMIF('DAILY FIESTA'!$B$10:$B$115,$A26,'DAILY FIESTA'!L$10:L$115)</f>
        <v>0</v>
      </c>
      <c r="H26" s="8">
        <f>SUMIF('DAILY FIESTA'!$B$10:$B$115,$A26,'DAILY FIESTA'!M$10:M$115)</f>
        <v>0</v>
      </c>
      <c r="I26" s="8">
        <f>SUMIF('DAILY FIESTA'!$B$10:$B$115,$A26,'DAILY FIESTA'!N$10:N$115)</f>
        <v>0</v>
      </c>
      <c r="J26" s="8">
        <f>SUMIF('DAILY FIESTA'!$B$10:$B$115,$A26,'DAILY FIESTA'!O$10:O$115)</f>
        <v>0</v>
      </c>
      <c r="K26" s="8">
        <f>SUMIF('DAILY FIESTA'!$B$10:$B$115,$A26,'DAILY FIESTA'!P$10:P$115)</f>
        <v>0</v>
      </c>
      <c r="L26" s="8">
        <f>SUMIF('DAILY FIESTA'!$B$10:$B$115,$A26,'DAILY FIESTA'!Q$10:Q$115)</f>
        <v>0</v>
      </c>
      <c r="M26" s="8">
        <f>SUMIF('DAILY FIESTA'!$B$10:$B$115,$A26,'DAILY FIESTA'!R$10:R$115)</f>
        <v>0</v>
      </c>
      <c r="N26" s="8">
        <f>SUMIF('DAILY FIESTA'!$B$10:$B$115,$A26,'DAILY FIESTA'!S$10:S$115)</f>
        <v>0</v>
      </c>
      <c r="O26" s="8">
        <f>SUMIF('DAILY FIESTA'!$B$10:$B$115,$A26,'DAILY FIESTA'!T$10:T$115)</f>
        <v>0</v>
      </c>
      <c r="P26" s="8">
        <f>SUMIF('DAILY FIESTA'!$B$10:$B$115,$A26,'DAILY FIESTA'!U$10:U$115)</f>
        <v>0</v>
      </c>
      <c r="Q26" s="8">
        <f>SUMIF('DAILY FIESTA'!$B$10:$B$115,$A26,'DAILY FIESTA'!V$10:V$115)</f>
        <v>0</v>
      </c>
      <c r="R26" s="8">
        <f>SUMIF('DAILY FIESTA'!$B$10:$B$115,$A26,'DAILY FIESTA'!W$10:W$115)</f>
        <v>0</v>
      </c>
      <c r="S26" s="8">
        <f>SUMIF('DAILY FIESTA'!$B$10:$B$115,$A26,'DAILY FIESTA'!X$10:X$115)</f>
        <v>0</v>
      </c>
      <c r="T26" s="8">
        <f>SUMIF('DAILY FIESTA'!$B$10:$B$115,$A26,'DAILY FIESTA'!Y$10:Y$115)</f>
        <v>0</v>
      </c>
      <c r="U26" s="8">
        <f>SUMIF('DAILY FIESTA'!$B$10:$B$115,$A26,'DAILY FIESTA'!Z$10:Z$115)</f>
        <v>0</v>
      </c>
      <c r="V26" s="8">
        <f>SUMIF('DAILY FIESTA'!$B$10:$B$115,$A26,'DAILY FIESTA'!AA$10:AA$115)</f>
        <v>0</v>
      </c>
      <c r="W26" s="59">
        <f t="shared" si="0"/>
        <v>0</v>
      </c>
      <c r="X26" s="60">
        <f t="shared" ca="1" si="1"/>
        <v>0</v>
      </c>
      <c r="Y26" s="47">
        <f t="shared" ca="1" si="2"/>
        <v>0</v>
      </c>
      <c r="Z26" s="88" t="e">
        <f t="shared" ca="1" si="5"/>
        <v>#DIV/0!</v>
      </c>
      <c r="AA26" s="89" t="e">
        <f t="shared" ca="1" si="6"/>
        <v>#DIV/0!</v>
      </c>
      <c r="AB26" s="112">
        <f>+'Actual VS SAP'!AA28</f>
        <v>0</v>
      </c>
      <c r="AC26" s="48">
        <f t="shared" si="3"/>
        <v>0</v>
      </c>
      <c r="AD26" s="89" t="e">
        <f t="shared" si="4"/>
        <v>#DIV/0!</v>
      </c>
    </row>
    <row r="27" spans="1:30">
      <c r="A27" s="7">
        <f>+'ALL SORTASI'!A29</f>
        <v>46227</v>
      </c>
      <c r="B27" s="8">
        <f ca="1">SUMIF('DAILY FIESTA'!$B$10:$B$115,$A27,'DAILY FIESTA'!$C$10:$C$114)</f>
        <v>0</v>
      </c>
      <c r="C27" s="8">
        <f>SUMIF('DAILY FIESTA'!$B$10:$B$115,$A27,'DAILY FIESTA'!H$10:H$115)</f>
        <v>0</v>
      </c>
      <c r="D27" s="8">
        <f>SUMIF('DAILY FIESTA'!$B$10:$B$115,$A27,'DAILY FIESTA'!I$10:I$115)</f>
        <v>0</v>
      </c>
      <c r="E27" s="8">
        <f>SUMIF('DAILY FIESTA'!$B$10:$B$115,$A27,'DAILY FIESTA'!J$10:J$115)</f>
        <v>0</v>
      </c>
      <c r="F27" s="8">
        <f>SUMIF('DAILY FIESTA'!$B$10:$B$115,$A27,'DAILY FIESTA'!K$10:K$115)</f>
        <v>0</v>
      </c>
      <c r="G27" s="8">
        <f>SUMIF('DAILY FIESTA'!$B$10:$B$115,$A27,'DAILY FIESTA'!L$10:L$115)</f>
        <v>0</v>
      </c>
      <c r="H27" s="8">
        <f>SUMIF('DAILY FIESTA'!$B$10:$B$115,$A27,'DAILY FIESTA'!M$10:M$115)</f>
        <v>0</v>
      </c>
      <c r="I27" s="8">
        <f>SUMIF('DAILY FIESTA'!$B$10:$B$115,$A27,'DAILY FIESTA'!N$10:N$115)</f>
        <v>0</v>
      </c>
      <c r="J27" s="8">
        <f>SUMIF('DAILY FIESTA'!$B$10:$B$115,$A27,'DAILY FIESTA'!O$10:O$115)</f>
        <v>0</v>
      </c>
      <c r="K27" s="8">
        <f>SUMIF('DAILY FIESTA'!$B$10:$B$115,$A27,'DAILY FIESTA'!P$10:P$115)</f>
        <v>0</v>
      </c>
      <c r="L27" s="8">
        <f>SUMIF('DAILY FIESTA'!$B$10:$B$115,$A27,'DAILY FIESTA'!Q$10:Q$115)</f>
        <v>0</v>
      </c>
      <c r="M27" s="8">
        <f>SUMIF('DAILY FIESTA'!$B$10:$B$115,$A27,'DAILY FIESTA'!R$10:R$115)</f>
        <v>0</v>
      </c>
      <c r="N27" s="8">
        <f>SUMIF('DAILY FIESTA'!$B$10:$B$115,$A27,'DAILY FIESTA'!S$10:S$115)</f>
        <v>0</v>
      </c>
      <c r="O27" s="8">
        <f>SUMIF('DAILY FIESTA'!$B$10:$B$115,$A27,'DAILY FIESTA'!T$10:T$115)</f>
        <v>0</v>
      </c>
      <c r="P27" s="8">
        <f>SUMIF('DAILY FIESTA'!$B$10:$B$115,$A27,'DAILY FIESTA'!U$10:U$115)</f>
        <v>0</v>
      </c>
      <c r="Q27" s="8">
        <f>SUMIF('DAILY FIESTA'!$B$10:$B$115,$A27,'DAILY FIESTA'!V$10:V$115)</f>
        <v>0</v>
      </c>
      <c r="R27" s="8">
        <f>SUMIF('DAILY FIESTA'!$B$10:$B$115,$A27,'DAILY FIESTA'!W$10:W$115)</f>
        <v>0</v>
      </c>
      <c r="S27" s="8">
        <f>SUMIF('DAILY FIESTA'!$B$10:$B$115,$A27,'DAILY FIESTA'!X$10:X$115)</f>
        <v>0</v>
      </c>
      <c r="T27" s="8">
        <f>SUMIF('DAILY FIESTA'!$B$10:$B$115,$A27,'DAILY FIESTA'!Y$10:Y$115)</f>
        <v>0</v>
      </c>
      <c r="U27" s="8">
        <f>SUMIF('DAILY FIESTA'!$B$10:$B$115,$A27,'DAILY FIESTA'!Z$10:Z$115)</f>
        <v>0</v>
      </c>
      <c r="V27" s="8">
        <f>SUMIF('DAILY FIESTA'!$B$10:$B$115,$A27,'DAILY FIESTA'!AA$10:AA$115)</f>
        <v>0</v>
      </c>
      <c r="W27" s="59">
        <f t="shared" si="0"/>
        <v>0</v>
      </c>
      <c r="X27" s="60">
        <f t="shared" ca="1" si="1"/>
        <v>0</v>
      </c>
      <c r="Y27" s="47">
        <f t="shared" ca="1" si="2"/>
        <v>0</v>
      </c>
      <c r="Z27" s="88" t="e">
        <f t="shared" ca="1" si="5"/>
        <v>#DIV/0!</v>
      </c>
      <c r="AA27" s="89" t="e">
        <f t="shared" ca="1" si="6"/>
        <v>#DIV/0!</v>
      </c>
      <c r="AB27" s="112">
        <f>+'Actual VS SAP'!AA29</f>
        <v>0</v>
      </c>
      <c r="AC27" s="48">
        <f t="shared" si="3"/>
        <v>0</v>
      </c>
      <c r="AD27" s="89" t="e">
        <f t="shared" si="4"/>
        <v>#DIV/0!</v>
      </c>
    </row>
    <row r="28" spans="1:30">
      <c r="A28" s="7">
        <f>+'ALL SORTASI'!A30</f>
        <v>46228</v>
      </c>
      <c r="B28" s="8">
        <f ca="1">SUMIF('DAILY FIESTA'!$B$10:$B$115,$A28,'DAILY FIESTA'!$C$10:$C$114)</f>
        <v>0</v>
      </c>
      <c r="C28" s="8">
        <f>SUMIF('DAILY FIESTA'!$B$10:$B$115,$A28,'DAILY FIESTA'!H$10:H$115)</f>
        <v>0</v>
      </c>
      <c r="D28" s="8">
        <f>SUMIF('DAILY FIESTA'!$B$10:$B$115,$A28,'DAILY FIESTA'!I$10:I$115)</f>
        <v>0</v>
      </c>
      <c r="E28" s="8">
        <f>SUMIF('DAILY FIESTA'!$B$10:$B$115,$A28,'DAILY FIESTA'!J$10:J$115)</f>
        <v>0</v>
      </c>
      <c r="F28" s="8">
        <f>SUMIF('DAILY FIESTA'!$B$10:$B$115,$A28,'DAILY FIESTA'!K$10:K$115)</f>
        <v>0</v>
      </c>
      <c r="G28" s="8">
        <f>SUMIF('DAILY FIESTA'!$B$10:$B$115,$A28,'DAILY FIESTA'!L$10:L$115)</f>
        <v>0</v>
      </c>
      <c r="H28" s="8">
        <f>SUMIF('DAILY FIESTA'!$B$10:$B$115,$A28,'DAILY FIESTA'!M$10:M$115)</f>
        <v>0</v>
      </c>
      <c r="I28" s="8">
        <f>SUMIF('DAILY FIESTA'!$B$10:$B$115,$A28,'DAILY FIESTA'!N$10:N$115)</f>
        <v>0</v>
      </c>
      <c r="J28" s="8">
        <f>SUMIF('DAILY FIESTA'!$B$10:$B$115,$A28,'DAILY FIESTA'!O$10:O$115)</f>
        <v>0</v>
      </c>
      <c r="K28" s="8">
        <f>SUMIF('DAILY FIESTA'!$B$10:$B$115,$A28,'DAILY FIESTA'!P$10:P$115)</f>
        <v>0</v>
      </c>
      <c r="L28" s="8">
        <f>SUMIF('DAILY FIESTA'!$B$10:$B$115,$A28,'DAILY FIESTA'!Q$10:Q$115)</f>
        <v>0</v>
      </c>
      <c r="M28" s="8">
        <f>SUMIF('DAILY FIESTA'!$B$10:$B$115,$A28,'DAILY FIESTA'!R$10:R$115)</f>
        <v>0</v>
      </c>
      <c r="N28" s="8">
        <f>SUMIF('DAILY FIESTA'!$B$10:$B$115,$A28,'DAILY FIESTA'!S$10:S$115)</f>
        <v>0</v>
      </c>
      <c r="O28" s="8">
        <f>SUMIF('DAILY FIESTA'!$B$10:$B$115,$A28,'DAILY FIESTA'!T$10:T$115)</f>
        <v>0</v>
      </c>
      <c r="P28" s="8">
        <f>SUMIF('DAILY FIESTA'!$B$10:$B$115,$A28,'DAILY FIESTA'!U$10:U$115)</f>
        <v>0</v>
      </c>
      <c r="Q28" s="8">
        <f>SUMIF('DAILY FIESTA'!$B$10:$B$115,$A28,'DAILY FIESTA'!V$10:V$115)</f>
        <v>0</v>
      </c>
      <c r="R28" s="8">
        <f>SUMIF('DAILY FIESTA'!$B$10:$B$115,$A28,'DAILY FIESTA'!W$10:W$115)</f>
        <v>0</v>
      </c>
      <c r="S28" s="8">
        <f>SUMIF('DAILY FIESTA'!$B$10:$B$115,$A28,'DAILY FIESTA'!X$10:X$115)</f>
        <v>0</v>
      </c>
      <c r="T28" s="8">
        <f>SUMIF('DAILY FIESTA'!$B$10:$B$115,$A28,'DAILY FIESTA'!Y$10:Y$115)</f>
        <v>0</v>
      </c>
      <c r="U28" s="8">
        <f>SUMIF('DAILY FIESTA'!$B$10:$B$115,$A28,'DAILY FIESTA'!Z$10:Z$115)</f>
        <v>0</v>
      </c>
      <c r="V28" s="8">
        <f>SUMIF('DAILY FIESTA'!$B$10:$B$115,$A28,'DAILY FIESTA'!AA$10:AA$115)</f>
        <v>0</v>
      </c>
      <c r="W28" s="59">
        <f t="shared" si="0"/>
        <v>0</v>
      </c>
      <c r="X28" s="60">
        <f t="shared" ca="1" si="1"/>
        <v>0</v>
      </c>
      <c r="Y28" s="47">
        <f t="shared" ca="1" si="2"/>
        <v>0</v>
      </c>
      <c r="Z28" s="88" t="e">
        <f t="shared" ca="1" si="5"/>
        <v>#DIV/0!</v>
      </c>
      <c r="AA28" s="89" t="e">
        <f t="shared" ca="1" si="6"/>
        <v>#DIV/0!</v>
      </c>
      <c r="AB28" s="112">
        <f>+'Actual VS SAP'!AA30</f>
        <v>0</v>
      </c>
      <c r="AC28" s="48">
        <f t="shared" si="3"/>
        <v>0</v>
      </c>
      <c r="AD28" s="89" t="e">
        <f t="shared" si="4"/>
        <v>#DIV/0!</v>
      </c>
    </row>
    <row r="29" spans="1:30">
      <c r="A29" s="7">
        <f>+'ALL SORTASI'!A31</f>
        <v>46229</v>
      </c>
      <c r="B29" s="8">
        <f ca="1">SUMIF('DAILY FIESTA'!$B$10:$B$115,$A29,'DAILY FIESTA'!$C$10:$C$114)</f>
        <v>0</v>
      </c>
      <c r="C29" s="8">
        <f>SUMIF('DAILY FIESTA'!$B$10:$B$115,$A29,'DAILY FIESTA'!H$10:H$115)</f>
        <v>0</v>
      </c>
      <c r="D29" s="8">
        <f>SUMIF('DAILY FIESTA'!$B$10:$B$115,$A29,'DAILY FIESTA'!I$10:I$115)</f>
        <v>0</v>
      </c>
      <c r="E29" s="8">
        <f>SUMIF('DAILY FIESTA'!$B$10:$B$115,$A29,'DAILY FIESTA'!J$10:J$115)</f>
        <v>0</v>
      </c>
      <c r="F29" s="8">
        <f>SUMIF('DAILY FIESTA'!$B$10:$B$115,$A29,'DAILY FIESTA'!K$10:K$115)</f>
        <v>0</v>
      </c>
      <c r="G29" s="8">
        <f>SUMIF('DAILY FIESTA'!$B$10:$B$115,$A29,'DAILY FIESTA'!L$10:L$115)</f>
        <v>0</v>
      </c>
      <c r="H29" s="8">
        <f>SUMIF('DAILY FIESTA'!$B$10:$B$115,$A29,'DAILY FIESTA'!M$10:M$115)</f>
        <v>0</v>
      </c>
      <c r="I29" s="8">
        <f>SUMIF('DAILY FIESTA'!$B$10:$B$115,$A29,'DAILY FIESTA'!N$10:N$115)</f>
        <v>0</v>
      </c>
      <c r="J29" s="8">
        <f>SUMIF('DAILY FIESTA'!$B$10:$B$115,$A29,'DAILY FIESTA'!O$10:O$115)</f>
        <v>0</v>
      </c>
      <c r="K29" s="8">
        <f>SUMIF('DAILY FIESTA'!$B$10:$B$115,$A29,'DAILY FIESTA'!P$10:P$115)</f>
        <v>0</v>
      </c>
      <c r="L29" s="8">
        <f>SUMIF('DAILY FIESTA'!$B$10:$B$115,$A29,'DAILY FIESTA'!Q$10:Q$115)</f>
        <v>0</v>
      </c>
      <c r="M29" s="8">
        <f>SUMIF('DAILY FIESTA'!$B$10:$B$115,$A29,'DAILY FIESTA'!R$10:R$115)</f>
        <v>0</v>
      </c>
      <c r="N29" s="8">
        <f>SUMIF('DAILY FIESTA'!$B$10:$B$115,$A29,'DAILY FIESTA'!S$10:S$115)</f>
        <v>0</v>
      </c>
      <c r="O29" s="8">
        <f>SUMIF('DAILY FIESTA'!$B$10:$B$115,$A29,'DAILY FIESTA'!T$10:T$115)</f>
        <v>0</v>
      </c>
      <c r="P29" s="8">
        <f>SUMIF('DAILY FIESTA'!$B$10:$B$115,$A29,'DAILY FIESTA'!U$10:U$115)</f>
        <v>0</v>
      </c>
      <c r="Q29" s="8">
        <f>SUMIF('DAILY FIESTA'!$B$10:$B$115,$A29,'DAILY FIESTA'!V$10:V$115)</f>
        <v>0</v>
      </c>
      <c r="R29" s="8">
        <f>SUMIF('DAILY FIESTA'!$B$10:$B$115,$A29,'DAILY FIESTA'!W$10:W$115)</f>
        <v>0</v>
      </c>
      <c r="S29" s="8">
        <f>SUMIF('DAILY FIESTA'!$B$10:$B$115,$A29,'DAILY FIESTA'!X$10:X$115)</f>
        <v>0</v>
      </c>
      <c r="T29" s="8">
        <f>SUMIF('DAILY FIESTA'!$B$10:$B$115,$A29,'DAILY FIESTA'!Y$10:Y$115)</f>
        <v>0</v>
      </c>
      <c r="U29" s="8">
        <f>SUMIF('DAILY FIESTA'!$B$10:$B$115,$A29,'DAILY FIESTA'!Z$10:Z$115)</f>
        <v>0</v>
      </c>
      <c r="V29" s="8">
        <f>SUMIF('DAILY FIESTA'!$B$10:$B$115,$A29,'DAILY FIESTA'!AA$10:AA$115)</f>
        <v>0</v>
      </c>
      <c r="W29" s="59">
        <f t="shared" si="0"/>
        <v>0</v>
      </c>
      <c r="X29" s="60">
        <f t="shared" ca="1" si="1"/>
        <v>0</v>
      </c>
      <c r="Y29" s="47">
        <f t="shared" ca="1" si="2"/>
        <v>0</v>
      </c>
      <c r="Z29" s="88" t="e">
        <f t="shared" ca="1" si="5"/>
        <v>#DIV/0!</v>
      </c>
      <c r="AA29" s="89" t="e">
        <f t="shared" ca="1" si="6"/>
        <v>#DIV/0!</v>
      </c>
      <c r="AB29" s="112">
        <f>+'Actual VS SAP'!AA31</f>
        <v>0</v>
      </c>
      <c r="AC29" s="48">
        <f t="shared" si="3"/>
        <v>0</v>
      </c>
      <c r="AD29" s="89" t="e">
        <f t="shared" si="4"/>
        <v>#DIV/0!</v>
      </c>
    </row>
    <row r="30" spans="1:30">
      <c r="A30" s="7">
        <f>+'ALL SORTASI'!A32</f>
        <v>46230</v>
      </c>
      <c r="B30" s="8">
        <f ca="1">SUMIF('DAILY FIESTA'!$B$10:$B$115,$A30,'DAILY FIESTA'!$C$10:$C$114)</f>
        <v>0</v>
      </c>
      <c r="C30" s="8">
        <f>SUMIF('DAILY FIESTA'!$B$10:$B$115,$A30,'DAILY FIESTA'!H$10:H$115)</f>
        <v>0</v>
      </c>
      <c r="D30" s="8">
        <f>SUMIF('DAILY FIESTA'!$B$10:$B$115,$A30,'DAILY FIESTA'!I$10:I$115)</f>
        <v>0</v>
      </c>
      <c r="E30" s="8">
        <f>SUMIF('DAILY FIESTA'!$B$10:$B$115,$A30,'DAILY FIESTA'!J$10:J$115)</f>
        <v>0</v>
      </c>
      <c r="F30" s="8">
        <f>SUMIF('DAILY FIESTA'!$B$10:$B$115,$A30,'DAILY FIESTA'!K$10:K$115)</f>
        <v>0</v>
      </c>
      <c r="G30" s="8">
        <f>SUMIF('DAILY FIESTA'!$B$10:$B$115,$A30,'DAILY FIESTA'!L$10:L$115)</f>
        <v>0</v>
      </c>
      <c r="H30" s="8">
        <f>SUMIF('DAILY FIESTA'!$B$10:$B$115,$A30,'DAILY FIESTA'!M$10:M$115)</f>
        <v>0</v>
      </c>
      <c r="I30" s="8">
        <f>SUMIF('DAILY FIESTA'!$B$10:$B$115,$A30,'DAILY FIESTA'!N$10:N$115)</f>
        <v>0</v>
      </c>
      <c r="J30" s="8">
        <f>SUMIF('DAILY FIESTA'!$B$10:$B$115,$A30,'DAILY FIESTA'!O$10:O$115)</f>
        <v>0</v>
      </c>
      <c r="K30" s="8">
        <f>SUMIF('DAILY FIESTA'!$B$10:$B$115,$A30,'DAILY FIESTA'!P$10:P$115)</f>
        <v>0</v>
      </c>
      <c r="L30" s="8">
        <f>SUMIF('DAILY FIESTA'!$B$10:$B$115,$A30,'DAILY FIESTA'!Q$10:Q$115)</f>
        <v>0</v>
      </c>
      <c r="M30" s="8">
        <f>SUMIF('DAILY FIESTA'!$B$10:$B$115,$A30,'DAILY FIESTA'!R$10:R$115)</f>
        <v>0</v>
      </c>
      <c r="N30" s="8">
        <f>SUMIF('DAILY FIESTA'!$B$10:$B$115,$A30,'DAILY FIESTA'!S$10:S$115)</f>
        <v>0</v>
      </c>
      <c r="O30" s="8">
        <f>SUMIF('DAILY FIESTA'!$B$10:$B$115,$A30,'DAILY FIESTA'!T$10:T$115)</f>
        <v>0</v>
      </c>
      <c r="P30" s="8">
        <f>SUMIF('DAILY FIESTA'!$B$10:$B$115,$A30,'DAILY FIESTA'!U$10:U$115)</f>
        <v>0</v>
      </c>
      <c r="Q30" s="8">
        <f>SUMIF('DAILY FIESTA'!$B$10:$B$115,$A30,'DAILY FIESTA'!V$10:V$115)</f>
        <v>0</v>
      </c>
      <c r="R30" s="8">
        <f>SUMIF('DAILY FIESTA'!$B$10:$B$115,$A30,'DAILY FIESTA'!W$10:W$115)</f>
        <v>0</v>
      </c>
      <c r="S30" s="8">
        <f>SUMIF('DAILY FIESTA'!$B$10:$B$115,$A30,'DAILY FIESTA'!X$10:X$115)</f>
        <v>0</v>
      </c>
      <c r="T30" s="8">
        <f>SUMIF('DAILY FIESTA'!$B$10:$B$115,$A30,'DAILY FIESTA'!Y$10:Y$115)</f>
        <v>0</v>
      </c>
      <c r="U30" s="8">
        <f>SUMIF('DAILY FIESTA'!$B$10:$B$115,$A30,'DAILY FIESTA'!Z$10:Z$115)</f>
        <v>0</v>
      </c>
      <c r="V30" s="8">
        <f>SUMIF('DAILY FIESTA'!$B$10:$B$115,$A30,'DAILY FIESTA'!AA$10:AA$115)</f>
        <v>0</v>
      </c>
      <c r="W30" s="59">
        <f t="shared" si="0"/>
        <v>0</v>
      </c>
      <c r="X30" s="60">
        <f t="shared" ca="1" si="1"/>
        <v>0</v>
      </c>
      <c r="Y30" s="47">
        <f t="shared" ca="1" si="2"/>
        <v>0</v>
      </c>
      <c r="Z30" s="88" t="e">
        <f t="shared" ca="1" si="5"/>
        <v>#DIV/0!</v>
      </c>
      <c r="AA30" s="89" t="e">
        <f t="shared" ca="1" si="6"/>
        <v>#DIV/0!</v>
      </c>
      <c r="AB30" s="112">
        <f>+'Actual VS SAP'!AA32</f>
        <v>0</v>
      </c>
      <c r="AC30" s="48">
        <f t="shared" si="3"/>
        <v>0</v>
      </c>
      <c r="AD30" s="89" t="e">
        <f t="shared" si="4"/>
        <v>#DIV/0!</v>
      </c>
    </row>
    <row r="31" spans="1:30">
      <c r="A31" s="7">
        <f>+'ALL SORTASI'!A33</f>
        <v>46231</v>
      </c>
      <c r="B31" s="8">
        <f ca="1">SUMIF('DAILY FIESTA'!$B$10:$B$115,$A31,'DAILY FIESTA'!$C$10:$C$114)</f>
        <v>0</v>
      </c>
      <c r="C31" s="8">
        <f>SUMIF('DAILY FIESTA'!$B$10:$B$115,$A31,'DAILY FIESTA'!H$10:H$115)</f>
        <v>0</v>
      </c>
      <c r="D31" s="8">
        <f>SUMIF('DAILY FIESTA'!$B$10:$B$115,$A31,'DAILY FIESTA'!I$10:I$115)</f>
        <v>0</v>
      </c>
      <c r="E31" s="8">
        <f>SUMIF('DAILY FIESTA'!$B$10:$B$115,$A31,'DAILY FIESTA'!J$10:J$115)</f>
        <v>0</v>
      </c>
      <c r="F31" s="8">
        <f>SUMIF('DAILY FIESTA'!$B$10:$B$115,$A31,'DAILY FIESTA'!K$10:K$115)</f>
        <v>0</v>
      </c>
      <c r="G31" s="8">
        <f>SUMIF('DAILY FIESTA'!$B$10:$B$115,$A31,'DAILY FIESTA'!L$10:L$115)</f>
        <v>0</v>
      </c>
      <c r="H31" s="8">
        <f>SUMIF('DAILY FIESTA'!$B$10:$B$115,$A31,'DAILY FIESTA'!M$10:M$115)</f>
        <v>0</v>
      </c>
      <c r="I31" s="8">
        <f>SUMIF('DAILY FIESTA'!$B$10:$B$115,$A31,'DAILY FIESTA'!N$10:N$115)</f>
        <v>0</v>
      </c>
      <c r="J31" s="8">
        <f>SUMIF('DAILY FIESTA'!$B$10:$B$115,$A31,'DAILY FIESTA'!O$10:O$115)</f>
        <v>0</v>
      </c>
      <c r="K31" s="8">
        <f>SUMIF('DAILY FIESTA'!$B$10:$B$115,$A31,'DAILY FIESTA'!P$10:P$115)</f>
        <v>0</v>
      </c>
      <c r="L31" s="8">
        <f>SUMIF('DAILY FIESTA'!$B$10:$B$115,$A31,'DAILY FIESTA'!Q$10:Q$115)</f>
        <v>0</v>
      </c>
      <c r="M31" s="8">
        <f>SUMIF('DAILY FIESTA'!$B$10:$B$115,$A31,'DAILY FIESTA'!R$10:R$115)</f>
        <v>0</v>
      </c>
      <c r="N31" s="8">
        <f>SUMIF('DAILY FIESTA'!$B$10:$B$115,$A31,'DAILY FIESTA'!S$10:S$115)</f>
        <v>0</v>
      </c>
      <c r="O31" s="8">
        <f>SUMIF('DAILY FIESTA'!$B$10:$B$115,$A31,'DAILY FIESTA'!T$10:T$115)</f>
        <v>0</v>
      </c>
      <c r="P31" s="8">
        <f>SUMIF('DAILY FIESTA'!$B$10:$B$115,$A31,'DAILY FIESTA'!U$10:U$115)</f>
        <v>0</v>
      </c>
      <c r="Q31" s="8">
        <f>SUMIF('DAILY FIESTA'!$B$10:$B$115,$A31,'DAILY FIESTA'!V$10:V$115)</f>
        <v>0</v>
      </c>
      <c r="R31" s="8">
        <f>SUMIF('DAILY FIESTA'!$B$10:$B$115,$A31,'DAILY FIESTA'!W$10:W$115)</f>
        <v>0</v>
      </c>
      <c r="S31" s="8">
        <f>SUMIF('DAILY FIESTA'!$B$10:$B$115,$A31,'DAILY FIESTA'!X$10:X$115)</f>
        <v>0</v>
      </c>
      <c r="T31" s="8">
        <f>SUMIF('DAILY FIESTA'!$B$10:$B$115,$A31,'DAILY FIESTA'!Y$10:Y$115)</f>
        <v>0</v>
      </c>
      <c r="U31" s="8">
        <f>SUMIF('DAILY FIESTA'!$B$10:$B$115,$A31,'DAILY FIESTA'!Z$10:Z$115)</f>
        <v>0</v>
      </c>
      <c r="V31" s="8">
        <f>SUMIF('DAILY FIESTA'!$B$10:$B$115,$A31,'DAILY FIESTA'!AA$10:AA$115)</f>
        <v>0</v>
      </c>
      <c r="W31" s="59">
        <f t="shared" si="0"/>
        <v>0</v>
      </c>
      <c r="X31" s="60">
        <f t="shared" ca="1" si="1"/>
        <v>0</v>
      </c>
      <c r="Y31" s="47">
        <f t="shared" ca="1" si="2"/>
        <v>0</v>
      </c>
      <c r="Z31" s="88" t="e">
        <f t="shared" ca="1" si="5"/>
        <v>#DIV/0!</v>
      </c>
      <c r="AA31" s="89" t="e">
        <f t="shared" ca="1" si="6"/>
        <v>#DIV/0!</v>
      </c>
      <c r="AB31" s="112">
        <f>+'Actual VS SAP'!AA33</f>
        <v>0</v>
      </c>
      <c r="AC31" s="48">
        <f t="shared" si="3"/>
        <v>0</v>
      </c>
      <c r="AD31" s="89" t="e">
        <f t="shared" si="4"/>
        <v>#DIV/0!</v>
      </c>
    </row>
    <row r="32" spans="1:30">
      <c r="A32" s="7">
        <f>+'ALL SORTASI'!A34</f>
        <v>46232</v>
      </c>
      <c r="B32" s="8">
        <f ca="1">SUMIF('DAILY FIESTA'!$B$10:$B$115,$A32,'DAILY FIESTA'!$C$10:$C$114)</f>
        <v>0</v>
      </c>
      <c r="C32" s="8">
        <f>SUMIF('DAILY FIESTA'!$B$10:$B$115,$A32,'DAILY FIESTA'!H$10:H$115)</f>
        <v>0</v>
      </c>
      <c r="D32" s="8">
        <f>SUMIF('DAILY FIESTA'!$B$10:$B$115,$A32,'DAILY FIESTA'!I$10:I$115)</f>
        <v>0</v>
      </c>
      <c r="E32" s="8">
        <f>SUMIF('DAILY FIESTA'!$B$10:$B$115,$A32,'DAILY FIESTA'!J$10:J$115)</f>
        <v>0</v>
      </c>
      <c r="F32" s="8">
        <f>SUMIF('DAILY FIESTA'!$B$10:$B$115,$A32,'DAILY FIESTA'!K$10:K$115)</f>
        <v>0</v>
      </c>
      <c r="G32" s="8">
        <f>SUMIF('DAILY FIESTA'!$B$10:$B$115,$A32,'DAILY FIESTA'!L$10:L$115)</f>
        <v>0</v>
      </c>
      <c r="H32" s="8">
        <f>SUMIF('DAILY FIESTA'!$B$10:$B$115,$A32,'DAILY FIESTA'!M$10:M$115)</f>
        <v>0</v>
      </c>
      <c r="I32" s="8">
        <f>SUMIF('DAILY FIESTA'!$B$10:$B$115,$A32,'DAILY FIESTA'!N$10:N$115)</f>
        <v>0</v>
      </c>
      <c r="J32" s="8">
        <f>SUMIF('DAILY FIESTA'!$B$10:$B$115,$A32,'DAILY FIESTA'!O$10:O$115)</f>
        <v>0</v>
      </c>
      <c r="K32" s="8">
        <f>SUMIF('DAILY FIESTA'!$B$10:$B$115,$A32,'DAILY FIESTA'!P$10:P$115)</f>
        <v>0</v>
      </c>
      <c r="L32" s="8">
        <f>SUMIF('DAILY FIESTA'!$B$10:$B$115,$A32,'DAILY FIESTA'!Q$10:Q$115)</f>
        <v>0</v>
      </c>
      <c r="M32" s="8">
        <f>SUMIF('DAILY FIESTA'!$B$10:$B$115,$A32,'DAILY FIESTA'!R$10:R$115)</f>
        <v>0</v>
      </c>
      <c r="N32" s="8">
        <f>SUMIF('DAILY FIESTA'!$B$10:$B$115,$A32,'DAILY FIESTA'!S$10:S$115)</f>
        <v>0</v>
      </c>
      <c r="O32" s="8">
        <f>SUMIF('DAILY FIESTA'!$B$10:$B$115,$A32,'DAILY FIESTA'!T$10:T$115)</f>
        <v>0</v>
      </c>
      <c r="P32" s="8">
        <f>SUMIF('DAILY FIESTA'!$B$10:$B$115,$A32,'DAILY FIESTA'!U$10:U$115)</f>
        <v>0</v>
      </c>
      <c r="Q32" s="8">
        <f>SUMIF('DAILY FIESTA'!$B$10:$B$115,$A32,'DAILY FIESTA'!V$10:V$115)</f>
        <v>0</v>
      </c>
      <c r="R32" s="8">
        <f>SUMIF('DAILY FIESTA'!$B$10:$B$115,$A32,'DAILY FIESTA'!W$10:W$115)</f>
        <v>0</v>
      </c>
      <c r="S32" s="8">
        <f>SUMIF('DAILY FIESTA'!$B$10:$B$115,$A32,'DAILY FIESTA'!X$10:X$115)</f>
        <v>0</v>
      </c>
      <c r="T32" s="8">
        <f>SUMIF('DAILY FIESTA'!$B$10:$B$115,$A32,'DAILY FIESTA'!Y$10:Y$115)</f>
        <v>0</v>
      </c>
      <c r="U32" s="8">
        <f>SUMIF('DAILY FIESTA'!$B$10:$B$115,$A32,'DAILY FIESTA'!Z$10:Z$115)</f>
        <v>0</v>
      </c>
      <c r="V32" s="8">
        <f>SUMIF('DAILY FIESTA'!$B$10:$B$115,$A32,'DAILY FIESTA'!AA$10:AA$115)</f>
        <v>0</v>
      </c>
      <c r="W32" s="59">
        <f t="shared" si="0"/>
        <v>0</v>
      </c>
      <c r="X32" s="60">
        <f t="shared" ca="1" si="1"/>
        <v>0</v>
      </c>
      <c r="Y32" s="47">
        <f t="shared" ca="1" si="2"/>
        <v>0</v>
      </c>
      <c r="Z32" s="88" t="e">
        <f t="shared" ca="1" si="5"/>
        <v>#DIV/0!</v>
      </c>
      <c r="AA32" s="89" t="e">
        <f t="shared" ca="1" si="6"/>
        <v>#DIV/0!</v>
      </c>
      <c r="AB32" s="112">
        <f>+'Actual VS SAP'!AA34</f>
        <v>0</v>
      </c>
      <c r="AC32" s="48">
        <f>+AB32*$AC$3</f>
        <v>0</v>
      </c>
      <c r="AD32" s="89" t="e">
        <f>+C32/AC32</f>
        <v>#DIV/0!</v>
      </c>
    </row>
    <row r="33" spans="1:30">
      <c r="A33" s="7">
        <f>+'ALL SORTASI'!A35</f>
        <v>46233</v>
      </c>
      <c r="B33" s="8">
        <f ca="1">SUMIF('DAILY FIESTA'!$B$10:$B$115,$A33,'DAILY FIESTA'!$C$10:$C$114)</f>
        <v>0</v>
      </c>
      <c r="C33" s="8">
        <f>SUMIF('DAILY FIESTA'!$B$10:$B$115,$A33,'DAILY FIESTA'!H$10:H$115)</f>
        <v>0</v>
      </c>
      <c r="D33" s="8">
        <f>SUMIF('DAILY FIESTA'!$B$10:$B$115,$A33,'DAILY FIESTA'!I$10:I$115)</f>
        <v>0</v>
      </c>
      <c r="E33" s="8">
        <f>SUMIF('DAILY FIESTA'!$B$10:$B$115,$A33,'DAILY FIESTA'!J$10:J$115)</f>
        <v>0</v>
      </c>
      <c r="F33" s="8">
        <f>SUMIF('DAILY FIESTA'!$B$10:$B$115,$A33,'DAILY FIESTA'!K$10:K$115)</f>
        <v>0</v>
      </c>
      <c r="G33" s="8">
        <f>SUMIF('DAILY FIESTA'!$B$10:$B$115,$A33,'DAILY FIESTA'!L$10:L$115)</f>
        <v>0</v>
      </c>
      <c r="H33" s="8">
        <f>SUMIF('DAILY FIESTA'!$B$10:$B$115,$A33,'DAILY FIESTA'!M$10:M$115)</f>
        <v>0</v>
      </c>
      <c r="I33" s="8">
        <f>SUMIF('DAILY FIESTA'!$B$10:$B$115,$A33,'DAILY FIESTA'!N$10:N$115)</f>
        <v>0</v>
      </c>
      <c r="J33" s="8">
        <f>SUMIF('DAILY FIESTA'!$B$10:$B$115,$A33,'DAILY FIESTA'!O$10:O$115)</f>
        <v>0</v>
      </c>
      <c r="K33" s="8">
        <f>SUMIF('DAILY FIESTA'!$B$10:$B$115,$A33,'DAILY FIESTA'!P$10:P$115)</f>
        <v>0</v>
      </c>
      <c r="L33" s="8">
        <f>SUMIF('DAILY FIESTA'!$B$10:$B$115,$A33,'DAILY FIESTA'!Q$10:Q$115)</f>
        <v>0</v>
      </c>
      <c r="M33" s="8">
        <f>SUMIF('DAILY FIESTA'!$B$10:$B$115,$A33,'DAILY FIESTA'!R$10:R$115)</f>
        <v>0</v>
      </c>
      <c r="N33" s="8">
        <f>SUMIF('DAILY FIESTA'!$B$10:$B$115,$A33,'DAILY FIESTA'!S$10:S$115)</f>
        <v>0</v>
      </c>
      <c r="O33" s="8">
        <f>SUMIF('DAILY FIESTA'!$B$10:$B$115,$A33,'DAILY FIESTA'!T$10:T$115)</f>
        <v>0</v>
      </c>
      <c r="P33" s="8">
        <f>SUMIF('DAILY FIESTA'!$B$10:$B$115,$A33,'DAILY FIESTA'!U$10:U$115)</f>
        <v>0</v>
      </c>
      <c r="Q33" s="8">
        <f>SUMIF('DAILY FIESTA'!$B$10:$B$115,$A33,'DAILY FIESTA'!V$10:V$115)</f>
        <v>0</v>
      </c>
      <c r="R33" s="8">
        <f>SUMIF('DAILY FIESTA'!$B$10:$B$115,$A33,'DAILY FIESTA'!W$10:W$115)</f>
        <v>0</v>
      </c>
      <c r="S33" s="8">
        <f>SUMIF('DAILY FIESTA'!$B$10:$B$115,$A33,'DAILY FIESTA'!X$10:X$115)</f>
        <v>0</v>
      </c>
      <c r="T33" s="8">
        <f>SUMIF('DAILY FIESTA'!$B$10:$B$115,$A33,'DAILY FIESTA'!Y$10:Y$115)</f>
        <v>0</v>
      </c>
      <c r="U33" s="8">
        <f>SUMIF('DAILY FIESTA'!$B$10:$B$115,$A33,'DAILY FIESTA'!Z$10:Z$115)</f>
        <v>0</v>
      </c>
      <c r="V33" s="8">
        <f>SUMIF('DAILY FIESTA'!$B$10:$B$115,$A33,'DAILY FIESTA'!AA$10:AA$115)</f>
        <v>0</v>
      </c>
      <c r="W33" s="59">
        <f t="shared" si="0"/>
        <v>0</v>
      </c>
      <c r="X33" s="60">
        <f t="shared" ca="1" si="1"/>
        <v>0</v>
      </c>
      <c r="Y33" s="47">
        <f t="shared" ca="1" si="2"/>
        <v>0</v>
      </c>
      <c r="Z33" s="88" t="e">
        <f t="shared" ca="1" si="5"/>
        <v>#DIV/0!</v>
      </c>
      <c r="AA33" s="89" t="e">
        <f t="shared" ca="1" si="6"/>
        <v>#DIV/0!</v>
      </c>
      <c r="AB33" s="112"/>
      <c r="AC33" s="48"/>
      <c r="AD33" s="89"/>
    </row>
    <row r="34" spans="1:30">
      <c r="A34" s="7">
        <f>+'ALL SORTASI'!A36</f>
        <v>46234</v>
      </c>
      <c r="B34" s="8">
        <f ca="1">SUMIF('DAILY FIESTA'!$B$10:$B$115,$A34,'DAILY FIESTA'!$C$10:$C$114)</f>
        <v>0</v>
      </c>
      <c r="C34" s="8">
        <f>SUMIF('DAILY FIESTA'!$B$10:$B$115,$A34,'DAILY FIESTA'!H$10:H$115)</f>
        <v>0</v>
      </c>
      <c r="D34" s="8">
        <f>SUMIF('DAILY FIESTA'!$B$10:$B$115,$A34,'DAILY FIESTA'!I$10:I$115)</f>
        <v>0</v>
      </c>
      <c r="E34" s="8">
        <f>SUMIF('DAILY FIESTA'!$B$10:$B$115,$A34,'DAILY FIESTA'!J$10:J$115)</f>
        <v>0</v>
      </c>
      <c r="F34" s="8">
        <f>SUMIF('DAILY FIESTA'!$B$10:$B$115,$A34,'DAILY FIESTA'!K$10:K$115)</f>
        <v>0</v>
      </c>
      <c r="G34" s="8">
        <f>SUMIF('DAILY FIESTA'!$B$10:$B$115,$A34,'DAILY FIESTA'!L$10:L$115)</f>
        <v>0</v>
      </c>
      <c r="H34" s="8">
        <f>SUMIF('DAILY FIESTA'!$B$10:$B$115,$A34,'DAILY FIESTA'!M$10:M$115)</f>
        <v>0</v>
      </c>
      <c r="I34" s="8">
        <f>SUMIF('DAILY FIESTA'!$B$10:$B$115,$A34,'DAILY FIESTA'!N$10:N$115)</f>
        <v>0</v>
      </c>
      <c r="J34" s="8">
        <f>SUMIF('DAILY FIESTA'!$B$10:$B$115,$A34,'DAILY FIESTA'!O$10:O$115)</f>
        <v>0</v>
      </c>
      <c r="K34" s="8">
        <f>SUMIF('DAILY FIESTA'!$B$10:$B$115,$A34,'DAILY FIESTA'!P$10:P$115)</f>
        <v>0</v>
      </c>
      <c r="L34" s="8">
        <f>SUMIF('DAILY FIESTA'!$B$10:$B$115,$A34,'DAILY FIESTA'!Q$10:Q$115)</f>
        <v>0</v>
      </c>
      <c r="M34" s="8">
        <f>SUMIF('DAILY FIESTA'!$B$10:$B$115,$A34,'DAILY FIESTA'!R$10:R$115)</f>
        <v>0</v>
      </c>
      <c r="N34" s="8">
        <f>SUMIF('DAILY FIESTA'!$B$10:$B$115,$A34,'DAILY FIESTA'!S$10:S$115)</f>
        <v>0</v>
      </c>
      <c r="O34" s="8">
        <f>SUMIF('DAILY FIESTA'!$B$10:$B$115,$A34,'DAILY FIESTA'!T$10:T$115)</f>
        <v>0</v>
      </c>
      <c r="P34" s="8">
        <f>SUMIF('DAILY FIESTA'!$B$10:$B$115,$A34,'DAILY FIESTA'!U$10:U$115)</f>
        <v>0</v>
      </c>
      <c r="Q34" s="8">
        <f>SUMIF('DAILY FIESTA'!$B$10:$B$115,$A34,'DAILY FIESTA'!V$10:V$115)</f>
        <v>0</v>
      </c>
      <c r="R34" s="8">
        <f>SUMIF('DAILY FIESTA'!$B$10:$B$115,$A34,'DAILY FIESTA'!W$10:W$115)</f>
        <v>0</v>
      </c>
      <c r="S34" s="8">
        <f>SUMIF('DAILY FIESTA'!$B$10:$B$115,$A34,'DAILY FIESTA'!X$10:X$115)</f>
        <v>0</v>
      </c>
      <c r="T34" s="8">
        <f>SUMIF('DAILY FIESTA'!$B$10:$B$115,$A34,'DAILY FIESTA'!Y$10:Y$115)</f>
        <v>0</v>
      </c>
      <c r="U34" s="8">
        <f>SUMIF('DAILY FIESTA'!$B$10:$B$115,$A34,'DAILY FIESTA'!Z$10:Z$115)</f>
        <v>0</v>
      </c>
      <c r="V34" s="8">
        <f>SUMIF('DAILY FIESTA'!$B$10:$B$115,$A34,'DAILY FIESTA'!AA$10:AA$115)</f>
        <v>0</v>
      </c>
      <c r="W34" s="59">
        <f t="shared" si="0"/>
        <v>0</v>
      </c>
      <c r="X34" s="60">
        <f t="shared" ca="1" si="1"/>
        <v>0</v>
      </c>
      <c r="Y34" s="47">
        <f t="shared" ca="1" si="2"/>
        <v>0</v>
      </c>
      <c r="Z34" s="88" t="e">
        <f t="shared" ca="1" si="5"/>
        <v>#DIV/0!</v>
      </c>
      <c r="AA34" s="89" t="e">
        <f t="shared" ca="1" si="6"/>
        <v>#DIV/0!</v>
      </c>
      <c r="AB34" s="112"/>
      <c r="AC34" s="48"/>
      <c r="AD34" s="89"/>
    </row>
    <row r="35" spans="1:30" hidden="1">
      <c r="A35" s="7"/>
      <c r="B35" s="8">
        <f ca="1">SUMIF('DAILY FIESTA'!$B$10:$B$115,$A35,'DAILY FIESTA'!$C$10:$C$114)</f>
        <v>0</v>
      </c>
      <c r="C35" s="8">
        <f>SUMIF('DAILY FIESTA'!$B$10:$B$115,$A35,'DAILY FIESTA'!H$10:H$115)</f>
        <v>0</v>
      </c>
      <c r="D35" s="8">
        <f>SUMIF('DAILY FIESTA'!$B$10:$B$115,$A35,'DAILY FIESTA'!I$10:I$115)</f>
        <v>0</v>
      </c>
      <c r="E35" s="8">
        <f>SUMIF('DAILY FIESTA'!$B$10:$B$115,$A35,'DAILY FIESTA'!J$10:J$115)</f>
        <v>0</v>
      </c>
      <c r="F35" s="8">
        <f>SUMIF('DAILY FIESTA'!$B$10:$B$115,$A35,'DAILY FIESTA'!K$10:K$115)</f>
        <v>0</v>
      </c>
      <c r="G35" s="8">
        <f>SUMIF('DAILY FIESTA'!$B$10:$B$115,$A35,'DAILY FIESTA'!L$10:L$115)</f>
        <v>0</v>
      </c>
      <c r="H35" s="8">
        <f>SUMIF('DAILY FIESTA'!$B$10:$B$115,$A35,'DAILY FIESTA'!M$10:M$115)</f>
        <v>0</v>
      </c>
      <c r="I35" s="8">
        <f>SUMIF('DAILY FIESTA'!$B$10:$B$115,$A35,'DAILY FIESTA'!N$10:N$115)</f>
        <v>0</v>
      </c>
      <c r="J35" s="8">
        <f>SUMIF('DAILY FIESTA'!$B$10:$B$115,$A35,'DAILY FIESTA'!O$10:O$115)</f>
        <v>0</v>
      </c>
      <c r="K35" s="8">
        <f>SUMIF('DAILY FIESTA'!$B$10:$B$115,$A35,'DAILY FIESTA'!P$10:P$115)</f>
        <v>0</v>
      </c>
      <c r="L35" s="8">
        <f>SUMIF('DAILY FIESTA'!$B$10:$B$115,$A35,'DAILY FIESTA'!Q$10:Q$115)</f>
        <v>0</v>
      </c>
      <c r="M35" s="8">
        <f>SUMIF('DAILY FIESTA'!$B$10:$B$115,$A35,'DAILY FIESTA'!R$10:R$115)</f>
        <v>0</v>
      </c>
      <c r="N35" s="8">
        <f>SUMIF('DAILY FIESTA'!$B$10:$B$115,$A35,'DAILY FIESTA'!S$10:S$115)</f>
        <v>0</v>
      </c>
      <c r="O35" s="8">
        <f>SUMIF('DAILY FIESTA'!$B$10:$B$115,$A35,'DAILY FIESTA'!T$10:T$115)</f>
        <v>0</v>
      </c>
      <c r="P35" s="8">
        <f>SUMIF('DAILY FIESTA'!$B$10:$B$115,$A35,'DAILY FIESTA'!U$10:U$115)</f>
        <v>0</v>
      </c>
      <c r="Q35" s="8">
        <f>SUMIF('DAILY FIESTA'!$B$10:$B$115,$A35,'DAILY FIESTA'!V$10:V$115)</f>
        <v>0</v>
      </c>
      <c r="R35" s="8">
        <f>SUMIF('DAILY FIESTA'!$B$10:$B$115,$A35,'DAILY FIESTA'!W$10:W$115)</f>
        <v>0</v>
      </c>
      <c r="S35" s="8">
        <f>SUMIF('DAILY FIESTA'!$B$10:$B$115,$A35,'DAILY FIESTA'!X$10:X$115)</f>
        <v>0</v>
      </c>
      <c r="T35" s="8">
        <f>SUMIF('DAILY FIESTA'!$B$10:$B$115,$A35,'DAILY FIESTA'!Y$10:Y$115)</f>
        <v>0</v>
      </c>
      <c r="U35" s="8">
        <f>SUMIF('DAILY FIESTA'!$B$10:$B$115,$A35,'DAILY FIESTA'!Z$10:Z$115)</f>
        <v>0</v>
      </c>
      <c r="V35" s="8">
        <f>SUMIF('DAILY FIESTA'!$B$10:$B$115,$A35,'DAILY FIESTA'!AA$10:AA$115)</f>
        <v>0</v>
      </c>
      <c r="W35" s="59">
        <f t="shared" si="0"/>
        <v>0</v>
      </c>
      <c r="X35" s="60">
        <f t="shared" ca="1" si="1"/>
        <v>0</v>
      </c>
      <c r="Y35" s="47">
        <f t="shared" ca="1" si="2"/>
        <v>0</v>
      </c>
      <c r="Z35" s="88" t="e">
        <f t="shared" ca="1" si="5"/>
        <v>#DIV/0!</v>
      </c>
      <c r="AA35" s="89" t="e">
        <f t="shared" ca="1" si="6"/>
        <v>#DIV/0!</v>
      </c>
      <c r="AB35" s="112"/>
      <c r="AC35" s="48"/>
      <c r="AD35" s="89"/>
    </row>
    <row r="36" spans="1:30" hidden="1">
      <c r="A36" s="7"/>
      <c r="B36" s="8">
        <f ca="1">SUMIF('DAILY FIESTA'!$B$10:$B$115,$A36,'DAILY FIESTA'!$C$10:$C$114)</f>
        <v>0</v>
      </c>
      <c r="C36" s="8">
        <f>SUMIF('DAILY FIESTA'!$B$10:$B$115,$A36,'DAILY FIESTA'!H$10:H$115)</f>
        <v>0</v>
      </c>
      <c r="D36" s="8">
        <f>SUMIF('DAILY FIESTA'!$B$10:$B$115,$A36,'DAILY FIESTA'!I$10:I$115)</f>
        <v>0</v>
      </c>
      <c r="E36" s="8">
        <f>SUMIF('DAILY FIESTA'!$B$10:$B$115,$A36,'DAILY FIESTA'!J$10:J$115)</f>
        <v>0</v>
      </c>
      <c r="F36" s="8">
        <f>SUMIF('DAILY FIESTA'!$B$10:$B$115,$A36,'DAILY FIESTA'!K$10:K$115)</f>
        <v>0</v>
      </c>
      <c r="G36" s="8">
        <f>SUMIF('DAILY FIESTA'!$B$10:$B$115,$A36,'DAILY FIESTA'!L$10:L$115)</f>
        <v>0</v>
      </c>
      <c r="H36" s="8">
        <f>SUMIF('DAILY FIESTA'!$B$10:$B$115,$A36,'DAILY FIESTA'!M$10:M$115)</f>
        <v>0</v>
      </c>
      <c r="I36" s="8">
        <f>SUMIF('DAILY FIESTA'!$B$10:$B$115,$A36,'DAILY FIESTA'!N$10:N$115)</f>
        <v>0</v>
      </c>
      <c r="J36" s="8">
        <f>SUMIF('DAILY FIESTA'!$B$10:$B$115,$A36,'DAILY FIESTA'!O$10:O$115)</f>
        <v>0</v>
      </c>
      <c r="K36" s="8">
        <f>SUMIF('DAILY FIESTA'!$B$10:$B$115,$A36,'DAILY FIESTA'!P$10:P$115)</f>
        <v>0</v>
      </c>
      <c r="L36" s="8">
        <f>SUMIF('DAILY FIESTA'!$B$10:$B$115,$A36,'DAILY FIESTA'!Q$10:Q$115)</f>
        <v>0</v>
      </c>
      <c r="M36" s="8">
        <f>SUMIF('DAILY FIESTA'!$B$10:$B$115,$A36,'DAILY FIESTA'!R$10:R$115)</f>
        <v>0</v>
      </c>
      <c r="N36" s="8">
        <f>SUMIF('DAILY FIESTA'!$B$10:$B$115,$A36,'DAILY FIESTA'!S$10:S$115)</f>
        <v>0</v>
      </c>
      <c r="O36" s="8">
        <f>SUMIF('DAILY FIESTA'!$B$10:$B$115,$A36,'DAILY FIESTA'!T$10:T$115)</f>
        <v>0</v>
      </c>
      <c r="P36" s="8">
        <f>SUMIF('DAILY FIESTA'!$B$10:$B$115,$A36,'DAILY FIESTA'!U$10:U$115)</f>
        <v>0</v>
      </c>
      <c r="Q36" s="8">
        <f>SUMIF('DAILY FIESTA'!$B$10:$B$115,$A36,'DAILY FIESTA'!V$10:V$115)</f>
        <v>0</v>
      </c>
      <c r="R36" s="8">
        <f>SUMIF('DAILY FIESTA'!$B$10:$B$115,$A36,'DAILY FIESTA'!W$10:W$115)</f>
        <v>0</v>
      </c>
      <c r="S36" s="8">
        <f>SUMIF('DAILY FIESTA'!$B$10:$B$115,$A36,'DAILY FIESTA'!X$10:X$115)</f>
        <v>0</v>
      </c>
      <c r="T36" s="8">
        <f>SUMIF('DAILY FIESTA'!$B$10:$B$115,$A36,'DAILY FIESTA'!Y$10:Y$115)</f>
        <v>0</v>
      </c>
      <c r="U36" s="8">
        <f>SUMIF('DAILY FIESTA'!$B$10:$B$115,$A36,'DAILY FIESTA'!Z$10:Z$115)</f>
        <v>0</v>
      </c>
      <c r="V36" s="8">
        <f>SUMIF('DAILY FIESTA'!$B$10:$B$115,$A36,'DAILY FIESTA'!AA$10:AA$115)</f>
        <v>0</v>
      </c>
      <c r="W36" s="59">
        <f t="shared" si="0"/>
        <v>0</v>
      </c>
      <c r="X36" s="60">
        <f t="shared" ca="1" si="1"/>
        <v>0</v>
      </c>
      <c r="Y36" s="47">
        <f t="shared" ca="1" si="2"/>
        <v>0</v>
      </c>
      <c r="Z36" s="88" t="e">
        <f t="shared" ca="1" si="5"/>
        <v>#DIV/0!</v>
      </c>
      <c r="AA36" s="89" t="e">
        <f t="shared" ca="1" si="6"/>
        <v>#DIV/0!</v>
      </c>
      <c r="AB36" s="112"/>
      <c r="AC36" s="48"/>
      <c r="AD36" s="89"/>
    </row>
    <row r="37" spans="1:30" hidden="1">
      <c r="A37" s="7"/>
      <c r="B37" s="8">
        <f ca="1">SUMIF('DAILY FIESTA'!$B$10:$B$115,$A37,'DAILY FIESTA'!$C$10:$C$114)</f>
        <v>0</v>
      </c>
      <c r="C37" s="8">
        <f>SUMIF('DAILY FIESTA'!$B$10:$B$115,$A37,'DAILY FIESTA'!H$10:H$115)</f>
        <v>0</v>
      </c>
      <c r="D37" s="8">
        <f>SUMIF('DAILY FIESTA'!$B$10:$B$115,$A37,'DAILY FIESTA'!I$10:I$115)</f>
        <v>0</v>
      </c>
      <c r="E37" s="8">
        <f>SUMIF('DAILY FIESTA'!$B$10:$B$115,$A37,'DAILY FIESTA'!J$10:J$115)</f>
        <v>0</v>
      </c>
      <c r="F37" s="8">
        <f>SUMIF('DAILY FIESTA'!$B$10:$B$115,$A37,'DAILY FIESTA'!K$10:K$115)</f>
        <v>0</v>
      </c>
      <c r="G37" s="8">
        <f>SUMIF('DAILY FIESTA'!$B$10:$B$115,$A37,'DAILY FIESTA'!L$10:L$115)</f>
        <v>0</v>
      </c>
      <c r="H37" s="8">
        <f>SUMIF('DAILY FIESTA'!$B$10:$B$115,$A37,'DAILY FIESTA'!M$10:M$115)</f>
        <v>0</v>
      </c>
      <c r="I37" s="8">
        <f>SUMIF('DAILY FIESTA'!$B$10:$B$115,$A37,'DAILY FIESTA'!N$10:N$115)</f>
        <v>0</v>
      </c>
      <c r="J37" s="8">
        <f>SUMIF('DAILY FIESTA'!$B$10:$B$115,$A37,'DAILY FIESTA'!O$10:O$115)</f>
        <v>0</v>
      </c>
      <c r="K37" s="8">
        <f>SUMIF('DAILY FIESTA'!$B$10:$B$115,$A37,'DAILY FIESTA'!P$10:P$115)</f>
        <v>0</v>
      </c>
      <c r="L37" s="8">
        <f>SUMIF('DAILY FIESTA'!$B$10:$B$115,$A37,'DAILY FIESTA'!Q$10:Q$115)</f>
        <v>0</v>
      </c>
      <c r="M37" s="8">
        <f>SUMIF('DAILY FIESTA'!$B$10:$B$115,$A37,'DAILY FIESTA'!R$10:R$115)</f>
        <v>0</v>
      </c>
      <c r="N37" s="8">
        <f>SUMIF('DAILY FIESTA'!$B$10:$B$115,$A37,'DAILY FIESTA'!S$10:S$115)</f>
        <v>0</v>
      </c>
      <c r="O37" s="8">
        <f>SUMIF('DAILY FIESTA'!$B$10:$B$115,$A37,'DAILY FIESTA'!T$10:T$115)</f>
        <v>0</v>
      </c>
      <c r="P37" s="8">
        <f>SUMIF('DAILY FIESTA'!$B$10:$B$115,$A37,'DAILY FIESTA'!U$10:U$115)</f>
        <v>0</v>
      </c>
      <c r="Q37" s="8">
        <f>SUMIF('DAILY FIESTA'!$B$10:$B$115,$A37,'DAILY FIESTA'!V$10:V$115)</f>
        <v>0</v>
      </c>
      <c r="R37" s="8">
        <f>SUMIF('DAILY FIESTA'!$B$10:$B$115,$A37,'DAILY FIESTA'!W$10:W$115)</f>
        <v>0</v>
      </c>
      <c r="S37" s="8">
        <f>SUMIF('DAILY FIESTA'!$B$10:$B$115,$A37,'DAILY FIESTA'!X$10:X$115)</f>
        <v>0</v>
      </c>
      <c r="T37" s="8">
        <f>SUMIF('DAILY FIESTA'!$B$10:$B$115,$A37,'DAILY FIESTA'!Y$10:Y$115)</f>
        <v>0</v>
      </c>
      <c r="U37" s="8">
        <f>SUMIF('DAILY FIESTA'!$B$10:$B$115,$A37,'DAILY FIESTA'!Z$10:Z$115)</f>
        <v>0</v>
      </c>
      <c r="V37" s="8">
        <f>SUMIF('DAILY FIESTA'!$B$10:$B$115,$A37,'DAILY FIESTA'!AA$10:AA$115)</f>
        <v>0</v>
      </c>
      <c r="W37" s="59">
        <f t="shared" si="0"/>
        <v>0</v>
      </c>
      <c r="X37" s="60">
        <f t="shared" ca="1" si="1"/>
        <v>0</v>
      </c>
      <c r="Y37" s="47">
        <f t="shared" ca="1" si="2"/>
        <v>0</v>
      </c>
      <c r="Z37" s="88" t="e">
        <f t="shared" ca="1" si="5"/>
        <v>#DIV/0!</v>
      </c>
      <c r="AA37" s="89" t="e">
        <f t="shared" ca="1" si="6"/>
        <v>#DIV/0!</v>
      </c>
      <c r="AB37" s="112"/>
      <c r="AC37" s="48"/>
      <c r="AD37" s="89"/>
    </row>
    <row r="38" spans="1:30" hidden="1">
      <c r="A38" s="7"/>
      <c r="B38" s="8">
        <f ca="1">SUMIF('DAILY FIESTA'!$B$10:$B$115,$A38,'DAILY FIESTA'!$C$10:$C$114)</f>
        <v>0</v>
      </c>
      <c r="C38" s="8">
        <f>SUMIF('DAILY FIESTA'!$B$10:$B$115,$A38,'DAILY FIESTA'!H$10:H$115)</f>
        <v>0</v>
      </c>
      <c r="D38" s="8">
        <f>SUMIF('DAILY FIESTA'!$B$10:$B$115,$A38,'DAILY FIESTA'!I$10:I$115)</f>
        <v>0</v>
      </c>
      <c r="E38" s="8">
        <f>SUMIF('DAILY FIESTA'!$B$10:$B$115,$A38,'DAILY FIESTA'!J$10:J$115)</f>
        <v>0</v>
      </c>
      <c r="F38" s="8">
        <f>SUMIF('DAILY FIESTA'!$B$10:$B$115,$A38,'DAILY FIESTA'!K$10:K$115)</f>
        <v>0</v>
      </c>
      <c r="G38" s="8">
        <f>SUMIF('DAILY FIESTA'!$B$10:$B$115,$A38,'DAILY FIESTA'!L$10:L$115)</f>
        <v>0</v>
      </c>
      <c r="H38" s="8">
        <f>SUMIF('DAILY FIESTA'!$B$10:$B$115,$A38,'DAILY FIESTA'!M$10:M$115)</f>
        <v>0</v>
      </c>
      <c r="I38" s="8">
        <f>SUMIF('DAILY FIESTA'!$B$10:$B$115,$A38,'DAILY FIESTA'!N$10:N$115)</f>
        <v>0</v>
      </c>
      <c r="J38" s="8">
        <f>SUMIF('DAILY FIESTA'!$B$10:$B$115,$A38,'DAILY FIESTA'!O$10:O$115)</f>
        <v>0</v>
      </c>
      <c r="K38" s="8">
        <f>SUMIF('DAILY FIESTA'!$B$10:$B$115,$A38,'DAILY FIESTA'!P$10:P$115)</f>
        <v>0</v>
      </c>
      <c r="L38" s="8">
        <f>SUMIF('DAILY FIESTA'!$B$10:$B$115,$A38,'DAILY FIESTA'!Q$10:Q$115)</f>
        <v>0</v>
      </c>
      <c r="M38" s="8">
        <f>SUMIF('DAILY FIESTA'!$B$10:$B$115,$A38,'DAILY FIESTA'!R$10:R$115)</f>
        <v>0</v>
      </c>
      <c r="N38" s="8">
        <f>SUMIF('DAILY FIESTA'!$B$10:$B$115,$A38,'DAILY FIESTA'!S$10:S$115)</f>
        <v>0</v>
      </c>
      <c r="O38" s="8">
        <f>SUMIF('DAILY FIESTA'!$B$10:$B$115,$A38,'DAILY FIESTA'!T$10:T$115)</f>
        <v>0</v>
      </c>
      <c r="P38" s="8">
        <f>SUMIF('DAILY FIESTA'!$B$10:$B$115,$A38,'DAILY FIESTA'!U$10:U$115)</f>
        <v>0</v>
      </c>
      <c r="Q38" s="8">
        <f>SUMIF('DAILY FIESTA'!$B$10:$B$115,$A38,'DAILY FIESTA'!V$10:V$115)</f>
        <v>0</v>
      </c>
      <c r="R38" s="8">
        <f>SUMIF('DAILY FIESTA'!$B$10:$B$115,$A38,'DAILY FIESTA'!W$10:W$115)</f>
        <v>0</v>
      </c>
      <c r="S38" s="8">
        <f>SUMIF('DAILY FIESTA'!$B$10:$B$115,$A38,'DAILY FIESTA'!X$10:X$115)</f>
        <v>0</v>
      </c>
      <c r="T38" s="8">
        <f>SUMIF('DAILY FIESTA'!$B$10:$B$115,$A38,'DAILY FIESTA'!Y$10:Y$115)</f>
        <v>0</v>
      </c>
      <c r="U38" s="8">
        <f>SUMIF('DAILY FIESTA'!$B$10:$B$115,$A38,'DAILY FIESTA'!Z$10:Z$115)</f>
        <v>0</v>
      </c>
      <c r="V38" s="8">
        <f>SUMIF('DAILY FIESTA'!$B$10:$B$115,$A38,'DAILY FIESTA'!AA$10:AA$115)</f>
        <v>0</v>
      </c>
      <c r="W38" s="59">
        <f t="shared" si="0"/>
        <v>0</v>
      </c>
      <c r="X38" s="60">
        <f t="shared" ca="1" si="1"/>
        <v>0</v>
      </c>
      <c r="Y38" s="47">
        <f t="shared" ca="1" si="2"/>
        <v>0</v>
      </c>
      <c r="Z38" s="88" t="e">
        <f t="shared" ca="1" si="5"/>
        <v>#DIV/0!</v>
      </c>
      <c r="AA38" s="89" t="e">
        <f t="shared" ca="1" si="6"/>
        <v>#DIV/0!</v>
      </c>
      <c r="AB38" s="112"/>
      <c r="AC38" s="48"/>
      <c r="AD38" s="89"/>
    </row>
    <row r="39" spans="1:30" hidden="1">
      <c r="A39" s="7"/>
      <c r="B39" s="8">
        <f ca="1">SUMIF('DAILY FIESTA'!$B$10:$B$115,$A39,'DAILY FIESTA'!$C$10:$C$114)</f>
        <v>0</v>
      </c>
      <c r="C39" s="8">
        <f>SUMIF('DAILY FIESTA'!$B$10:$B$115,$A39,'DAILY FIESTA'!H$10:H$115)</f>
        <v>0</v>
      </c>
      <c r="D39" s="8">
        <f>SUMIF('DAILY FIESTA'!$B$10:$B$115,$A39,'DAILY FIESTA'!I$10:I$115)</f>
        <v>0</v>
      </c>
      <c r="E39" s="8">
        <f>SUMIF('DAILY FIESTA'!$B$10:$B$115,$A39,'DAILY FIESTA'!J$10:J$115)</f>
        <v>0</v>
      </c>
      <c r="F39" s="8">
        <f>SUMIF('DAILY FIESTA'!$B$10:$B$115,$A39,'DAILY FIESTA'!K$10:K$115)</f>
        <v>0</v>
      </c>
      <c r="G39" s="8">
        <f>SUMIF('DAILY FIESTA'!$B$10:$B$115,$A39,'DAILY FIESTA'!L$10:L$115)</f>
        <v>0</v>
      </c>
      <c r="H39" s="8">
        <f>SUMIF('DAILY FIESTA'!$B$10:$B$115,$A39,'DAILY FIESTA'!M$10:M$115)</f>
        <v>0</v>
      </c>
      <c r="I39" s="8">
        <f>SUMIF('DAILY FIESTA'!$B$10:$B$115,$A39,'DAILY FIESTA'!N$10:N$115)</f>
        <v>0</v>
      </c>
      <c r="J39" s="8">
        <f>SUMIF('DAILY FIESTA'!$B$10:$B$115,$A39,'DAILY FIESTA'!O$10:O$115)</f>
        <v>0</v>
      </c>
      <c r="K39" s="8">
        <f>SUMIF('DAILY FIESTA'!$B$10:$B$115,$A39,'DAILY FIESTA'!P$10:P$115)</f>
        <v>0</v>
      </c>
      <c r="L39" s="8">
        <f>SUMIF('DAILY FIESTA'!$B$10:$B$115,$A39,'DAILY FIESTA'!Q$10:Q$115)</f>
        <v>0</v>
      </c>
      <c r="M39" s="8">
        <f>SUMIF('DAILY FIESTA'!$B$10:$B$115,$A39,'DAILY FIESTA'!R$10:R$115)</f>
        <v>0</v>
      </c>
      <c r="N39" s="8">
        <f>SUMIF('DAILY FIESTA'!$B$10:$B$115,$A39,'DAILY FIESTA'!S$10:S$115)</f>
        <v>0</v>
      </c>
      <c r="O39" s="8">
        <f>SUMIF('DAILY FIESTA'!$B$10:$B$115,$A39,'DAILY FIESTA'!T$10:T$115)</f>
        <v>0</v>
      </c>
      <c r="P39" s="8">
        <f>SUMIF('DAILY FIESTA'!$B$10:$B$115,$A39,'DAILY FIESTA'!U$10:U$115)</f>
        <v>0</v>
      </c>
      <c r="Q39" s="8">
        <f>SUMIF('DAILY FIESTA'!$B$10:$B$115,$A39,'DAILY FIESTA'!V$10:V$115)</f>
        <v>0</v>
      </c>
      <c r="R39" s="8">
        <f>SUMIF('DAILY FIESTA'!$B$10:$B$115,$A39,'DAILY FIESTA'!W$10:W$115)</f>
        <v>0</v>
      </c>
      <c r="S39" s="8">
        <f>SUMIF('DAILY FIESTA'!$B$10:$B$115,$A39,'DAILY FIESTA'!X$10:X$115)</f>
        <v>0</v>
      </c>
      <c r="T39" s="8">
        <f>SUMIF('DAILY FIESTA'!$B$10:$B$115,$A39,'DAILY FIESTA'!Y$10:Y$115)</f>
        <v>0</v>
      </c>
      <c r="U39" s="8">
        <f>SUMIF('DAILY FIESTA'!$B$10:$B$115,$A39,'DAILY FIESTA'!Z$10:Z$115)</f>
        <v>0</v>
      </c>
      <c r="V39" s="8">
        <f>SUMIF('DAILY FIESTA'!$B$10:$B$115,$A39,'DAILY FIESTA'!AA$10:AA$115)</f>
        <v>0</v>
      </c>
      <c r="W39" s="59">
        <f t="shared" si="0"/>
        <v>0</v>
      </c>
      <c r="X39" s="60">
        <f t="shared" ca="1" si="1"/>
        <v>0</v>
      </c>
      <c r="Y39" s="47">
        <f t="shared" ca="1" si="2"/>
        <v>0</v>
      </c>
      <c r="Z39" s="88" t="e">
        <f t="shared" ca="1" si="5"/>
        <v>#DIV/0!</v>
      </c>
      <c r="AA39" s="89" t="e">
        <f t="shared" ca="1" si="6"/>
        <v>#DIV/0!</v>
      </c>
      <c r="AB39" s="112"/>
      <c r="AC39" s="48"/>
      <c r="AD39" s="89"/>
    </row>
    <row r="40" spans="1:30" hidden="1">
      <c r="A40" s="7"/>
      <c r="B40" s="8">
        <f ca="1">SUMIF('DAILY FIESTA'!$B$10:$B$115,$A40,'DAILY FIESTA'!$C$10:$C$114)</f>
        <v>0</v>
      </c>
      <c r="C40" s="8">
        <f>SUMIF('DAILY FIESTA'!$B$10:$B$115,$A40,'DAILY FIESTA'!H$10:H$115)</f>
        <v>0</v>
      </c>
      <c r="D40" s="8">
        <f>SUMIF('DAILY FIESTA'!$B$10:$B$115,$A40,'DAILY FIESTA'!I$10:I$115)</f>
        <v>0</v>
      </c>
      <c r="E40" s="8">
        <f>SUMIF('DAILY FIESTA'!$B$10:$B$115,$A40,'DAILY FIESTA'!J$10:J$115)</f>
        <v>0</v>
      </c>
      <c r="F40" s="8">
        <f>SUMIF('DAILY FIESTA'!$B$10:$B$115,$A40,'DAILY FIESTA'!K$10:K$115)</f>
        <v>0</v>
      </c>
      <c r="G40" s="8">
        <f>SUMIF('DAILY FIESTA'!$B$10:$B$115,$A40,'DAILY FIESTA'!L$10:L$115)</f>
        <v>0</v>
      </c>
      <c r="H40" s="8">
        <f>SUMIF('DAILY FIESTA'!$B$10:$B$115,$A40,'DAILY FIESTA'!M$10:M$115)</f>
        <v>0</v>
      </c>
      <c r="I40" s="8">
        <f>SUMIF('DAILY FIESTA'!$B$10:$B$115,$A40,'DAILY FIESTA'!N$10:N$115)</f>
        <v>0</v>
      </c>
      <c r="J40" s="8">
        <f>SUMIF('DAILY FIESTA'!$B$10:$B$115,$A40,'DAILY FIESTA'!O$10:O$115)</f>
        <v>0</v>
      </c>
      <c r="K40" s="8">
        <f>SUMIF('DAILY FIESTA'!$B$10:$B$115,$A40,'DAILY FIESTA'!P$10:P$115)</f>
        <v>0</v>
      </c>
      <c r="L40" s="8">
        <f>SUMIF('DAILY FIESTA'!$B$10:$B$115,$A40,'DAILY FIESTA'!Q$10:Q$115)</f>
        <v>0</v>
      </c>
      <c r="M40" s="8">
        <f>SUMIF('DAILY FIESTA'!$B$10:$B$115,$A40,'DAILY FIESTA'!R$10:R$115)</f>
        <v>0</v>
      </c>
      <c r="N40" s="8">
        <f>SUMIF('DAILY FIESTA'!$B$10:$B$115,$A40,'DAILY FIESTA'!S$10:S$115)</f>
        <v>0</v>
      </c>
      <c r="O40" s="8">
        <f>SUMIF('DAILY FIESTA'!$B$10:$B$115,$A40,'DAILY FIESTA'!T$10:T$115)</f>
        <v>0</v>
      </c>
      <c r="P40" s="8">
        <f>SUMIF('DAILY FIESTA'!$B$10:$B$115,$A40,'DAILY FIESTA'!U$10:U$115)</f>
        <v>0</v>
      </c>
      <c r="Q40" s="8">
        <f>SUMIF('DAILY FIESTA'!$B$10:$B$115,$A40,'DAILY FIESTA'!V$10:V$115)</f>
        <v>0</v>
      </c>
      <c r="R40" s="8">
        <f>SUMIF('DAILY FIESTA'!$B$10:$B$115,$A40,'DAILY FIESTA'!W$10:W$115)</f>
        <v>0</v>
      </c>
      <c r="S40" s="8">
        <f>SUMIF('DAILY FIESTA'!$B$10:$B$115,$A40,'DAILY FIESTA'!X$10:X$115)</f>
        <v>0</v>
      </c>
      <c r="T40" s="8">
        <f>SUMIF('DAILY FIESTA'!$B$10:$B$115,$A40,'DAILY FIESTA'!Y$10:Y$115)</f>
        <v>0</v>
      </c>
      <c r="U40" s="8">
        <f>SUMIF('DAILY FIESTA'!$B$10:$B$115,$A40,'DAILY FIESTA'!Z$10:Z$115)</f>
        <v>0</v>
      </c>
      <c r="V40" s="8">
        <f>SUMIF('DAILY FIESTA'!$B$10:$B$115,$A40,'DAILY FIESTA'!AA$10:AA$115)</f>
        <v>0</v>
      </c>
      <c r="W40" s="59">
        <f t="shared" si="0"/>
        <v>0</v>
      </c>
      <c r="X40" s="60">
        <f t="shared" ca="1" si="1"/>
        <v>0</v>
      </c>
      <c r="Y40" s="47">
        <f t="shared" ca="1" si="2"/>
        <v>0</v>
      </c>
      <c r="Z40" s="88" t="e">
        <f t="shared" ca="1" si="5"/>
        <v>#DIV/0!</v>
      </c>
      <c r="AA40" s="89" t="e">
        <f t="shared" ca="1" si="6"/>
        <v>#DIV/0!</v>
      </c>
      <c r="AB40" s="112"/>
      <c r="AC40" s="48"/>
      <c r="AD40" s="89"/>
    </row>
    <row r="41" spans="1:30" hidden="1">
      <c r="A41" s="7"/>
      <c r="B41" s="8">
        <f ca="1">SUMIF('DAILY FIESTA'!$B$10:$B$115,$A41,'DAILY FIESTA'!$C$10:$C$114)</f>
        <v>0</v>
      </c>
      <c r="C41" s="8">
        <f>SUMIF('DAILY FIESTA'!$B$10:$B$115,$A41,'DAILY FIESTA'!H$10:H$115)</f>
        <v>0</v>
      </c>
      <c r="D41" s="8">
        <f>SUMIF('DAILY FIESTA'!$B$10:$B$115,$A41,'DAILY FIESTA'!I$10:I$115)</f>
        <v>0</v>
      </c>
      <c r="E41" s="8">
        <f>SUMIF('DAILY FIESTA'!$B$10:$B$115,$A41,'DAILY FIESTA'!J$10:J$115)</f>
        <v>0</v>
      </c>
      <c r="F41" s="8">
        <f>SUMIF('DAILY FIESTA'!$B$10:$B$115,$A41,'DAILY FIESTA'!K$10:K$115)</f>
        <v>0</v>
      </c>
      <c r="G41" s="8">
        <f>SUMIF('DAILY FIESTA'!$B$10:$B$115,$A41,'DAILY FIESTA'!L$10:L$115)</f>
        <v>0</v>
      </c>
      <c r="H41" s="8">
        <f>SUMIF('DAILY FIESTA'!$B$10:$B$115,$A41,'DAILY FIESTA'!M$10:M$115)</f>
        <v>0</v>
      </c>
      <c r="I41" s="8">
        <f>SUMIF('DAILY FIESTA'!$B$10:$B$115,$A41,'DAILY FIESTA'!N$10:N$115)</f>
        <v>0</v>
      </c>
      <c r="J41" s="8">
        <f>SUMIF('DAILY FIESTA'!$B$10:$B$115,$A41,'DAILY FIESTA'!O$10:O$115)</f>
        <v>0</v>
      </c>
      <c r="K41" s="8">
        <f>SUMIF('DAILY FIESTA'!$B$10:$B$115,$A41,'DAILY FIESTA'!P$10:P$115)</f>
        <v>0</v>
      </c>
      <c r="L41" s="8">
        <f>SUMIF('DAILY FIESTA'!$B$10:$B$115,$A41,'DAILY FIESTA'!Q$10:Q$115)</f>
        <v>0</v>
      </c>
      <c r="M41" s="8">
        <f>SUMIF('DAILY FIESTA'!$B$10:$B$115,$A41,'DAILY FIESTA'!R$10:R$115)</f>
        <v>0</v>
      </c>
      <c r="N41" s="8">
        <f>SUMIF('DAILY FIESTA'!$B$10:$B$115,$A41,'DAILY FIESTA'!S$10:S$115)</f>
        <v>0</v>
      </c>
      <c r="O41" s="8">
        <f>SUMIF('DAILY FIESTA'!$B$10:$B$115,$A41,'DAILY FIESTA'!T$10:T$115)</f>
        <v>0</v>
      </c>
      <c r="P41" s="8">
        <f>SUMIF('DAILY FIESTA'!$B$10:$B$115,$A41,'DAILY FIESTA'!U$10:U$115)</f>
        <v>0</v>
      </c>
      <c r="Q41" s="8">
        <f>SUMIF('DAILY FIESTA'!$B$10:$B$115,$A41,'DAILY FIESTA'!V$10:V$115)</f>
        <v>0</v>
      </c>
      <c r="R41" s="8">
        <f>SUMIF('DAILY FIESTA'!$B$10:$B$115,$A41,'DAILY FIESTA'!W$10:W$115)</f>
        <v>0</v>
      </c>
      <c r="S41" s="8">
        <f>SUMIF('DAILY FIESTA'!$B$10:$B$115,$A41,'DAILY FIESTA'!X$10:X$115)</f>
        <v>0</v>
      </c>
      <c r="T41" s="8">
        <f>SUMIF('DAILY FIESTA'!$B$10:$B$115,$A41,'DAILY FIESTA'!Y$10:Y$115)</f>
        <v>0</v>
      </c>
      <c r="U41" s="8">
        <f>SUMIF('DAILY FIESTA'!$B$10:$B$115,$A41,'DAILY FIESTA'!Z$10:Z$115)</f>
        <v>0</v>
      </c>
      <c r="V41" s="8">
        <f>SUMIF('DAILY FIESTA'!$B$10:$B$115,$A41,'DAILY FIESTA'!AA$10:AA$115)</f>
        <v>0</v>
      </c>
      <c r="W41" s="59">
        <f t="shared" si="0"/>
        <v>0</v>
      </c>
      <c r="X41" s="60">
        <f t="shared" ca="1" si="1"/>
        <v>0</v>
      </c>
      <c r="Y41" s="47">
        <f t="shared" ca="1" si="2"/>
        <v>0</v>
      </c>
      <c r="Z41" s="88" t="e">
        <f t="shared" ca="1" si="5"/>
        <v>#DIV/0!</v>
      </c>
      <c r="AA41" s="89" t="e">
        <f t="shared" ca="1" si="6"/>
        <v>#DIV/0!</v>
      </c>
      <c r="AB41" s="112"/>
      <c r="AC41" s="48"/>
      <c r="AD41" s="89"/>
    </row>
    <row r="42" spans="1:30" hidden="1">
      <c r="A42" s="7"/>
      <c r="B42" s="8">
        <f ca="1">SUMIF('DAILY FIESTA'!$B$10:$B$115,$A42,'DAILY FIESTA'!$C$10:$C$114)</f>
        <v>0</v>
      </c>
      <c r="C42" s="8">
        <f>SUMIF('DAILY FIESTA'!$B$10:$B$115,$A42,'DAILY FIESTA'!H$10:H$115)</f>
        <v>0</v>
      </c>
      <c r="D42" s="8">
        <f>SUMIF('DAILY FIESTA'!$B$10:$B$115,$A42,'DAILY FIESTA'!I$10:I$115)</f>
        <v>0</v>
      </c>
      <c r="E42" s="8">
        <f>SUMIF('DAILY FIESTA'!$B$10:$B$115,$A42,'DAILY FIESTA'!J$10:J$115)</f>
        <v>0</v>
      </c>
      <c r="F42" s="8">
        <f>SUMIF('DAILY FIESTA'!$B$10:$B$115,$A42,'DAILY FIESTA'!K$10:K$115)</f>
        <v>0</v>
      </c>
      <c r="G42" s="8">
        <f>SUMIF('DAILY FIESTA'!$B$10:$B$115,$A42,'DAILY FIESTA'!L$10:L$115)</f>
        <v>0</v>
      </c>
      <c r="H42" s="8">
        <f>SUMIF('DAILY FIESTA'!$B$10:$B$115,$A42,'DAILY FIESTA'!M$10:M$115)</f>
        <v>0</v>
      </c>
      <c r="I42" s="8">
        <f>SUMIF('DAILY FIESTA'!$B$10:$B$115,$A42,'DAILY FIESTA'!N$10:N$115)</f>
        <v>0</v>
      </c>
      <c r="J42" s="8">
        <f>SUMIF('DAILY FIESTA'!$B$10:$B$115,$A42,'DAILY FIESTA'!O$10:O$115)</f>
        <v>0</v>
      </c>
      <c r="K42" s="8">
        <f>SUMIF('DAILY FIESTA'!$B$10:$B$115,$A42,'DAILY FIESTA'!P$10:P$115)</f>
        <v>0</v>
      </c>
      <c r="L42" s="8">
        <f>SUMIF('DAILY FIESTA'!$B$10:$B$115,$A42,'DAILY FIESTA'!Q$10:Q$115)</f>
        <v>0</v>
      </c>
      <c r="M42" s="8">
        <f>SUMIF('DAILY FIESTA'!$B$10:$B$115,$A42,'DAILY FIESTA'!R$10:R$115)</f>
        <v>0</v>
      </c>
      <c r="N42" s="8">
        <f>SUMIF('DAILY FIESTA'!$B$10:$B$115,$A42,'DAILY FIESTA'!S$10:S$115)</f>
        <v>0</v>
      </c>
      <c r="O42" s="8">
        <f>SUMIF('DAILY FIESTA'!$B$10:$B$115,$A42,'DAILY FIESTA'!T$10:T$115)</f>
        <v>0</v>
      </c>
      <c r="P42" s="8">
        <f>SUMIF('DAILY FIESTA'!$B$10:$B$115,$A42,'DAILY FIESTA'!U$10:U$115)</f>
        <v>0</v>
      </c>
      <c r="Q42" s="8">
        <f>SUMIF('DAILY FIESTA'!$B$10:$B$115,$A42,'DAILY FIESTA'!V$10:V$115)</f>
        <v>0</v>
      </c>
      <c r="R42" s="8">
        <f>SUMIF('DAILY FIESTA'!$B$10:$B$115,$A42,'DAILY FIESTA'!W$10:W$115)</f>
        <v>0</v>
      </c>
      <c r="S42" s="8">
        <f>SUMIF('DAILY FIESTA'!$B$10:$B$115,$A42,'DAILY FIESTA'!X$10:X$115)</f>
        <v>0</v>
      </c>
      <c r="T42" s="8">
        <f>SUMIF('DAILY FIESTA'!$B$10:$B$115,$A42,'DAILY FIESTA'!Y$10:Y$115)</f>
        <v>0</v>
      </c>
      <c r="U42" s="8">
        <f>SUMIF('DAILY FIESTA'!$B$10:$B$115,$A42,'DAILY FIESTA'!Z$10:Z$115)</f>
        <v>0</v>
      </c>
      <c r="V42" s="8">
        <f>SUMIF('DAILY FIESTA'!$B$10:$B$115,$A42,'DAILY FIESTA'!AA$10:AA$115)</f>
        <v>0</v>
      </c>
      <c r="W42" s="59">
        <f t="shared" si="0"/>
        <v>0</v>
      </c>
      <c r="X42" s="60">
        <f t="shared" ca="1" si="1"/>
        <v>0</v>
      </c>
      <c r="Y42" s="47">
        <f t="shared" ca="1" si="2"/>
        <v>0</v>
      </c>
      <c r="Z42" s="88" t="e">
        <f t="shared" ca="1" si="5"/>
        <v>#DIV/0!</v>
      </c>
      <c r="AA42" s="89" t="e">
        <f t="shared" ca="1" si="6"/>
        <v>#DIV/0!</v>
      </c>
      <c r="AB42" s="112"/>
      <c r="AC42" s="48"/>
      <c r="AD42" s="89"/>
    </row>
    <row r="43" spans="1:30" hidden="1">
      <c r="A43" s="7"/>
      <c r="B43" s="8">
        <f ca="1">SUMIF('DAILY FIESTA'!$B$10:$B$115,$A43,'DAILY FIESTA'!$C$10:$C$114)</f>
        <v>0</v>
      </c>
      <c r="C43" s="8">
        <f>SUMIF('DAILY FIESTA'!$B$10:$B$115,$A43,'DAILY FIESTA'!H$10:H$115)</f>
        <v>0</v>
      </c>
      <c r="D43" s="8">
        <f>SUMIF('DAILY FIESTA'!$B$10:$B$115,$A43,'DAILY FIESTA'!I$10:I$115)</f>
        <v>0</v>
      </c>
      <c r="E43" s="8">
        <f>SUMIF('DAILY FIESTA'!$B$10:$B$115,$A43,'DAILY FIESTA'!J$10:J$115)</f>
        <v>0</v>
      </c>
      <c r="F43" s="8">
        <f>SUMIF('DAILY FIESTA'!$B$10:$B$115,$A43,'DAILY FIESTA'!K$10:K$115)</f>
        <v>0</v>
      </c>
      <c r="G43" s="8">
        <f>SUMIF('DAILY FIESTA'!$B$10:$B$115,$A43,'DAILY FIESTA'!L$10:L$115)</f>
        <v>0</v>
      </c>
      <c r="H43" s="8">
        <f>SUMIF('DAILY FIESTA'!$B$10:$B$115,$A43,'DAILY FIESTA'!M$10:M$115)</f>
        <v>0</v>
      </c>
      <c r="I43" s="8">
        <f>SUMIF('DAILY FIESTA'!$B$10:$B$115,$A43,'DAILY FIESTA'!N$10:N$115)</f>
        <v>0</v>
      </c>
      <c r="J43" s="8">
        <f>SUMIF('DAILY FIESTA'!$B$10:$B$115,$A43,'DAILY FIESTA'!O$10:O$115)</f>
        <v>0</v>
      </c>
      <c r="K43" s="8">
        <f>SUMIF('DAILY FIESTA'!$B$10:$B$115,$A43,'DAILY FIESTA'!P$10:P$115)</f>
        <v>0</v>
      </c>
      <c r="L43" s="8">
        <f>SUMIF('DAILY FIESTA'!$B$10:$B$115,$A43,'DAILY FIESTA'!Q$10:Q$115)</f>
        <v>0</v>
      </c>
      <c r="M43" s="8">
        <f>SUMIF('DAILY FIESTA'!$B$10:$B$115,$A43,'DAILY FIESTA'!R$10:R$115)</f>
        <v>0</v>
      </c>
      <c r="N43" s="8">
        <f>SUMIF('DAILY FIESTA'!$B$10:$B$115,$A43,'DAILY FIESTA'!S$10:S$115)</f>
        <v>0</v>
      </c>
      <c r="O43" s="8">
        <f>SUMIF('DAILY FIESTA'!$B$10:$B$115,$A43,'DAILY FIESTA'!T$10:T$115)</f>
        <v>0</v>
      </c>
      <c r="P43" s="8">
        <f>SUMIF('DAILY FIESTA'!$B$10:$B$115,$A43,'DAILY FIESTA'!U$10:U$115)</f>
        <v>0</v>
      </c>
      <c r="Q43" s="8">
        <f>SUMIF('DAILY FIESTA'!$B$10:$B$115,$A43,'DAILY FIESTA'!V$10:V$115)</f>
        <v>0</v>
      </c>
      <c r="R43" s="8">
        <f>SUMIF('DAILY FIESTA'!$B$10:$B$115,$A43,'DAILY FIESTA'!W$10:W$115)</f>
        <v>0</v>
      </c>
      <c r="S43" s="8">
        <f>SUMIF('DAILY FIESTA'!$B$10:$B$115,$A43,'DAILY FIESTA'!X$10:X$115)</f>
        <v>0</v>
      </c>
      <c r="T43" s="8">
        <f>SUMIF('DAILY FIESTA'!$B$10:$B$115,$A43,'DAILY FIESTA'!Y$10:Y$115)</f>
        <v>0</v>
      </c>
      <c r="U43" s="8">
        <f>SUMIF('DAILY FIESTA'!$B$10:$B$115,$A43,'DAILY FIESTA'!Z$10:Z$115)</f>
        <v>0</v>
      </c>
      <c r="V43" s="8">
        <f>SUMIF('DAILY FIESTA'!$B$10:$B$115,$A43,'DAILY FIESTA'!AA$10:AA$115)</f>
        <v>0</v>
      </c>
      <c r="W43" s="59">
        <f t="shared" si="0"/>
        <v>0</v>
      </c>
      <c r="X43" s="60">
        <f t="shared" ca="1" si="1"/>
        <v>0</v>
      </c>
      <c r="Y43" s="47">
        <f t="shared" ca="1" si="2"/>
        <v>0</v>
      </c>
      <c r="Z43" s="88" t="e">
        <f t="shared" ca="1" si="5"/>
        <v>#DIV/0!</v>
      </c>
      <c r="AA43" s="89" t="e">
        <f t="shared" ca="1" si="6"/>
        <v>#DIV/0!</v>
      </c>
      <c r="AB43" s="112"/>
      <c r="AC43" s="48"/>
      <c r="AD43" s="89"/>
    </row>
    <row r="44" spans="1:30" hidden="1">
      <c r="A44" s="7"/>
      <c r="B44" s="8">
        <f ca="1">SUMIF('DAILY FIESTA'!$B$10:$B$115,$A44,'DAILY FIESTA'!$C$10:$C$114)</f>
        <v>0</v>
      </c>
      <c r="C44" s="8">
        <f>SUMIF('DAILY FIESTA'!$B$10:$B$115,$A44,'DAILY FIESTA'!H$10:H$115)</f>
        <v>0</v>
      </c>
      <c r="D44" s="8">
        <f>SUMIF('DAILY FIESTA'!$B$10:$B$115,$A44,'DAILY FIESTA'!I$10:I$115)</f>
        <v>0</v>
      </c>
      <c r="E44" s="8">
        <f>SUMIF('DAILY FIESTA'!$B$10:$B$115,$A44,'DAILY FIESTA'!J$10:J$115)</f>
        <v>0</v>
      </c>
      <c r="F44" s="8">
        <f>SUMIF('DAILY FIESTA'!$B$10:$B$115,$A44,'DAILY FIESTA'!K$10:K$115)</f>
        <v>0</v>
      </c>
      <c r="G44" s="8">
        <f>SUMIF('DAILY FIESTA'!$B$10:$B$115,$A44,'DAILY FIESTA'!L$10:L$115)</f>
        <v>0</v>
      </c>
      <c r="H44" s="8">
        <f>SUMIF('DAILY FIESTA'!$B$10:$B$115,$A44,'DAILY FIESTA'!M$10:M$115)</f>
        <v>0</v>
      </c>
      <c r="I44" s="8">
        <f>SUMIF('DAILY FIESTA'!$B$10:$B$115,$A44,'DAILY FIESTA'!N$10:N$115)</f>
        <v>0</v>
      </c>
      <c r="J44" s="8">
        <f>SUMIF('DAILY FIESTA'!$B$10:$B$115,$A44,'DAILY FIESTA'!O$10:O$115)</f>
        <v>0</v>
      </c>
      <c r="K44" s="8">
        <f>SUMIF('DAILY FIESTA'!$B$10:$B$115,$A44,'DAILY FIESTA'!P$10:P$115)</f>
        <v>0</v>
      </c>
      <c r="L44" s="8">
        <f>SUMIF('DAILY FIESTA'!$B$10:$B$115,$A44,'DAILY FIESTA'!Q$10:Q$115)</f>
        <v>0</v>
      </c>
      <c r="M44" s="8">
        <f>SUMIF('DAILY FIESTA'!$B$10:$B$115,$A44,'DAILY FIESTA'!R$10:R$115)</f>
        <v>0</v>
      </c>
      <c r="N44" s="8">
        <f>SUMIF('DAILY FIESTA'!$B$10:$B$115,$A44,'DAILY FIESTA'!S$10:S$115)</f>
        <v>0</v>
      </c>
      <c r="O44" s="8">
        <f>SUMIF('DAILY FIESTA'!$B$10:$B$115,$A44,'DAILY FIESTA'!T$10:T$115)</f>
        <v>0</v>
      </c>
      <c r="P44" s="8">
        <f>SUMIF('DAILY FIESTA'!$B$10:$B$115,$A44,'DAILY FIESTA'!U$10:U$115)</f>
        <v>0</v>
      </c>
      <c r="Q44" s="8">
        <f>SUMIF('DAILY FIESTA'!$B$10:$B$115,$A44,'DAILY FIESTA'!V$10:V$115)</f>
        <v>0</v>
      </c>
      <c r="R44" s="8">
        <f>SUMIF('DAILY FIESTA'!$B$10:$B$115,$A44,'DAILY FIESTA'!W$10:W$115)</f>
        <v>0</v>
      </c>
      <c r="S44" s="8">
        <f>SUMIF('DAILY FIESTA'!$B$10:$B$115,$A44,'DAILY FIESTA'!X$10:X$115)</f>
        <v>0</v>
      </c>
      <c r="T44" s="8">
        <f>SUMIF('DAILY FIESTA'!$B$10:$B$115,$A44,'DAILY FIESTA'!Y$10:Y$115)</f>
        <v>0</v>
      </c>
      <c r="U44" s="8">
        <f>SUMIF('DAILY FIESTA'!$B$10:$B$115,$A44,'DAILY FIESTA'!Z$10:Z$115)</f>
        <v>0</v>
      </c>
      <c r="V44" s="8">
        <f>SUMIF('DAILY FIESTA'!$B$10:$B$115,$A44,'DAILY FIESTA'!AA$10:AA$115)</f>
        <v>0</v>
      </c>
      <c r="W44" s="59">
        <f t="shared" si="0"/>
        <v>0</v>
      </c>
      <c r="X44" s="60">
        <f t="shared" ca="1" si="1"/>
        <v>0</v>
      </c>
      <c r="Y44" s="47">
        <f t="shared" ca="1" si="2"/>
        <v>0</v>
      </c>
      <c r="Z44" s="88" t="e">
        <f t="shared" ca="1" si="5"/>
        <v>#DIV/0!</v>
      </c>
      <c r="AA44" s="89" t="e">
        <f t="shared" ca="1" si="6"/>
        <v>#DIV/0!</v>
      </c>
      <c r="AB44" s="112"/>
      <c r="AC44" s="48"/>
      <c r="AD44" s="89"/>
    </row>
    <row r="45" spans="1:30" hidden="1">
      <c r="A45" s="7"/>
      <c r="B45" s="8">
        <f ca="1">SUMIF('DAILY FIESTA'!$B$10:$B$115,$A45,'DAILY FIESTA'!$C$10:$C$114)</f>
        <v>0</v>
      </c>
      <c r="C45" s="8">
        <f>SUMIF('DAILY FIESTA'!$B$10:$B$115,$A45,'DAILY FIESTA'!H$10:H$115)</f>
        <v>0</v>
      </c>
      <c r="D45" s="8">
        <f>SUMIF('DAILY FIESTA'!$B$10:$B$115,$A45,'DAILY FIESTA'!I$10:I$115)</f>
        <v>0</v>
      </c>
      <c r="E45" s="8">
        <f>SUMIF('DAILY FIESTA'!$B$10:$B$115,$A45,'DAILY FIESTA'!J$10:J$115)</f>
        <v>0</v>
      </c>
      <c r="F45" s="8">
        <f>SUMIF('DAILY FIESTA'!$B$10:$B$115,$A45,'DAILY FIESTA'!K$10:K$115)</f>
        <v>0</v>
      </c>
      <c r="G45" s="8">
        <f>SUMIF('DAILY FIESTA'!$B$10:$B$115,$A45,'DAILY FIESTA'!L$10:L$115)</f>
        <v>0</v>
      </c>
      <c r="H45" s="8">
        <f>SUMIF('DAILY FIESTA'!$B$10:$B$115,$A45,'DAILY FIESTA'!M$10:M$115)</f>
        <v>0</v>
      </c>
      <c r="I45" s="8">
        <f>SUMIF('DAILY FIESTA'!$B$10:$B$115,$A45,'DAILY FIESTA'!N$10:N$115)</f>
        <v>0</v>
      </c>
      <c r="J45" s="8">
        <f>SUMIF('DAILY FIESTA'!$B$10:$B$115,$A45,'DAILY FIESTA'!O$10:O$115)</f>
        <v>0</v>
      </c>
      <c r="K45" s="8">
        <f>SUMIF('DAILY FIESTA'!$B$10:$B$115,$A45,'DAILY FIESTA'!P$10:P$115)</f>
        <v>0</v>
      </c>
      <c r="L45" s="8">
        <f>SUMIF('DAILY FIESTA'!$B$10:$B$115,$A45,'DAILY FIESTA'!Q$10:Q$115)</f>
        <v>0</v>
      </c>
      <c r="M45" s="8">
        <f>SUMIF('DAILY FIESTA'!$B$10:$B$115,$A45,'DAILY FIESTA'!R$10:R$115)</f>
        <v>0</v>
      </c>
      <c r="N45" s="8">
        <f>SUMIF('DAILY FIESTA'!$B$10:$B$115,$A45,'DAILY FIESTA'!S$10:S$115)</f>
        <v>0</v>
      </c>
      <c r="O45" s="8">
        <f>SUMIF('DAILY FIESTA'!$B$10:$B$115,$A45,'DAILY FIESTA'!T$10:T$115)</f>
        <v>0</v>
      </c>
      <c r="P45" s="8">
        <f>SUMIF('DAILY FIESTA'!$B$10:$B$115,$A45,'DAILY FIESTA'!U$10:U$115)</f>
        <v>0</v>
      </c>
      <c r="Q45" s="8">
        <f>SUMIF('DAILY FIESTA'!$B$10:$B$115,$A45,'DAILY FIESTA'!V$10:V$115)</f>
        <v>0</v>
      </c>
      <c r="R45" s="8">
        <f>SUMIF('DAILY FIESTA'!$B$10:$B$115,$A45,'DAILY FIESTA'!W$10:W$115)</f>
        <v>0</v>
      </c>
      <c r="S45" s="8">
        <f>SUMIF('DAILY FIESTA'!$B$10:$B$115,$A45,'DAILY FIESTA'!X$10:X$115)</f>
        <v>0</v>
      </c>
      <c r="T45" s="8">
        <f>SUMIF('DAILY FIESTA'!$B$10:$B$115,$A45,'DAILY FIESTA'!Y$10:Y$115)</f>
        <v>0</v>
      </c>
      <c r="U45" s="8">
        <f>SUMIF('DAILY FIESTA'!$B$10:$B$115,$A45,'DAILY FIESTA'!Z$10:Z$115)</f>
        <v>0</v>
      </c>
      <c r="V45" s="8">
        <f>SUMIF('DAILY FIESTA'!$B$10:$B$115,$A45,'DAILY FIESTA'!AA$10:AA$115)</f>
        <v>0</v>
      </c>
      <c r="W45" s="59">
        <f t="shared" si="0"/>
        <v>0</v>
      </c>
      <c r="X45" s="60">
        <f t="shared" ca="1" si="1"/>
        <v>0</v>
      </c>
      <c r="Y45" s="47">
        <f t="shared" ca="1" si="2"/>
        <v>0</v>
      </c>
      <c r="Z45" s="88" t="e">
        <f t="shared" ca="1" si="5"/>
        <v>#DIV/0!</v>
      </c>
      <c r="AA45" s="89" t="e">
        <f t="shared" ca="1" si="6"/>
        <v>#DIV/0!</v>
      </c>
      <c r="AB45" s="112"/>
      <c r="AC45" s="48"/>
      <c r="AD45" s="89"/>
    </row>
    <row r="46" spans="1:30" hidden="1">
      <c r="A46" s="7"/>
      <c r="B46" s="8">
        <f ca="1">SUMIF('DAILY FIESTA'!$B$10:$B$115,$A46,'DAILY FIESTA'!$C$10:$C$114)</f>
        <v>0</v>
      </c>
      <c r="C46" s="8">
        <f>SUMIF('DAILY FIESTA'!$B$10:$B$115,$A46,'DAILY FIESTA'!H$10:H$115)</f>
        <v>0</v>
      </c>
      <c r="D46" s="8">
        <f>SUMIF('DAILY FIESTA'!$B$10:$B$115,$A46,'DAILY FIESTA'!I$10:I$115)</f>
        <v>0</v>
      </c>
      <c r="E46" s="8">
        <f>SUMIF('DAILY FIESTA'!$B$10:$B$115,$A46,'DAILY FIESTA'!J$10:J$115)</f>
        <v>0</v>
      </c>
      <c r="F46" s="8">
        <f>SUMIF('DAILY FIESTA'!$B$10:$B$115,$A46,'DAILY FIESTA'!K$10:K$115)</f>
        <v>0</v>
      </c>
      <c r="G46" s="8">
        <f>SUMIF('DAILY FIESTA'!$B$10:$B$115,$A46,'DAILY FIESTA'!L$10:L$115)</f>
        <v>0</v>
      </c>
      <c r="H46" s="8">
        <f>SUMIF('DAILY FIESTA'!$B$10:$B$115,$A46,'DAILY FIESTA'!M$10:M$115)</f>
        <v>0</v>
      </c>
      <c r="I46" s="8">
        <f>SUMIF('DAILY FIESTA'!$B$10:$B$115,$A46,'DAILY FIESTA'!N$10:N$115)</f>
        <v>0</v>
      </c>
      <c r="J46" s="8">
        <f>SUMIF('DAILY FIESTA'!$B$10:$B$115,$A46,'DAILY FIESTA'!O$10:O$115)</f>
        <v>0</v>
      </c>
      <c r="K46" s="8">
        <f>SUMIF('DAILY FIESTA'!$B$10:$B$115,$A46,'DAILY FIESTA'!P$10:P$115)</f>
        <v>0</v>
      </c>
      <c r="L46" s="8">
        <f>SUMIF('DAILY FIESTA'!$B$10:$B$115,$A46,'DAILY FIESTA'!Q$10:Q$115)</f>
        <v>0</v>
      </c>
      <c r="M46" s="8">
        <f>SUMIF('DAILY FIESTA'!$B$10:$B$115,$A46,'DAILY FIESTA'!R$10:R$115)</f>
        <v>0</v>
      </c>
      <c r="N46" s="8">
        <f>SUMIF('DAILY FIESTA'!$B$10:$B$115,$A46,'DAILY FIESTA'!S$10:S$115)</f>
        <v>0</v>
      </c>
      <c r="O46" s="8">
        <f>SUMIF('DAILY FIESTA'!$B$10:$B$115,$A46,'DAILY FIESTA'!T$10:T$115)</f>
        <v>0</v>
      </c>
      <c r="P46" s="8">
        <f>SUMIF('DAILY FIESTA'!$B$10:$B$115,$A46,'DAILY FIESTA'!U$10:U$115)</f>
        <v>0</v>
      </c>
      <c r="Q46" s="8">
        <f>SUMIF('DAILY FIESTA'!$B$10:$B$115,$A46,'DAILY FIESTA'!V$10:V$115)</f>
        <v>0</v>
      </c>
      <c r="R46" s="8">
        <f>SUMIF('DAILY FIESTA'!$B$10:$B$115,$A46,'DAILY FIESTA'!W$10:W$115)</f>
        <v>0</v>
      </c>
      <c r="S46" s="8">
        <f>SUMIF('DAILY FIESTA'!$B$10:$B$115,$A46,'DAILY FIESTA'!X$10:X$115)</f>
        <v>0</v>
      </c>
      <c r="T46" s="8">
        <f>SUMIF('DAILY FIESTA'!$B$10:$B$115,$A46,'DAILY FIESTA'!Y$10:Y$115)</f>
        <v>0</v>
      </c>
      <c r="U46" s="8">
        <f>SUMIF('DAILY FIESTA'!$B$10:$B$115,$A46,'DAILY FIESTA'!Z$10:Z$115)</f>
        <v>0</v>
      </c>
      <c r="V46" s="8">
        <f>SUMIF('DAILY FIESTA'!$B$10:$B$115,$A46,'DAILY FIESTA'!AA$10:AA$115)</f>
        <v>0</v>
      </c>
      <c r="W46" s="59">
        <f t="shared" si="0"/>
        <v>0</v>
      </c>
      <c r="X46" s="60">
        <f t="shared" ca="1" si="1"/>
        <v>0</v>
      </c>
      <c r="Y46" s="47">
        <f t="shared" ca="1" si="2"/>
        <v>0</v>
      </c>
      <c r="Z46" s="88" t="e">
        <f t="shared" ca="1" si="5"/>
        <v>#DIV/0!</v>
      </c>
      <c r="AA46" s="89" t="e">
        <f t="shared" ca="1" si="6"/>
        <v>#DIV/0!</v>
      </c>
      <c r="AB46" s="112"/>
      <c r="AC46" s="48"/>
      <c r="AD46" s="89"/>
    </row>
    <row r="47" spans="1:30" hidden="1">
      <c r="A47" s="7"/>
      <c r="B47" s="8">
        <f ca="1">SUMIF('DAILY FIESTA'!$B$10:$B$115,$A47,'DAILY FIESTA'!$C$10:$C$114)</f>
        <v>0</v>
      </c>
      <c r="C47" s="8">
        <f>SUMIF('DAILY FIESTA'!$B$10:$B$115,$A47,'DAILY FIESTA'!H$10:H$115)</f>
        <v>0</v>
      </c>
      <c r="D47" s="8">
        <f>SUMIF('DAILY FIESTA'!$B$10:$B$115,$A47,'DAILY FIESTA'!I$10:I$115)</f>
        <v>0</v>
      </c>
      <c r="E47" s="8">
        <f>SUMIF('DAILY FIESTA'!$B$10:$B$115,$A47,'DAILY FIESTA'!J$10:J$115)</f>
        <v>0</v>
      </c>
      <c r="F47" s="8">
        <f>SUMIF('DAILY FIESTA'!$B$10:$B$115,$A47,'DAILY FIESTA'!K$10:K$115)</f>
        <v>0</v>
      </c>
      <c r="G47" s="8">
        <f>SUMIF('DAILY FIESTA'!$B$10:$B$115,$A47,'DAILY FIESTA'!L$10:L$115)</f>
        <v>0</v>
      </c>
      <c r="H47" s="8">
        <f>SUMIF('DAILY FIESTA'!$B$10:$B$115,$A47,'DAILY FIESTA'!M$10:M$115)</f>
        <v>0</v>
      </c>
      <c r="I47" s="8">
        <f>SUMIF('DAILY FIESTA'!$B$10:$B$115,$A47,'DAILY FIESTA'!N$10:N$115)</f>
        <v>0</v>
      </c>
      <c r="J47" s="8">
        <f>SUMIF('DAILY FIESTA'!$B$10:$B$115,$A47,'DAILY FIESTA'!O$10:O$115)</f>
        <v>0</v>
      </c>
      <c r="K47" s="8">
        <f>SUMIF('DAILY FIESTA'!$B$10:$B$115,$A47,'DAILY FIESTA'!P$10:P$115)</f>
        <v>0</v>
      </c>
      <c r="L47" s="8">
        <f>SUMIF('DAILY FIESTA'!$B$10:$B$115,$A47,'DAILY FIESTA'!Q$10:Q$115)</f>
        <v>0</v>
      </c>
      <c r="M47" s="8">
        <f>SUMIF('DAILY FIESTA'!$B$10:$B$115,$A47,'DAILY FIESTA'!R$10:R$115)</f>
        <v>0</v>
      </c>
      <c r="N47" s="8">
        <f>SUMIF('DAILY FIESTA'!$B$10:$B$115,$A47,'DAILY FIESTA'!S$10:S$115)</f>
        <v>0</v>
      </c>
      <c r="O47" s="8">
        <f>SUMIF('DAILY FIESTA'!$B$10:$B$115,$A47,'DAILY FIESTA'!T$10:T$115)</f>
        <v>0</v>
      </c>
      <c r="P47" s="8">
        <f>SUMIF('DAILY FIESTA'!$B$10:$B$115,$A47,'DAILY FIESTA'!U$10:U$115)</f>
        <v>0</v>
      </c>
      <c r="Q47" s="8">
        <f>SUMIF('DAILY FIESTA'!$B$10:$B$115,$A47,'DAILY FIESTA'!V$10:V$115)</f>
        <v>0</v>
      </c>
      <c r="R47" s="8">
        <f>SUMIF('DAILY FIESTA'!$B$10:$B$115,$A47,'DAILY FIESTA'!W$10:W$115)</f>
        <v>0</v>
      </c>
      <c r="S47" s="8">
        <f>SUMIF('DAILY FIESTA'!$B$10:$B$115,$A47,'DAILY FIESTA'!X$10:X$115)</f>
        <v>0</v>
      </c>
      <c r="T47" s="8">
        <f>SUMIF('DAILY FIESTA'!$B$10:$B$115,$A47,'DAILY FIESTA'!Y$10:Y$115)</f>
        <v>0</v>
      </c>
      <c r="U47" s="8">
        <f>SUMIF('DAILY FIESTA'!$B$10:$B$115,$A47,'DAILY FIESTA'!Z$10:Z$115)</f>
        <v>0</v>
      </c>
      <c r="V47" s="8">
        <f>SUMIF('DAILY FIESTA'!$B$10:$B$115,$A47,'DAILY FIESTA'!AA$10:AA$115)</f>
        <v>0</v>
      </c>
      <c r="W47" s="59">
        <f t="shared" si="0"/>
        <v>0</v>
      </c>
      <c r="X47" s="60">
        <f t="shared" ca="1" si="1"/>
        <v>0</v>
      </c>
      <c r="Y47" s="47">
        <f t="shared" ca="1" si="2"/>
        <v>0</v>
      </c>
      <c r="Z47" s="88" t="e">
        <f t="shared" ca="1" si="5"/>
        <v>#DIV/0!</v>
      </c>
      <c r="AA47" s="89" t="e">
        <f t="shared" ca="1" si="6"/>
        <v>#DIV/0!</v>
      </c>
      <c r="AB47" s="112"/>
      <c r="AC47" s="48"/>
      <c r="AD47" s="89"/>
    </row>
    <row r="48" spans="1:30" hidden="1">
      <c r="A48" s="7"/>
      <c r="B48" s="8">
        <f ca="1">SUMIF('DAILY FIESTA'!$B$10:$B$115,$A48,'DAILY FIESTA'!$C$10:$C$114)</f>
        <v>0</v>
      </c>
      <c r="C48" s="8">
        <f>SUMIF('DAILY FIESTA'!$B$10:$B$115,$A48,'DAILY FIESTA'!H$10:H$115)</f>
        <v>0</v>
      </c>
      <c r="D48" s="8">
        <f>SUMIF('DAILY FIESTA'!$B$10:$B$115,$A48,'DAILY FIESTA'!I$10:I$115)</f>
        <v>0</v>
      </c>
      <c r="E48" s="8">
        <f>SUMIF('DAILY FIESTA'!$B$10:$B$115,$A48,'DAILY FIESTA'!J$10:J$115)</f>
        <v>0</v>
      </c>
      <c r="F48" s="8">
        <f>SUMIF('DAILY FIESTA'!$B$10:$B$115,$A48,'DAILY FIESTA'!K$10:K$115)</f>
        <v>0</v>
      </c>
      <c r="G48" s="8">
        <f>SUMIF('DAILY FIESTA'!$B$10:$B$115,$A48,'DAILY FIESTA'!L$10:L$115)</f>
        <v>0</v>
      </c>
      <c r="H48" s="8">
        <f>SUMIF('DAILY FIESTA'!$B$10:$B$115,$A48,'DAILY FIESTA'!M$10:M$115)</f>
        <v>0</v>
      </c>
      <c r="I48" s="8">
        <f>SUMIF('DAILY FIESTA'!$B$10:$B$115,$A48,'DAILY FIESTA'!N$10:N$115)</f>
        <v>0</v>
      </c>
      <c r="J48" s="8">
        <f>SUMIF('DAILY FIESTA'!$B$10:$B$115,$A48,'DAILY FIESTA'!O$10:O$115)</f>
        <v>0</v>
      </c>
      <c r="K48" s="8">
        <f>SUMIF('DAILY FIESTA'!$B$10:$B$115,$A48,'DAILY FIESTA'!P$10:P$115)</f>
        <v>0</v>
      </c>
      <c r="L48" s="8">
        <f>SUMIF('DAILY FIESTA'!$B$10:$B$115,$A48,'DAILY FIESTA'!Q$10:Q$115)</f>
        <v>0</v>
      </c>
      <c r="M48" s="8">
        <f>SUMIF('DAILY FIESTA'!$B$10:$B$115,$A48,'DAILY FIESTA'!R$10:R$115)</f>
        <v>0</v>
      </c>
      <c r="N48" s="8">
        <f>SUMIF('DAILY FIESTA'!$B$10:$B$115,$A48,'DAILY FIESTA'!S$10:S$115)</f>
        <v>0</v>
      </c>
      <c r="O48" s="8">
        <f>SUMIF('DAILY FIESTA'!$B$10:$B$115,$A48,'DAILY FIESTA'!T$10:T$115)</f>
        <v>0</v>
      </c>
      <c r="P48" s="8">
        <f>SUMIF('DAILY FIESTA'!$B$10:$B$115,$A48,'DAILY FIESTA'!U$10:U$115)</f>
        <v>0</v>
      </c>
      <c r="Q48" s="8">
        <f>SUMIF('DAILY FIESTA'!$B$10:$B$115,$A48,'DAILY FIESTA'!V$10:V$115)</f>
        <v>0</v>
      </c>
      <c r="R48" s="8">
        <f>SUMIF('DAILY FIESTA'!$B$10:$B$115,$A48,'DAILY FIESTA'!W$10:W$115)</f>
        <v>0</v>
      </c>
      <c r="S48" s="8">
        <f>SUMIF('DAILY FIESTA'!$B$10:$B$115,$A48,'DAILY FIESTA'!X$10:X$115)</f>
        <v>0</v>
      </c>
      <c r="T48" s="8">
        <f>SUMIF('DAILY FIESTA'!$B$10:$B$115,$A48,'DAILY FIESTA'!Y$10:Y$115)</f>
        <v>0</v>
      </c>
      <c r="U48" s="8">
        <f>SUMIF('DAILY FIESTA'!$B$10:$B$115,$A48,'DAILY FIESTA'!Z$10:Z$115)</f>
        <v>0</v>
      </c>
      <c r="V48" s="8">
        <f>SUMIF('DAILY FIESTA'!$B$10:$B$115,$A48,'DAILY FIESTA'!AA$10:AA$115)</f>
        <v>0</v>
      </c>
      <c r="W48" s="59">
        <f t="shared" si="0"/>
        <v>0</v>
      </c>
      <c r="X48" s="60">
        <f t="shared" ca="1" si="1"/>
        <v>0</v>
      </c>
      <c r="Y48" s="47">
        <f t="shared" ca="1" si="2"/>
        <v>0</v>
      </c>
      <c r="Z48" s="88" t="e">
        <f t="shared" ca="1" si="5"/>
        <v>#DIV/0!</v>
      </c>
      <c r="AA48" s="89" t="e">
        <f t="shared" ca="1" si="6"/>
        <v>#DIV/0!</v>
      </c>
      <c r="AB48" s="112"/>
      <c r="AC48" s="48"/>
      <c r="AD48" s="89"/>
    </row>
    <row r="49" spans="1:30" hidden="1">
      <c r="A49" s="7"/>
      <c r="B49" s="8">
        <f ca="1">SUMIF('DAILY FIESTA'!$B$10:$B$115,$A49,'DAILY FIESTA'!$C$10:$C$114)</f>
        <v>0</v>
      </c>
      <c r="C49" s="8">
        <f>SUMIF('DAILY FIESTA'!$B$10:$B$115,$A49,'DAILY FIESTA'!H$10:H$115)</f>
        <v>0</v>
      </c>
      <c r="D49" s="8">
        <f>SUMIF('DAILY FIESTA'!$B$10:$B$115,$A49,'DAILY FIESTA'!I$10:I$115)</f>
        <v>0</v>
      </c>
      <c r="E49" s="8">
        <f>SUMIF('DAILY FIESTA'!$B$10:$B$115,$A49,'DAILY FIESTA'!J$10:J$115)</f>
        <v>0</v>
      </c>
      <c r="F49" s="8">
        <f>SUMIF('DAILY FIESTA'!$B$10:$B$115,$A49,'DAILY FIESTA'!K$10:K$115)</f>
        <v>0</v>
      </c>
      <c r="G49" s="8">
        <f>SUMIF('DAILY FIESTA'!$B$10:$B$115,$A49,'DAILY FIESTA'!L$10:L$115)</f>
        <v>0</v>
      </c>
      <c r="H49" s="8">
        <f>SUMIF('DAILY FIESTA'!$B$10:$B$115,$A49,'DAILY FIESTA'!M$10:M$115)</f>
        <v>0</v>
      </c>
      <c r="I49" s="8">
        <f>SUMIF('DAILY FIESTA'!$B$10:$B$115,$A49,'DAILY FIESTA'!N$10:N$115)</f>
        <v>0</v>
      </c>
      <c r="J49" s="8">
        <f>SUMIF('DAILY FIESTA'!$B$10:$B$115,$A49,'DAILY FIESTA'!O$10:O$115)</f>
        <v>0</v>
      </c>
      <c r="K49" s="8">
        <f>SUMIF('DAILY FIESTA'!$B$10:$B$115,$A49,'DAILY FIESTA'!P$10:P$115)</f>
        <v>0</v>
      </c>
      <c r="L49" s="8">
        <f>SUMIF('DAILY FIESTA'!$B$10:$B$115,$A49,'DAILY FIESTA'!Q$10:Q$115)</f>
        <v>0</v>
      </c>
      <c r="M49" s="8">
        <f>SUMIF('DAILY FIESTA'!$B$10:$B$115,$A49,'DAILY FIESTA'!R$10:R$115)</f>
        <v>0</v>
      </c>
      <c r="N49" s="8">
        <f>SUMIF('DAILY FIESTA'!$B$10:$B$115,$A49,'DAILY FIESTA'!S$10:S$115)</f>
        <v>0</v>
      </c>
      <c r="O49" s="8">
        <f>SUMIF('DAILY FIESTA'!$B$10:$B$115,$A49,'DAILY FIESTA'!T$10:T$115)</f>
        <v>0</v>
      </c>
      <c r="P49" s="8">
        <f>SUMIF('DAILY FIESTA'!$B$10:$B$115,$A49,'DAILY FIESTA'!U$10:U$115)</f>
        <v>0</v>
      </c>
      <c r="Q49" s="8">
        <f>SUMIF('DAILY FIESTA'!$B$10:$B$115,$A49,'DAILY FIESTA'!V$10:V$115)</f>
        <v>0</v>
      </c>
      <c r="R49" s="8">
        <f>SUMIF('DAILY FIESTA'!$B$10:$B$115,$A49,'DAILY FIESTA'!W$10:W$115)</f>
        <v>0</v>
      </c>
      <c r="S49" s="8">
        <f>SUMIF('DAILY FIESTA'!$B$10:$B$115,$A49,'DAILY FIESTA'!X$10:X$115)</f>
        <v>0</v>
      </c>
      <c r="T49" s="8">
        <f>SUMIF('DAILY FIESTA'!$B$10:$B$115,$A49,'DAILY FIESTA'!Y$10:Y$115)</f>
        <v>0</v>
      </c>
      <c r="U49" s="8">
        <f>SUMIF('DAILY FIESTA'!$B$10:$B$115,$A49,'DAILY FIESTA'!Z$10:Z$115)</f>
        <v>0</v>
      </c>
      <c r="V49" s="8">
        <f>SUMIF('DAILY FIESTA'!$B$10:$B$115,$A49,'DAILY FIESTA'!AA$10:AA$115)</f>
        <v>0</v>
      </c>
      <c r="W49" s="59">
        <f t="shared" si="0"/>
        <v>0</v>
      </c>
      <c r="X49" s="60">
        <f t="shared" ca="1" si="1"/>
        <v>0</v>
      </c>
      <c r="Y49" s="47">
        <f t="shared" ca="1" si="2"/>
        <v>0</v>
      </c>
      <c r="Z49" s="88" t="e">
        <f t="shared" ca="1" si="5"/>
        <v>#DIV/0!</v>
      </c>
      <c r="AA49" s="89" t="e">
        <f t="shared" ca="1" si="6"/>
        <v>#DIV/0!</v>
      </c>
      <c r="AB49" s="112"/>
      <c r="AC49" s="48"/>
      <c r="AD49" s="89"/>
    </row>
    <row r="50" spans="1:30" hidden="1">
      <c r="A50" s="7"/>
      <c r="B50" s="8">
        <f ca="1">SUMIF('DAILY FIESTA'!$B$10:$B$115,$A50,'DAILY FIESTA'!$C$10:$C$114)</f>
        <v>0</v>
      </c>
      <c r="C50" s="8">
        <f>SUMIF('DAILY FIESTA'!$B$10:$B$115,$A50,'DAILY FIESTA'!H$10:H$115)</f>
        <v>0</v>
      </c>
      <c r="D50" s="8">
        <f>SUMIF('DAILY FIESTA'!$B$10:$B$115,$A50,'DAILY FIESTA'!I$10:I$115)</f>
        <v>0</v>
      </c>
      <c r="E50" s="8">
        <f>SUMIF('DAILY FIESTA'!$B$10:$B$115,$A50,'DAILY FIESTA'!J$10:J$115)</f>
        <v>0</v>
      </c>
      <c r="F50" s="8">
        <f>SUMIF('DAILY FIESTA'!$B$10:$B$115,$A50,'DAILY FIESTA'!K$10:K$115)</f>
        <v>0</v>
      </c>
      <c r="G50" s="8">
        <f>SUMIF('DAILY FIESTA'!$B$10:$B$115,$A50,'DAILY FIESTA'!L$10:L$115)</f>
        <v>0</v>
      </c>
      <c r="H50" s="8">
        <f>SUMIF('DAILY FIESTA'!$B$10:$B$115,$A50,'DAILY FIESTA'!M$10:M$115)</f>
        <v>0</v>
      </c>
      <c r="I50" s="8">
        <f>SUMIF('DAILY FIESTA'!$B$10:$B$115,$A50,'DAILY FIESTA'!N$10:N$115)</f>
        <v>0</v>
      </c>
      <c r="J50" s="8">
        <f>SUMIF('DAILY FIESTA'!$B$10:$B$115,$A50,'DAILY FIESTA'!O$10:O$115)</f>
        <v>0</v>
      </c>
      <c r="K50" s="8">
        <f>SUMIF('DAILY FIESTA'!$B$10:$B$115,$A50,'DAILY FIESTA'!P$10:P$115)</f>
        <v>0</v>
      </c>
      <c r="L50" s="8">
        <f>SUMIF('DAILY FIESTA'!$B$10:$B$115,$A50,'DAILY FIESTA'!Q$10:Q$115)</f>
        <v>0</v>
      </c>
      <c r="M50" s="8">
        <f>SUMIF('DAILY FIESTA'!$B$10:$B$115,$A50,'DAILY FIESTA'!R$10:R$115)</f>
        <v>0</v>
      </c>
      <c r="N50" s="8">
        <f>SUMIF('DAILY FIESTA'!$B$10:$B$115,$A50,'DAILY FIESTA'!S$10:S$115)</f>
        <v>0</v>
      </c>
      <c r="O50" s="8">
        <f>SUMIF('DAILY FIESTA'!$B$10:$B$115,$A50,'DAILY FIESTA'!T$10:T$115)</f>
        <v>0</v>
      </c>
      <c r="P50" s="8">
        <f>SUMIF('DAILY FIESTA'!$B$10:$B$115,$A50,'DAILY FIESTA'!U$10:U$115)</f>
        <v>0</v>
      </c>
      <c r="Q50" s="8">
        <f>SUMIF('DAILY FIESTA'!$B$10:$B$115,$A50,'DAILY FIESTA'!V$10:V$115)</f>
        <v>0</v>
      </c>
      <c r="R50" s="8">
        <f>SUMIF('DAILY FIESTA'!$B$10:$B$115,$A50,'DAILY FIESTA'!W$10:W$115)</f>
        <v>0</v>
      </c>
      <c r="S50" s="8">
        <f>SUMIF('DAILY FIESTA'!$B$10:$B$115,$A50,'DAILY FIESTA'!X$10:X$115)</f>
        <v>0</v>
      </c>
      <c r="T50" s="8">
        <f>SUMIF('DAILY FIESTA'!$B$10:$B$115,$A50,'DAILY FIESTA'!Y$10:Y$115)</f>
        <v>0</v>
      </c>
      <c r="U50" s="8">
        <f>SUMIF('DAILY FIESTA'!$B$10:$B$115,$A50,'DAILY FIESTA'!Z$10:Z$115)</f>
        <v>0</v>
      </c>
      <c r="V50" s="8">
        <f>SUMIF('DAILY FIESTA'!$B$10:$B$115,$A50,'DAILY FIESTA'!AA$10:AA$115)</f>
        <v>0</v>
      </c>
      <c r="W50" s="59">
        <f t="shared" si="0"/>
        <v>0</v>
      </c>
      <c r="X50" s="60">
        <f t="shared" ca="1" si="1"/>
        <v>0</v>
      </c>
      <c r="Y50" s="47">
        <f t="shared" ca="1" si="2"/>
        <v>0</v>
      </c>
      <c r="Z50" s="88" t="e">
        <f t="shared" ca="1" si="5"/>
        <v>#DIV/0!</v>
      </c>
      <c r="AA50" s="89" t="e">
        <f t="shared" ca="1" si="6"/>
        <v>#DIV/0!</v>
      </c>
      <c r="AB50" s="112"/>
      <c r="AC50" s="48"/>
      <c r="AD50" s="89"/>
    </row>
    <row r="51" spans="1:30" hidden="1">
      <c r="A51" s="7"/>
      <c r="B51" s="8">
        <f ca="1">SUMIF('DAILY FIESTA'!$B$10:$B$115,$A51,'DAILY FIESTA'!$C$10:$C$114)</f>
        <v>0</v>
      </c>
      <c r="C51" s="8">
        <f>SUMIF('DAILY FIESTA'!$B$10:$B$115,$A51,'DAILY FIESTA'!H$10:H$115)</f>
        <v>0</v>
      </c>
      <c r="D51" s="8">
        <f>SUMIF('DAILY FIESTA'!$B$10:$B$115,$A51,'DAILY FIESTA'!I$10:I$115)</f>
        <v>0</v>
      </c>
      <c r="E51" s="8">
        <f>SUMIF('DAILY FIESTA'!$B$10:$B$115,$A51,'DAILY FIESTA'!J$10:J$115)</f>
        <v>0</v>
      </c>
      <c r="F51" s="8">
        <f>SUMIF('DAILY FIESTA'!$B$10:$B$115,$A51,'DAILY FIESTA'!K$10:K$115)</f>
        <v>0</v>
      </c>
      <c r="G51" s="8">
        <f>SUMIF('DAILY FIESTA'!$B$10:$B$115,$A51,'DAILY FIESTA'!L$10:L$115)</f>
        <v>0</v>
      </c>
      <c r="H51" s="8">
        <f>SUMIF('DAILY FIESTA'!$B$10:$B$115,$A51,'DAILY FIESTA'!M$10:M$115)</f>
        <v>0</v>
      </c>
      <c r="I51" s="8">
        <f>SUMIF('DAILY FIESTA'!$B$10:$B$115,$A51,'DAILY FIESTA'!N$10:N$115)</f>
        <v>0</v>
      </c>
      <c r="J51" s="8">
        <f>SUMIF('DAILY FIESTA'!$B$10:$B$115,$A51,'DAILY FIESTA'!O$10:O$115)</f>
        <v>0</v>
      </c>
      <c r="K51" s="8">
        <f>SUMIF('DAILY FIESTA'!$B$10:$B$115,$A51,'DAILY FIESTA'!P$10:P$115)</f>
        <v>0</v>
      </c>
      <c r="L51" s="8">
        <f>SUMIF('DAILY FIESTA'!$B$10:$B$115,$A51,'DAILY FIESTA'!Q$10:Q$115)</f>
        <v>0</v>
      </c>
      <c r="M51" s="8">
        <f>SUMIF('DAILY FIESTA'!$B$10:$B$115,$A51,'DAILY FIESTA'!R$10:R$115)</f>
        <v>0</v>
      </c>
      <c r="N51" s="8">
        <f>SUMIF('DAILY FIESTA'!$B$10:$B$115,$A51,'DAILY FIESTA'!S$10:S$115)</f>
        <v>0</v>
      </c>
      <c r="O51" s="8">
        <f>SUMIF('DAILY FIESTA'!$B$10:$B$115,$A51,'DAILY FIESTA'!T$10:T$115)</f>
        <v>0</v>
      </c>
      <c r="P51" s="8">
        <f>SUMIF('DAILY FIESTA'!$B$10:$B$115,$A51,'DAILY FIESTA'!U$10:U$115)</f>
        <v>0</v>
      </c>
      <c r="Q51" s="8">
        <f>SUMIF('DAILY FIESTA'!$B$10:$B$115,$A51,'DAILY FIESTA'!V$10:V$115)</f>
        <v>0</v>
      </c>
      <c r="R51" s="8">
        <f>SUMIF('DAILY FIESTA'!$B$10:$B$115,$A51,'DAILY FIESTA'!W$10:W$115)</f>
        <v>0</v>
      </c>
      <c r="S51" s="8">
        <f>SUMIF('DAILY FIESTA'!$B$10:$B$115,$A51,'DAILY FIESTA'!X$10:X$115)</f>
        <v>0</v>
      </c>
      <c r="T51" s="8">
        <f>SUMIF('DAILY FIESTA'!$B$10:$B$115,$A51,'DAILY FIESTA'!Y$10:Y$115)</f>
        <v>0</v>
      </c>
      <c r="U51" s="8">
        <f>SUMIF('DAILY FIESTA'!$B$10:$B$115,$A51,'DAILY FIESTA'!Z$10:Z$115)</f>
        <v>0</v>
      </c>
      <c r="V51" s="8">
        <f>SUMIF('DAILY FIESTA'!$B$10:$B$115,$A51,'DAILY FIESTA'!AA$10:AA$115)</f>
        <v>0</v>
      </c>
      <c r="W51" s="59">
        <f t="shared" si="0"/>
        <v>0</v>
      </c>
      <c r="X51" s="60">
        <f t="shared" ca="1" si="1"/>
        <v>0</v>
      </c>
      <c r="Y51" s="47">
        <f t="shared" ca="1" si="2"/>
        <v>0</v>
      </c>
      <c r="Z51" s="88" t="e">
        <f t="shared" ca="1" si="5"/>
        <v>#DIV/0!</v>
      </c>
      <c r="AA51" s="89" t="e">
        <f t="shared" ca="1" si="6"/>
        <v>#DIV/0!</v>
      </c>
      <c r="AB51" s="112"/>
      <c r="AC51" s="48"/>
      <c r="AD51" s="89"/>
    </row>
    <row r="52" spans="1:30" hidden="1">
      <c r="A52" s="7"/>
      <c r="B52" s="8">
        <f ca="1">SUMIF('DAILY FIESTA'!$B$10:$B$115,$A52,'DAILY FIESTA'!$C$10:$C$114)</f>
        <v>0</v>
      </c>
      <c r="C52" s="8">
        <f>SUMIF('DAILY FIESTA'!$B$10:$B$115,$A52,'DAILY FIESTA'!H$10:H$115)</f>
        <v>0</v>
      </c>
      <c r="D52" s="8">
        <f>SUMIF('DAILY FIESTA'!$B$10:$B$115,$A52,'DAILY FIESTA'!I$10:I$115)</f>
        <v>0</v>
      </c>
      <c r="E52" s="8">
        <f>SUMIF('DAILY FIESTA'!$B$10:$B$115,$A52,'DAILY FIESTA'!J$10:J$115)</f>
        <v>0</v>
      </c>
      <c r="F52" s="8">
        <f>SUMIF('DAILY FIESTA'!$B$10:$B$115,$A52,'DAILY FIESTA'!K$10:K$115)</f>
        <v>0</v>
      </c>
      <c r="G52" s="8">
        <f>SUMIF('DAILY FIESTA'!$B$10:$B$115,$A52,'DAILY FIESTA'!L$10:L$115)</f>
        <v>0</v>
      </c>
      <c r="H52" s="8">
        <f>SUMIF('DAILY FIESTA'!$B$10:$B$115,$A52,'DAILY FIESTA'!M$10:M$115)</f>
        <v>0</v>
      </c>
      <c r="I52" s="8">
        <f>SUMIF('DAILY FIESTA'!$B$10:$B$115,$A52,'DAILY FIESTA'!N$10:N$115)</f>
        <v>0</v>
      </c>
      <c r="J52" s="8">
        <f>SUMIF('DAILY FIESTA'!$B$10:$B$115,$A52,'DAILY FIESTA'!O$10:O$115)</f>
        <v>0</v>
      </c>
      <c r="K52" s="8">
        <f>SUMIF('DAILY FIESTA'!$B$10:$B$115,$A52,'DAILY FIESTA'!P$10:P$115)</f>
        <v>0</v>
      </c>
      <c r="L52" s="8">
        <f>SUMIF('DAILY FIESTA'!$B$10:$B$115,$A52,'DAILY FIESTA'!Q$10:Q$115)</f>
        <v>0</v>
      </c>
      <c r="M52" s="8">
        <f>SUMIF('DAILY FIESTA'!$B$10:$B$115,$A52,'DAILY FIESTA'!R$10:R$115)</f>
        <v>0</v>
      </c>
      <c r="N52" s="8">
        <f>SUMIF('DAILY FIESTA'!$B$10:$B$115,$A52,'DAILY FIESTA'!S$10:S$115)</f>
        <v>0</v>
      </c>
      <c r="O52" s="8">
        <f>SUMIF('DAILY FIESTA'!$B$10:$B$115,$A52,'DAILY FIESTA'!T$10:T$115)</f>
        <v>0</v>
      </c>
      <c r="P52" s="8">
        <f>SUMIF('DAILY FIESTA'!$B$10:$B$115,$A52,'DAILY FIESTA'!U$10:U$115)</f>
        <v>0</v>
      </c>
      <c r="Q52" s="8">
        <f>SUMIF('DAILY FIESTA'!$B$10:$B$115,$A52,'DAILY FIESTA'!V$10:V$115)</f>
        <v>0</v>
      </c>
      <c r="R52" s="8">
        <f>SUMIF('DAILY FIESTA'!$B$10:$B$115,$A52,'DAILY FIESTA'!W$10:W$115)</f>
        <v>0</v>
      </c>
      <c r="S52" s="8">
        <f>SUMIF('DAILY FIESTA'!$B$10:$B$115,$A52,'DAILY FIESTA'!X$10:X$115)</f>
        <v>0</v>
      </c>
      <c r="T52" s="8">
        <f>SUMIF('DAILY FIESTA'!$B$10:$B$115,$A52,'DAILY FIESTA'!Y$10:Y$115)</f>
        <v>0</v>
      </c>
      <c r="U52" s="8">
        <f>SUMIF('DAILY FIESTA'!$B$10:$B$115,$A52,'DAILY FIESTA'!Z$10:Z$115)</f>
        <v>0</v>
      </c>
      <c r="V52" s="8">
        <f>SUMIF('DAILY FIESTA'!$B$10:$B$115,$A52,'DAILY FIESTA'!AA$10:AA$115)</f>
        <v>0</v>
      </c>
      <c r="W52" s="59">
        <f t="shared" si="0"/>
        <v>0</v>
      </c>
      <c r="X52" s="60">
        <f t="shared" ca="1" si="1"/>
        <v>0</v>
      </c>
      <c r="Y52" s="47">
        <f t="shared" ca="1" si="2"/>
        <v>0</v>
      </c>
      <c r="Z52" s="88" t="e">
        <f t="shared" ca="1" si="5"/>
        <v>#DIV/0!</v>
      </c>
      <c r="AA52" s="89" t="e">
        <f t="shared" ca="1" si="6"/>
        <v>#DIV/0!</v>
      </c>
      <c r="AB52" s="112"/>
      <c r="AC52" s="48"/>
      <c r="AD52" s="89"/>
    </row>
    <row r="53" spans="1:30" hidden="1">
      <c r="A53" s="7"/>
      <c r="B53" s="8">
        <f ca="1">SUMIF('DAILY FIESTA'!$B$10:$B$115,$A53,'DAILY FIESTA'!$C$10:$C$114)</f>
        <v>0</v>
      </c>
      <c r="C53" s="8">
        <f>SUMIF('DAILY FIESTA'!$B$10:$B$115,$A53,'DAILY FIESTA'!H$10:H$115)</f>
        <v>0</v>
      </c>
      <c r="D53" s="8">
        <f>SUMIF('DAILY FIESTA'!$B$10:$B$115,$A53,'DAILY FIESTA'!I$10:I$115)</f>
        <v>0</v>
      </c>
      <c r="E53" s="8">
        <f>SUMIF('DAILY FIESTA'!$B$10:$B$115,$A53,'DAILY FIESTA'!J$10:J$115)</f>
        <v>0</v>
      </c>
      <c r="F53" s="8">
        <f>SUMIF('DAILY FIESTA'!$B$10:$B$115,$A53,'DAILY FIESTA'!K$10:K$115)</f>
        <v>0</v>
      </c>
      <c r="G53" s="8">
        <f>SUMIF('DAILY FIESTA'!$B$10:$B$115,$A53,'DAILY FIESTA'!L$10:L$115)</f>
        <v>0</v>
      </c>
      <c r="H53" s="8">
        <f>SUMIF('DAILY FIESTA'!$B$10:$B$115,$A53,'DAILY FIESTA'!M$10:M$115)</f>
        <v>0</v>
      </c>
      <c r="I53" s="8">
        <f>SUMIF('DAILY FIESTA'!$B$10:$B$115,$A53,'DAILY FIESTA'!N$10:N$115)</f>
        <v>0</v>
      </c>
      <c r="J53" s="8">
        <f>SUMIF('DAILY FIESTA'!$B$10:$B$115,$A53,'DAILY FIESTA'!O$10:O$115)</f>
        <v>0</v>
      </c>
      <c r="K53" s="8">
        <f>SUMIF('DAILY FIESTA'!$B$10:$B$115,$A53,'DAILY FIESTA'!P$10:P$115)</f>
        <v>0</v>
      </c>
      <c r="L53" s="8">
        <f>SUMIF('DAILY FIESTA'!$B$10:$B$115,$A53,'DAILY FIESTA'!Q$10:Q$115)</f>
        <v>0</v>
      </c>
      <c r="M53" s="8">
        <f>SUMIF('DAILY FIESTA'!$B$10:$B$115,$A53,'DAILY FIESTA'!R$10:R$115)</f>
        <v>0</v>
      </c>
      <c r="N53" s="8">
        <f>SUMIF('DAILY FIESTA'!$B$10:$B$115,$A53,'DAILY FIESTA'!S$10:S$115)</f>
        <v>0</v>
      </c>
      <c r="O53" s="8">
        <f>SUMIF('DAILY FIESTA'!$B$10:$B$115,$A53,'DAILY FIESTA'!T$10:T$115)</f>
        <v>0</v>
      </c>
      <c r="P53" s="8">
        <f>SUMIF('DAILY FIESTA'!$B$10:$B$115,$A53,'DAILY FIESTA'!U$10:U$115)</f>
        <v>0</v>
      </c>
      <c r="Q53" s="8">
        <f>SUMIF('DAILY FIESTA'!$B$10:$B$115,$A53,'DAILY FIESTA'!V$10:V$115)</f>
        <v>0</v>
      </c>
      <c r="R53" s="8">
        <f>SUMIF('DAILY FIESTA'!$B$10:$B$115,$A53,'DAILY FIESTA'!W$10:W$115)</f>
        <v>0</v>
      </c>
      <c r="S53" s="8">
        <f>SUMIF('DAILY FIESTA'!$B$10:$B$115,$A53,'DAILY FIESTA'!X$10:X$115)</f>
        <v>0</v>
      </c>
      <c r="T53" s="8">
        <f>SUMIF('DAILY FIESTA'!$B$10:$B$115,$A53,'DAILY FIESTA'!Y$10:Y$115)</f>
        <v>0</v>
      </c>
      <c r="U53" s="8">
        <f>SUMIF('DAILY FIESTA'!$B$10:$B$115,$A53,'DAILY FIESTA'!Z$10:Z$115)</f>
        <v>0</v>
      </c>
      <c r="V53" s="8">
        <f>SUMIF('DAILY FIESTA'!$B$10:$B$115,$A53,'DAILY FIESTA'!AA$10:AA$115)</f>
        <v>0</v>
      </c>
      <c r="W53" s="59">
        <f t="shared" si="0"/>
        <v>0</v>
      </c>
      <c r="X53" s="60">
        <f t="shared" ca="1" si="1"/>
        <v>0</v>
      </c>
      <c r="Y53" s="47">
        <f t="shared" ca="1" si="2"/>
        <v>0</v>
      </c>
      <c r="Z53" s="88" t="e">
        <f t="shared" ca="1" si="5"/>
        <v>#DIV/0!</v>
      </c>
      <c r="AA53" s="89" t="e">
        <f t="shared" ca="1" si="6"/>
        <v>#DIV/0!</v>
      </c>
      <c r="AB53" s="112"/>
      <c r="AC53" s="48"/>
      <c r="AD53" s="89"/>
    </row>
    <row r="54" spans="1:30" hidden="1">
      <c r="A54" s="7"/>
      <c r="B54" s="8">
        <f ca="1">SUMIF('DAILY FIESTA'!$B$10:$B$115,$A54,'DAILY FIESTA'!$C$10:$C$114)</f>
        <v>0</v>
      </c>
      <c r="C54" s="8">
        <f>SUMIF('DAILY FIESTA'!$B$10:$B$115,$A54,'DAILY FIESTA'!H$10:H$115)</f>
        <v>0</v>
      </c>
      <c r="D54" s="8">
        <f>SUMIF('DAILY FIESTA'!$B$10:$B$115,$A54,'DAILY FIESTA'!I$10:I$115)</f>
        <v>0</v>
      </c>
      <c r="E54" s="8">
        <f>SUMIF('DAILY FIESTA'!$B$10:$B$115,$A54,'DAILY FIESTA'!J$10:J$115)</f>
        <v>0</v>
      </c>
      <c r="F54" s="8">
        <f>SUMIF('DAILY FIESTA'!$B$10:$B$115,$A54,'DAILY FIESTA'!K$10:K$115)</f>
        <v>0</v>
      </c>
      <c r="G54" s="8">
        <f>SUMIF('DAILY FIESTA'!$B$10:$B$115,$A54,'DAILY FIESTA'!L$10:L$115)</f>
        <v>0</v>
      </c>
      <c r="H54" s="8">
        <f>SUMIF('DAILY FIESTA'!$B$10:$B$115,$A54,'DAILY FIESTA'!M$10:M$115)</f>
        <v>0</v>
      </c>
      <c r="I54" s="8">
        <f>SUMIF('DAILY FIESTA'!$B$10:$B$115,$A54,'DAILY FIESTA'!N$10:N$115)</f>
        <v>0</v>
      </c>
      <c r="J54" s="8">
        <f>SUMIF('DAILY FIESTA'!$B$10:$B$115,$A54,'DAILY FIESTA'!O$10:O$115)</f>
        <v>0</v>
      </c>
      <c r="K54" s="8">
        <f>SUMIF('DAILY FIESTA'!$B$10:$B$115,$A54,'DAILY FIESTA'!P$10:P$115)</f>
        <v>0</v>
      </c>
      <c r="L54" s="8">
        <f>SUMIF('DAILY FIESTA'!$B$10:$B$115,$A54,'DAILY FIESTA'!Q$10:Q$115)</f>
        <v>0</v>
      </c>
      <c r="M54" s="8">
        <f>SUMIF('DAILY FIESTA'!$B$10:$B$115,$A54,'DAILY FIESTA'!R$10:R$115)</f>
        <v>0</v>
      </c>
      <c r="N54" s="8">
        <f>SUMIF('DAILY FIESTA'!$B$10:$B$115,$A54,'DAILY FIESTA'!S$10:S$115)</f>
        <v>0</v>
      </c>
      <c r="O54" s="8">
        <f>SUMIF('DAILY FIESTA'!$B$10:$B$115,$A54,'DAILY FIESTA'!T$10:T$115)</f>
        <v>0</v>
      </c>
      <c r="P54" s="8">
        <f>SUMIF('DAILY FIESTA'!$B$10:$B$115,$A54,'DAILY FIESTA'!U$10:U$115)</f>
        <v>0</v>
      </c>
      <c r="Q54" s="8">
        <f>SUMIF('DAILY FIESTA'!$B$10:$B$115,$A54,'DAILY FIESTA'!V$10:V$115)</f>
        <v>0</v>
      </c>
      <c r="R54" s="8">
        <f>SUMIF('DAILY FIESTA'!$B$10:$B$115,$A54,'DAILY FIESTA'!W$10:W$115)</f>
        <v>0</v>
      </c>
      <c r="S54" s="8">
        <f>SUMIF('DAILY FIESTA'!$B$10:$B$115,$A54,'DAILY FIESTA'!X$10:X$115)</f>
        <v>0</v>
      </c>
      <c r="T54" s="8">
        <f>SUMIF('DAILY FIESTA'!$B$10:$B$115,$A54,'DAILY FIESTA'!Y$10:Y$115)</f>
        <v>0</v>
      </c>
      <c r="U54" s="8">
        <f>SUMIF('DAILY FIESTA'!$B$10:$B$115,$A54,'DAILY FIESTA'!Z$10:Z$115)</f>
        <v>0</v>
      </c>
      <c r="V54" s="8">
        <f>SUMIF('DAILY FIESTA'!$B$10:$B$115,$A54,'DAILY FIESTA'!AA$10:AA$115)</f>
        <v>0</v>
      </c>
      <c r="W54" s="59">
        <f t="shared" si="0"/>
        <v>0</v>
      </c>
      <c r="X54" s="60">
        <f t="shared" ca="1" si="1"/>
        <v>0</v>
      </c>
      <c r="Y54" s="47">
        <f t="shared" ca="1" si="2"/>
        <v>0</v>
      </c>
      <c r="Z54" s="88" t="e">
        <f t="shared" ca="1" si="5"/>
        <v>#DIV/0!</v>
      </c>
      <c r="AA54" s="89" t="e">
        <f t="shared" ca="1" si="6"/>
        <v>#DIV/0!</v>
      </c>
      <c r="AB54" s="112"/>
      <c r="AC54" s="48"/>
      <c r="AD54" s="89"/>
    </row>
    <row r="55" spans="1:30" hidden="1">
      <c r="A55" s="7"/>
      <c r="B55" s="8">
        <f ca="1">SUMIF('DAILY FIESTA'!$B$10:$B$115,$A55,'DAILY FIESTA'!$C$10:$C$114)</f>
        <v>0</v>
      </c>
      <c r="C55" s="8">
        <f>SUMIF('DAILY FIESTA'!$B$10:$B$115,$A55,'DAILY FIESTA'!H$10:H$115)</f>
        <v>0</v>
      </c>
      <c r="D55" s="8">
        <f>SUMIF('DAILY FIESTA'!$B$10:$B$115,$A55,'DAILY FIESTA'!I$10:I$115)</f>
        <v>0</v>
      </c>
      <c r="E55" s="8">
        <f>SUMIF('DAILY FIESTA'!$B$10:$B$115,$A55,'DAILY FIESTA'!J$10:J$115)</f>
        <v>0</v>
      </c>
      <c r="F55" s="8">
        <f>SUMIF('DAILY FIESTA'!$B$10:$B$115,$A55,'DAILY FIESTA'!K$10:K$115)</f>
        <v>0</v>
      </c>
      <c r="G55" s="8">
        <f>SUMIF('DAILY FIESTA'!$B$10:$B$115,$A55,'DAILY FIESTA'!L$10:L$115)</f>
        <v>0</v>
      </c>
      <c r="H55" s="8">
        <f>SUMIF('DAILY FIESTA'!$B$10:$B$115,$A55,'DAILY FIESTA'!M$10:M$115)</f>
        <v>0</v>
      </c>
      <c r="I55" s="8">
        <f>SUMIF('DAILY FIESTA'!$B$10:$B$115,$A55,'DAILY FIESTA'!N$10:N$115)</f>
        <v>0</v>
      </c>
      <c r="J55" s="8">
        <f>SUMIF('DAILY FIESTA'!$B$10:$B$115,$A55,'DAILY FIESTA'!O$10:O$115)</f>
        <v>0</v>
      </c>
      <c r="K55" s="8">
        <f>SUMIF('DAILY FIESTA'!$B$10:$B$115,$A55,'DAILY FIESTA'!P$10:P$115)</f>
        <v>0</v>
      </c>
      <c r="L55" s="8">
        <f>SUMIF('DAILY FIESTA'!$B$10:$B$115,$A55,'DAILY FIESTA'!Q$10:Q$115)</f>
        <v>0</v>
      </c>
      <c r="M55" s="8">
        <f>SUMIF('DAILY FIESTA'!$B$10:$B$115,$A55,'DAILY FIESTA'!R$10:R$115)</f>
        <v>0</v>
      </c>
      <c r="N55" s="8">
        <f>SUMIF('DAILY FIESTA'!$B$10:$B$115,$A55,'DAILY FIESTA'!S$10:S$115)</f>
        <v>0</v>
      </c>
      <c r="O55" s="8">
        <f>SUMIF('DAILY FIESTA'!$B$10:$B$115,$A55,'DAILY FIESTA'!T$10:T$115)</f>
        <v>0</v>
      </c>
      <c r="P55" s="8">
        <f>SUMIF('DAILY FIESTA'!$B$10:$B$115,$A55,'DAILY FIESTA'!U$10:U$115)</f>
        <v>0</v>
      </c>
      <c r="Q55" s="8">
        <f>SUMIF('DAILY FIESTA'!$B$10:$B$115,$A55,'DAILY FIESTA'!V$10:V$115)</f>
        <v>0</v>
      </c>
      <c r="R55" s="8">
        <f>SUMIF('DAILY FIESTA'!$B$10:$B$115,$A55,'DAILY FIESTA'!W$10:W$115)</f>
        <v>0</v>
      </c>
      <c r="S55" s="8">
        <f>SUMIF('DAILY FIESTA'!$B$10:$B$115,$A55,'DAILY FIESTA'!X$10:X$115)</f>
        <v>0</v>
      </c>
      <c r="T55" s="8">
        <f>SUMIF('DAILY FIESTA'!$B$10:$B$115,$A55,'DAILY FIESTA'!Y$10:Y$115)</f>
        <v>0</v>
      </c>
      <c r="U55" s="8">
        <f>SUMIF('DAILY FIESTA'!$B$10:$B$115,$A55,'DAILY FIESTA'!Z$10:Z$115)</f>
        <v>0</v>
      </c>
      <c r="V55" s="8">
        <f>SUMIF('DAILY FIESTA'!$B$10:$B$115,$A55,'DAILY FIESTA'!AA$10:AA$115)</f>
        <v>0</v>
      </c>
      <c r="W55" s="59">
        <f t="shared" si="0"/>
        <v>0</v>
      </c>
      <c r="X55" s="60">
        <f t="shared" ca="1" si="1"/>
        <v>0</v>
      </c>
      <c r="Y55" s="47">
        <f t="shared" ca="1" si="2"/>
        <v>0</v>
      </c>
      <c r="Z55" s="88" t="e">
        <f t="shared" ca="1" si="5"/>
        <v>#DIV/0!</v>
      </c>
      <c r="AA55" s="89" t="e">
        <f t="shared" ca="1" si="6"/>
        <v>#DIV/0!</v>
      </c>
      <c r="AB55" s="112"/>
      <c r="AC55" s="48"/>
      <c r="AD55" s="89"/>
    </row>
    <row r="56" spans="1:30" hidden="1">
      <c r="A56" s="7"/>
      <c r="B56" s="8">
        <f ca="1">SUMIF('DAILY FIESTA'!$B$10:$B$115,$A56,'DAILY FIESTA'!$C$10:$C$114)</f>
        <v>0</v>
      </c>
      <c r="C56" s="8">
        <f>SUMIF('DAILY FIESTA'!$B$10:$B$115,$A56,'DAILY FIESTA'!H$10:H$115)</f>
        <v>0</v>
      </c>
      <c r="D56" s="8">
        <f>SUMIF('DAILY FIESTA'!$B$10:$B$115,$A56,'DAILY FIESTA'!I$10:I$115)</f>
        <v>0</v>
      </c>
      <c r="E56" s="8">
        <f>SUMIF('DAILY FIESTA'!$B$10:$B$115,$A56,'DAILY FIESTA'!J$10:J$115)</f>
        <v>0</v>
      </c>
      <c r="F56" s="8">
        <f>SUMIF('DAILY FIESTA'!$B$10:$B$115,$A56,'DAILY FIESTA'!K$10:K$115)</f>
        <v>0</v>
      </c>
      <c r="G56" s="8">
        <f>SUMIF('DAILY FIESTA'!$B$10:$B$115,$A56,'DAILY FIESTA'!L$10:L$115)</f>
        <v>0</v>
      </c>
      <c r="H56" s="8">
        <f>SUMIF('DAILY FIESTA'!$B$10:$B$115,$A56,'DAILY FIESTA'!M$10:M$115)</f>
        <v>0</v>
      </c>
      <c r="I56" s="8">
        <f>SUMIF('DAILY FIESTA'!$B$10:$B$115,$A56,'DAILY FIESTA'!N$10:N$115)</f>
        <v>0</v>
      </c>
      <c r="J56" s="8">
        <f>SUMIF('DAILY FIESTA'!$B$10:$B$115,$A56,'DAILY FIESTA'!O$10:O$115)</f>
        <v>0</v>
      </c>
      <c r="K56" s="8">
        <f>SUMIF('DAILY FIESTA'!$B$10:$B$115,$A56,'DAILY FIESTA'!P$10:P$115)</f>
        <v>0</v>
      </c>
      <c r="L56" s="8">
        <f>SUMIF('DAILY FIESTA'!$B$10:$B$115,$A56,'DAILY FIESTA'!Q$10:Q$115)</f>
        <v>0</v>
      </c>
      <c r="M56" s="8">
        <f>SUMIF('DAILY FIESTA'!$B$10:$B$115,$A56,'DAILY FIESTA'!R$10:R$115)</f>
        <v>0</v>
      </c>
      <c r="N56" s="8">
        <f>SUMIF('DAILY FIESTA'!$B$10:$B$115,$A56,'DAILY FIESTA'!S$10:S$115)</f>
        <v>0</v>
      </c>
      <c r="O56" s="8">
        <f>SUMIF('DAILY FIESTA'!$B$10:$B$115,$A56,'DAILY FIESTA'!T$10:T$115)</f>
        <v>0</v>
      </c>
      <c r="P56" s="8">
        <f>SUMIF('DAILY FIESTA'!$B$10:$B$115,$A56,'DAILY FIESTA'!U$10:U$115)</f>
        <v>0</v>
      </c>
      <c r="Q56" s="8">
        <f>SUMIF('DAILY FIESTA'!$B$10:$B$115,$A56,'DAILY FIESTA'!V$10:V$115)</f>
        <v>0</v>
      </c>
      <c r="R56" s="8">
        <f>SUMIF('DAILY FIESTA'!$B$10:$B$115,$A56,'DAILY FIESTA'!W$10:W$115)</f>
        <v>0</v>
      </c>
      <c r="S56" s="8">
        <f>SUMIF('DAILY FIESTA'!$B$10:$B$115,$A56,'DAILY FIESTA'!X$10:X$115)</f>
        <v>0</v>
      </c>
      <c r="T56" s="8">
        <f>SUMIF('DAILY FIESTA'!$B$10:$B$115,$A56,'DAILY FIESTA'!Y$10:Y$115)</f>
        <v>0</v>
      </c>
      <c r="U56" s="8">
        <f>SUMIF('DAILY FIESTA'!$B$10:$B$115,$A56,'DAILY FIESTA'!Z$10:Z$115)</f>
        <v>0</v>
      </c>
      <c r="V56" s="8">
        <f>SUMIF('DAILY FIESTA'!$B$10:$B$115,$A56,'DAILY FIESTA'!AA$10:AA$115)</f>
        <v>0</v>
      </c>
      <c r="W56" s="59">
        <f t="shared" si="0"/>
        <v>0</v>
      </c>
      <c r="X56" s="60">
        <f t="shared" ca="1" si="1"/>
        <v>0</v>
      </c>
      <c r="Y56" s="47">
        <f t="shared" ca="1" si="2"/>
        <v>0</v>
      </c>
      <c r="Z56" s="88" t="e">
        <f t="shared" ca="1" si="5"/>
        <v>#DIV/0!</v>
      </c>
      <c r="AA56" s="89" t="e">
        <f t="shared" ca="1" si="6"/>
        <v>#DIV/0!</v>
      </c>
      <c r="AB56" s="112"/>
      <c r="AC56" s="48"/>
      <c r="AD56" s="89"/>
    </row>
    <row r="57" spans="1:30" hidden="1">
      <c r="A57" s="7"/>
      <c r="B57" s="8">
        <f ca="1">SUMIF('DAILY FIESTA'!$B$10:$B$115,$A57,'DAILY FIESTA'!$C$10:$C$114)</f>
        <v>0</v>
      </c>
      <c r="C57" s="8">
        <f>SUMIF('DAILY FIESTA'!$B$10:$B$115,$A57,'DAILY FIESTA'!H$10:H$115)</f>
        <v>0</v>
      </c>
      <c r="D57" s="8">
        <f>SUMIF('DAILY FIESTA'!$B$10:$B$115,$A57,'DAILY FIESTA'!I$10:I$115)</f>
        <v>0</v>
      </c>
      <c r="E57" s="8">
        <f>SUMIF('DAILY FIESTA'!$B$10:$B$115,$A57,'DAILY FIESTA'!J$10:J$115)</f>
        <v>0</v>
      </c>
      <c r="F57" s="8">
        <f>SUMIF('DAILY FIESTA'!$B$10:$B$115,$A57,'DAILY FIESTA'!K$10:K$115)</f>
        <v>0</v>
      </c>
      <c r="G57" s="8">
        <f>SUMIF('DAILY FIESTA'!$B$10:$B$115,$A57,'DAILY FIESTA'!L$10:L$115)</f>
        <v>0</v>
      </c>
      <c r="H57" s="8">
        <f>SUMIF('DAILY FIESTA'!$B$10:$B$115,$A57,'DAILY FIESTA'!M$10:M$115)</f>
        <v>0</v>
      </c>
      <c r="I57" s="8">
        <f>SUMIF('DAILY FIESTA'!$B$10:$B$115,$A57,'DAILY FIESTA'!N$10:N$115)</f>
        <v>0</v>
      </c>
      <c r="J57" s="8">
        <f>SUMIF('DAILY FIESTA'!$B$10:$B$115,$A57,'DAILY FIESTA'!O$10:O$115)</f>
        <v>0</v>
      </c>
      <c r="K57" s="8">
        <f>SUMIF('DAILY FIESTA'!$B$10:$B$115,$A57,'DAILY FIESTA'!P$10:P$115)</f>
        <v>0</v>
      </c>
      <c r="L57" s="8">
        <f>SUMIF('DAILY FIESTA'!$B$10:$B$115,$A57,'DAILY FIESTA'!Q$10:Q$115)</f>
        <v>0</v>
      </c>
      <c r="M57" s="8">
        <f>SUMIF('DAILY FIESTA'!$B$10:$B$115,$A57,'DAILY FIESTA'!R$10:R$115)</f>
        <v>0</v>
      </c>
      <c r="N57" s="8">
        <f>SUMIF('DAILY FIESTA'!$B$10:$B$115,$A57,'DAILY FIESTA'!S$10:S$115)</f>
        <v>0</v>
      </c>
      <c r="O57" s="8">
        <f>SUMIF('DAILY FIESTA'!$B$10:$B$115,$A57,'DAILY FIESTA'!T$10:T$115)</f>
        <v>0</v>
      </c>
      <c r="P57" s="8">
        <f>SUMIF('DAILY FIESTA'!$B$10:$B$115,$A57,'DAILY FIESTA'!U$10:U$115)</f>
        <v>0</v>
      </c>
      <c r="Q57" s="8">
        <f>SUMIF('DAILY FIESTA'!$B$10:$B$115,$A57,'DAILY FIESTA'!V$10:V$115)</f>
        <v>0</v>
      </c>
      <c r="R57" s="8">
        <f>SUMIF('DAILY FIESTA'!$B$10:$B$115,$A57,'DAILY FIESTA'!W$10:W$115)</f>
        <v>0</v>
      </c>
      <c r="S57" s="8">
        <f>SUMIF('DAILY FIESTA'!$B$10:$B$115,$A57,'DAILY FIESTA'!X$10:X$115)</f>
        <v>0</v>
      </c>
      <c r="T57" s="8">
        <f>SUMIF('DAILY FIESTA'!$B$10:$B$115,$A57,'DAILY FIESTA'!Y$10:Y$115)</f>
        <v>0</v>
      </c>
      <c r="U57" s="8">
        <f>SUMIF('DAILY FIESTA'!$B$10:$B$115,$A57,'DAILY FIESTA'!Z$10:Z$115)</f>
        <v>0</v>
      </c>
      <c r="V57" s="8">
        <f>SUMIF('DAILY FIESTA'!$B$10:$B$115,$A57,'DAILY FIESTA'!AA$10:AA$115)</f>
        <v>0</v>
      </c>
      <c r="W57" s="59">
        <f t="shared" si="0"/>
        <v>0</v>
      </c>
      <c r="X57" s="60">
        <f t="shared" ca="1" si="1"/>
        <v>0</v>
      </c>
      <c r="Y57" s="47">
        <f t="shared" ca="1" si="2"/>
        <v>0</v>
      </c>
      <c r="Z57" s="88" t="e">
        <f t="shared" ca="1" si="5"/>
        <v>#DIV/0!</v>
      </c>
      <c r="AA57" s="89" t="e">
        <f t="shared" ca="1" si="6"/>
        <v>#DIV/0!</v>
      </c>
      <c r="AB57" s="112"/>
      <c r="AC57" s="48"/>
      <c r="AD57" s="89"/>
    </row>
    <row r="58" spans="1:30" hidden="1">
      <c r="A58" s="7"/>
      <c r="B58" s="8">
        <f ca="1">SUMIF('DAILY FIESTA'!$B$10:$B$115,$A58,'DAILY FIESTA'!$C$10:$C$114)</f>
        <v>0</v>
      </c>
      <c r="C58" s="8">
        <f>SUMIF('DAILY FIESTA'!$B$10:$B$115,$A58,'DAILY FIESTA'!H$10:H$115)</f>
        <v>0</v>
      </c>
      <c r="D58" s="8">
        <f>SUMIF('DAILY FIESTA'!$B$10:$B$115,$A58,'DAILY FIESTA'!I$10:I$115)</f>
        <v>0</v>
      </c>
      <c r="E58" s="8">
        <f>SUMIF('DAILY FIESTA'!$B$10:$B$115,$A58,'DAILY FIESTA'!J$10:J$115)</f>
        <v>0</v>
      </c>
      <c r="F58" s="8">
        <f>SUMIF('DAILY FIESTA'!$B$10:$B$115,$A58,'DAILY FIESTA'!K$10:K$115)</f>
        <v>0</v>
      </c>
      <c r="G58" s="8">
        <f>SUMIF('DAILY FIESTA'!$B$10:$B$115,$A58,'DAILY FIESTA'!L$10:L$115)</f>
        <v>0</v>
      </c>
      <c r="H58" s="8">
        <f>SUMIF('DAILY FIESTA'!$B$10:$B$115,$A58,'DAILY FIESTA'!M$10:M$115)</f>
        <v>0</v>
      </c>
      <c r="I58" s="8">
        <f>SUMIF('DAILY FIESTA'!$B$10:$B$115,$A58,'DAILY FIESTA'!N$10:N$115)</f>
        <v>0</v>
      </c>
      <c r="J58" s="8">
        <f>SUMIF('DAILY FIESTA'!$B$10:$B$115,$A58,'DAILY FIESTA'!O$10:O$115)</f>
        <v>0</v>
      </c>
      <c r="K58" s="8">
        <f>SUMIF('DAILY FIESTA'!$B$10:$B$115,$A58,'DAILY FIESTA'!P$10:P$115)</f>
        <v>0</v>
      </c>
      <c r="L58" s="8">
        <f>SUMIF('DAILY FIESTA'!$B$10:$B$115,$A58,'DAILY FIESTA'!Q$10:Q$115)</f>
        <v>0</v>
      </c>
      <c r="M58" s="8">
        <f>SUMIF('DAILY FIESTA'!$B$10:$B$115,$A58,'DAILY FIESTA'!R$10:R$115)</f>
        <v>0</v>
      </c>
      <c r="N58" s="8">
        <f>SUMIF('DAILY FIESTA'!$B$10:$B$115,$A58,'DAILY FIESTA'!S$10:S$115)</f>
        <v>0</v>
      </c>
      <c r="O58" s="8">
        <f>SUMIF('DAILY FIESTA'!$B$10:$B$115,$A58,'DAILY FIESTA'!T$10:T$115)</f>
        <v>0</v>
      </c>
      <c r="P58" s="8">
        <f>SUMIF('DAILY FIESTA'!$B$10:$B$115,$A58,'DAILY FIESTA'!U$10:U$115)</f>
        <v>0</v>
      </c>
      <c r="Q58" s="8">
        <f>SUMIF('DAILY FIESTA'!$B$10:$B$115,$A58,'DAILY FIESTA'!V$10:V$115)</f>
        <v>0</v>
      </c>
      <c r="R58" s="8">
        <f>SUMIF('DAILY FIESTA'!$B$10:$B$115,$A58,'DAILY FIESTA'!W$10:W$115)</f>
        <v>0</v>
      </c>
      <c r="S58" s="8">
        <f>SUMIF('DAILY FIESTA'!$B$10:$B$115,$A58,'DAILY FIESTA'!X$10:X$115)</f>
        <v>0</v>
      </c>
      <c r="T58" s="8">
        <f>SUMIF('DAILY FIESTA'!$B$10:$B$115,$A58,'DAILY FIESTA'!Y$10:Y$115)</f>
        <v>0</v>
      </c>
      <c r="U58" s="8">
        <f>SUMIF('DAILY FIESTA'!$B$10:$B$115,$A58,'DAILY FIESTA'!Z$10:Z$115)</f>
        <v>0</v>
      </c>
      <c r="V58" s="8">
        <f>SUMIF('DAILY FIESTA'!$B$10:$B$115,$A58,'DAILY FIESTA'!AA$10:AA$115)</f>
        <v>0</v>
      </c>
      <c r="W58" s="59">
        <f t="shared" si="0"/>
        <v>0</v>
      </c>
      <c r="X58" s="60">
        <f t="shared" ca="1" si="1"/>
        <v>0</v>
      </c>
      <c r="Y58" s="47">
        <f t="shared" ca="1" si="2"/>
        <v>0</v>
      </c>
      <c r="Z58" s="88" t="e">
        <f t="shared" ca="1" si="5"/>
        <v>#DIV/0!</v>
      </c>
      <c r="AA58" s="89" t="e">
        <f t="shared" ca="1" si="6"/>
        <v>#DIV/0!</v>
      </c>
      <c r="AB58" s="112"/>
      <c r="AC58" s="48"/>
      <c r="AD58" s="89"/>
    </row>
    <row r="59" spans="1:30" hidden="1">
      <c r="A59" s="7"/>
      <c r="B59" s="8">
        <f ca="1">SUMIF('DAILY FIESTA'!$B$10:$B$115,$A59,'DAILY FIESTA'!$C$10:$C$114)</f>
        <v>0</v>
      </c>
      <c r="C59" s="8">
        <f>SUMIF('DAILY FIESTA'!$B$10:$B$115,$A59,'DAILY FIESTA'!H$10:H$115)</f>
        <v>0</v>
      </c>
      <c r="D59" s="8">
        <f>SUMIF('DAILY FIESTA'!$B$10:$B$115,$A59,'DAILY FIESTA'!I$10:I$115)</f>
        <v>0</v>
      </c>
      <c r="E59" s="8">
        <f>SUMIF('DAILY FIESTA'!$B$10:$B$115,$A59,'DAILY FIESTA'!J$10:J$115)</f>
        <v>0</v>
      </c>
      <c r="F59" s="8">
        <f>SUMIF('DAILY FIESTA'!$B$10:$B$115,$A59,'DAILY FIESTA'!K$10:K$115)</f>
        <v>0</v>
      </c>
      <c r="G59" s="8">
        <f>SUMIF('DAILY FIESTA'!$B$10:$B$115,$A59,'DAILY FIESTA'!L$10:L$115)</f>
        <v>0</v>
      </c>
      <c r="H59" s="8">
        <f>SUMIF('DAILY FIESTA'!$B$10:$B$115,$A59,'DAILY FIESTA'!M$10:M$115)</f>
        <v>0</v>
      </c>
      <c r="I59" s="8">
        <f>SUMIF('DAILY FIESTA'!$B$10:$B$115,$A59,'DAILY FIESTA'!N$10:N$115)</f>
        <v>0</v>
      </c>
      <c r="J59" s="8">
        <f>SUMIF('DAILY FIESTA'!$B$10:$B$115,$A59,'DAILY FIESTA'!O$10:O$115)</f>
        <v>0</v>
      </c>
      <c r="K59" s="8">
        <f>SUMIF('DAILY FIESTA'!$B$10:$B$115,$A59,'DAILY FIESTA'!P$10:P$115)</f>
        <v>0</v>
      </c>
      <c r="L59" s="8">
        <f>SUMIF('DAILY FIESTA'!$B$10:$B$115,$A59,'DAILY FIESTA'!Q$10:Q$115)</f>
        <v>0</v>
      </c>
      <c r="M59" s="8">
        <f>SUMIF('DAILY FIESTA'!$B$10:$B$115,$A59,'DAILY FIESTA'!R$10:R$115)</f>
        <v>0</v>
      </c>
      <c r="N59" s="8">
        <f>SUMIF('DAILY FIESTA'!$B$10:$B$115,$A59,'DAILY FIESTA'!S$10:S$115)</f>
        <v>0</v>
      </c>
      <c r="O59" s="8">
        <f>SUMIF('DAILY FIESTA'!$B$10:$B$115,$A59,'DAILY FIESTA'!T$10:T$115)</f>
        <v>0</v>
      </c>
      <c r="P59" s="8">
        <f>SUMIF('DAILY FIESTA'!$B$10:$B$115,$A59,'DAILY FIESTA'!U$10:U$115)</f>
        <v>0</v>
      </c>
      <c r="Q59" s="8">
        <f>SUMIF('DAILY FIESTA'!$B$10:$B$115,$A59,'DAILY FIESTA'!V$10:V$115)</f>
        <v>0</v>
      </c>
      <c r="R59" s="8">
        <f>SUMIF('DAILY FIESTA'!$B$10:$B$115,$A59,'DAILY FIESTA'!W$10:W$115)</f>
        <v>0</v>
      </c>
      <c r="S59" s="8">
        <f>SUMIF('DAILY FIESTA'!$B$10:$B$115,$A59,'DAILY FIESTA'!X$10:X$115)</f>
        <v>0</v>
      </c>
      <c r="T59" s="8">
        <f>SUMIF('DAILY FIESTA'!$B$10:$B$115,$A59,'DAILY FIESTA'!Y$10:Y$115)</f>
        <v>0</v>
      </c>
      <c r="U59" s="8">
        <f>SUMIF('DAILY FIESTA'!$B$10:$B$115,$A59,'DAILY FIESTA'!Z$10:Z$115)</f>
        <v>0</v>
      </c>
      <c r="V59" s="8">
        <f>SUMIF('DAILY FIESTA'!$B$10:$B$115,$A59,'DAILY FIESTA'!AA$10:AA$115)</f>
        <v>0</v>
      </c>
      <c r="W59" s="59">
        <f t="shared" si="0"/>
        <v>0</v>
      </c>
      <c r="X59" s="60">
        <f t="shared" ca="1" si="1"/>
        <v>0</v>
      </c>
      <c r="Y59" s="47">
        <f t="shared" ca="1" si="2"/>
        <v>0</v>
      </c>
      <c r="Z59" s="88" t="e">
        <f t="shared" ca="1" si="5"/>
        <v>#DIV/0!</v>
      </c>
      <c r="AA59" s="89" t="e">
        <f t="shared" ca="1" si="6"/>
        <v>#DIV/0!</v>
      </c>
      <c r="AB59" s="112"/>
      <c r="AC59" s="48"/>
      <c r="AD59" s="89"/>
    </row>
    <row r="60" spans="1:30" hidden="1">
      <c r="A60" s="7"/>
      <c r="B60" s="8">
        <f ca="1">SUMIF('DAILY FIESTA'!$B$10:$B$115,$A60,'DAILY FIESTA'!$C$10:$C$114)</f>
        <v>0</v>
      </c>
      <c r="C60" s="8">
        <f>SUMIF('DAILY FIESTA'!$B$10:$B$115,$A60,'DAILY FIESTA'!H$10:H$115)</f>
        <v>0</v>
      </c>
      <c r="D60" s="8">
        <f>SUMIF('DAILY FIESTA'!$B$10:$B$115,$A60,'DAILY FIESTA'!I$10:I$115)</f>
        <v>0</v>
      </c>
      <c r="E60" s="8">
        <f>SUMIF('DAILY FIESTA'!$B$10:$B$115,$A60,'DAILY FIESTA'!J$10:J$115)</f>
        <v>0</v>
      </c>
      <c r="F60" s="8">
        <f>SUMIF('DAILY FIESTA'!$B$10:$B$115,$A60,'DAILY FIESTA'!K$10:K$115)</f>
        <v>0</v>
      </c>
      <c r="G60" s="8">
        <f>SUMIF('DAILY FIESTA'!$B$10:$B$115,$A60,'DAILY FIESTA'!L$10:L$115)</f>
        <v>0</v>
      </c>
      <c r="H60" s="8">
        <f>SUMIF('DAILY FIESTA'!$B$10:$B$115,$A60,'DAILY FIESTA'!M$10:M$115)</f>
        <v>0</v>
      </c>
      <c r="I60" s="8">
        <f>SUMIF('DAILY FIESTA'!$B$10:$B$115,$A60,'DAILY FIESTA'!N$10:N$115)</f>
        <v>0</v>
      </c>
      <c r="J60" s="8">
        <f>SUMIF('DAILY FIESTA'!$B$10:$B$115,$A60,'DAILY FIESTA'!O$10:O$115)</f>
        <v>0</v>
      </c>
      <c r="K60" s="8">
        <f>SUMIF('DAILY FIESTA'!$B$10:$B$115,$A60,'DAILY FIESTA'!P$10:P$115)</f>
        <v>0</v>
      </c>
      <c r="L60" s="8">
        <f>SUMIF('DAILY FIESTA'!$B$10:$B$115,$A60,'DAILY FIESTA'!Q$10:Q$115)</f>
        <v>0</v>
      </c>
      <c r="M60" s="8">
        <f>SUMIF('DAILY FIESTA'!$B$10:$B$115,$A60,'DAILY FIESTA'!R$10:R$115)</f>
        <v>0</v>
      </c>
      <c r="N60" s="8">
        <f>SUMIF('DAILY FIESTA'!$B$10:$B$115,$A60,'DAILY FIESTA'!S$10:S$115)</f>
        <v>0</v>
      </c>
      <c r="O60" s="8">
        <f>SUMIF('DAILY FIESTA'!$B$10:$B$115,$A60,'DAILY FIESTA'!T$10:T$115)</f>
        <v>0</v>
      </c>
      <c r="P60" s="8">
        <f>SUMIF('DAILY FIESTA'!$B$10:$B$115,$A60,'DAILY FIESTA'!U$10:U$115)</f>
        <v>0</v>
      </c>
      <c r="Q60" s="8">
        <f>SUMIF('DAILY FIESTA'!$B$10:$B$115,$A60,'DAILY FIESTA'!V$10:V$115)</f>
        <v>0</v>
      </c>
      <c r="R60" s="8">
        <f>SUMIF('DAILY FIESTA'!$B$10:$B$115,$A60,'DAILY FIESTA'!W$10:W$115)</f>
        <v>0</v>
      </c>
      <c r="S60" s="8">
        <f>SUMIF('DAILY FIESTA'!$B$10:$B$115,$A60,'DAILY FIESTA'!X$10:X$115)</f>
        <v>0</v>
      </c>
      <c r="T60" s="8">
        <f>SUMIF('DAILY FIESTA'!$B$10:$B$115,$A60,'DAILY FIESTA'!Y$10:Y$115)</f>
        <v>0</v>
      </c>
      <c r="U60" s="8">
        <f>SUMIF('DAILY FIESTA'!$B$10:$B$115,$A60,'DAILY FIESTA'!Z$10:Z$115)</f>
        <v>0</v>
      </c>
      <c r="V60" s="8">
        <f>SUMIF('DAILY FIESTA'!$B$10:$B$115,$A60,'DAILY FIESTA'!AA$10:AA$115)</f>
        <v>0</v>
      </c>
      <c r="W60" s="59">
        <f t="shared" si="0"/>
        <v>0</v>
      </c>
      <c r="X60" s="60">
        <f t="shared" ca="1" si="1"/>
        <v>0</v>
      </c>
      <c r="Y60" s="47">
        <f t="shared" ca="1" si="2"/>
        <v>0</v>
      </c>
      <c r="Z60" s="88" t="e">
        <f t="shared" ca="1" si="5"/>
        <v>#DIV/0!</v>
      </c>
      <c r="AA60" s="89" t="e">
        <f t="shared" ca="1" si="6"/>
        <v>#DIV/0!</v>
      </c>
      <c r="AB60" s="112"/>
      <c r="AC60" s="48"/>
      <c r="AD60" s="89"/>
    </row>
    <row r="61" spans="1:30" hidden="1">
      <c r="A61" s="7"/>
      <c r="B61" s="8">
        <f ca="1">SUMIF('DAILY FIESTA'!$B$10:$B$115,$A61,'DAILY FIESTA'!$C$10:$C$114)</f>
        <v>0</v>
      </c>
      <c r="C61" s="8">
        <f>SUMIF('DAILY FIESTA'!$B$10:$B$115,$A61,'DAILY FIESTA'!H$10:H$115)</f>
        <v>0</v>
      </c>
      <c r="D61" s="8">
        <f>SUMIF('DAILY FIESTA'!$B$10:$B$115,$A61,'DAILY FIESTA'!I$10:I$115)</f>
        <v>0</v>
      </c>
      <c r="E61" s="8">
        <f>SUMIF('DAILY FIESTA'!$B$10:$B$115,$A61,'DAILY FIESTA'!J$10:J$115)</f>
        <v>0</v>
      </c>
      <c r="F61" s="8">
        <f>SUMIF('DAILY FIESTA'!$B$10:$B$115,$A61,'DAILY FIESTA'!K$10:K$115)</f>
        <v>0</v>
      </c>
      <c r="G61" s="8">
        <f>SUMIF('DAILY FIESTA'!$B$10:$B$115,$A61,'DAILY FIESTA'!L$10:L$115)</f>
        <v>0</v>
      </c>
      <c r="H61" s="8">
        <f>SUMIF('DAILY FIESTA'!$B$10:$B$115,$A61,'DAILY FIESTA'!M$10:M$115)</f>
        <v>0</v>
      </c>
      <c r="I61" s="8">
        <f>SUMIF('DAILY FIESTA'!$B$10:$B$115,$A61,'DAILY FIESTA'!N$10:N$115)</f>
        <v>0</v>
      </c>
      <c r="J61" s="8">
        <f>SUMIF('DAILY FIESTA'!$B$10:$B$115,$A61,'DAILY FIESTA'!O$10:O$115)</f>
        <v>0</v>
      </c>
      <c r="K61" s="8">
        <f>SUMIF('DAILY FIESTA'!$B$10:$B$115,$A61,'DAILY FIESTA'!P$10:P$115)</f>
        <v>0</v>
      </c>
      <c r="L61" s="8">
        <f>SUMIF('DAILY FIESTA'!$B$10:$B$115,$A61,'DAILY FIESTA'!Q$10:Q$115)</f>
        <v>0</v>
      </c>
      <c r="M61" s="8">
        <f>SUMIF('DAILY FIESTA'!$B$10:$B$115,$A61,'DAILY FIESTA'!R$10:R$115)</f>
        <v>0</v>
      </c>
      <c r="N61" s="8">
        <f>SUMIF('DAILY FIESTA'!$B$10:$B$115,$A61,'DAILY FIESTA'!S$10:S$115)</f>
        <v>0</v>
      </c>
      <c r="O61" s="8">
        <f>SUMIF('DAILY FIESTA'!$B$10:$B$115,$A61,'DAILY FIESTA'!T$10:T$115)</f>
        <v>0</v>
      </c>
      <c r="P61" s="8">
        <f>SUMIF('DAILY FIESTA'!$B$10:$B$115,$A61,'DAILY FIESTA'!U$10:U$115)</f>
        <v>0</v>
      </c>
      <c r="Q61" s="8">
        <f>SUMIF('DAILY FIESTA'!$B$10:$B$115,$A61,'DAILY FIESTA'!V$10:V$115)</f>
        <v>0</v>
      </c>
      <c r="R61" s="8">
        <f>SUMIF('DAILY FIESTA'!$B$10:$B$115,$A61,'DAILY FIESTA'!W$10:W$115)</f>
        <v>0</v>
      </c>
      <c r="S61" s="8">
        <f>SUMIF('DAILY FIESTA'!$B$10:$B$115,$A61,'DAILY FIESTA'!X$10:X$115)</f>
        <v>0</v>
      </c>
      <c r="T61" s="8">
        <f>SUMIF('DAILY FIESTA'!$B$10:$B$115,$A61,'DAILY FIESTA'!Y$10:Y$115)</f>
        <v>0</v>
      </c>
      <c r="U61" s="8">
        <f>SUMIF('DAILY FIESTA'!$B$10:$B$115,$A61,'DAILY FIESTA'!Z$10:Z$115)</f>
        <v>0</v>
      </c>
      <c r="V61" s="8">
        <f>SUMIF('DAILY FIESTA'!$B$10:$B$115,$A61,'DAILY FIESTA'!AA$10:AA$115)</f>
        <v>0</v>
      </c>
      <c r="W61" s="59">
        <f t="shared" si="0"/>
        <v>0</v>
      </c>
      <c r="X61" s="60">
        <f t="shared" ca="1" si="1"/>
        <v>0</v>
      </c>
      <c r="Y61" s="47">
        <f t="shared" ca="1" si="2"/>
        <v>0</v>
      </c>
      <c r="Z61" s="88" t="e">
        <f t="shared" ca="1" si="5"/>
        <v>#DIV/0!</v>
      </c>
      <c r="AA61" s="89" t="e">
        <f t="shared" ca="1" si="6"/>
        <v>#DIV/0!</v>
      </c>
      <c r="AB61" s="112"/>
      <c r="AC61" s="48"/>
      <c r="AD61" s="89"/>
    </row>
    <row r="62" spans="1:30" hidden="1">
      <c r="A62" s="7"/>
      <c r="B62" s="8">
        <f ca="1">SUMIF('DAILY FIESTA'!$B$10:$B$115,$A62,'DAILY FIESTA'!$C$10:$C$114)</f>
        <v>0</v>
      </c>
      <c r="C62" s="8">
        <f>SUMIF('DAILY FIESTA'!$B$10:$B$115,$A62,'DAILY FIESTA'!H$10:H$115)</f>
        <v>0</v>
      </c>
      <c r="D62" s="8">
        <f>SUMIF('DAILY FIESTA'!$B$10:$B$115,$A62,'DAILY FIESTA'!I$10:I$115)</f>
        <v>0</v>
      </c>
      <c r="E62" s="8">
        <f>SUMIF('DAILY FIESTA'!$B$10:$B$115,$A62,'DAILY FIESTA'!J$10:J$115)</f>
        <v>0</v>
      </c>
      <c r="F62" s="8">
        <f>SUMIF('DAILY FIESTA'!$B$10:$B$115,$A62,'DAILY FIESTA'!K$10:K$115)</f>
        <v>0</v>
      </c>
      <c r="G62" s="8">
        <f>SUMIF('DAILY FIESTA'!$B$10:$B$115,$A62,'DAILY FIESTA'!L$10:L$115)</f>
        <v>0</v>
      </c>
      <c r="H62" s="8">
        <f>SUMIF('DAILY FIESTA'!$B$10:$B$115,$A62,'DAILY FIESTA'!M$10:M$115)</f>
        <v>0</v>
      </c>
      <c r="I62" s="8">
        <f>SUMIF('DAILY FIESTA'!$B$10:$B$115,$A62,'DAILY FIESTA'!N$10:N$115)</f>
        <v>0</v>
      </c>
      <c r="J62" s="8">
        <f>SUMIF('DAILY FIESTA'!$B$10:$B$115,$A62,'DAILY FIESTA'!O$10:O$115)</f>
        <v>0</v>
      </c>
      <c r="K62" s="8">
        <f>SUMIF('DAILY FIESTA'!$B$10:$B$115,$A62,'DAILY FIESTA'!P$10:P$115)</f>
        <v>0</v>
      </c>
      <c r="L62" s="8">
        <f>SUMIF('DAILY FIESTA'!$B$10:$B$115,$A62,'DAILY FIESTA'!Q$10:Q$115)</f>
        <v>0</v>
      </c>
      <c r="M62" s="8">
        <f>SUMIF('DAILY FIESTA'!$B$10:$B$115,$A62,'DAILY FIESTA'!R$10:R$115)</f>
        <v>0</v>
      </c>
      <c r="N62" s="8">
        <f>SUMIF('DAILY FIESTA'!$B$10:$B$115,$A62,'DAILY FIESTA'!S$10:S$115)</f>
        <v>0</v>
      </c>
      <c r="O62" s="8">
        <f>SUMIF('DAILY FIESTA'!$B$10:$B$115,$A62,'DAILY FIESTA'!T$10:T$115)</f>
        <v>0</v>
      </c>
      <c r="P62" s="8">
        <f>SUMIF('DAILY FIESTA'!$B$10:$B$115,$A62,'DAILY FIESTA'!U$10:U$115)</f>
        <v>0</v>
      </c>
      <c r="Q62" s="8">
        <f>SUMIF('DAILY FIESTA'!$B$10:$B$115,$A62,'DAILY FIESTA'!V$10:V$115)</f>
        <v>0</v>
      </c>
      <c r="R62" s="8">
        <f>SUMIF('DAILY FIESTA'!$B$10:$B$115,$A62,'DAILY FIESTA'!W$10:W$115)</f>
        <v>0</v>
      </c>
      <c r="S62" s="8">
        <f>SUMIF('DAILY FIESTA'!$B$10:$B$115,$A62,'DAILY FIESTA'!X$10:X$115)</f>
        <v>0</v>
      </c>
      <c r="T62" s="8">
        <f>SUMIF('DAILY FIESTA'!$B$10:$B$115,$A62,'DAILY FIESTA'!Y$10:Y$115)</f>
        <v>0</v>
      </c>
      <c r="U62" s="8">
        <f>SUMIF('DAILY FIESTA'!$B$10:$B$115,$A62,'DAILY FIESTA'!Z$10:Z$115)</f>
        <v>0</v>
      </c>
      <c r="V62" s="8">
        <f>SUMIF('DAILY FIESTA'!$B$10:$B$115,$A62,'DAILY FIESTA'!AA$10:AA$115)</f>
        <v>0</v>
      </c>
      <c r="W62" s="59">
        <f t="shared" si="0"/>
        <v>0</v>
      </c>
      <c r="X62" s="60">
        <f t="shared" ca="1" si="1"/>
        <v>0</v>
      </c>
      <c r="Y62" s="47">
        <f t="shared" ca="1" si="2"/>
        <v>0</v>
      </c>
      <c r="Z62" s="88" t="e">
        <f t="shared" ca="1" si="5"/>
        <v>#DIV/0!</v>
      </c>
      <c r="AA62" s="89" t="e">
        <f t="shared" ca="1" si="6"/>
        <v>#DIV/0!</v>
      </c>
      <c r="AB62" s="112"/>
      <c r="AC62" s="48"/>
      <c r="AD62" s="89"/>
    </row>
    <row r="63" spans="1:30" hidden="1">
      <c r="A63" s="7"/>
      <c r="B63" s="8">
        <f ca="1">SUMIF('DAILY FIESTA'!$B$10:$B$115,$A63,'DAILY FIESTA'!$C$10:$C$114)</f>
        <v>0</v>
      </c>
      <c r="C63" s="8">
        <f>SUMIF('DAILY FIESTA'!$B$10:$B$115,$A63,'DAILY FIESTA'!H$10:H$115)</f>
        <v>0</v>
      </c>
      <c r="D63" s="8">
        <f>SUMIF('DAILY FIESTA'!$B$10:$B$115,$A63,'DAILY FIESTA'!I$10:I$115)</f>
        <v>0</v>
      </c>
      <c r="E63" s="8">
        <f>SUMIF('DAILY FIESTA'!$B$10:$B$115,$A63,'DAILY FIESTA'!J$10:J$115)</f>
        <v>0</v>
      </c>
      <c r="F63" s="8">
        <f>SUMIF('DAILY FIESTA'!$B$10:$B$115,$A63,'DAILY FIESTA'!K$10:K$115)</f>
        <v>0</v>
      </c>
      <c r="G63" s="8">
        <f>SUMIF('DAILY FIESTA'!$B$10:$B$115,$A63,'DAILY FIESTA'!L$10:L$115)</f>
        <v>0</v>
      </c>
      <c r="H63" s="8">
        <f>SUMIF('DAILY FIESTA'!$B$10:$B$115,$A63,'DAILY FIESTA'!M$10:M$115)</f>
        <v>0</v>
      </c>
      <c r="I63" s="8">
        <f>SUMIF('DAILY FIESTA'!$B$10:$B$115,$A63,'DAILY FIESTA'!N$10:N$115)</f>
        <v>0</v>
      </c>
      <c r="J63" s="8">
        <f>SUMIF('DAILY FIESTA'!$B$10:$B$115,$A63,'DAILY FIESTA'!O$10:O$115)</f>
        <v>0</v>
      </c>
      <c r="K63" s="8">
        <f>SUMIF('DAILY FIESTA'!$B$10:$B$115,$A63,'DAILY FIESTA'!P$10:P$115)</f>
        <v>0</v>
      </c>
      <c r="L63" s="8">
        <f>SUMIF('DAILY FIESTA'!$B$10:$B$115,$A63,'DAILY FIESTA'!Q$10:Q$115)</f>
        <v>0</v>
      </c>
      <c r="M63" s="8">
        <f>SUMIF('DAILY FIESTA'!$B$10:$B$115,$A63,'DAILY FIESTA'!R$10:R$115)</f>
        <v>0</v>
      </c>
      <c r="N63" s="8">
        <f>SUMIF('DAILY FIESTA'!$B$10:$B$115,$A63,'DAILY FIESTA'!S$10:S$115)</f>
        <v>0</v>
      </c>
      <c r="O63" s="8">
        <f>SUMIF('DAILY FIESTA'!$B$10:$B$115,$A63,'DAILY FIESTA'!T$10:T$115)</f>
        <v>0</v>
      </c>
      <c r="P63" s="8">
        <f>SUMIF('DAILY FIESTA'!$B$10:$B$115,$A63,'DAILY FIESTA'!U$10:U$115)</f>
        <v>0</v>
      </c>
      <c r="Q63" s="8">
        <f>SUMIF('DAILY FIESTA'!$B$10:$B$115,$A63,'DAILY FIESTA'!V$10:V$115)</f>
        <v>0</v>
      </c>
      <c r="R63" s="8">
        <f>SUMIF('DAILY FIESTA'!$B$10:$B$115,$A63,'DAILY FIESTA'!W$10:W$115)</f>
        <v>0</v>
      </c>
      <c r="S63" s="8">
        <f>SUMIF('DAILY FIESTA'!$B$10:$B$115,$A63,'DAILY FIESTA'!X$10:X$115)</f>
        <v>0</v>
      </c>
      <c r="T63" s="8">
        <f>SUMIF('DAILY FIESTA'!$B$10:$B$115,$A63,'DAILY FIESTA'!Y$10:Y$115)</f>
        <v>0</v>
      </c>
      <c r="U63" s="8">
        <f>SUMIF('DAILY FIESTA'!$B$10:$B$115,$A63,'DAILY FIESTA'!Z$10:Z$115)</f>
        <v>0</v>
      </c>
      <c r="V63" s="8">
        <f>SUMIF('DAILY FIESTA'!$B$10:$B$115,$A63,'DAILY FIESTA'!AA$10:AA$115)</f>
        <v>0</v>
      </c>
      <c r="W63" s="59">
        <f t="shared" si="0"/>
        <v>0</v>
      </c>
      <c r="X63" s="60">
        <f t="shared" ca="1" si="1"/>
        <v>0</v>
      </c>
      <c r="Y63" s="47">
        <f t="shared" ca="1" si="2"/>
        <v>0</v>
      </c>
      <c r="Z63" s="88" t="e">
        <f t="shared" ca="1" si="5"/>
        <v>#DIV/0!</v>
      </c>
      <c r="AA63" s="89" t="e">
        <f t="shared" ca="1" si="6"/>
        <v>#DIV/0!</v>
      </c>
      <c r="AB63" s="112"/>
      <c r="AC63" s="48"/>
      <c r="AD63" s="89"/>
    </row>
    <row r="64" spans="1:30" hidden="1">
      <c r="A64" s="7"/>
      <c r="B64" s="8">
        <f ca="1">SUMIF('DAILY FIESTA'!$B$10:$B$115,$A64,'DAILY FIESTA'!$C$10:$C$114)</f>
        <v>0</v>
      </c>
      <c r="C64" s="8">
        <f>SUMIF('DAILY FIESTA'!$B$10:$B$115,$A64,'DAILY FIESTA'!H$10:H$115)</f>
        <v>0</v>
      </c>
      <c r="D64" s="8">
        <f>SUMIF('DAILY FIESTA'!$B$10:$B$115,$A64,'DAILY FIESTA'!I$10:I$115)</f>
        <v>0</v>
      </c>
      <c r="E64" s="8">
        <f>SUMIF('DAILY FIESTA'!$B$10:$B$115,$A64,'DAILY FIESTA'!J$10:J$115)</f>
        <v>0</v>
      </c>
      <c r="F64" s="8">
        <f>SUMIF('DAILY FIESTA'!$B$10:$B$115,$A64,'DAILY FIESTA'!K$10:K$115)</f>
        <v>0</v>
      </c>
      <c r="G64" s="8">
        <f>SUMIF('DAILY FIESTA'!$B$10:$B$115,$A64,'DAILY FIESTA'!L$10:L$115)</f>
        <v>0</v>
      </c>
      <c r="H64" s="8">
        <f>SUMIF('DAILY FIESTA'!$B$10:$B$115,$A64,'DAILY FIESTA'!M$10:M$115)</f>
        <v>0</v>
      </c>
      <c r="I64" s="8">
        <f>SUMIF('DAILY FIESTA'!$B$10:$B$115,$A64,'DAILY FIESTA'!N$10:N$115)</f>
        <v>0</v>
      </c>
      <c r="J64" s="8">
        <f>SUMIF('DAILY FIESTA'!$B$10:$B$115,$A64,'DAILY FIESTA'!O$10:O$115)</f>
        <v>0</v>
      </c>
      <c r="K64" s="8">
        <f>SUMIF('DAILY FIESTA'!$B$10:$B$115,$A64,'DAILY FIESTA'!P$10:P$115)</f>
        <v>0</v>
      </c>
      <c r="L64" s="8">
        <f>SUMIF('DAILY FIESTA'!$B$10:$B$115,$A64,'DAILY FIESTA'!Q$10:Q$115)</f>
        <v>0</v>
      </c>
      <c r="M64" s="8">
        <f>SUMIF('DAILY FIESTA'!$B$10:$B$115,$A64,'DAILY FIESTA'!R$10:R$115)</f>
        <v>0</v>
      </c>
      <c r="N64" s="8">
        <f>SUMIF('DAILY FIESTA'!$B$10:$B$115,$A64,'DAILY FIESTA'!S$10:S$115)</f>
        <v>0</v>
      </c>
      <c r="O64" s="8">
        <f>SUMIF('DAILY FIESTA'!$B$10:$B$115,$A64,'DAILY FIESTA'!T$10:T$115)</f>
        <v>0</v>
      </c>
      <c r="P64" s="8">
        <f>SUMIF('DAILY FIESTA'!$B$10:$B$115,$A64,'DAILY FIESTA'!U$10:U$115)</f>
        <v>0</v>
      </c>
      <c r="Q64" s="8">
        <f>SUMIF('DAILY FIESTA'!$B$10:$B$115,$A64,'DAILY FIESTA'!V$10:V$115)</f>
        <v>0</v>
      </c>
      <c r="R64" s="8">
        <f>SUMIF('DAILY FIESTA'!$B$10:$B$115,$A64,'DAILY FIESTA'!W$10:W$115)</f>
        <v>0</v>
      </c>
      <c r="S64" s="8">
        <f>SUMIF('DAILY FIESTA'!$B$10:$B$115,$A64,'DAILY FIESTA'!X$10:X$115)</f>
        <v>0</v>
      </c>
      <c r="T64" s="8">
        <f>SUMIF('DAILY FIESTA'!$B$10:$B$115,$A64,'DAILY FIESTA'!Y$10:Y$115)</f>
        <v>0</v>
      </c>
      <c r="U64" s="8">
        <f>SUMIF('DAILY FIESTA'!$B$10:$B$115,$A64,'DAILY FIESTA'!Z$10:Z$115)</f>
        <v>0</v>
      </c>
      <c r="V64" s="8">
        <f>SUMIF('DAILY FIESTA'!$B$10:$B$115,$A64,'DAILY FIESTA'!AA$10:AA$115)</f>
        <v>0</v>
      </c>
      <c r="W64" s="59">
        <f t="shared" si="0"/>
        <v>0</v>
      </c>
      <c r="X64" s="60">
        <f t="shared" ca="1" si="1"/>
        <v>0</v>
      </c>
      <c r="Y64" s="47">
        <f t="shared" ca="1" si="2"/>
        <v>0</v>
      </c>
      <c r="Z64" s="88" t="e">
        <f t="shared" ca="1" si="5"/>
        <v>#DIV/0!</v>
      </c>
      <c r="AA64" s="89" t="e">
        <f t="shared" ca="1" si="6"/>
        <v>#DIV/0!</v>
      </c>
      <c r="AB64" s="112"/>
      <c r="AC64" s="48"/>
      <c r="AD64" s="89"/>
    </row>
    <row r="65" spans="1:30" hidden="1">
      <c r="A65" s="7"/>
      <c r="B65" s="8">
        <f ca="1">SUMIF('DAILY FIESTA'!$B$10:$B$115,$A65,'DAILY FIESTA'!$C$10:$C$114)</f>
        <v>0</v>
      </c>
      <c r="C65" s="8">
        <f>SUMIF('DAILY FIESTA'!$B$10:$B$115,$A65,'DAILY FIESTA'!H$10:H$115)</f>
        <v>0</v>
      </c>
      <c r="D65" s="8">
        <f>SUMIF('DAILY FIESTA'!$B$10:$B$115,$A65,'DAILY FIESTA'!I$10:I$115)</f>
        <v>0</v>
      </c>
      <c r="E65" s="8">
        <f>SUMIF('DAILY FIESTA'!$B$10:$B$115,$A65,'DAILY FIESTA'!J$10:J$115)</f>
        <v>0</v>
      </c>
      <c r="F65" s="8">
        <f>SUMIF('DAILY FIESTA'!$B$10:$B$115,$A65,'DAILY FIESTA'!K$10:K$115)</f>
        <v>0</v>
      </c>
      <c r="G65" s="8">
        <f>SUMIF('DAILY FIESTA'!$B$10:$B$115,$A65,'DAILY FIESTA'!L$10:L$115)</f>
        <v>0</v>
      </c>
      <c r="H65" s="8">
        <f>SUMIF('DAILY FIESTA'!$B$10:$B$115,$A65,'DAILY FIESTA'!M$10:M$115)</f>
        <v>0</v>
      </c>
      <c r="I65" s="8">
        <f>SUMIF('DAILY FIESTA'!$B$10:$B$115,$A65,'DAILY FIESTA'!N$10:N$115)</f>
        <v>0</v>
      </c>
      <c r="J65" s="8">
        <f>SUMIF('DAILY FIESTA'!$B$10:$B$115,$A65,'DAILY FIESTA'!O$10:O$115)</f>
        <v>0</v>
      </c>
      <c r="K65" s="8">
        <f>SUMIF('DAILY FIESTA'!$B$10:$B$115,$A65,'DAILY FIESTA'!P$10:P$115)</f>
        <v>0</v>
      </c>
      <c r="L65" s="8">
        <f>SUMIF('DAILY FIESTA'!$B$10:$B$115,$A65,'DAILY FIESTA'!Q$10:Q$115)</f>
        <v>0</v>
      </c>
      <c r="M65" s="8">
        <f>SUMIF('DAILY FIESTA'!$B$10:$B$115,$A65,'DAILY FIESTA'!R$10:R$115)</f>
        <v>0</v>
      </c>
      <c r="N65" s="8">
        <f>SUMIF('DAILY FIESTA'!$B$10:$B$115,$A65,'DAILY FIESTA'!S$10:S$115)</f>
        <v>0</v>
      </c>
      <c r="O65" s="8">
        <f>SUMIF('DAILY FIESTA'!$B$10:$B$115,$A65,'DAILY FIESTA'!T$10:T$115)</f>
        <v>0</v>
      </c>
      <c r="P65" s="8">
        <f>SUMIF('DAILY FIESTA'!$B$10:$B$115,$A65,'DAILY FIESTA'!U$10:U$115)</f>
        <v>0</v>
      </c>
      <c r="Q65" s="8">
        <f>SUMIF('DAILY FIESTA'!$B$10:$B$115,$A65,'DAILY FIESTA'!V$10:V$115)</f>
        <v>0</v>
      </c>
      <c r="R65" s="8">
        <f>SUMIF('DAILY FIESTA'!$B$10:$B$115,$A65,'DAILY FIESTA'!W$10:W$115)</f>
        <v>0</v>
      </c>
      <c r="S65" s="8">
        <f>SUMIF('DAILY FIESTA'!$B$10:$B$115,$A65,'DAILY FIESTA'!X$10:X$115)</f>
        <v>0</v>
      </c>
      <c r="T65" s="8">
        <f>SUMIF('DAILY FIESTA'!$B$10:$B$115,$A65,'DAILY FIESTA'!Y$10:Y$115)</f>
        <v>0</v>
      </c>
      <c r="U65" s="8">
        <f>SUMIF('DAILY FIESTA'!$B$10:$B$115,$A65,'DAILY FIESTA'!Z$10:Z$115)</f>
        <v>0</v>
      </c>
      <c r="V65" s="8">
        <f>SUMIF('DAILY FIESTA'!$B$10:$B$115,$A65,'DAILY FIESTA'!AA$10:AA$115)</f>
        <v>0</v>
      </c>
      <c r="W65" s="59">
        <f t="shared" si="0"/>
        <v>0</v>
      </c>
      <c r="X65" s="60">
        <f t="shared" ca="1" si="1"/>
        <v>0</v>
      </c>
      <c r="Y65" s="47">
        <f t="shared" ca="1" si="2"/>
        <v>0</v>
      </c>
      <c r="Z65" s="88" t="e">
        <f t="shared" ca="1" si="5"/>
        <v>#DIV/0!</v>
      </c>
      <c r="AA65" s="89" t="e">
        <f t="shared" ca="1" si="6"/>
        <v>#DIV/0!</v>
      </c>
      <c r="AB65" s="112"/>
      <c r="AC65" s="48"/>
      <c r="AD65" s="89"/>
    </row>
    <row r="66" spans="1:30" hidden="1">
      <c r="A66" s="7"/>
      <c r="B66" s="8">
        <f ca="1">SUMIF('DAILY FIESTA'!$B$10:$B$115,$A66,'DAILY FIESTA'!$C$10:$C$114)</f>
        <v>0</v>
      </c>
      <c r="C66" s="8">
        <f>SUMIF('DAILY FIESTA'!$B$10:$B$115,$A66,'DAILY FIESTA'!H$10:H$115)</f>
        <v>0</v>
      </c>
      <c r="D66" s="8">
        <f>SUMIF('DAILY FIESTA'!$B$10:$B$115,$A66,'DAILY FIESTA'!I$10:I$115)</f>
        <v>0</v>
      </c>
      <c r="E66" s="8">
        <f>SUMIF('DAILY FIESTA'!$B$10:$B$115,$A66,'DAILY FIESTA'!J$10:J$115)</f>
        <v>0</v>
      </c>
      <c r="F66" s="8">
        <f>SUMIF('DAILY FIESTA'!$B$10:$B$115,$A66,'DAILY FIESTA'!K$10:K$115)</f>
        <v>0</v>
      </c>
      <c r="G66" s="8">
        <f>SUMIF('DAILY FIESTA'!$B$10:$B$115,$A66,'DAILY FIESTA'!L$10:L$115)</f>
        <v>0</v>
      </c>
      <c r="H66" s="8">
        <f>SUMIF('DAILY FIESTA'!$B$10:$B$115,$A66,'DAILY FIESTA'!M$10:M$115)</f>
        <v>0</v>
      </c>
      <c r="I66" s="8">
        <f>SUMIF('DAILY FIESTA'!$B$10:$B$115,$A66,'DAILY FIESTA'!N$10:N$115)</f>
        <v>0</v>
      </c>
      <c r="J66" s="8">
        <f>SUMIF('DAILY FIESTA'!$B$10:$B$115,$A66,'DAILY FIESTA'!O$10:O$115)</f>
        <v>0</v>
      </c>
      <c r="K66" s="8">
        <f>SUMIF('DAILY FIESTA'!$B$10:$B$115,$A66,'DAILY FIESTA'!P$10:P$115)</f>
        <v>0</v>
      </c>
      <c r="L66" s="8">
        <f>SUMIF('DAILY FIESTA'!$B$10:$B$115,$A66,'DAILY FIESTA'!Q$10:Q$115)</f>
        <v>0</v>
      </c>
      <c r="M66" s="8">
        <f>SUMIF('DAILY FIESTA'!$B$10:$B$115,$A66,'DAILY FIESTA'!R$10:R$115)</f>
        <v>0</v>
      </c>
      <c r="N66" s="8">
        <f>SUMIF('DAILY FIESTA'!$B$10:$B$115,$A66,'DAILY FIESTA'!S$10:S$115)</f>
        <v>0</v>
      </c>
      <c r="O66" s="8">
        <f>SUMIF('DAILY FIESTA'!$B$10:$B$115,$A66,'DAILY FIESTA'!T$10:T$115)</f>
        <v>0</v>
      </c>
      <c r="P66" s="8">
        <f>SUMIF('DAILY FIESTA'!$B$10:$B$115,$A66,'DAILY FIESTA'!U$10:U$115)</f>
        <v>0</v>
      </c>
      <c r="Q66" s="8">
        <f>SUMIF('DAILY FIESTA'!$B$10:$B$115,$A66,'DAILY FIESTA'!V$10:V$115)</f>
        <v>0</v>
      </c>
      <c r="R66" s="8">
        <f>SUMIF('DAILY FIESTA'!$B$10:$B$115,$A66,'DAILY FIESTA'!W$10:W$115)</f>
        <v>0</v>
      </c>
      <c r="S66" s="8">
        <f>SUMIF('DAILY FIESTA'!$B$10:$B$115,$A66,'DAILY FIESTA'!X$10:X$115)</f>
        <v>0</v>
      </c>
      <c r="T66" s="8">
        <f>SUMIF('DAILY FIESTA'!$B$10:$B$115,$A66,'DAILY FIESTA'!Y$10:Y$115)</f>
        <v>0</v>
      </c>
      <c r="U66" s="8">
        <f>SUMIF('DAILY FIESTA'!$B$10:$B$115,$A66,'DAILY FIESTA'!Z$10:Z$115)</f>
        <v>0</v>
      </c>
      <c r="V66" s="8">
        <f>SUMIF('DAILY FIESTA'!$B$10:$B$115,$A66,'DAILY FIESTA'!AA$10:AA$115)</f>
        <v>0</v>
      </c>
      <c r="W66" s="59">
        <f t="shared" si="0"/>
        <v>0</v>
      </c>
      <c r="X66" s="60">
        <f t="shared" ca="1" si="1"/>
        <v>0</v>
      </c>
      <c r="Y66" s="47">
        <f t="shared" ca="1" si="2"/>
        <v>0</v>
      </c>
      <c r="Z66" s="88" t="e">
        <f t="shared" ca="1" si="5"/>
        <v>#DIV/0!</v>
      </c>
      <c r="AA66" s="89" t="e">
        <f t="shared" ca="1" si="6"/>
        <v>#DIV/0!</v>
      </c>
      <c r="AB66" s="112"/>
      <c r="AC66" s="48"/>
      <c r="AD66" s="89"/>
    </row>
    <row r="67" spans="1:30" hidden="1">
      <c r="A67" s="7"/>
      <c r="B67" s="8">
        <f ca="1">SUMIF('DAILY FIESTA'!$B$10:$B$115,$A67,'DAILY FIESTA'!$C$10:$C$114)</f>
        <v>0</v>
      </c>
      <c r="C67" s="8">
        <f>SUMIF('DAILY FIESTA'!$B$10:$B$115,$A67,'DAILY FIESTA'!H$10:H$115)</f>
        <v>0</v>
      </c>
      <c r="D67" s="8">
        <f>SUMIF('DAILY FIESTA'!$B$10:$B$115,$A67,'DAILY FIESTA'!I$10:I$115)</f>
        <v>0</v>
      </c>
      <c r="E67" s="8">
        <f>SUMIF('DAILY FIESTA'!$B$10:$B$115,$A67,'DAILY FIESTA'!J$10:J$115)</f>
        <v>0</v>
      </c>
      <c r="F67" s="8">
        <f>SUMIF('DAILY FIESTA'!$B$10:$B$115,$A67,'DAILY FIESTA'!K$10:K$115)</f>
        <v>0</v>
      </c>
      <c r="G67" s="8">
        <f>SUMIF('DAILY FIESTA'!$B$10:$B$115,$A67,'DAILY FIESTA'!L$10:L$115)</f>
        <v>0</v>
      </c>
      <c r="H67" s="8">
        <f>SUMIF('DAILY FIESTA'!$B$10:$B$115,$A67,'DAILY FIESTA'!M$10:M$115)</f>
        <v>0</v>
      </c>
      <c r="I67" s="8">
        <f>SUMIF('DAILY FIESTA'!$B$10:$B$115,$A67,'DAILY FIESTA'!N$10:N$115)</f>
        <v>0</v>
      </c>
      <c r="J67" s="8">
        <f>SUMIF('DAILY FIESTA'!$B$10:$B$115,$A67,'DAILY FIESTA'!O$10:O$115)</f>
        <v>0</v>
      </c>
      <c r="K67" s="8">
        <f>SUMIF('DAILY FIESTA'!$B$10:$B$115,$A67,'DAILY FIESTA'!P$10:P$115)</f>
        <v>0</v>
      </c>
      <c r="L67" s="8">
        <f>SUMIF('DAILY FIESTA'!$B$10:$B$115,$A67,'DAILY FIESTA'!Q$10:Q$115)</f>
        <v>0</v>
      </c>
      <c r="M67" s="8">
        <f>SUMIF('DAILY FIESTA'!$B$10:$B$115,$A67,'DAILY FIESTA'!R$10:R$115)</f>
        <v>0</v>
      </c>
      <c r="N67" s="8">
        <f>SUMIF('DAILY FIESTA'!$B$10:$B$115,$A67,'DAILY FIESTA'!S$10:S$115)</f>
        <v>0</v>
      </c>
      <c r="O67" s="8">
        <f>SUMIF('DAILY FIESTA'!$B$10:$B$115,$A67,'DAILY FIESTA'!T$10:T$115)</f>
        <v>0</v>
      </c>
      <c r="P67" s="8">
        <f>SUMIF('DAILY FIESTA'!$B$10:$B$115,$A67,'DAILY FIESTA'!U$10:U$115)</f>
        <v>0</v>
      </c>
      <c r="Q67" s="8">
        <f>SUMIF('DAILY FIESTA'!$B$10:$B$115,$A67,'DAILY FIESTA'!V$10:V$115)</f>
        <v>0</v>
      </c>
      <c r="R67" s="8">
        <f>SUMIF('DAILY FIESTA'!$B$10:$B$115,$A67,'DAILY FIESTA'!W$10:W$115)</f>
        <v>0</v>
      </c>
      <c r="S67" s="8">
        <f>SUMIF('DAILY FIESTA'!$B$10:$B$115,$A67,'DAILY FIESTA'!X$10:X$115)</f>
        <v>0</v>
      </c>
      <c r="T67" s="8">
        <f>SUMIF('DAILY FIESTA'!$B$10:$B$115,$A67,'DAILY FIESTA'!Y$10:Y$115)</f>
        <v>0</v>
      </c>
      <c r="U67" s="8">
        <f>SUMIF('DAILY FIESTA'!$B$10:$B$115,$A67,'DAILY FIESTA'!Z$10:Z$115)</f>
        <v>0</v>
      </c>
      <c r="V67" s="8">
        <f>SUMIF('DAILY FIESTA'!$B$10:$B$115,$A67,'DAILY FIESTA'!AA$10:AA$115)</f>
        <v>0</v>
      </c>
      <c r="W67" s="59">
        <f>SUM(E67:V67)</f>
        <v>0</v>
      </c>
      <c r="X67" s="60">
        <f ca="1">+B67-C67-D67-W67</f>
        <v>0</v>
      </c>
      <c r="Y67" s="47">
        <f t="shared" ca="1" si="2"/>
        <v>0</v>
      </c>
      <c r="Z67" s="88" t="e">
        <f t="shared" ca="1" si="5"/>
        <v>#DIV/0!</v>
      </c>
      <c r="AA67" s="89" t="e">
        <f t="shared" ca="1" si="6"/>
        <v>#DIV/0!</v>
      </c>
      <c r="AB67" s="112"/>
      <c r="AC67" s="48"/>
      <c r="AD67" s="89"/>
    </row>
    <row r="68" spans="1:30" hidden="1">
      <c r="A68" s="7"/>
      <c r="B68" s="8">
        <f ca="1">SUMIF('DAILY FIESTA'!$B$10:$B$115,$A68,'DAILY FIESTA'!$C$10:$C$114)</f>
        <v>0</v>
      </c>
      <c r="C68" s="8">
        <f>SUMIF('DAILY FIESTA'!$B$10:$B$115,$A68,'DAILY FIESTA'!H$10:H$115)</f>
        <v>0</v>
      </c>
      <c r="D68" s="8">
        <f>SUMIF('DAILY FIESTA'!$B$10:$B$115,$A68,'DAILY FIESTA'!I$10:I$115)</f>
        <v>0</v>
      </c>
      <c r="E68" s="8">
        <f>SUMIF('DAILY FIESTA'!$B$10:$B$115,$A68,'DAILY FIESTA'!J$10:J$115)</f>
        <v>0</v>
      </c>
      <c r="F68" s="8">
        <f>SUMIF('DAILY FIESTA'!$B$10:$B$115,$A68,'DAILY FIESTA'!K$10:K$115)</f>
        <v>0</v>
      </c>
      <c r="G68" s="8">
        <f>SUMIF('DAILY FIESTA'!$B$10:$B$115,$A68,'DAILY FIESTA'!L$10:L$115)</f>
        <v>0</v>
      </c>
      <c r="H68" s="8">
        <f>SUMIF('DAILY FIESTA'!$B$10:$B$115,$A68,'DAILY FIESTA'!M$10:M$115)</f>
        <v>0</v>
      </c>
      <c r="I68" s="8">
        <f>SUMIF('DAILY FIESTA'!$B$10:$B$115,$A68,'DAILY FIESTA'!N$10:N$115)</f>
        <v>0</v>
      </c>
      <c r="J68" s="8">
        <f>SUMIF('DAILY FIESTA'!$B$10:$B$115,$A68,'DAILY FIESTA'!O$10:O$115)</f>
        <v>0</v>
      </c>
      <c r="K68" s="8">
        <f>SUMIF('DAILY FIESTA'!$B$10:$B$115,$A68,'DAILY FIESTA'!P$10:P$115)</f>
        <v>0</v>
      </c>
      <c r="L68" s="8">
        <f>SUMIF('DAILY FIESTA'!$B$10:$B$115,$A68,'DAILY FIESTA'!Q$10:Q$115)</f>
        <v>0</v>
      </c>
      <c r="M68" s="8">
        <f>SUMIF('DAILY FIESTA'!$B$10:$B$115,$A68,'DAILY FIESTA'!R$10:R$115)</f>
        <v>0</v>
      </c>
      <c r="N68" s="8">
        <f>SUMIF('DAILY FIESTA'!$B$10:$B$115,$A68,'DAILY FIESTA'!S$10:S$115)</f>
        <v>0</v>
      </c>
      <c r="O68" s="8">
        <f>SUMIF('DAILY FIESTA'!$B$10:$B$115,$A68,'DAILY FIESTA'!T$10:T$115)</f>
        <v>0</v>
      </c>
      <c r="P68" s="8">
        <f>SUMIF('DAILY FIESTA'!$B$10:$B$115,$A68,'DAILY FIESTA'!U$10:U$115)</f>
        <v>0</v>
      </c>
      <c r="Q68" s="8">
        <f>SUMIF('DAILY FIESTA'!$B$10:$B$115,$A68,'DAILY FIESTA'!V$10:V$115)</f>
        <v>0</v>
      </c>
      <c r="R68" s="8">
        <f>SUMIF('DAILY FIESTA'!$B$10:$B$115,$A68,'DAILY FIESTA'!W$10:W$115)</f>
        <v>0</v>
      </c>
      <c r="S68" s="8">
        <f>SUMIF('DAILY FIESTA'!$B$10:$B$115,$A68,'DAILY FIESTA'!X$10:X$115)</f>
        <v>0</v>
      </c>
      <c r="T68" s="8">
        <f>SUMIF('DAILY FIESTA'!$B$10:$B$115,$A68,'DAILY FIESTA'!Y$10:Y$115)</f>
        <v>0</v>
      </c>
      <c r="U68" s="8">
        <f>SUMIF('DAILY FIESTA'!$B$10:$B$115,$A68,'DAILY FIESTA'!Z$10:Z$115)</f>
        <v>0</v>
      </c>
      <c r="V68" s="8">
        <f>SUMIF('DAILY FIESTA'!$B$10:$B$115,$A68,'DAILY FIESTA'!AA$10:AA$115)</f>
        <v>0</v>
      </c>
      <c r="W68" s="59">
        <f>SUM(E68:V68)</f>
        <v>0</v>
      </c>
      <c r="X68" s="60">
        <f ca="1">+B68-C68-D68-W68</f>
        <v>0</v>
      </c>
      <c r="Y68" s="47">
        <f t="shared" ca="1" si="2"/>
        <v>0</v>
      </c>
      <c r="Z68" s="88" t="e">
        <f t="shared" ca="1" si="5"/>
        <v>#DIV/0!</v>
      </c>
      <c r="AA68" s="89" t="e">
        <f t="shared" ca="1" si="6"/>
        <v>#DIV/0!</v>
      </c>
      <c r="AB68" s="112"/>
      <c r="AC68" s="48"/>
      <c r="AD68" s="89"/>
    </row>
    <row r="69" spans="1:30" hidden="1">
      <c r="A69" s="7"/>
      <c r="B69" s="8">
        <f ca="1">SUMIF('DAILY FIESTA'!$B$10:$B$115,$A69,'DAILY FIESTA'!$C$10:$C$114)</f>
        <v>0</v>
      </c>
      <c r="C69" s="8">
        <f>SUMIF('DAILY FIESTA'!$B$10:$B$115,$A69,'DAILY FIESTA'!H$10:H$115)</f>
        <v>0</v>
      </c>
      <c r="D69" s="8">
        <f>SUMIF('DAILY FIESTA'!$B$10:$B$115,$A69,'DAILY FIESTA'!I$10:I$115)</f>
        <v>0</v>
      </c>
      <c r="E69" s="8">
        <f>SUMIF('DAILY FIESTA'!$B$10:$B$115,$A69,'DAILY FIESTA'!J$10:J$115)</f>
        <v>0</v>
      </c>
      <c r="F69" s="8">
        <f>SUMIF('DAILY FIESTA'!$B$10:$B$115,$A69,'DAILY FIESTA'!K$10:K$115)</f>
        <v>0</v>
      </c>
      <c r="G69" s="8">
        <f>SUMIF('DAILY FIESTA'!$B$10:$B$115,$A69,'DAILY FIESTA'!L$10:L$115)</f>
        <v>0</v>
      </c>
      <c r="H69" s="8">
        <f>SUMIF('DAILY FIESTA'!$B$10:$B$115,$A69,'DAILY FIESTA'!M$10:M$115)</f>
        <v>0</v>
      </c>
      <c r="I69" s="8">
        <f>SUMIF('DAILY FIESTA'!$B$10:$B$115,$A69,'DAILY FIESTA'!N$10:N$115)</f>
        <v>0</v>
      </c>
      <c r="J69" s="8">
        <f>SUMIF('DAILY FIESTA'!$B$10:$B$115,$A69,'DAILY FIESTA'!O$10:O$115)</f>
        <v>0</v>
      </c>
      <c r="K69" s="8">
        <f>SUMIF('DAILY FIESTA'!$B$10:$B$115,$A69,'DAILY FIESTA'!P$10:P$115)</f>
        <v>0</v>
      </c>
      <c r="L69" s="8">
        <f>SUMIF('DAILY FIESTA'!$B$10:$B$115,$A69,'DAILY FIESTA'!Q$10:Q$115)</f>
        <v>0</v>
      </c>
      <c r="M69" s="8">
        <f>SUMIF('DAILY FIESTA'!$B$10:$B$115,$A69,'DAILY FIESTA'!R$10:R$115)</f>
        <v>0</v>
      </c>
      <c r="N69" s="8">
        <f>SUMIF('DAILY FIESTA'!$B$10:$B$115,$A69,'DAILY FIESTA'!S$10:S$115)</f>
        <v>0</v>
      </c>
      <c r="O69" s="8">
        <f>SUMIF('DAILY FIESTA'!$B$10:$B$115,$A69,'DAILY FIESTA'!T$10:T$115)</f>
        <v>0</v>
      </c>
      <c r="P69" s="8">
        <f>SUMIF('DAILY FIESTA'!$B$10:$B$115,$A69,'DAILY FIESTA'!U$10:U$115)</f>
        <v>0</v>
      </c>
      <c r="Q69" s="8">
        <f>SUMIF('DAILY FIESTA'!$B$10:$B$115,$A69,'DAILY FIESTA'!V$10:V$115)</f>
        <v>0</v>
      </c>
      <c r="R69" s="8">
        <f>SUMIF('DAILY FIESTA'!$B$10:$B$115,$A69,'DAILY FIESTA'!W$10:W$115)</f>
        <v>0</v>
      </c>
      <c r="S69" s="8">
        <f>SUMIF('DAILY FIESTA'!$B$10:$B$115,$A69,'DAILY FIESTA'!X$10:X$115)</f>
        <v>0</v>
      </c>
      <c r="T69" s="8">
        <f>SUMIF('DAILY FIESTA'!$B$10:$B$115,$A69,'DAILY FIESTA'!Y$10:Y$115)</f>
        <v>0</v>
      </c>
      <c r="U69" s="8">
        <f>SUMIF('DAILY FIESTA'!$B$10:$B$115,$A69,'DAILY FIESTA'!Z$10:Z$115)</f>
        <v>0</v>
      </c>
      <c r="V69" s="8">
        <f>SUMIF('DAILY FIESTA'!$B$10:$B$115,$A69,'DAILY FIESTA'!AA$10:AA$115)</f>
        <v>0</v>
      </c>
      <c r="W69" s="59">
        <f t="shared" ref="W69:W132" si="7">SUM(E69:V69)</f>
        <v>0</v>
      </c>
      <c r="X69" s="60">
        <f t="shared" ref="X69:X132" ca="1" si="8">+B69-C69-D69-W69</f>
        <v>0</v>
      </c>
      <c r="Y69" s="47">
        <f t="shared" ref="Y69:Y132" ca="1" si="9">+X69/2.4</f>
        <v>0</v>
      </c>
      <c r="Z69" s="88" t="e">
        <f t="shared" ca="1" si="5"/>
        <v>#DIV/0!</v>
      </c>
      <c r="AA69" s="89" t="e">
        <f t="shared" ca="1" si="6"/>
        <v>#DIV/0!</v>
      </c>
      <c r="AB69" s="112"/>
      <c r="AC69" s="48"/>
      <c r="AD69" s="89"/>
    </row>
    <row r="70" spans="1:30" hidden="1">
      <c r="A70" s="7"/>
      <c r="B70" s="8">
        <f ca="1">SUMIF('DAILY FIESTA'!$B$10:$B$115,$A70,'DAILY FIESTA'!$C$10:$C$114)</f>
        <v>0</v>
      </c>
      <c r="C70" s="8">
        <f>SUMIF('DAILY FIESTA'!$B$10:$B$115,$A70,'DAILY FIESTA'!H$10:H$115)</f>
        <v>0</v>
      </c>
      <c r="D70" s="8">
        <f>SUMIF('DAILY FIESTA'!$B$10:$B$115,$A70,'DAILY FIESTA'!I$10:I$115)</f>
        <v>0</v>
      </c>
      <c r="E70" s="8">
        <f>SUMIF('DAILY FIESTA'!$B$10:$B$115,$A70,'DAILY FIESTA'!J$10:J$115)</f>
        <v>0</v>
      </c>
      <c r="F70" s="8">
        <f>SUMIF('DAILY FIESTA'!$B$10:$B$115,$A70,'DAILY FIESTA'!K$10:K$115)</f>
        <v>0</v>
      </c>
      <c r="G70" s="8">
        <f>SUMIF('DAILY FIESTA'!$B$10:$B$115,$A70,'DAILY FIESTA'!L$10:L$115)</f>
        <v>0</v>
      </c>
      <c r="H70" s="8">
        <f>SUMIF('DAILY FIESTA'!$B$10:$B$115,$A70,'DAILY FIESTA'!M$10:M$115)</f>
        <v>0</v>
      </c>
      <c r="I70" s="8">
        <f>SUMIF('DAILY FIESTA'!$B$10:$B$115,$A70,'DAILY FIESTA'!N$10:N$115)</f>
        <v>0</v>
      </c>
      <c r="J70" s="8">
        <f>SUMIF('DAILY FIESTA'!$B$10:$B$115,$A70,'DAILY FIESTA'!O$10:O$115)</f>
        <v>0</v>
      </c>
      <c r="K70" s="8">
        <f>SUMIF('DAILY FIESTA'!$B$10:$B$115,$A70,'DAILY FIESTA'!P$10:P$115)</f>
        <v>0</v>
      </c>
      <c r="L70" s="8">
        <f>SUMIF('DAILY FIESTA'!$B$10:$B$115,$A70,'DAILY FIESTA'!Q$10:Q$115)</f>
        <v>0</v>
      </c>
      <c r="M70" s="8">
        <f>SUMIF('DAILY FIESTA'!$B$10:$B$115,$A70,'DAILY FIESTA'!R$10:R$115)</f>
        <v>0</v>
      </c>
      <c r="N70" s="8">
        <f>SUMIF('DAILY FIESTA'!$B$10:$B$115,$A70,'DAILY FIESTA'!S$10:S$115)</f>
        <v>0</v>
      </c>
      <c r="O70" s="8">
        <f>SUMIF('DAILY FIESTA'!$B$10:$B$115,$A70,'DAILY FIESTA'!T$10:T$115)</f>
        <v>0</v>
      </c>
      <c r="P70" s="8">
        <f>SUMIF('DAILY FIESTA'!$B$10:$B$115,$A70,'DAILY FIESTA'!U$10:U$115)</f>
        <v>0</v>
      </c>
      <c r="Q70" s="8">
        <f>SUMIF('DAILY FIESTA'!$B$10:$B$115,$A70,'DAILY FIESTA'!V$10:V$115)</f>
        <v>0</v>
      </c>
      <c r="R70" s="8">
        <f>SUMIF('DAILY FIESTA'!$B$10:$B$115,$A70,'DAILY FIESTA'!W$10:W$115)</f>
        <v>0</v>
      </c>
      <c r="S70" s="8">
        <f>SUMIF('DAILY FIESTA'!$B$10:$B$115,$A70,'DAILY FIESTA'!X$10:X$115)</f>
        <v>0</v>
      </c>
      <c r="T70" s="8">
        <f>SUMIF('DAILY FIESTA'!$B$10:$B$115,$A70,'DAILY FIESTA'!Y$10:Y$115)</f>
        <v>0</v>
      </c>
      <c r="U70" s="8">
        <f>SUMIF('DAILY FIESTA'!$B$10:$B$115,$A70,'DAILY FIESTA'!Z$10:Z$115)</f>
        <v>0</v>
      </c>
      <c r="V70" s="8">
        <f>SUMIF('DAILY FIESTA'!$B$10:$B$115,$A70,'DAILY FIESTA'!AA$10:AA$115)</f>
        <v>0</v>
      </c>
      <c r="W70" s="59">
        <f t="shared" si="7"/>
        <v>0</v>
      </c>
      <c r="X70" s="60">
        <f t="shared" ca="1" si="8"/>
        <v>0</v>
      </c>
      <c r="Y70" s="47">
        <f t="shared" ca="1" si="9"/>
        <v>0</v>
      </c>
      <c r="Z70" s="88" t="e">
        <f t="shared" ca="1" si="5"/>
        <v>#DIV/0!</v>
      </c>
      <c r="AA70" s="89" t="e">
        <f t="shared" ca="1" si="6"/>
        <v>#DIV/0!</v>
      </c>
      <c r="AB70" s="112"/>
      <c r="AC70" s="48"/>
      <c r="AD70" s="89"/>
    </row>
    <row r="71" spans="1:30" hidden="1">
      <c r="A71" s="7"/>
      <c r="B71" s="8">
        <f ca="1">SUMIF('DAILY FIESTA'!$B$10:$B$115,$A71,'DAILY FIESTA'!$C$10:$C$114)</f>
        <v>0</v>
      </c>
      <c r="C71" s="8">
        <f>SUMIF('DAILY FIESTA'!$B$10:$B$115,$A71,'DAILY FIESTA'!H$10:H$115)</f>
        <v>0</v>
      </c>
      <c r="D71" s="8">
        <f>SUMIF('DAILY FIESTA'!$B$10:$B$115,$A71,'DAILY FIESTA'!I$10:I$115)</f>
        <v>0</v>
      </c>
      <c r="E71" s="8">
        <f>SUMIF('DAILY FIESTA'!$B$10:$B$115,$A71,'DAILY FIESTA'!J$10:J$115)</f>
        <v>0</v>
      </c>
      <c r="F71" s="8">
        <f>SUMIF('DAILY FIESTA'!$B$10:$B$115,$A71,'DAILY FIESTA'!K$10:K$115)</f>
        <v>0</v>
      </c>
      <c r="G71" s="8">
        <f>SUMIF('DAILY FIESTA'!$B$10:$B$115,$A71,'DAILY FIESTA'!L$10:L$115)</f>
        <v>0</v>
      </c>
      <c r="H71" s="8">
        <f>SUMIF('DAILY FIESTA'!$B$10:$B$115,$A71,'DAILY FIESTA'!M$10:M$115)</f>
        <v>0</v>
      </c>
      <c r="I71" s="8">
        <f>SUMIF('DAILY FIESTA'!$B$10:$B$115,$A71,'DAILY FIESTA'!N$10:N$115)</f>
        <v>0</v>
      </c>
      <c r="J71" s="8">
        <f>SUMIF('DAILY FIESTA'!$B$10:$B$115,$A71,'DAILY FIESTA'!O$10:O$115)</f>
        <v>0</v>
      </c>
      <c r="K71" s="8">
        <f>SUMIF('DAILY FIESTA'!$B$10:$B$115,$A71,'DAILY FIESTA'!P$10:P$115)</f>
        <v>0</v>
      </c>
      <c r="L71" s="8">
        <f>SUMIF('DAILY FIESTA'!$B$10:$B$115,$A71,'DAILY FIESTA'!Q$10:Q$115)</f>
        <v>0</v>
      </c>
      <c r="M71" s="8">
        <f>SUMIF('DAILY FIESTA'!$B$10:$B$115,$A71,'DAILY FIESTA'!R$10:R$115)</f>
        <v>0</v>
      </c>
      <c r="N71" s="8">
        <f>SUMIF('DAILY FIESTA'!$B$10:$B$115,$A71,'DAILY FIESTA'!S$10:S$115)</f>
        <v>0</v>
      </c>
      <c r="O71" s="8">
        <f>SUMIF('DAILY FIESTA'!$B$10:$B$115,$A71,'DAILY FIESTA'!T$10:T$115)</f>
        <v>0</v>
      </c>
      <c r="P71" s="8">
        <f>SUMIF('DAILY FIESTA'!$B$10:$B$115,$A71,'DAILY FIESTA'!U$10:U$115)</f>
        <v>0</v>
      </c>
      <c r="Q71" s="8">
        <f>SUMIF('DAILY FIESTA'!$B$10:$B$115,$A71,'DAILY FIESTA'!V$10:V$115)</f>
        <v>0</v>
      </c>
      <c r="R71" s="8">
        <f>SUMIF('DAILY FIESTA'!$B$10:$B$115,$A71,'DAILY FIESTA'!W$10:W$115)</f>
        <v>0</v>
      </c>
      <c r="S71" s="8">
        <f>SUMIF('DAILY FIESTA'!$B$10:$B$115,$A71,'DAILY FIESTA'!X$10:X$115)</f>
        <v>0</v>
      </c>
      <c r="T71" s="8">
        <f>SUMIF('DAILY FIESTA'!$B$10:$B$115,$A71,'DAILY FIESTA'!Y$10:Y$115)</f>
        <v>0</v>
      </c>
      <c r="U71" s="8">
        <f>SUMIF('DAILY FIESTA'!$B$10:$B$115,$A71,'DAILY FIESTA'!Z$10:Z$115)</f>
        <v>0</v>
      </c>
      <c r="V71" s="8">
        <f>SUMIF('DAILY FIESTA'!$B$10:$B$115,$A71,'DAILY FIESTA'!AA$10:AA$115)</f>
        <v>0</v>
      </c>
      <c r="W71" s="59">
        <f t="shared" si="7"/>
        <v>0</v>
      </c>
      <c r="X71" s="60">
        <f t="shared" ca="1" si="8"/>
        <v>0</v>
      </c>
      <c r="Y71" s="47">
        <f t="shared" ca="1" si="9"/>
        <v>0</v>
      </c>
      <c r="Z71" s="88" t="e">
        <f t="shared" ca="1" si="5"/>
        <v>#DIV/0!</v>
      </c>
      <c r="AA71" s="89" t="e">
        <f t="shared" ca="1" si="6"/>
        <v>#DIV/0!</v>
      </c>
      <c r="AB71" s="112"/>
      <c r="AC71" s="48"/>
      <c r="AD71" s="89"/>
    </row>
    <row r="72" spans="1:30" hidden="1">
      <c r="A72" s="7"/>
      <c r="B72" s="8">
        <f ca="1">SUMIF('DAILY FIESTA'!$B$10:$B$115,$A72,'DAILY FIESTA'!$C$10:$C$114)</f>
        <v>0</v>
      </c>
      <c r="C72" s="8">
        <f>SUMIF('DAILY FIESTA'!$B$10:$B$115,$A72,'DAILY FIESTA'!H$10:H$115)</f>
        <v>0</v>
      </c>
      <c r="D72" s="8">
        <f>SUMIF('DAILY FIESTA'!$B$10:$B$115,$A72,'DAILY FIESTA'!I$10:I$115)</f>
        <v>0</v>
      </c>
      <c r="E72" s="8">
        <f>SUMIF('DAILY FIESTA'!$B$10:$B$115,$A72,'DAILY FIESTA'!J$10:J$115)</f>
        <v>0</v>
      </c>
      <c r="F72" s="8">
        <f>SUMIF('DAILY FIESTA'!$B$10:$B$115,$A72,'DAILY FIESTA'!K$10:K$115)</f>
        <v>0</v>
      </c>
      <c r="G72" s="8">
        <f>SUMIF('DAILY FIESTA'!$B$10:$B$115,$A72,'DAILY FIESTA'!L$10:L$115)</f>
        <v>0</v>
      </c>
      <c r="H72" s="8">
        <f>SUMIF('DAILY FIESTA'!$B$10:$B$115,$A72,'DAILY FIESTA'!M$10:M$115)</f>
        <v>0</v>
      </c>
      <c r="I72" s="8">
        <f>SUMIF('DAILY FIESTA'!$B$10:$B$115,$A72,'DAILY FIESTA'!N$10:N$115)</f>
        <v>0</v>
      </c>
      <c r="J72" s="8">
        <f>SUMIF('DAILY FIESTA'!$B$10:$B$115,$A72,'DAILY FIESTA'!O$10:O$115)</f>
        <v>0</v>
      </c>
      <c r="K72" s="8">
        <f>SUMIF('DAILY FIESTA'!$B$10:$B$115,$A72,'DAILY FIESTA'!P$10:P$115)</f>
        <v>0</v>
      </c>
      <c r="L72" s="8">
        <f>SUMIF('DAILY FIESTA'!$B$10:$B$115,$A72,'DAILY FIESTA'!Q$10:Q$115)</f>
        <v>0</v>
      </c>
      <c r="M72" s="8">
        <f>SUMIF('DAILY FIESTA'!$B$10:$B$115,$A72,'DAILY FIESTA'!R$10:R$115)</f>
        <v>0</v>
      </c>
      <c r="N72" s="8">
        <f>SUMIF('DAILY FIESTA'!$B$10:$B$115,$A72,'DAILY FIESTA'!S$10:S$115)</f>
        <v>0</v>
      </c>
      <c r="O72" s="8">
        <f>SUMIF('DAILY FIESTA'!$B$10:$B$115,$A72,'DAILY FIESTA'!T$10:T$115)</f>
        <v>0</v>
      </c>
      <c r="P72" s="8">
        <f>SUMIF('DAILY FIESTA'!$B$10:$B$115,$A72,'DAILY FIESTA'!U$10:U$115)</f>
        <v>0</v>
      </c>
      <c r="Q72" s="8">
        <f>SUMIF('DAILY FIESTA'!$B$10:$B$115,$A72,'DAILY FIESTA'!V$10:V$115)</f>
        <v>0</v>
      </c>
      <c r="R72" s="8">
        <f>SUMIF('DAILY FIESTA'!$B$10:$B$115,$A72,'DAILY FIESTA'!W$10:W$115)</f>
        <v>0</v>
      </c>
      <c r="S72" s="8">
        <f>SUMIF('DAILY FIESTA'!$B$10:$B$115,$A72,'DAILY FIESTA'!X$10:X$115)</f>
        <v>0</v>
      </c>
      <c r="T72" s="8">
        <f>SUMIF('DAILY FIESTA'!$B$10:$B$115,$A72,'DAILY FIESTA'!Y$10:Y$115)</f>
        <v>0</v>
      </c>
      <c r="U72" s="8">
        <f>SUMIF('DAILY FIESTA'!$B$10:$B$115,$A72,'DAILY FIESTA'!Z$10:Z$115)</f>
        <v>0</v>
      </c>
      <c r="V72" s="8">
        <f>SUMIF('DAILY FIESTA'!$B$10:$B$115,$A72,'DAILY FIESTA'!AA$10:AA$115)</f>
        <v>0</v>
      </c>
      <c r="W72" s="59">
        <f t="shared" si="7"/>
        <v>0</v>
      </c>
      <c r="X72" s="60">
        <f t="shared" ca="1" si="8"/>
        <v>0</v>
      </c>
      <c r="Y72" s="47">
        <f t="shared" ca="1" si="9"/>
        <v>0</v>
      </c>
      <c r="Z72" s="88" t="e">
        <f t="shared" ca="1" si="5"/>
        <v>#DIV/0!</v>
      </c>
      <c r="AA72" s="89" t="e">
        <f t="shared" ca="1" si="6"/>
        <v>#DIV/0!</v>
      </c>
      <c r="AB72" s="112"/>
      <c r="AC72" s="48"/>
      <c r="AD72" s="89"/>
    </row>
    <row r="73" spans="1:30" hidden="1">
      <c r="A73" s="7"/>
      <c r="B73" s="8">
        <f ca="1">SUMIF('DAILY FIESTA'!$B$10:$B$115,$A73,'DAILY FIESTA'!$C$10:$C$114)</f>
        <v>0</v>
      </c>
      <c r="C73" s="8">
        <f>SUMIF('DAILY FIESTA'!$B$10:$B$115,$A73,'DAILY FIESTA'!H$10:H$115)</f>
        <v>0</v>
      </c>
      <c r="D73" s="8">
        <f>SUMIF('DAILY FIESTA'!$B$10:$B$115,$A73,'DAILY FIESTA'!I$10:I$115)</f>
        <v>0</v>
      </c>
      <c r="E73" s="8">
        <f>SUMIF('DAILY FIESTA'!$B$10:$B$115,$A73,'DAILY FIESTA'!J$10:J$115)</f>
        <v>0</v>
      </c>
      <c r="F73" s="8">
        <f>SUMIF('DAILY FIESTA'!$B$10:$B$115,$A73,'DAILY FIESTA'!K$10:K$115)</f>
        <v>0</v>
      </c>
      <c r="G73" s="8">
        <f>SUMIF('DAILY FIESTA'!$B$10:$B$115,$A73,'DAILY FIESTA'!L$10:L$115)</f>
        <v>0</v>
      </c>
      <c r="H73" s="8">
        <f>SUMIF('DAILY FIESTA'!$B$10:$B$115,$A73,'DAILY FIESTA'!M$10:M$115)</f>
        <v>0</v>
      </c>
      <c r="I73" s="8">
        <f>SUMIF('DAILY FIESTA'!$B$10:$B$115,$A73,'DAILY FIESTA'!N$10:N$115)</f>
        <v>0</v>
      </c>
      <c r="J73" s="8">
        <f>SUMIF('DAILY FIESTA'!$B$10:$B$115,$A73,'DAILY FIESTA'!O$10:O$115)</f>
        <v>0</v>
      </c>
      <c r="K73" s="8">
        <f>SUMIF('DAILY FIESTA'!$B$10:$B$115,$A73,'DAILY FIESTA'!P$10:P$115)</f>
        <v>0</v>
      </c>
      <c r="L73" s="8">
        <f>SUMIF('DAILY FIESTA'!$B$10:$B$115,$A73,'DAILY FIESTA'!Q$10:Q$115)</f>
        <v>0</v>
      </c>
      <c r="M73" s="8">
        <f>SUMIF('DAILY FIESTA'!$B$10:$B$115,$A73,'DAILY FIESTA'!R$10:R$115)</f>
        <v>0</v>
      </c>
      <c r="N73" s="8">
        <f>SUMIF('DAILY FIESTA'!$B$10:$B$115,$A73,'DAILY FIESTA'!S$10:S$115)</f>
        <v>0</v>
      </c>
      <c r="O73" s="8">
        <f>SUMIF('DAILY FIESTA'!$B$10:$B$115,$A73,'DAILY FIESTA'!T$10:T$115)</f>
        <v>0</v>
      </c>
      <c r="P73" s="8">
        <f>SUMIF('DAILY FIESTA'!$B$10:$B$115,$A73,'DAILY FIESTA'!U$10:U$115)</f>
        <v>0</v>
      </c>
      <c r="Q73" s="8">
        <f>SUMIF('DAILY FIESTA'!$B$10:$B$115,$A73,'DAILY FIESTA'!V$10:V$115)</f>
        <v>0</v>
      </c>
      <c r="R73" s="8">
        <f>SUMIF('DAILY FIESTA'!$B$10:$B$115,$A73,'DAILY FIESTA'!W$10:W$115)</f>
        <v>0</v>
      </c>
      <c r="S73" s="8">
        <f>SUMIF('DAILY FIESTA'!$B$10:$B$115,$A73,'DAILY FIESTA'!X$10:X$115)</f>
        <v>0</v>
      </c>
      <c r="T73" s="8">
        <f>SUMIF('DAILY FIESTA'!$B$10:$B$115,$A73,'DAILY FIESTA'!Y$10:Y$115)</f>
        <v>0</v>
      </c>
      <c r="U73" s="8">
        <f>SUMIF('DAILY FIESTA'!$B$10:$B$115,$A73,'DAILY FIESTA'!Z$10:Z$115)</f>
        <v>0</v>
      </c>
      <c r="V73" s="8">
        <f>SUMIF('DAILY FIESTA'!$B$10:$B$115,$A73,'DAILY FIESTA'!AA$10:AA$115)</f>
        <v>0</v>
      </c>
      <c r="W73" s="59">
        <f t="shared" si="7"/>
        <v>0</v>
      </c>
      <c r="X73" s="60">
        <f t="shared" ca="1" si="8"/>
        <v>0</v>
      </c>
      <c r="Y73" s="47">
        <f t="shared" ca="1" si="9"/>
        <v>0</v>
      </c>
      <c r="Z73" s="88" t="e">
        <f t="shared" ref="Z73:Z136" ca="1" si="10">+C73/B73</f>
        <v>#DIV/0!</v>
      </c>
      <c r="AA73" s="89" t="e">
        <f t="shared" ref="AA73:AA136" ca="1" si="11">100%-Z73</f>
        <v>#DIV/0!</v>
      </c>
      <c r="AB73" s="112"/>
      <c r="AC73" s="48"/>
      <c r="AD73" s="89"/>
    </row>
    <row r="74" spans="1:30" hidden="1">
      <c r="A74" s="7"/>
      <c r="B74" s="8">
        <f ca="1">SUMIF('DAILY FIESTA'!$B$10:$B$115,$A74,'DAILY FIESTA'!$C$10:$C$114)</f>
        <v>0</v>
      </c>
      <c r="C74" s="8">
        <f>SUMIF('DAILY FIESTA'!$B$10:$B$115,$A74,'DAILY FIESTA'!H$10:H$115)</f>
        <v>0</v>
      </c>
      <c r="D74" s="8">
        <f>SUMIF('DAILY FIESTA'!$B$10:$B$115,$A74,'DAILY FIESTA'!I$10:I$115)</f>
        <v>0</v>
      </c>
      <c r="E74" s="8">
        <f>SUMIF('DAILY FIESTA'!$B$10:$B$115,$A74,'DAILY FIESTA'!J$10:J$115)</f>
        <v>0</v>
      </c>
      <c r="F74" s="8">
        <f>SUMIF('DAILY FIESTA'!$B$10:$B$115,$A74,'DAILY FIESTA'!K$10:K$115)</f>
        <v>0</v>
      </c>
      <c r="G74" s="8">
        <f>SUMIF('DAILY FIESTA'!$B$10:$B$115,$A74,'DAILY FIESTA'!L$10:L$115)</f>
        <v>0</v>
      </c>
      <c r="H74" s="8">
        <f>SUMIF('DAILY FIESTA'!$B$10:$B$115,$A74,'DAILY FIESTA'!M$10:M$115)</f>
        <v>0</v>
      </c>
      <c r="I74" s="8">
        <f>SUMIF('DAILY FIESTA'!$B$10:$B$115,$A74,'DAILY FIESTA'!N$10:N$115)</f>
        <v>0</v>
      </c>
      <c r="J74" s="8">
        <f>SUMIF('DAILY FIESTA'!$B$10:$B$115,$A74,'DAILY FIESTA'!O$10:O$115)</f>
        <v>0</v>
      </c>
      <c r="K74" s="8">
        <f>SUMIF('DAILY FIESTA'!$B$10:$B$115,$A74,'DAILY FIESTA'!P$10:P$115)</f>
        <v>0</v>
      </c>
      <c r="L74" s="8">
        <f>SUMIF('DAILY FIESTA'!$B$10:$B$115,$A74,'DAILY FIESTA'!Q$10:Q$115)</f>
        <v>0</v>
      </c>
      <c r="M74" s="8">
        <f>SUMIF('DAILY FIESTA'!$B$10:$B$115,$A74,'DAILY FIESTA'!R$10:R$115)</f>
        <v>0</v>
      </c>
      <c r="N74" s="8">
        <f>SUMIF('DAILY FIESTA'!$B$10:$B$115,$A74,'DAILY FIESTA'!S$10:S$115)</f>
        <v>0</v>
      </c>
      <c r="O74" s="8">
        <f>SUMIF('DAILY FIESTA'!$B$10:$B$115,$A74,'DAILY FIESTA'!T$10:T$115)</f>
        <v>0</v>
      </c>
      <c r="P74" s="8">
        <f>SUMIF('DAILY FIESTA'!$B$10:$B$115,$A74,'DAILY FIESTA'!U$10:U$115)</f>
        <v>0</v>
      </c>
      <c r="Q74" s="8">
        <f>SUMIF('DAILY FIESTA'!$B$10:$B$115,$A74,'DAILY FIESTA'!V$10:V$115)</f>
        <v>0</v>
      </c>
      <c r="R74" s="8">
        <f>SUMIF('DAILY FIESTA'!$B$10:$B$115,$A74,'DAILY FIESTA'!W$10:W$115)</f>
        <v>0</v>
      </c>
      <c r="S74" s="8">
        <f>SUMIF('DAILY FIESTA'!$B$10:$B$115,$A74,'DAILY FIESTA'!X$10:X$115)</f>
        <v>0</v>
      </c>
      <c r="T74" s="8">
        <f>SUMIF('DAILY FIESTA'!$B$10:$B$115,$A74,'DAILY FIESTA'!Y$10:Y$115)</f>
        <v>0</v>
      </c>
      <c r="U74" s="8">
        <f>SUMIF('DAILY FIESTA'!$B$10:$B$115,$A74,'DAILY FIESTA'!Z$10:Z$115)</f>
        <v>0</v>
      </c>
      <c r="V74" s="8">
        <f>SUMIF('DAILY FIESTA'!$B$10:$B$115,$A74,'DAILY FIESTA'!AA$10:AA$115)</f>
        <v>0</v>
      </c>
      <c r="W74" s="59">
        <f t="shared" si="7"/>
        <v>0</v>
      </c>
      <c r="X74" s="60">
        <f t="shared" ca="1" si="8"/>
        <v>0</v>
      </c>
      <c r="Y74" s="47">
        <f t="shared" ca="1" si="9"/>
        <v>0</v>
      </c>
      <c r="Z74" s="88" t="e">
        <f t="shared" ca="1" si="10"/>
        <v>#DIV/0!</v>
      </c>
      <c r="AA74" s="89" t="e">
        <f t="shared" ca="1" si="11"/>
        <v>#DIV/0!</v>
      </c>
      <c r="AB74" s="112"/>
      <c r="AC74" s="48"/>
      <c r="AD74" s="89"/>
    </row>
    <row r="75" spans="1:30" hidden="1">
      <c r="A75" s="7"/>
      <c r="B75" s="8">
        <f ca="1">SUMIF('DAILY FIESTA'!$B$10:$B$115,$A75,'DAILY FIESTA'!$C$10:$C$114)</f>
        <v>0</v>
      </c>
      <c r="C75" s="8">
        <f>SUMIF('DAILY FIESTA'!$B$10:$B$115,$A75,'DAILY FIESTA'!H$10:H$115)</f>
        <v>0</v>
      </c>
      <c r="D75" s="8">
        <f>SUMIF('DAILY FIESTA'!$B$10:$B$115,$A75,'DAILY FIESTA'!I$10:I$115)</f>
        <v>0</v>
      </c>
      <c r="E75" s="8">
        <f>SUMIF('DAILY FIESTA'!$B$10:$B$115,$A75,'DAILY FIESTA'!J$10:J$115)</f>
        <v>0</v>
      </c>
      <c r="F75" s="8">
        <f>SUMIF('DAILY FIESTA'!$B$10:$B$115,$A75,'DAILY FIESTA'!K$10:K$115)</f>
        <v>0</v>
      </c>
      <c r="G75" s="8">
        <f>SUMIF('DAILY FIESTA'!$B$10:$B$115,$A75,'DAILY FIESTA'!L$10:L$115)</f>
        <v>0</v>
      </c>
      <c r="H75" s="8">
        <f>SUMIF('DAILY FIESTA'!$B$10:$B$115,$A75,'DAILY FIESTA'!M$10:M$115)</f>
        <v>0</v>
      </c>
      <c r="I75" s="8">
        <f>SUMIF('DAILY FIESTA'!$B$10:$B$115,$A75,'DAILY FIESTA'!N$10:N$115)</f>
        <v>0</v>
      </c>
      <c r="J75" s="8">
        <f>SUMIF('DAILY FIESTA'!$B$10:$B$115,$A75,'DAILY FIESTA'!O$10:O$115)</f>
        <v>0</v>
      </c>
      <c r="K75" s="8">
        <f>SUMIF('DAILY FIESTA'!$B$10:$B$115,$A75,'DAILY FIESTA'!P$10:P$115)</f>
        <v>0</v>
      </c>
      <c r="L75" s="8">
        <f>SUMIF('DAILY FIESTA'!$B$10:$B$115,$A75,'DAILY FIESTA'!Q$10:Q$115)</f>
        <v>0</v>
      </c>
      <c r="M75" s="8">
        <f>SUMIF('DAILY FIESTA'!$B$10:$B$115,$A75,'DAILY FIESTA'!R$10:R$115)</f>
        <v>0</v>
      </c>
      <c r="N75" s="8">
        <f>SUMIF('DAILY FIESTA'!$B$10:$B$115,$A75,'DAILY FIESTA'!S$10:S$115)</f>
        <v>0</v>
      </c>
      <c r="O75" s="8">
        <f>SUMIF('DAILY FIESTA'!$B$10:$B$115,$A75,'DAILY FIESTA'!T$10:T$115)</f>
        <v>0</v>
      </c>
      <c r="P75" s="8">
        <f>SUMIF('DAILY FIESTA'!$B$10:$B$115,$A75,'DAILY FIESTA'!U$10:U$115)</f>
        <v>0</v>
      </c>
      <c r="Q75" s="8">
        <f>SUMIF('DAILY FIESTA'!$B$10:$B$115,$A75,'DAILY FIESTA'!V$10:V$115)</f>
        <v>0</v>
      </c>
      <c r="R75" s="8">
        <f>SUMIF('DAILY FIESTA'!$B$10:$B$115,$A75,'DAILY FIESTA'!W$10:W$115)</f>
        <v>0</v>
      </c>
      <c r="S75" s="8">
        <f>SUMIF('DAILY FIESTA'!$B$10:$B$115,$A75,'DAILY FIESTA'!X$10:X$115)</f>
        <v>0</v>
      </c>
      <c r="T75" s="8">
        <f>SUMIF('DAILY FIESTA'!$B$10:$B$115,$A75,'DAILY FIESTA'!Y$10:Y$115)</f>
        <v>0</v>
      </c>
      <c r="U75" s="8">
        <f>SUMIF('DAILY FIESTA'!$B$10:$B$115,$A75,'DAILY FIESTA'!Z$10:Z$115)</f>
        <v>0</v>
      </c>
      <c r="V75" s="8">
        <f>SUMIF('DAILY FIESTA'!$B$10:$B$115,$A75,'DAILY FIESTA'!AA$10:AA$115)</f>
        <v>0</v>
      </c>
      <c r="W75" s="59">
        <f t="shared" si="7"/>
        <v>0</v>
      </c>
      <c r="X75" s="60">
        <f t="shared" ca="1" si="8"/>
        <v>0</v>
      </c>
      <c r="Y75" s="47">
        <f t="shared" ca="1" si="9"/>
        <v>0</v>
      </c>
      <c r="Z75" s="88" t="e">
        <f t="shared" ca="1" si="10"/>
        <v>#DIV/0!</v>
      </c>
      <c r="AA75" s="89" t="e">
        <f t="shared" ca="1" si="11"/>
        <v>#DIV/0!</v>
      </c>
      <c r="AB75" s="112"/>
      <c r="AC75" s="48"/>
      <c r="AD75" s="89"/>
    </row>
    <row r="76" spans="1:30" hidden="1">
      <c r="A76" s="7"/>
      <c r="B76" s="8">
        <f ca="1">SUMIF('DAILY FIESTA'!$B$10:$B$115,$A76,'DAILY FIESTA'!$C$10:$C$114)</f>
        <v>0</v>
      </c>
      <c r="C76" s="8">
        <f>SUMIF('DAILY FIESTA'!$B$10:$B$115,$A76,'DAILY FIESTA'!H$10:H$115)</f>
        <v>0</v>
      </c>
      <c r="D76" s="8">
        <f>SUMIF('DAILY FIESTA'!$B$10:$B$115,$A76,'DAILY FIESTA'!I$10:I$115)</f>
        <v>0</v>
      </c>
      <c r="E76" s="8">
        <f>SUMIF('DAILY FIESTA'!$B$10:$B$115,$A76,'DAILY FIESTA'!J$10:J$115)</f>
        <v>0</v>
      </c>
      <c r="F76" s="8">
        <f>SUMIF('DAILY FIESTA'!$B$10:$B$115,$A76,'DAILY FIESTA'!K$10:K$115)</f>
        <v>0</v>
      </c>
      <c r="G76" s="8">
        <f>SUMIF('DAILY FIESTA'!$B$10:$B$115,$A76,'DAILY FIESTA'!L$10:L$115)</f>
        <v>0</v>
      </c>
      <c r="H76" s="8">
        <f>SUMIF('DAILY FIESTA'!$B$10:$B$115,$A76,'DAILY FIESTA'!M$10:M$115)</f>
        <v>0</v>
      </c>
      <c r="I76" s="8">
        <f>SUMIF('DAILY FIESTA'!$B$10:$B$115,$A76,'DAILY FIESTA'!N$10:N$115)</f>
        <v>0</v>
      </c>
      <c r="J76" s="8">
        <f>SUMIF('DAILY FIESTA'!$B$10:$B$115,$A76,'DAILY FIESTA'!O$10:O$115)</f>
        <v>0</v>
      </c>
      <c r="K76" s="8">
        <f>SUMIF('DAILY FIESTA'!$B$10:$B$115,$A76,'DAILY FIESTA'!P$10:P$115)</f>
        <v>0</v>
      </c>
      <c r="L76" s="8">
        <f>SUMIF('DAILY FIESTA'!$B$10:$B$115,$A76,'DAILY FIESTA'!Q$10:Q$115)</f>
        <v>0</v>
      </c>
      <c r="M76" s="8">
        <f>SUMIF('DAILY FIESTA'!$B$10:$B$115,$A76,'DAILY FIESTA'!R$10:R$115)</f>
        <v>0</v>
      </c>
      <c r="N76" s="8">
        <f>SUMIF('DAILY FIESTA'!$B$10:$B$115,$A76,'DAILY FIESTA'!S$10:S$115)</f>
        <v>0</v>
      </c>
      <c r="O76" s="8">
        <f>SUMIF('DAILY FIESTA'!$B$10:$B$115,$A76,'DAILY FIESTA'!T$10:T$115)</f>
        <v>0</v>
      </c>
      <c r="P76" s="8">
        <f>SUMIF('DAILY FIESTA'!$B$10:$B$115,$A76,'DAILY FIESTA'!U$10:U$115)</f>
        <v>0</v>
      </c>
      <c r="Q76" s="8">
        <f>SUMIF('DAILY FIESTA'!$B$10:$B$115,$A76,'DAILY FIESTA'!V$10:V$115)</f>
        <v>0</v>
      </c>
      <c r="R76" s="8">
        <f>SUMIF('DAILY FIESTA'!$B$10:$B$115,$A76,'DAILY FIESTA'!W$10:W$115)</f>
        <v>0</v>
      </c>
      <c r="S76" s="8">
        <f>SUMIF('DAILY FIESTA'!$B$10:$B$115,$A76,'DAILY FIESTA'!X$10:X$115)</f>
        <v>0</v>
      </c>
      <c r="T76" s="8">
        <f>SUMIF('DAILY FIESTA'!$B$10:$B$115,$A76,'DAILY FIESTA'!Y$10:Y$115)</f>
        <v>0</v>
      </c>
      <c r="U76" s="8">
        <f>SUMIF('DAILY FIESTA'!$B$10:$B$115,$A76,'DAILY FIESTA'!Z$10:Z$115)</f>
        <v>0</v>
      </c>
      <c r="V76" s="8">
        <f>SUMIF('DAILY FIESTA'!$B$10:$B$115,$A76,'DAILY FIESTA'!AA$10:AA$115)</f>
        <v>0</v>
      </c>
      <c r="W76" s="59">
        <f t="shared" si="7"/>
        <v>0</v>
      </c>
      <c r="X76" s="60">
        <f t="shared" ca="1" si="8"/>
        <v>0</v>
      </c>
      <c r="Y76" s="47">
        <f t="shared" ca="1" si="9"/>
        <v>0</v>
      </c>
      <c r="Z76" s="88" t="e">
        <f t="shared" ca="1" si="10"/>
        <v>#DIV/0!</v>
      </c>
      <c r="AA76" s="89" t="e">
        <f t="shared" ca="1" si="11"/>
        <v>#DIV/0!</v>
      </c>
      <c r="AB76" s="112"/>
      <c r="AC76" s="48"/>
      <c r="AD76" s="89"/>
    </row>
    <row r="77" spans="1:30" hidden="1">
      <c r="A77" s="7"/>
      <c r="B77" s="8">
        <f ca="1">SUMIF('DAILY FIESTA'!$B$10:$B$115,$A77,'DAILY FIESTA'!$C$10:$C$114)</f>
        <v>0</v>
      </c>
      <c r="C77" s="8">
        <f>SUMIF('DAILY FIESTA'!$B$10:$B$115,$A77,'DAILY FIESTA'!H$10:H$115)</f>
        <v>0</v>
      </c>
      <c r="D77" s="8">
        <f>SUMIF('DAILY FIESTA'!$B$10:$B$115,$A77,'DAILY FIESTA'!I$10:I$115)</f>
        <v>0</v>
      </c>
      <c r="E77" s="8">
        <f>SUMIF('DAILY FIESTA'!$B$10:$B$115,$A77,'DAILY FIESTA'!J$10:J$115)</f>
        <v>0</v>
      </c>
      <c r="F77" s="8">
        <f>SUMIF('DAILY FIESTA'!$B$10:$B$115,$A77,'DAILY FIESTA'!K$10:K$115)</f>
        <v>0</v>
      </c>
      <c r="G77" s="8">
        <f>SUMIF('DAILY FIESTA'!$B$10:$B$115,$A77,'DAILY FIESTA'!L$10:L$115)</f>
        <v>0</v>
      </c>
      <c r="H77" s="8">
        <f>SUMIF('DAILY FIESTA'!$B$10:$B$115,$A77,'DAILY FIESTA'!M$10:M$115)</f>
        <v>0</v>
      </c>
      <c r="I77" s="8">
        <f>SUMIF('DAILY FIESTA'!$B$10:$B$115,$A77,'DAILY FIESTA'!N$10:N$115)</f>
        <v>0</v>
      </c>
      <c r="J77" s="8">
        <f>SUMIF('DAILY FIESTA'!$B$10:$B$115,$A77,'DAILY FIESTA'!O$10:O$115)</f>
        <v>0</v>
      </c>
      <c r="K77" s="8">
        <f>SUMIF('DAILY FIESTA'!$B$10:$B$115,$A77,'DAILY FIESTA'!P$10:P$115)</f>
        <v>0</v>
      </c>
      <c r="L77" s="8">
        <f>SUMIF('DAILY FIESTA'!$B$10:$B$115,$A77,'DAILY FIESTA'!Q$10:Q$115)</f>
        <v>0</v>
      </c>
      <c r="M77" s="8">
        <f>SUMIF('DAILY FIESTA'!$B$10:$B$115,$A77,'DAILY FIESTA'!R$10:R$115)</f>
        <v>0</v>
      </c>
      <c r="N77" s="8">
        <f>SUMIF('DAILY FIESTA'!$B$10:$B$115,$A77,'DAILY FIESTA'!S$10:S$115)</f>
        <v>0</v>
      </c>
      <c r="O77" s="8">
        <f>SUMIF('DAILY FIESTA'!$B$10:$B$115,$A77,'DAILY FIESTA'!T$10:T$115)</f>
        <v>0</v>
      </c>
      <c r="P77" s="8">
        <f>SUMIF('DAILY FIESTA'!$B$10:$B$115,$A77,'DAILY FIESTA'!U$10:U$115)</f>
        <v>0</v>
      </c>
      <c r="Q77" s="8">
        <f>SUMIF('DAILY FIESTA'!$B$10:$B$115,$A77,'DAILY FIESTA'!V$10:V$115)</f>
        <v>0</v>
      </c>
      <c r="R77" s="8">
        <f>SUMIF('DAILY FIESTA'!$B$10:$B$115,$A77,'DAILY FIESTA'!W$10:W$115)</f>
        <v>0</v>
      </c>
      <c r="S77" s="8">
        <f>SUMIF('DAILY FIESTA'!$B$10:$B$115,$A77,'DAILY FIESTA'!X$10:X$115)</f>
        <v>0</v>
      </c>
      <c r="T77" s="8">
        <f>SUMIF('DAILY FIESTA'!$B$10:$B$115,$A77,'DAILY FIESTA'!Y$10:Y$115)</f>
        <v>0</v>
      </c>
      <c r="U77" s="8">
        <f>SUMIF('DAILY FIESTA'!$B$10:$B$115,$A77,'DAILY FIESTA'!Z$10:Z$115)</f>
        <v>0</v>
      </c>
      <c r="V77" s="8">
        <f>SUMIF('DAILY FIESTA'!$B$10:$B$115,$A77,'DAILY FIESTA'!AA$10:AA$115)</f>
        <v>0</v>
      </c>
      <c r="W77" s="59">
        <f t="shared" si="7"/>
        <v>0</v>
      </c>
      <c r="X77" s="60">
        <f t="shared" ca="1" si="8"/>
        <v>0</v>
      </c>
      <c r="Y77" s="47">
        <f t="shared" ca="1" si="9"/>
        <v>0</v>
      </c>
      <c r="Z77" s="88" t="e">
        <f t="shared" ca="1" si="10"/>
        <v>#DIV/0!</v>
      </c>
      <c r="AA77" s="89" t="e">
        <f t="shared" ca="1" si="11"/>
        <v>#DIV/0!</v>
      </c>
      <c r="AB77" s="112"/>
      <c r="AC77" s="48"/>
      <c r="AD77" s="89"/>
    </row>
    <row r="78" spans="1:30" hidden="1">
      <c r="A78" s="7"/>
      <c r="B78" s="8">
        <f ca="1">SUMIF('DAILY FIESTA'!$B$10:$B$115,$A78,'DAILY FIESTA'!$C$10:$C$114)</f>
        <v>0</v>
      </c>
      <c r="C78" s="8">
        <f>SUMIF('DAILY FIESTA'!$B$10:$B$115,$A78,'DAILY FIESTA'!H$10:H$115)</f>
        <v>0</v>
      </c>
      <c r="D78" s="8">
        <f>SUMIF('DAILY FIESTA'!$B$10:$B$115,$A78,'DAILY FIESTA'!I$10:I$115)</f>
        <v>0</v>
      </c>
      <c r="E78" s="8">
        <f>SUMIF('DAILY FIESTA'!$B$10:$B$115,$A78,'DAILY FIESTA'!J$10:J$115)</f>
        <v>0</v>
      </c>
      <c r="F78" s="8">
        <f>SUMIF('DAILY FIESTA'!$B$10:$B$115,$A78,'DAILY FIESTA'!K$10:K$115)</f>
        <v>0</v>
      </c>
      <c r="G78" s="8">
        <f>SUMIF('DAILY FIESTA'!$B$10:$B$115,$A78,'DAILY FIESTA'!L$10:L$115)</f>
        <v>0</v>
      </c>
      <c r="H78" s="8">
        <f>SUMIF('DAILY FIESTA'!$B$10:$B$115,$A78,'DAILY FIESTA'!M$10:M$115)</f>
        <v>0</v>
      </c>
      <c r="I78" s="8">
        <f>SUMIF('DAILY FIESTA'!$B$10:$B$115,$A78,'DAILY FIESTA'!N$10:N$115)</f>
        <v>0</v>
      </c>
      <c r="J78" s="8">
        <f>SUMIF('DAILY FIESTA'!$B$10:$B$115,$A78,'DAILY FIESTA'!O$10:O$115)</f>
        <v>0</v>
      </c>
      <c r="K78" s="8">
        <f>SUMIF('DAILY FIESTA'!$B$10:$B$115,$A78,'DAILY FIESTA'!P$10:P$115)</f>
        <v>0</v>
      </c>
      <c r="L78" s="8">
        <f>SUMIF('DAILY FIESTA'!$B$10:$B$115,$A78,'DAILY FIESTA'!Q$10:Q$115)</f>
        <v>0</v>
      </c>
      <c r="M78" s="8">
        <f>SUMIF('DAILY FIESTA'!$B$10:$B$115,$A78,'DAILY FIESTA'!R$10:R$115)</f>
        <v>0</v>
      </c>
      <c r="N78" s="8">
        <f>SUMIF('DAILY FIESTA'!$B$10:$B$115,$A78,'DAILY FIESTA'!S$10:S$115)</f>
        <v>0</v>
      </c>
      <c r="O78" s="8">
        <f>SUMIF('DAILY FIESTA'!$B$10:$B$115,$A78,'DAILY FIESTA'!T$10:T$115)</f>
        <v>0</v>
      </c>
      <c r="P78" s="8">
        <f>SUMIF('DAILY FIESTA'!$B$10:$B$115,$A78,'DAILY FIESTA'!U$10:U$115)</f>
        <v>0</v>
      </c>
      <c r="Q78" s="8">
        <f>SUMIF('DAILY FIESTA'!$B$10:$B$115,$A78,'DAILY FIESTA'!V$10:V$115)</f>
        <v>0</v>
      </c>
      <c r="R78" s="8">
        <f>SUMIF('DAILY FIESTA'!$B$10:$B$115,$A78,'DAILY FIESTA'!W$10:W$115)</f>
        <v>0</v>
      </c>
      <c r="S78" s="8">
        <f>SUMIF('DAILY FIESTA'!$B$10:$B$115,$A78,'DAILY FIESTA'!X$10:X$115)</f>
        <v>0</v>
      </c>
      <c r="T78" s="8">
        <f>SUMIF('DAILY FIESTA'!$B$10:$B$115,$A78,'DAILY FIESTA'!Y$10:Y$115)</f>
        <v>0</v>
      </c>
      <c r="U78" s="8">
        <f>SUMIF('DAILY FIESTA'!$B$10:$B$115,$A78,'DAILY FIESTA'!Z$10:Z$115)</f>
        <v>0</v>
      </c>
      <c r="V78" s="8">
        <f>SUMIF('DAILY FIESTA'!$B$10:$B$115,$A78,'DAILY FIESTA'!AA$10:AA$115)</f>
        <v>0</v>
      </c>
      <c r="W78" s="59">
        <f t="shared" si="7"/>
        <v>0</v>
      </c>
      <c r="X78" s="60">
        <f t="shared" ca="1" si="8"/>
        <v>0</v>
      </c>
      <c r="Y78" s="47">
        <f t="shared" ca="1" si="9"/>
        <v>0</v>
      </c>
      <c r="Z78" s="88" t="e">
        <f t="shared" ca="1" si="10"/>
        <v>#DIV/0!</v>
      </c>
      <c r="AA78" s="89" t="e">
        <f t="shared" ca="1" si="11"/>
        <v>#DIV/0!</v>
      </c>
      <c r="AB78" s="112"/>
      <c r="AC78" s="48"/>
      <c r="AD78" s="89"/>
    </row>
    <row r="79" spans="1:30" hidden="1">
      <c r="A79" s="7"/>
      <c r="B79" s="8">
        <f ca="1">SUMIF('DAILY FIESTA'!$B$10:$B$115,$A79,'DAILY FIESTA'!$C$10:$C$114)</f>
        <v>0</v>
      </c>
      <c r="C79" s="8">
        <f>SUMIF('DAILY FIESTA'!$B$10:$B$115,$A79,'DAILY FIESTA'!H$10:H$115)</f>
        <v>0</v>
      </c>
      <c r="D79" s="8">
        <f>SUMIF('DAILY FIESTA'!$B$10:$B$115,$A79,'DAILY FIESTA'!I$10:I$115)</f>
        <v>0</v>
      </c>
      <c r="E79" s="8">
        <f>SUMIF('DAILY FIESTA'!$B$10:$B$115,$A79,'DAILY FIESTA'!J$10:J$115)</f>
        <v>0</v>
      </c>
      <c r="F79" s="8">
        <f>SUMIF('DAILY FIESTA'!$B$10:$B$115,$A79,'DAILY FIESTA'!K$10:K$115)</f>
        <v>0</v>
      </c>
      <c r="G79" s="8">
        <f>SUMIF('DAILY FIESTA'!$B$10:$B$115,$A79,'DAILY FIESTA'!L$10:L$115)</f>
        <v>0</v>
      </c>
      <c r="H79" s="8">
        <f>SUMIF('DAILY FIESTA'!$B$10:$B$115,$A79,'DAILY FIESTA'!M$10:M$115)</f>
        <v>0</v>
      </c>
      <c r="I79" s="8">
        <f>SUMIF('DAILY FIESTA'!$B$10:$B$115,$A79,'DAILY FIESTA'!N$10:N$115)</f>
        <v>0</v>
      </c>
      <c r="J79" s="8">
        <f>SUMIF('DAILY FIESTA'!$B$10:$B$115,$A79,'DAILY FIESTA'!O$10:O$115)</f>
        <v>0</v>
      </c>
      <c r="K79" s="8">
        <f>SUMIF('DAILY FIESTA'!$B$10:$B$115,$A79,'DAILY FIESTA'!P$10:P$115)</f>
        <v>0</v>
      </c>
      <c r="L79" s="8">
        <f>SUMIF('DAILY FIESTA'!$B$10:$B$115,$A79,'DAILY FIESTA'!Q$10:Q$115)</f>
        <v>0</v>
      </c>
      <c r="M79" s="8">
        <f>SUMIF('DAILY FIESTA'!$B$10:$B$115,$A79,'DAILY FIESTA'!R$10:R$115)</f>
        <v>0</v>
      </c>
      <c r="N79" s="8">
        <f>SUMIF('DAILY FIESTA'!$B$10:$B$115,$A79,'DAILY FIESTA'!S$10:S$115)</f>
        <v>0</v>
      </c>
      <c r="O79" s="8">
        <f>SUMIF('DAILY FIESTA'!$B$10:$B$115,$A79,'DAILY FIESTA'!T$10:T$115)</f>
        <v>0</v>
      </c>
      <c r="P79" s="8">
        <f>SUMIF('DAILY FIESTA'!$B$10:$B$115,$A79,'DAILY FIESTA'!U$10:U$115)</f>
        <v>0</v>
      </c>
      <c r="Q79" s="8">
        <f>SUMIF('DAILY FIESTA'!$B$10:$B$115,$A79,'DAILY FIESTA'!V$10:V$115)</f>
        <v>0</v>
      </c>
      <c r="R79" s="8">
        <f>SUMIF('DAILY FIESTA'!$B$10:$B$115,$A79,'DAILY FIESTA'!W$10:W$115)</f>
        <v>0</v>
      </c>
      <c r="S79" s="8">
        <f>SUMIF('DAILY FIESTA'!$B$10:$B$115,$A79,'DAILY FIESTA'!X$10:X$115)</f>
        <v>0</v>
      </c>
      <c r="T79" s="8">
        <f>SUMIF('DAILY FIESTA'!$B$10:$B$115,$A79,'DAILY FIESTA'!Y$10:Y$115)</f>
        <v>0</v>
      </c>
      <c r="U79" s="8">
        <f>SUMIF('DAILY FIESTA'!$B$10:$B$115,$A79,'DAILY FIESTA'!Z$10:Z$115)</f>
        <v>0</v>
      </c>
      <c r="V79" s="8">
        <f>SUMIF('DAILY FIESTA'!$B$10:$B$115,$A79,'DAILY FIESTA'!AA$10:AA$115)</f>
        <v>0</v>
      </c>
      <c r="W79" s="59">
        <f t="shared" si="7"/>
        <v>0</v>
      </c>
      <c r="X79" s="60">
        <f t="shared" ca="1" si="8"/>
        <v>0</v>
      </c>
      <c r="Y79" s="47">
        <f t="shared" ca="1" si="9"/>
        <v>0</v>
      </c>
      <c r="Z79" s="88" t="e">
        <f t="shared" ca="1" si="10"/>
        <v>#DIV/0!</v>
      </c>
      <c r="AA79" s="89" t="e">
        <f t="shared" ca="1" si="11"/>
        <v>#DIV/0!</v>
      </c>
      <c r="AB79" s="112"/>
      <c r="AC79" s="48"/>
      <c r="AD79" s="89"/>
    </row>
    <row r="80" spans="1:30" hidden="1">
      <c r="A80" s="7"/>
      <c r="B80" s="8">
        <f ca="1">SUMIF('DAILY FIESTA'!$B$10:$B$115,$A80,'DAILY FIESTA'!$C$10:$C$114)</f>
        <v>0</v>
      </c>
      <c r="C80" s="8">
        <f>SUMIF('DAILY FIESTA'!$B$10:$B$115,$A80,'DAILY FIESTA'!H$10:H$115)</f>
        <v>0</v>
      </c>
      <c r="D80" s="8">
        <f>SUMIF('DAILY FIESTA'!$B$10:$B$115,$A80,'DAILY FIESTA'!I$10:I$115)</f>
        <v>0</v>
      </c>
      <c r="E80" s="8">
        <f>SUMIF('DAILY FIESTA'!$B$10:$B$115,$A80,'DAILY FIESTA'!J$10:J$115)</f>
        <v>0</v>
      </c>
      <c r="F80" s="8">
        <f>SUMIF('DAILY FIESTA'!$B$10:$B$115,$A80,'DAILY FIESTA'!K$10:K$115)</f>
        <v>0</v>
      </c>
      <c r="G80" s="8">
        <f>SUMIF('DAILY FIESTA'!$B$10:$B$115,$A80,'DAILY FIESTA'!L$10:L$115)</f>
        <v>0</v>
      </c>
      <c r="H80" s="8">
        <f>SUMIF('DAILY FIESTA'!$B$10:$B$115,$A80,'DAILY FIESTA'!M$10:M$115)</f>
        <v>0</v>
      </c>
      <c r="I80" s="8">
        <f>SUMIF('DAILY FIESTA'!$B$10:$B$115,$A80,'DAILY FIESTA'!N$10:N$115)</f>
        <v>0</v>
      </c>
      <c r="J80" s="8">
        <f>SUMIF('DAILY FIESTA'!$B$10:$B$115,$A80,'DAILY FIESTA'!O$10:O$115)</f>
        <v>0</v>
      </c>
      <c r="K80" s="8">
        <f>SUMIF('DAILY FIESTA'!$B$10:$B$115,$A80,'DAILY FIESTA'!P$10:P$115)</f>
        <v>0</v>
      </c>
      <c r="L80" s="8">
        <f>SUMIF('DAILY FIESTA'!$B$10:$B$115,$A80,'DAILY FIESTA'!Q$10:Q$115)</f>
        <v>0</v>
      </c>
      <c r="M80" s="8">
        <f>SUMIF('DAILY FIESTA'!$B$10:$B$115,$A80,'DAILY FIESTA'!R$10:R$115)</f>
        <v>0</v>
      </c>
      <c r="N80" s="8">
        <f>SUMIF('DAILY FIESTA'!$B$10:$B$115,$A80,'DAILY FIESTA'!S$10:S$115)</f>
        <v>0</v>
      </c>
      <c r="O80" s="8">
        <f>SUMIF('DAILY FIESTA'!$B$10:$B$115,$A80,'DAILY FIESTA'!T$10:T$115)</f>
        <v>0</v>
      </c>
      <c r="P80" s="8">
        <f>SUMIF('DAILY FIESTA'!$B$10:$B$115,$A80,'DAILY FIESTA'!U$10:U$115)</f>
        <v>0</v>
      </c>
      <c r="Q80" s="8">
        <f>SUMIF('DAILY FIESTA'!$B$10:$B$115,$A80,'DAILY FIESTA'!V$10:V$115)</f>
        <v>0</v>
      </c>
      <c r="R80" s="8">
        <f>SUMIF('DAILY FIESTA'!$B$10:$B$115,$A80,'DAILY FIESTA'!W$10:W$115)</f>
        <v>0</v>
      </c>
      <c r="S80" s="8">
        <f>SUMIF('DAILY FIESTA'!$B$10:$B$115,$A80,'DAILY FIESTA'!X$10:X$115)</f>
        <v>0</v>
      </c>
      <c r="T80" s="8">
        <f>SUMIF('DAILY FIESTA'!$B$10:$B$115,$A80,'DAILY FIESTA'!Y$10:Y$115)</f>
        <v>0</v>
      </c>
      <c r="U80" s="8">
        <f>SUMIF('DAILY FIESTA'!$B$10:$B$115,$A80,'DAILY FIESTA'!Z$10:Z$115)</f>
        <v>0</v>
      </c>
      <c r="V80" s="8">
        <f>SUMIF('DAILY FIESTA'!$B$10:$B$115,$A80,'DAILY FIESTA'!AA$10:AA$115)</f>
        <v>0</v>
      </c>
      <c r="W80" s="59">
        <f t="shared" si="7"/>
        <v>0</v>
      </c>
      <c r="X80" s="60">
        <f t="shared" ca="1" si="8"/>
        <v>0</v>
      </c>
      <c r="Y80" s="47">
        <f t="shared" ca="1" si="9"/>
        <v>0</v>
      </c>
      <c r="Z80" s="88" t="e">
        <f t="shared" ca="1" si="10"/>
        <v>#DIV/0!</v>
      </c>
      <c r="AA80" s="89" t="e">
        <f t="shared" ca="1" si="11"/>
        <v>#DIV/0!</v>
      </c>
      <c r="AB80" s="112"/>
      <c r="AC80" s="48"/>
      <c r="AD80" s="89"/>
    </row>
    <row r="81" spans="1:30" hidden="1">
      <c r="A81" s="7"/>
      <c r="B81" s="8">
        <f ca="1">SUMIF('DAILY FIESTA'!$B$10:$B$115,$A81,'DAILY FIESTA'!$C$10:$C$114)</f>
        <v>0</v>
      </c>
      <c r="C81" s="8">
        <f>SUMIF('DAILY FIESTA'!$B$10:$B$115,$A81,'DAILY FIESTA'!H$10:H$115)</f>
        <v>0</v>
      </c>
      <c r="D81" s="8">
        <f>SUMIF('DAILY FIESTA'!$B$10:$B$115,$A81,'DAILY FIESTA'!I$10:I$115)</f>
        <v>0</v>
      </c>
      <c r="E81" s="8">
        <f>SUMIF('DAILY FIESTA'!$B$10:$B$115,$A81,'DAILY FIESTA'!J$10:J$115)</f>
        <v>0</v>
      </c>
      <c r="F81" s="8">
        <f>SUMIF('DAILY FIESTA'!$B$10:$B$115,$A81,'DAILY FIESTA'!K$10:K$115)</f>
        <v>0</v>
      </c>
      <c r="G81" s="8">
        <f>SUMIF('DAILY FIESTA'!$B$10:$B$115,$A81,'DAILY FIESTA'!L$10:L$115)</f>
        <v>0</v>
      </c>
      <c r="H81" s="8">
        <f>SUMIF('DAILY FIESTA'!$B$10:$B$115,$A81,'DAILY FIESTA'!M$10:M$115)</f>
        <v>0</v>
      </c>
      <c r="I81" s="8">
        <f>SUMIF('DAILY FIESTA'!$B$10:$B$115,$A81,'DAILY FIESTA'!N$10:N$115)</f>
        <v>0</v>
      </c>
      <c r="J81" s="8">
        <f>SUMIF('DAILY FIESTA'!$B$10:$B$115,$A81,'DAILY FIESTA'!O$10:O$115)</f>
        <v>0</v>
      </c>
      <c r="K81" s="8">
        <f>SUMIF('DAILY FIESTA'!$B$10:$B$115,$A81,'DAILY FIESTA'!P$10:P$115)</f>
        <v>0</v>
      </c>
      <c r="L81" s="8">
        <f>SUMIF('DAILY FIESTA'!$B$10:$B$115,$A81,'DAILY FIESTA'!Q$10:Q$115)</f>
        <v>0</v>
      </c>
      <c r="M81" s="8">
        <f>SUMIF('DAILY FIESTA'!$B$10:$B$115,$A81,'DAILY FIESTA'!R$10:R$115)</f>
        <v>0</v>
      </c>
      <c r="N81" s="8">
        <f>SUMIF('DAILY FIESTA'!$B$10:$B$115,$A81,'DAILY FIESTA'!S$10:S$115)</f>
        <v>0</v>
      </c>
      <c r="O81" s="8">
        <f>SUMIF('DAILY FIESTA'!$B$10:$B$115,$A81,'DAILY FIESTA'!T$10:T$115)</f>
        <v>0</v>
      </c>
      <c r="P81" s="8">
        <f>SUMIF('DAILY FIESTA'!$B$10:$B$115,$A81,'DAILY FIESTA'!U$10:U$115)</f>
        <v>0</v>
      </c>
      <c r="Q81" s="8">
        <f>SUMIF('DAILY FIESTA'!$B$10:$B$115,$A81,'DAILY FIESTA'!V$10:V$115)</f>
        <v>0</v>
      </c>
      <c r="R81" s="8">
        <f>SUMIF('DAILY FIESTA'!$B$10:$B$115,$A81,'DAILY FIESTA'!W$10:W$115)</f>
        <v>0</v>
      </c>
      <c r="S81" s="8">
        <f>SUMIF('DAILY FIESTA'!$B$10:$B$115,$A81,'DAILY FIESTA'!X$10:X$115)</f>
        <v>0</v>
      </c>
      <c r="T81" s="8">
        <f>SUMIF('DAILY FIESTA'!$B$10:$B$115,$A81,'DAILY FIESTA'!Y$10:Y$115)</f>
        <v>0</v>
      </c>
      <c r="U81" s="8">
        <f>SUMIF('DAILY FIESTA'!$B$10:$B$115,$A81,'DAILY FIESTA'!Z$10:Z$115)</f>
        <v>0</v>
      </c>
      <c r="V81" s="8">
        <f>SUMIF('DAILY FIESTA'!$B$10:$B$115,$A81,'DAILY FIESTA'!AA$10:AA$115)</f>
        <v>0</v>
      </c>
      <c r="W81" s="59">
        <f t="shared" si="7"/>
        <v>0</v>
      </c>
      <c r="X81" s="60">
        <f t="shared" ca="1" si="8"/>
        <v>0</v>
      </c>
      <c r="Y81" s="47">
        <f t="shared" ca="1" si="9"/>
        <v>0</v>
      </c>
      <c r="Z81" s="88" t="e">
        <f t="shared" ca="1" si="10"/>
        <v>#DIV/0!</v>
      </c>
      <c r="AA81" s="89" t="e">
        <f t="shared" ca="1" si="11"/>
        <v>#DIV/0!</v>
      </c>
      <c r="AB81" s="112"/>
      <c r="AC81" s="48"/>
      <c r="AD81" s="89"/>
    </row>
    <row r="82" spans="1:30" hidden="1">
      <c r="A82" s="7"/>
      <c r="B82" s="8">
        <f ca="1">SUMIF('DAILY FIESTA'!$B$10:$B$115,$A82,'DAILY FIESTA'!$C$10:$C$114)</f>
        <v>0</v>
      </c>
      <c r="C82" s="8">
        <f>SUMIF('DAILY FIESTA'!$B$10:$B$115,$A82,'DAILY FIESTA'!H$10:H$115)</f>
        <v>0</v>
      </c>
      <c r="D82" s="8">
        <f>SUMIF('DAILY FIESTA'!$B$10:$B$115,$A82,'DAILY FIESTA'!I$10:I$115)</f>
        <v>0</v>
      </c>
      <c r="E82" s="8">
        <f>SUMIF('DAILY FIESTA'!$B$10:$B$115,$A82,'DAILY FIESTA'!J$10:J$115)</f>
        <v>0</v>
      </c>
      <c r="F82" s="8">
        <f>SUMIF('DAILY FIESTA'!$B$10:$B$115,$A82,'DAILY FIESTA'!K$10:K$115)</f>
        <v>0</v>
      </c>
      <c r="G82" s="8">
        <f>SUMIF('DAILY FIESTA'!$B$10:$B$115,$A82,'DAILY FIESTA'!L$10:L$115)</f>
        <v>0</v>
      </c>
      <c r="H82" s="8">
        <f>SUMIF('DAILY FIESTA'!$B$10:$B$115,$A82,'DAILY FIESTA'!M$10:M$115)</f>
        <v>0</v>
      </c>
      <c r="I82" s="8">
        <f>SUMIF('DAILY FIESTA'!$B$10:$B$115,$A82,'DAILY FIESTA'!N$10:N$115)</f>
        <v>0</v>
      </c>
      <c r="J82" s="8">
        <f>SUMIF('DAILY FIESTA'!$B$10:$B$115,$A82,'DAILY FIESTA'!O$10:O$115)</f>
        <v>0</v>
      </c>
      <c r="K82" s="8">
        <f>SUMIF('DAILY FIESTA'!$B$10:$B$115,$A82,'DAILY FIESTA'!P$10:P$115)</f>
        <v>0</v>
      </c>
      <c r="L82" s="8">
        <f>SUMIF('DAILY FIESTA'!$B$10:$B$115,$A82,'DAILY FIESTA'!Q$10:Q$115)</f>
        <v>0</v>
      </c>
      <c r="M82" s="8">
        <f>SUMIF('DAILY FIESTA'!$B$10:$B$115,$A82,'DAILY FIESTA'!R$10:R$115)</f>
        <v>0</v>
      </c>
      <c r="N82" s="8">
        <f>SUMIF('DAILY FIESTA'!$B$10:$B$115,$A82,'DAILY FIESTA'!S$10:S$115)</f>
        <v>0</v>
      </c>
      <c r="O82" s="8">
        <f>SUMIF('DAILY FIESTA'!$B$10:$B$115,$A82,'DAILY FIESTA'!T$10:T$115)</f>
        <v>0</v>
      </c>
      <c r="P82" s="8">
        <f>SUMIF('DAILY FIESTA'!$B$10:$B$115,$A82,'DAILY FIESTA'!U$10:U$115)</f>
        <v>0</v>
      </c>
      <c r="Q82" s="8">
        <f>SUMIF('DAILY FIESTA'!$B$10:$B$115,$A82,'DAILY FIESTA'!V$10:V$115)</f>
        <v>0</v>
      </c>
      <c r="R82" s="8">
        <f>SUMIF('DAILY FIESTA'!$B$10:$B$115,$A82,'DAILY FIESTA'!W$10:W$115)</f>
        <v>0</v>
      </c>
      <c r="S82" s="8">
        <f>SUMIF('DAILY FIESTA'!$B$10:$B$115,$A82,'DAILY FIESTA'!X$10:X$115)</f>
        <v>0</v>
      </c>
      <c r="T82" s="8">
        <f>SUMIF('DAILY FIESTA'!$B$10:$B$115,$A82,'DAILY FIESTA'!Y$10:Y$115)</f>
        <v>0</v>
      </c>
      <c r="U82" s="8">
        <f>SUMIF('DAILY FIESTA'!$B$10:$B$115,$A82,'DAILY FIESTA'!Z$10:Z$115)</f>
        <v>0</v>
      </c>
      <c r="V82" s="8">
        <f>SUMIF('DAILY FIESTA'!$B$10:$B$115,$A82,'DAILY FIESTA'!AA$10:AA$115)</f>
        <v>0</v>
      </c>
      <c r="W82" s="59">
        <f t="shared" si="7"/>
        <v>0</v>
      </c>
      <c r="X82" s="60">
        <f t="shared" ca="1" si="8"/>
        <v>0</v>
      </c>
      <c r="Y82" s="47">
        <f t="shared" ca="1" si="9"/>
        <v>0</v>
      </c>
      <c r="Z82" s="88" t="e">
        <f t="shared" ca="1" si="10"/>
        <v>#DIV/0!</v>
      </c>
      <c r="AA82" s="89" t="e">
        <f t="shared" ca="1" si="11"/>
        <v>#DIV/0!</v>
      </c>
      <c r="AB82" s="112"/>
      <c r="AC82" s="48"/>
      <c r="AD82" s="89"/>
    </row>
    <row r="83" spans="1:30" hidden="1">
      <c r="A83" s="7"/>
      <c r="B83" s="8">
        <f ca="1">SUMIF('DAILY FIESTA'!$B$10:$B$115,$A83,'DAILY FIESTA'!$C$10:$C$114)</f>
        <v>0</v>
      </c>
      <c r="C83" s="8">
        <f>SUMIF('DAILY FIESTA'!$B$10:$B$115,$A83,'DAILY FIESTA'!H$10:H$115)</f>
        <v>0</v>
      </c>
      <c r="D83" s="8">
        <f>SUMIF('DAILY FIESTA'!$B$10:$B$115,$A83,'DAILY FIESTA'!I$10:I$115)</f>
        <v>0</v>
      </c>
      <c r="E83" s="8">
        <f>SUMIF('DAILY FIESTA'!$B$10:$B$115,$A83,'DAILY FIESTA'!J$10:J$115)</f>
        <v>0</v>
      </c>
      <c r="F83" s="8">
        <f>SUMIF('DAILY FIESTA'!$B$10:$B$115,$A83,'DAILY FIESTA'!K$10:K$115)</f>
        <v>0</v>
      </c>
      <c r="G83" s="8">
        <f>SUMIF('DAILY FIESTA'!$B$10:$B$115,$A83,'DAILY FIESTA'!L$10:L$115)</f>
        <v>0</v>
      </c>
      <c r="H83" s="8">
        <f>SUMIF('DAILY FIESTA'!$B$10:$B$115,$A83,'DAILY FIESTA'!M$10:M$115)</f>
        <v>0</v>
      </c>
      <c r="I83" s="8">
        <f>SUMIF('DAILY FIESTA'!$B$10:$B$115,$A83,'DAILY FIESTA'!N$10:N$115)</f>
        <v>0</v>
      </c>
      <c r="J83" s="8">
        <f>SUMIF('DAILY FIESTA'!$B$10:$B$115,$A83,'DAILY FIESTA'!O$10:O$115)</f>
        <v>0</v>
      </c>
      <c r="K83" s="8">
        <f>SUMIF('DAILY FIESTA'!$B$10:$B$115,$A83,'DAILY FIESTA'!P$10:P$115)</f>
        <v>0</v>
      </c>
      <c r="L83" s="8">
        <f>SUMIF('DAILY FIESTA'!$B$10:$B$115,$A83,'DAILY FIESTA'!Q$10:Q$115)</f>
        <v>0</v>
      </c>
      <c r="M83" s="8">
        <f>SUMIF('DAILY FIESTA'!$B$10:$B$115,$A83,'DAILY FIESTA'!R$10:R$115)</f>
        <v>0</v>
      </c>
      <c r="N83" s="8">
        <f>SUMIF('DAILY FIESTA'!$B$10:$B$115,$A83,'DAILY FIESTA'!S$10:S$115)</f>
        <v>0</v>
      </c>
      <c r="O83" s="8">
        <f>SUMIF('DAILY FIESTA'!$B$10:$B$115,$A83,'DAILY FIESTA'!T$10:T$115)</f>
        <v>0</v>
      </c>
      <c r="P83" s="8">
        <f>SUMIF('DAILY FIESTA'!$B$10:$B$115,$A83,'DAILY FIESTA'!U$10:U$115)</f>
        <v>0</v>
      </c>
      <c r="Q83" s="8">
        <f>SUMIF('DAILY FIESTA'!$B$10:$B$115,$A83,'DAILY FIESTA'!V$10:V$115)</f>
        <v>0</v>
      </c>
      <c r="R83" s="8">
        <f>SUMIF('DAILY FIESTA'!$B$10:$B$115,$A83,'DAILY FIESTA'!W$10:W$115)</f>
        <v>0</v>
      </c>
      <c r="S83" s="8">
        <f>SUMIF('DAILY FIESTA'!$B$10:$B$115,$A83,'DAILY FIESTA'!X$10:X$115)</f>
        <v>0</v>
      </c>
      <c r="T83" s="8">
        <f>SUMIF('DAILY FIESTA'!$B$10:$B$115,$A83,'DAILY FIESTA'!Y$10:Y$115)</f>
        <v>0</v>
      </c>
      <c r="U83" s="8">
        <f>SUMIF('DAILY FIESTA'!$B$10:$B$115,$A83,'DAILY FIESTA'!Z$10:Z$115)</f>
        <v>0</v>
      </c>
      <c r="V83" s="8">
        <f>SUMIF('DAILY FIESTA'!$B$10:$B$115,$A83,'DAILY FIESTA'!AA$10:AA$115)</f>
        <v>0</v>
      </c>
      <c r="W83" s="59">
        <f t="shared" si="7"/>
        <v>0</v>
      </c>
      <c r="X83" s="60">
        <f t="shared" ca="1" si="8"/>
        <v>0</v>
      </c>
      <c r="Y83" s="47">
        <f t="shared" ca="1" si="9"/>
        <v>0</v>
      </c>
      <c r="Z83" s="88" t="e">
        <f t="shared" ca="1" si="10"/>
        <v>#DIV/0!</v>
      </c>
      <c r="AA83" s="89" t="e">
        <f t="shared" ca="1" si="11"/>
        <v>#DIV/0!</v>
      </c>
      <c r="AB83" s="112"/>
      <c r="AC83" s="48"/>
      <c r="AD83" s="89"/>
    </row>
    <row r="84" spans="1:30" hidden="1">
      <c r="A84" s="7"/>
      <c r="B84" s="8">
        <f ca="1">SUMIF('DAILY FIESTA'!$B$10:$B$115,$A84,'DAILY FIESTA'!$C$10:$C$114)</f>
        <v>0</v>
      </c>
      <c r="C84" s="8">
        <f>SUMIF('DAILY FIESTA'!$B$10:$B$115,$A84,'DAILY FIESTA'!H$10:H$115)</f>
        <v>0</v>
      </c>
      <c r="D84" s="8">
        <f>SUMIF('DAILY FIESTA'!$B$10:$B$115,$A84,'DAILY FIESTA'!I$10:I$115)</f>
        <v>0</v>
      </c>
      <c r="E84" s="8">
        <f>SUMIF('DAILY FIESTA'!$B$10:$B$115,$A84,'DAILY FIESTA'!J$10:J$115)</f>
        <v>0</v>
      </c>
      <c r="F84" s="8">
        <f>SUMIF('DAILY FIESTA'!$B$10:$B$115,$A84,'DAILY FIESTA'!K$10:K$115)</f>
        <v>0</v>
      </c>
      <c r="G84" s="8">
        <f>SUMIF('DAILY FIESTA'!$B$10:$B$115,$A84,'DAILY FIESTA'!L$10:L$115)</f>
        <v>0</v>
      </c>
      <c r="H84" s="8">
        <f>SUMIF('DAILY FIESTA'!$B$10:$B$115,$A84,'DAILY FIESTA'!M$10:M$115)</f>
        <v>0</v>
      </c>
      <c r="I84" s="8">
        <f>SUMIF('DAILY FIESTA'!$B$10:$B$115,$A84,'DAILY FIESTA'!N$10:N$115)</f>
        <v>0</v>
      </c>
      <c r="J84" s="8">
        <f>SUMIF('DAILY FIESTA'!$B$10:$B$115,$A84,'DAILY FIESTA'!O$10:O$115)</f>
        <v>0</v>
      </c>
      <c r="K84" s="8">
        <f>SUMIF('DAILY FIESTA'!$B$10:$B$115,$A84,'DAILY FIESTA'!P$10:P$115)</f>
        <v>0</v>
      </c>
      <c r="L84" s="8">
        <f>SUMIF('DAILY FIESTA'!$B$10:$B$115,$A84,'DAILY FIESTA'!Q$10:Q$115)</f>
        <v>0</v>
      </c>
      <c r="M84" s="8">
        <f>SUMIF('DAILY FIESTA'!$B$10:$B$115,$A84,'DAILY FIESTA'!R$10:R$115)</f>
        <v>0</v>
      </c>
      <c r="N84" s="8">
        <f>SUMIF('DAILY FIESTA'!$B$10:$B$115,$A84,'DAILY FIESTA'!S$10:S$115)</f>
        <v>0</v>
      </c>
      <c r="O84" s="8">
        <f>SUMIF('DAILY FIESTA'!$B$10:$B$115,$A84,'DAILY FIESTA'!T$10:T$115)</f>
        <v>0</v>
      </c>
      <c r="P84" s="8">
        <f>SUMIF('DAILY FIESTA'!$B$10:$B$115,$A84,'DAILY FIESTA'!U$10:U$115)</f>
        <v>0</v>
      </c>
      <c r="Q84" s="8">
        <f>SUMIF('DAILY FIESTA'!$B$10:$B$115,$A84,'DAILY FIESTA'!V$10:V$115)</f>
        <v>0</v>
      </c>
      <c r="R84" s="8">
        <f>SUMIF('DAILY FIESTA'!$B$10:$B$115,$A84,'DAILY FIESTA'!W$10:W$115)</f>
        <v>0</v>
      </c>
      <c r="S84" s="8">
        <f>SUMIF('DAILY FIESTA'!$B$10:$B$115,$A84,'DAILY FIESTA'!X$10:X$115)</f>
        <v>0</v>
      </c>
      <c r="T84" s="8">
        <f>SUMIF('DAILY FIESTA'!$B$10:$B$115,$A84,'DAILY FIESTA'!Y$10:Y$115)</f>
        <v>0</v>
      </c>
      <c r="U84" s="8">
        <f>SUMIF('DAILY FIESTA'!$B$10:$B$115,$A84,'DAILY FIESTA'!Z$10:Z$115)</f>
        <v>0</v>
      </c>
      <c r="V84" s="8">
        <f>SUMIF('DAILY FIESTA'!$B$10:$B$115,$A84,'DAILY FIESTA'!AA$10:AA$115)</f>
        <v>0</v>
      </c>
      <c r="W84" s="59">
        <f t="shared" si="7"/>
        <v>0</v>
      </c>
      <c r="X84" s="60">
        <f t="shared" ca="1" si="8"/>
        <v>0</v>
      </c>
      <c r="Y84" s="47">
        <f t="shared" ca="1" si="9"/>
        <v>0</v>
      </c>
      <c r="Z84" s="88" t="e">
        <f t="shared" ca="1" si="10"/>
        <v>#DIV/0!</v>
      </c>
      <c r="AA84" s="89" t="e">
        <f t="shared" ca="1" si="11"/>
        <v>#DIV/0!</v>
      </c>
      <c r="AB84" s="112"/>
      <c r="AC84" s="48"/>
      <c r="AD84" s="89"/>
    </row>
    <row r="85" spans="1:30" hidden="1">
      <c r="A85" s="7"/>
      <c r="B85" s="8">
        <f ca="1">SUMIF('DAILY FIESTA'!$B$10:$B$115,$A85,'DAILY FIESTA'!$C$10:$C$114)</f>
        <v>0</v>
      </c>
      <c r="C85" s="8">
        <f>SUMIF('DAILY FIESTA'!$B$10:$B$115,$A85,'DAILY FIESTA'!H$10:H$115)</f>
        <v>0</v>
      </c>
      <c r="D85" s="8">
        <f>SUMIF('DAILY FIESTA'!$B$10:$B$115,$A85,'DAILY FIESTA'!I$10:I$115)</f>
        <v>0</v>
      </c>
      <c r="E85" s="8">
        <f>SUMIF('DAILY FIESTA'!$B$10:$B$115,$A85,'DAILY FIESTA'!J$10:J$115)</f>
        <v>0</v>
      </c>
      <c r="F85" s="8">
        <f>SUMIF('DAILY FIESTA'!$B$10:$B$115,$A85,'DAILY FIESTA'!K$10:K$115)</f>
        <v>0</v>
      </c>
      <c r="G85" s="8">
        <f>SUMIF('DAILY FIESTA'!$B$10:$B$115,$A85,'DAILY FIESTA'!L$10:L$115)</f>
        <v>0</v>
      </c>
      <c r="H85" s="8">
        <f>SUMIF('DAILY FIESTA'!$B$10:$B$115,$A85,'DAILY FIESTA'!M$10:M$115)</f>
        <v>0</v>
      </c>
      <c r="I85" s="8">
        <f>SUMIF('DAILY FIESTA'!$B$10:$B$115,$A85,'DAILY FIESTA'!N$10:N$115)</f>
        <v>0</v>
      </c>
      <c r="J85" s="8">
        <f>SUMIF('DAILY FIESTA'!$B$10:$B$115,$A85,'DAILY FIESTA'!O$10:O$115)</f>
        <v>0</v>
      </c>
      <c r="K85" s="8">
        <f>SUMIF('DAILY FIESTA'!$B$10:$B$115,$A85,'DAILY FIESTA'!P$10:P$115)</f>
        <v>0</v>
      </c>
      <c r="L85" s="8">
        <f>SUMIF('DAILY FIESTA'!$B$10:$B$115,$A85,'DAILY FIESTA'!Q$10:Q$115)</f>
        <v>0</v>
      </c>
      <c r="M85" s="8">
        <f>SUMIF('DAILY FIESTA'!$B$10:$B$115,$A85,'DAILY FIESTA'!R$10:R$115)</f>
        <v>0</v>
      </c>
      <c r="N85" s="8">
        <f>SUMIF('DAILY FIESTA'!$B$10:$B$115,$A85,'DAILY FIESTA'!S$10:S$115)</f>
        <v>0</v>
      </c>
      <c r="O85" s="8">
        <f>SUMIF('DAILY FIESTA'!$B$10:$B$115,$A85,'DAILY FIESTA'!T$10:T$115)</f>
        <v>0</v>
      </c>
      <c r="P85" s="8">
        <f>SUMIF('DAILY FIESTA'!$B$10:$B$115,$A85,'DAILY FIESTA'!U$10:U$115)</f>
        <v>0</v>
      </c>
      <c r="Q85" s="8">
        <f>SUMIF('DAILY FIESTA'!$B$10:$B$115,$A85,'DAILY FIESTA'!V$10:V$115)</f>
        <v>0</v>
      </c>
      <c r="R85" s="8">
        <f>SUMIF('DAILY FIESTA'!$B$10:$B$115,$A85,'DAILY FIESTA'!W$10:W$115)</f>
        <v>0</v>
      </c>
      <c r="S85" s="8">
        <f>SUMIF('DAILY FIESTA'!$B$10:$B$115,$A85,'DAILY FIESTA'!X$10:X$115)</f>
        <v>0</v>
      </c>
      <c r="T85" s="8">
        <f>SUMIF('DAILY FIESTA'!$B$10:$B$115,$A85,'DAILY FIESTA'!Y$10:Y$115)</f>
        <v>0</v>
      </c>
      <c r="U85" s="8">
        <f>SUMIF('DAILY FIESTA'!$B$10:$B$115,$A85,'DAILY FIESTA'!Z$10:Z$115)</f>
        <v>0</v>
      </c>
      <c r="V85" s="8">
        <f>SUMIF('DAILY FIESTA'!$B$10:$B$115,$A85,'DAILY FIESTA'!AA$10:AA$115)</f>
        <v>0</v>
      </c>
      <c r="W85" s="59">
        <f t="shared" si="7"/>
        <v>0</v>
      </c>
      <c r="X85" s="60">
        <f t="shared" ca="1" si="8"/>
        <v>0</v>
      </c>
      <c r="Y85" s="47">
        <f t="shared" ca="1" si="9"/>
        <v>0</v>
      </c>
      <c r="Z85" s="88" t="e">
        <f t="shared" ca="1" si="10"/>
        <v>#DIV/0!</v>
      </c>
      <c r="AA85" s="89" t="e">
        <f t="shared" ca="1" si="11"/>
        <v>#DIV/0!</v>
      </c>
      <c r="AB85" s="112"/>
      <c r="AC85" s="48"/>
      <c r="AD85" s="89"/>
    </row>
    <row r="86" spans="1:30" hidden="1">
      <c r="A86" s="7"/>
      <c r="B86" s="8">
        <f ca="1">SUMIF('DAILY FIESTA'!$B$10:$B$115,$A86,'DAILY FIESTA'!$C$10:$C$114)</f>
        <v>0</v>
      </c>
      <c r="C86" s="8">
        <f>SUMIF('DAILY FIESTA'!$B$10:$B$115,$A86,'DAILY FIESTA'!H$10:H$115)</f>
        <v>0</v>
      </c>
      <c r="D86" s="8">
        <f>SUMIF('DAILY FIESTA'!$B$10:$B$115,$A86,'DAILY FIESTA'!I$10:I$115)</f>
        <v>0</v>
      </c>
      <c r="E86" s="8">
        <f>SUMIF('DAILY FIESTA'!$B$10:$B$115,$A86,'DAILY FIESTA'!J$10:J$115)</f>
        <v>0</v>
      </c>
      <c r="F86" s="8">
        <f>SUMIF('DAILY FIESTA'!$B$10:$B$115,$A86,'DAILY FIESTA'!K$10:K$115)</f>
        <v>0</v>
      </c>
      <c r="G86" s="8">
        <f>SUMIF('DAILY FIESTA'!$B$10:$B$115,$A86,'DAILY FIESTA'!L$10:L$115)</f>
        <v>0</v>
      </c>
      <c r="H86" s="8">
        <f>SUMIF('DAILY FIESTA'!$B$10:$B$115,$A86,'DAILY FIESTA'!M$10:M$115)</f>
        <v>0</v>
      </c>
      <c r="I86" s="8">
        <f>SUMIF('DAILY FIESTA'!$B$10:$B$115,$A86,'DAILY FIESTA'!N$10:N$115)</f>
        <v>0</v>
      </c>
      <c r="J86" s="8">
        <f>SUMIF('DAILY FIESTA'!$B$10:$B$115,$A86,'DAILY FIESTA'!O$10:O$115)</f>
        <v>0</v>
      </c>
      <c r="K86" s="8">
        <f>SUMIF('DAILY FIESTA'!$B$10:$B$115,$A86,'DAILY FIESTA'!P$10:P$115)</f>
        <v>0</v>
      </c>
      <c r="L86" s="8">
        <f>SUMIF('DAILY FIESTA'!$B$10:$B$115,$A86,'DAILY FIESTA'!Q$10:Q$115)</f>
        <v>0</v>
      </c>
      <c r="M86" s="8">
        <f>SUMIF('DAILY FIESTA'!$B$10:$B$115,$A86,'DAILY FIESTA'!R$10:R$115)</f>
        <v>0</v>
      </c>
      <c r="N86" s="8">
        <f>SUMIF('DAILY FIESTA'!$B$10:$B$115,$A86,'DAILY FIESTA'!S$10:S$115)</f>
        <v>0</v>
      </c>
      <c r="O86" s="8">
        <f>SUMIF('DAILY FIESTA'!$B$10:$B$115,$A86,'DAILY FIESTA'!T$10:T$115)</f>
        <v>0</v>
      </c>
      <c r="P86" s="8">
        <f>SUMIF('DAILY FIESTA'!$B$10:$B$115,$A86,'DAILY FIESTA'!U$10:U$115)</f>
        <v>0</v>
      </c>
      <c r="Q86" s="8">
        <f>SUMIF('DAILY FIESTA'!$B$10:$B$115,$A86,'DAILY FIESTA'!V$10:V$115)</f>
        <v>0</v>
      </c>
      <c r="R86" s="8">
        <f>SUMIF('DAILY FIESTA'!$B$10:$B$115,$A86,'DAILY FIESTA'!W$10:W$115)</f>
        <v>0</v>
      </c>
      <c r="S86" s="8">
        <f>SUMIF('DAILY FIESTA'!$B$10:$B$115,$A86,'DAILY FIESTA'!X$10:X$115)</f>
        <v>0</v>
      </c>
      <c r="T86" s="8">
        <f>SUMIF('DAILY FIESTA'!$B$10:$B$115,$A86,'DAILY FIESTA'!Y$10:Y$115)</f>
        <v>0</v>
      </c>
      <c r="U86" s="8">
        <f>SUMIF('DAILY FIESTA'!$B$10:$B$115,$A86,'DAILY FIESTA'!Z$10:Z$115)</f>
        <v>0</v>
      </c>
      <c r="V86" s="8">
        <f>SUMIF('DAILY FIESTA'!$B$10:$B$115,$A86,'DAILY FIESTA'!AA$10:AA$115)</f>
        <v>0</v>
      </c>
      <c r="W86" s="59">
        <f t="shared" si="7"/>
        <v>0</v>
      </c>
      <c r="X86" s="60">
        <f t="shared" ca="1" si="8"/>
        <v>0</v>
      </c>
      <c r="Y86" s="47">
        <f t="shared" ca="1" si="9"/>
        <v>0</v>
      </c>
      <c r="Z86" s="88" t="e">
        <f t="shared" ca="1" si="10"/>
        <v>#DIV/0!</v>
      </c>
      <c r="AA86" s="89" t="e">
        <f t="shared" ca="1" si="11"/>
        <v>#DIV/0!</v>
      </c>
      <c r="AB86" s="112"/>
      <c r="AC86" s="48"/>
      <c r="AD86" s="89"/>
    </row>
    <row r="87" spans="1:30" hidden="1">
      <c r="A87" s="7"/>
      <c r="B87" s="8">
        <f ca="1">SUMIF('DAILY FIESTA'!$B$10:$B$115,$A87,'DAILY FIESTA'!$C$10:$C$114)</f>
        <v>0</v>
      </c>
      <c r="C87" s="8">
        <f>SUMIF('DAILY FIESTA'!$B$10:$B$115,$A87,'DAILY FIESTA'!H$10:H$115)</f>
        <v>0</v>
      </c>
      <c r="D87" s="8">
        <f>SUMIF('DAILY FIESTA'!$B$10:$B$115,$A87,'DAILY FIESTA'!I$10:I$115)</f>
        <v>0</v>
      </c>
      <c r="E87" s="8">
        <f>SUMIF('DAILY FIESTA'!$B$10:$B$115,$A87,'DAILY FIESTA'!J$10:J$115)</f>
        <v>0</v>
      </c>
      <c r="F87" s="8">
        <f>SUMIF('DAILY FIESTA'!$B$10:$B$115,$A87,'DAILY FIESTA'!K$10:K$115)</f>
        <v>0</v>
      </c>
      <c r="G87" s="8">
        <f>SUMIF('DAILY FIESTA'!$B$10:$B$115,$A87,'DAILY FIESTA'!L$10:L$115)</f>
        <v>0</v>
      </c>
      <c r="H87" s="8">
        <f>SUMIF('DAILY FIESTA'!$B$10:$B$115,$A87,'DAILY FIESTA'!M$10:M$115)</f>
        <v>0</v>
      </c>
      <c r="I87" s="8">
        <f>SUMIF('DAILY FIESTA'!$B$10:$B$115,$A87,'DAILY FIESTA'!N$10:N$115)</f>
        <v>0</v>
      </c>
      <c r="J87" s="8">
        <f>SUMIF('DAILY FIESTA'!$B$10:$B$115,$A87,'DAILY FIESTA'!O$10:O$115)</f>
        <v>0</v>
      </c>
      <c r="K87" s="8">
        <f>SUMIF('DAILY FIESTA'!$B$10:$B$115,$A87,'DAILY FIESTA'!P$10:P$115)</f>
        <v>0</v>
      </c>
      <c r="L87" s="8">
        <f>SUMIF('DAILY FIESTA'!$B$10:$B$115,$A87,'DAILY FIESTA'!Q$10:Q$115)</f>
        <v>0</v>
      </c>
      <c r="M87" s="8">
        <f>SUMIF('DAILY FIESTA'!$B$10:$B$115,$A87,'DAILY FIESTA'!R$10:R$115)</f>
        <v>0</v>
      </c>
      <c r="N87" s="8">
        <f>SUMIF('DAILY FIESTA'!$B$10:$B$115,$A87,'DAILY FIESTA'!S$10:S$115)</f>
        <v>0</v>
      </c>
      <c r="O87" s="8">
        <f>SUMIF('DAILY FIESTA'!$B$10:$B$115,$A87,'DAILY FIESTA'!T$10:T$115)</f>
        <v>0</v>
      </c>
      <c r="P87" s="8">
        <f>SUMIF('DAILY FIESTA'!$B$10:$B$115,$A87,'DAILY FIESTA'!U$10:U$115)</f>
        <v>0</v>
      </c>
      <c r="Q87" s="8">
        <f>SUMIF('DAILY FIESTA'!$B$10:$B$115,$A87,'DAILY FIESTA'!V$10:V$115)</f>
        <v>0</v>
      </c>
      <c r="R87" s="8">
        <f>SUMIF('DAILY FIESTA'!$B$10:$B$115,$A87,'DAILY FIESTA'!W$10:W$115)</f>
        <v>0</v>
      </c>
      <c r="S87" s="8">
        <f>SUMIF('DAILY FIESTA'!$B$10:$B$115,$A87,'DAILY FIESTA'!X$10:X$115)</f>
        <v>0</v>
      </c>
      <c r="T87" s="8">
        <f>SUMIF('DAILY FIESTA'!$B$10:$B$115,$A87,'DAILY FIESTA'!Y$10:Y$115)</f>
        <v>0</v>
      </c>
      <c r="U87" s="8">
        <f>SUMIF('DAILY FIESTA'!$B$10:$B$115,$A87,'DAILY FIESTA'!Z$10:Z$115)</f>
        <v>0</v>
      </c>
      <c r="V87" s="8">
        <f>SUMIF('DAILY FIESTA'!$B$10:$B$115,$A87,'DAILY FIESTA'!AA$10:AA$115)</f>
        <v>0</v>
      </c>
      <c r="W87" s="59">
        <f t="shared" si="7"/>
        <v>0</v>
      </c>
      <c r="X87" s="60">
        <f t="shared" ca="1" si="8"/>
        <v>0</v>
      </c>
      <c r="Y87" s="47">
        <f t="shared" ca="1" si="9"/>
        <v>0</v>
      </c>
      <c r="Z87" s="88" t="e">
        <f t="shared" ca="1" si="10"/>
        <v>#DIV/0!</v>
      </c>
      <c r="AA87" s="89" t="e">
        <f t="shared" ca="1" si="11"/>
        <v>#DIV/0!</v>
      </c>
      <c r="AB87" s="112"/>
      <c r="AC87" s="48"/>
      <c r="AD87" s="89"/>
    </row>
    <row r="88" spans="1:30" hidden="1">
      <c r="A88" s="7"/>
      <c r="B88" s="8">
        <f ca="1">SUMIF('DAILY FIESTA'!$B$10:$B$115,$A88,'DAILY FIESTA'!$C$10:$C$114)</f>
        <v>0</v>
      </c>
      <c r="C88" s="8">
        <f>SUMIF('DAILY FIESTA'!$B$10:$B$115,$A88,'DAILY FIESTA'!H$10:H$115)</f>
        <v>0</v>
      </c>
      <c r="D88" s="8">
        <f>SUMIF('DAILY FIESTA'!$B$10:$B$115,$A88,'DAILY FIESTA'!I$10:I$115)</f>
        <v>0</v>
      </c>
      <c r="E88" s="8">
        <f>SUMIF('DAILY FIESTA'!$B$10:$B$115,$A88,'DAILY FIESTA'!J$10:J$115)</f>
        <v>0</v>
      </c>
      <c r="F88" s="8">
        <f>SUMIF('DAILY FIESTA'!$B$10:$B$115,$A88,'DAILY FIESTA'!K$10:K$115)</f>
        <v>0</v>
      </c>
      <c r="G88" s="8">
        <f>SUMIF('DAILY FIESTA'!$B$10:$B$115,$A88,'DAILY FIESTA'!L$10:L$115)</f>
        <v>0</v>
      </c>
      <c r="H88" s="8">
        <f>SUMIF('DAILY FIESTA'!$B$10:$B$115,$A88,'DAILY FIESTA'!M$10:M$115)</f>
        <v>0</v>
      </c>
      <c r="I88" s="8">
        <f>SUMIF('DAILY FIESTA'!$B$10:$B$115,$A88,'DAILY FIESTA'!N$10:N$115)</f>
        <v>0</v>
      </c>
      <c r="J88" s="8">
        <f>SUMIF('DAILY FIESTA'!$B$10:$B$115,$A88,'DAILY FIESTA'!O$10:O$115)</f>
        <v>0</v>
      </c>
      <c r="K88" s="8">
        <f>SUMIF('DAILY FIESTA'!$B$10:$B$115,$A88,'DAILY FIESTA'!P$10:P$115)</f>
        <v>0</v>
      </c>
      <c r="L88" s="8">
        <f>SUMIF('DAILY FIESTA'!$B$10:$B$115,$A88,'DAILY FIESTA'!Q$10:Q$115)</f>
        <v>0</v>
      </c>
      <c r="M88" s="8">
        <f>SUMIF('DAILY FIESTA'!$B$10:$B$115,$A88,'DAILY FIESTA'!R$10:R$115)</f>
        <v>0</v>
      </c>
      <c r="N88" s="8">
        <f>SUMIF('DAILY FIESTA'!$B$10:$B$115,$A88,'DAILY FIESTA'!S$10:S$115)</f>
        <v>0</v>
      </c>
      <c r="O88" s="8">
        <f>SUMIF('DAILY FIESTA'!$B$10:$B$115,$A88,'DAILY FIESTA'!T$10:T$115)</f>
        <v>0</v>
      </c>
      <c r="P88" s="8">
        <f>SUMIF('DAILY FIESTA'!$B$10:$B$115,$A88,'DAILY FIESTA'!U$10:U$115)</f>
        <v>0</v>
      </c>
      <c r="Q88" s="8">
        <f>SUMIF('DAILY FIESTA'!$B$10:$B$115,$A88,'DAILY FIESTA'!V$10:V$115)</f>
        <v>0</v>
      </c>
      <c r="R88" s="8">
        <f>SUMIF('DAILY FIESTA'!$B$10:$B$115,$A88,'DAILY FIESTA'!W$10:W$115)</f>
        <v>0</v>
      </c>
      <c r="S88" s="8">
        <f>SUMIF('DAILY FIESTA'!$B$10:$B$115,$A88,'DAILY FIESTA'!X$10:X$115)</f>
        <v>0</v>
      </c>
      <c r="T88" s="8">
        <f>SUMIF('DAILY FIESTA'!$B$10:$B$115,$A88,'DAILY FIESTA'!Y$10:Y$115)</f>
        <v>0</v>
      </c>
      <c r="U88" s="8">
        <f>SUMIF('DAILY FIESTA'!$B$10:$B$115,$A88,'DAILY FIESTA'!Z$10:Z$115)</f>
        <v>0</v>
      </c>
      <c r="V88" s="8">
        <f>SUMIF('DAILY FIESTA'!$B$10:$B$115,$A88,'DAILY FIESTA'!AA$10:AA$115)</f>
        <v>0</v>
      </c>
      <c r="W88" s="59">
        <f t="shared" si="7"/>
        <v>0</v>
      </c>
      <c r="X88" s="60">
        <f t="shared" ca="1" si="8"/>
        <v>0</v>
      </c>
      <c r="Y88" s="47">
        <f t="shared" ca="1" si="9"/>
        <v>0</v>
      </c>
      <c r="Z88" s="88" t="e">
        <f t="shared" ca="1" si="10"/>
        <v>#DIV/0!</v>
      </c>
      <c r="AA88" s="89" t="e">
        <f t="shared" ca="1" si="11"/>
        <v>#DIV/0!</v>
      </c>
      <c r="AB88" s="112"/>
      <c r="AC88" s="48"/>
      <c r="AD88" s="89"/>
    </row>
    <row r="89" spans="1:30" hidden="1">
      <c r="A89" s="7"/>
      <c r="B89" s="8">
        <f ca="1">SUMIF('DAILY FIESTA'!$B$10:$B$115,$A89,'DAILY FIESTA'!$C$10:$C$114)</f>
        <v>0</v>
      </c>
      <c r="C89" s="8">
        <f>SUMIF('DAILY FIESTA'!$B$10:$B$115,$A89,'DAILY FIESTA'!H$10:H$115)</f>
        <v>0</v>
      </c>
      <c r="D89" s="8">
        <f>SUMIF('DAILY FIESTA'!$B$10:$B$115,$A89,'DAILY FIESTA'!I$10:I$115)</f>
        <v>0</v>
      </c>
      <c r="E89" s="8">
        <f>SUMIF('DAILY FIESTA'!$B$10:$B$115,$A89,'DAILY FIESTA'!J$10:J$115)</f>
        <v>0</v>
      </c>
      <c r="F89" s="8">
        <f>SUMIF('DAILY FIESTA'!$B$10:$B$115,$A89,'DAILY FIESTA'!K$10:K$115)</f>
        <v>0</v>
      </c>
      <c r="G89" s="8">
        <f>SUMIF('DAILY FIESTA'!$B$10:$B$115,$A89,'DAILY FIESTA'!L$10:L$115)</f>
        <v>0</v>
      </c>
      <c r="H89" s="8">
        <f>SUMIF('DAILY FIESTA'!$B$10:$B$115,$A89,'DAILY FIESTA'!M$10:M$115)</f>
        <v>0</v>
      </c>
      <c r="I89" s="8">
        <f>SUMIF('DAILY FIESTA'!$B$10:$B$115,$A89,'DAILY FIESTA'!N$10:N$115)</f>
        <v>0</v>
      </c>
      <c r="J89" s="8">
        <f>SUMIF('DAILY FIESTA'!$B$10:$B$115,$A89,'DAILY FIESTA'!O$10:O$115)</f>
        <v>0</v>
      </c>
      <c r="K89" s="8">
        <f>SUMIF('DAILY FIESTA'!$B$10:$B$115,$A89,'DAILY FIESTA'!P$10:P$115)</f>
        <v>0</v>
      </c>
      <c r="L89" s="8">
        <f>SUMIF('DAILY FIESTA'!$B$10:$B$115,$A89,'DAILY FIESTA'!Q$10:Q$115)</f>
        <v>0</v>
      </c>
      <c r="M89" s="8">
        <f>SUMIF('DAILY FIESTA'!$B$10:$B$115,$A89,'DAILY FIESTA'!R$10:R$115)</f>
        <v>0</v>
      </c>
      <c r="N89" s="8">
        <f>SUMIF('DAILY FIESTA'!$B$10:$B$115,$A89,'DAILY FIESTA'!S$10:S$115)</f>
        <v>0</v>
      </c>
      <c r="O89" s="8">
        <f>SUMIF('DAILY FIESTA'!$B$10:$B$115,$A89,'DAILY FIESTA'!T$10:T$115)</f>
        <v>0</v>
      </c>
      <c r="P89" s="8">
        <f>SUMIF('DAILY FIESTA'!$B$10:$B$115,$A89,'DAILY FIESTA'!U$10:U$115)</f>
        <v>0</v>
      </c>
      <c r="Q89" s="8">
        <f>SUMIF('DAILY FIESTA'!$B$10:$B$115,$A89,'DAILY FIESTA'!V$10:V$115)</f>
        <v>0</v>
      </c>
      <c r="R89" s="8">
        <f>SUMIF('DAILY FIESTA'!$B$10:$B$115,$A89,'DAILY FIESTA'!W$10:W$115)</f>
        <v>0</v>
      </c>
      <c r="S89" s="8">
        <f>SUMIF('DAILY FIESTA'!$B$10:$B$115,$A89,'DAILY FIESTA'!X$10:X$115)</f>
        <v>0</v>
      </c>
      <c r="T89" s="8">
        <f>SUMIF('DAILY FIESTA'!$B$10:$B$115,$A89,'DAILY FIESTA'!Y$10:Y$115)</f>
        <v>0</v>
      </c>
      <c r="U89" s="8">
        <f>SUMIF('DAILY FIESTA'!$B$10:$B$115,$A89,'DAILY FIESTA'!Z$10:Z$115)</f>
        <v>0</v>
      </c>
      <c r="V89" s="8">
        <f>SUMIF('DAILY FIESTA'!$B$10:$B$115,$A89,'DAILY FIESTA'!AA$10:AA$115)</f>
        <v>0</v>
      </c>
      <c r="W89" s="59">
        <f t="shared" si="7"/>
        <v>0</v>
      </c>
      <c r="X89" s="60">
        <f t="shared" ca="1" si="8"/>
        <v>0</v>
      </c>
      <c r="Y89" s="47">
        <f t="shared" ca="1" si="9"/>
        <v>0</v>
      </c>
      <c r="Z89" s="88" t="e">
        <f t="shared" ca="1" si="10"/>
        <v>#DIV/0!</v>
      </c>
      <c r="AA89" s="89" t="e">
        <f t="shared" ca="1" si="11"/>
        <v>#DIV/0!</v>
      </c>
      <c r="AB89" s="112"/>
      <c r="AC89" s="48"/>
      <c r="AD89" s="89"/>
    </row>
    <row r="90" spans="1:30" hidden="1">
      <c r="A90" s="7"/>
      <c r="B90" s="8">
        <f ca="1">SUMIF('DAILY FIESTA'!$B$10:$B$115,$A90,'DAILY FIESTA'!$C$10:$C$114)</f>
        <v>0</v>
      </c>
      <c r="C90" s="8">
        <f>SUMIF('DAILY FIESTA'!$B$10:$B$115,$A90,'DAILY FIESTA'!H$10:H$115)</f>
        <v>0</v>
      </c>
      <c r="D90" s="8">
        <f>SUMIF('DAILY FIESTA'!$B$10:$B$115,$A90,'DAILY FIESTA'!I$10:I$115)</f>
        <v>0</v>
      </c>
      <c r="E90" s="8">
        <f>SUMIF('DAILY FIESTA'!$B$10:$B$115,$A90,'DAILY FIESTA'!J$10:J$115)</f>
        <v>0</v>
      </c>
      <c r="F90" s="8">
        <f>SUMIF('DAILY FIESTA'!$B$10:$B$115,$A90,'DAILY FIESTA'!K$10:K$115)</f>
        <v>0</v>
      </c>
      <c r="G90" s="8">
        <f>SUMIF('DAILY FIESTA'!$B$10:$B$115,$A90,'DAILY FIESTA'!L$10:L$115)</f>
        <v>0</v>
      </c>
      <c r="H90" s="8">
        <f>SUMIF('DAILY FIESTA'!$B$10:$B$115,$A90,'DAILY FIESTA'!M$10:M$115)</f>
        <v>0</v>
      </c>
      <c r="I90" s="8">
        <f>SUMIF('DAILY FIESTA'!$B$10:$B$115,$A90,'DAILY FIESTA'!N$10:N$115)</f>
        <v>0</v>
      </c>
      <c r="J90" s="8">
        <f>SUMIF('DAILY FIESTA'!$B$10:$B$115,$A90,'DAILY FIESTA'!O$10:O$115)</f>
        <v>0</v>
      </c>
      <c r="K90" s="8">
        <f>SUMIF('DAILY FIESTA'!$B$10:$B$115,$A90,'DAILY FIESTA'!P$10:P$115)</f>
        <v>0</v>
      </c>
      <c r="L90" s="8">
        <f>SUMIF('DAILY FIESTA'!$B$10:$B$115,$A90,'DAILY FIESTA'!Q$10:Q$115)</f>
        <v>0</v>
      </c>
      <c r="M90" s="8">
        <f>SUMIF('DAILY FIESTA'!$B$10:$B$115,$A90,'DAILY FIESTA'!R$10:R$115)</f>
        <v>0</v>
      </c>
      <c r="N90" s="8">
        <f>SUMIF('DAILY FIESTA'!$B$10:$B$115,$A90,'DAILY FIESTA'!S$10:S$115)</f>
        <v>0</v>
      </c>
      <c r="O90" s="8">
        <f>SUMIF('DAILY FIESTA'!$B$10:$B$115,$A90,'DAILY FIESTA'!T$10:T$115)</f>
        <v>0</v>
      </c>
      <c r="P90" s="8">
        <f>SUMIF('DAILY FIESTA'!$B$10:$B$115,$A90,'DAILY FIESTA'!U$10:U$115)</f>
        <v>0</v>
      </c>
      <c r="Q90" s="8">
        <f>SUMIF('DAILY FIESTA'!$B$10:$B$115,$A90,'DAILY FIESTA'!V$10:V$115)</f>
        <v>0</v>
      </c>
      <c r="R90" s="8">
        <f>SUMIF('DAILY FIESTA'!$B$10:$B$115,$A90,'DAILY FIESTA'!W$10:W$115)</f>
        <v>0</v>
      </c>
      <c r="S90" s="8">
        <f>SUMIF('DAILY FIESTA'!$B$10:$B$115,$A90,'DAILY FIESTA'!X$10:X$115)</f>
        <v>0</v>
      </c>
      <c r="T90" s="8">
        <f>SUMIF('DAILY FIESTA'!$B$10:$B$115,$A90,'DAILY FIESTA'!Y$10:Y$115)</f>
        <v>0</v>
      </c>
      <c r="U90" s="8">
        <f>SUMIF('DAILY FIESTA'!$B$10:$B$115,$A90,'DAILY FIESTA'!Z$10:Z$115)</f>
        <v>0</v>
      </c>
      <c r="V90" s="8">
        <f>SUMIF('DAILY FIESTA'!$B$10:$B$115,$A90,'DAILY FIESTA'!AA$10:AA$115)</f>
        <v>0</v>
      </c>
      <c r="W90" s="59">
        <f t="shared" si="7"/>
        <v>0</v>
      </c>
      <c r="X90" s="60">
        <f t="shared" ca="1" si="8"/>
        <v>0</v>
      </c>
      <c r="Y90" s="47">
        <f t="shared" ca="1" si="9"/>
        <v>0</v>
      </c>
      <c r="Z90" s="88" t="e">
        <f t="shared" ca="1" si="10"/>
        <v>#DIV/0!</v>
      </c>
      <c r="AA90" s="89" t="e">
        <f t="shared" ca="1" si="11"/>
        <v>#DIV/0!</v>
      </c>
      <c r="AB90" s="112"/>
      <c r="AC90" s="48"/>
      <c r="AD90" s="89"/>
    </row>
    <row r="91" spans="1:30" hidden="1">
      <c r="A91" s="7"/>
      <c r="B91" s="8">
        <f ca="1">SUMIF('DAILY FIESTA'!$B$10:$B$115,$A91,'DAILY FIESTA'!$C$10:$C$114)</f>
        <v>0</v>
      </c>
      <c r="C91" s="8">
        <f>SUMIF('DAILY FIESTA'!$B$10:$B$115,$A91,'DAILY FIESTA'!H$10:H$115)</f>
        <v>0</v>
      </c>
      <c r="D91" s="8">
        <f>SUMIF('DAILY FIESTA'!$B$10:$B$115,$A91,'DAILY FIESTA'!I$10:I$115)</f>
        <v>0</v>
      </c>
      <c r="E91" s="8">
        <f>SUMIF('DAILY FIESTA'!$B$10:$B$115,$A91,'DAILY FIESTA'!J$10:J$115)</f>
        <v>0</v>
      </c>
      <c r="F91" s="8">
        <f>SUMIF('DAILY FIESTA'!$B$10:$B$115,$A91,'DAILY FIESTA'!K$10:K$115)</f>
        <v>0</v>
      </c>
      <c r="G91" s="8">
        <f>SUMIF('DAILY FIESTA'!$B$10:$B$115,$A91,'DAILY FIESTA'!L$10:L$115)</f>
        <v>0</v>
      </c>
      <c r="H91" s="8">
        <f>SUMIF('DAILY FIESTA'!$B$10:$B$115,$A91,'DAILY FIESTA'!M$10:M$115)</f>
        <v>0</v>
      </c>
      <c r="I91" s="8">
        <f>SUMIF('DAILY FIESTA'!$B$10:$B$115,$A91,'DAILY FIESTA'!N$10:N$115)</f>
        <v>0</v>
      </c>
      <c r="J91" s="8">
        <f>SUMIF('DAILY FIESTA'!$B$10:$B$115,$A91,'DAILY FIESTA'!O$10:O$115)</f>
        <v>0</v>
      </c>
      <c r="K91" s="8">
        <f>SUMIF('DAILY FIESTA'!$B$10:$B$115,$A91,'DAILY FIESTA'!P$10:P$115)</f>
        <v>0</v>
      </c>
      <c r="L91" s="8">
        <f>SUMIF('DAILY FIESTA'!$B$10:$B$115,$A91,'DAILY FIESTA'!Q$10:Q$115)</f>
        <v>0</v>
      </c>
      <c r="M91" s="8">
        <f>SUMIF('DAILY FIESTA'!$B$10:$B$115,$A91,'DAILY FIESTA'!R$10:R$115)</f>
        <v>0</v>
      </c>
      <c r="N91" s="8">
        <f>SUMIF('DAILY FIESTA'!$B$10:$B$115,$A91,'DAILY FIESTA'!S$10:S$115)</f>
        <v>0</v>
      </c>
      <c r="O91" s="8">
        <f>SUMIF('DAILY FIESTA'!$B$10:$B$115,$A91,'DAILY FIESTA'!T$10:T$115)</f>
        <v>0</v>
      </c>
      <c r="P91" s="8">
        <f>SUMIF('DAILY FIESTA'!$B$10:$B$115,$A91,'DAILY FIESTA'!U$10:U$115)</f>
        <v>0</v>
      </c>
      <c r="Q91" s="8">
        <f>SUMIF('DAILY FIESTA'!$B$10:$B$115,$A91,'DAILY FIESTA'!V$10:V$115)</f>
        <v>0</v>
      </c>
      <c r="R91" s="8">
        <f>SUMIF('DAILY FIESTA'!$B$10:$B$115,$A91,'DAILY FIESTA'!W$10:W$115)</f>
        <v>0</v>
      </c>
      <c r="S91" s="8">
        <f>SUMIF('DAILY FIESTA'!$B$10:$B$115,$A91,'DAILY FIESTA'!X$10:X$115)</f>
        <v>0</v>
      </c>
      <c r="T91" s="8">
        <f>SUMIF('DAILY FIESTA'!$B$10:$B$115,$A91,'DAILY FIESTA'!Y$10:Y$115)</f>
        <v>0</v>
      </c>
      <c r="U91" s="8">
        <f>SUMIF('DAILY FIESTA'!$B$10:$B$115,$A91,'DAILY FIESTA'!Z$10:Z$115)</f>
        <v>0</v>
      </c>
      <c r="V91" s="8">
        <f>SUMIF('DAILY FIESTA'!$B$10:$B$115,$A91,'DAILY FIESTA'!AA$10:AA$115)</f>
        <v>0</v>
      </c>
      <c r="W91" s="59">
        <f t="shared" si="7"/>
        <v>0</v>
      </c>
      <c r="X91" s="60">
        <f t="shared" ca="1" si="8"/>
        <v>0</v>
      </c>
      <c r="Y91" s="47">
        <f t="shared" ca="1" si="9"/>
        <v>0</v>
      </c>
      <c r="Z91" s="88" t="e">
        <f t="shared" ca="1" si="10"/>
        <v>#DIV/0!</v>
      </c>
      <c r="AA91" s="89" t="e">
        <f t="shared" ca="1" si="11"/>
        <v>#DIV/0!</v>
      </c>
      <c r="AB91" s="112"/>
      <c r="AC91" s="48"/>
      <c r="AD91" s="89"/>
    </row>
    <row r="92" spans="1:30" hidden="1">
      <c r="A92" s="7"/>
      <c r="B92" s="8">
        <f ca="1">SUMIF('DAILY FIESTA'!$B$10:$B$115,$A92,'DAILY FIESTA'!$C$10:$C$114)</f>
        <v>0</v>
      </c>
      <c r="C92" s="8">
        <f>SUMIF('DAILY FIESTA'!$B$10:$B$115,$A92,'DAILY FIESTA'!H$10:H$115)</f>
        <v>0</v>
      </c>
      <c r="D92" s="8">
        <f>SUMIF('DAILY FIESTA'!$B$10:$B$115,$A92,'DAILY FIESTA'!I$10:I$115)</f>
        <v>0</v>
      </c>
      <c r="E92" s="8">
        <f>SUMIF('DAILY FIESTA'!$B$10:$B$115,$A92,'DAILY FIESTA'!J$10:J$115)</f>
        <v>0</v>
      </c>
      <c r="F92" s="8">
        <f>SUMIF('DAILY FIESTA'!$B$10:$B$115,$A92,'DAILY FIESTA'!K$10:K$115)</f>
        <v>0</v>
      </c>
      <c r="G92" s="8">
        <f>SUMIF('DAILY FIESTA'!$B$10:$B$115,$A92,'DAILY FIESTA'!L$10:L$115)</f>
        <v>0</v>
      </c>
      <c r="H92" s="8">
        <f>SUMIF('DAILY FIESTA'!$B$10:$B$115,$A92,'DAILY FIESTA'!M$10:M$115)</f>
        <v>0</v>
      </c>
      <c r="I92" s="8">
        <f>SUMIF('DAILY FIESTA'!$B$10:$B$115,$A92,'DAILY FIESTA'!N$10:N$115)</f>
        <v>0</v>
      </c>
      <c r="J92" s="8">
        <f>SUMIF('DAILY FIESTA'!$B$10:$B$115,$A92,'DAILY FIESTA'!O$10:O$115)</f>
        <v>0</v>
      </c>
      <c r="K92" s="8">
        <f>SUMIF('DAILY FIESTA'!$B$10:$B$115,$A92,'DAILY FIESTA'!P$10:P$115)</f>
        <v>0</v>
      </c>
      <c r="L92" s="8">
        <f>SUMIF('DAILY FIESTA'!$B$10:$B$115,$A92,'DAILY FIESTA'!Q$10:Q$115)</f>
        <v>0</v>
      </c>
      <c r="M92" s="8">
        <f>SUMIF('DAILY FIESTA'!$B$10:$B$115,$A92,'DAILY FIESTA'!R$10:R$115)</f>
        <v>0</v>
      </c>
      <c r="N92" s="8">
        <f>SUMIF('DAILY FIESTA'!$B$10:$B$115,$A92,'DAILY FIESTA'!S$10:S$115)</f>
        <v>0</v>
      </c>
      <c r="O92" s="8">
        <f>SUMIF('DAILY FIESTA'!$B$10:$B$115,$A92,'DAILY FIESTA'!T$10:T$115)</f>
        <v>0</v>
      </c>
      <c r="P92" s="8">
        <f>SUMIF('DAILY FIESTA'!$B$10:$B$115,$A92,'DAILY FIESTA'!U$10:U$115)</f>
        <v>0</v>
      </c>
      <c r="Q92" s="8">
        <f>SUMIF('DAILY FIESTA'!$B$10:$B$115,$A92,'DAILY FIESTA'!V$10:V$115)</f>
        <v>0</v>
      </c>
      <c r="R92" s="8">
        <f>SUMIF('DAILY FIESTA'!$B$10:$B$115,$A92,'DAILY FIESTA'!W$10:W$115)</f>
        <v>0</v>
      </c>
      <c r="S92" s="8">
        <f>SUMIF('DAILY FIESTA'!$B$10:$B$115,$A92,'DAILY FIESTA'!X$10:X$115)</f>
        <v>0</v>
      </c>
      <c r="T92" s="8">
        <f>SUMIF('DAILY FIESTA'!$B$10:$B$115,$A92,'DAILY FIESTA'!Y$10:Y$115)</f>
        <v>0</v>
      </c>
      <c r="U92" s="8">
        <f>SUMIF('DAILY FIESTA'!$B$10:$B$115,$A92,'DAILY FIESTA'!Z$10:Z$115)</f>
        <v>0</v>
      </c>
      <c r="V92" s="8">
        <f>SUMIF('DAILY FIESTA'!$B$10:$B$115,$A92,'DAILY FIESTA'!AA$10:AA$115)</f>
        <v>0</v>
      </c>
      <c r="W92" s="59">
        <f t="shared" si="7"/>
        <v>0</v>
      </c>
      <c r="X92" s="60">
        <f t="shared" ca="1" si="8"/>
        <v>0</v>
      </c>
      <c r="Y92" s="47">
        <f t="shared" ca="1" si="9"/>
        <v>0</v>
      </c>
      <c r="Z92" s="88" t="e">
        <f t="shared" ca="1" si="10"/>
        <v>#DIV/0!</v>
      </c>
      <c r="AA92" s="89" t="e">
        <f t="shared" ca="1" si="11"/>
        <v>#DIV/0!</v>
      </c>
      <c r="AB92" s="112"/>
      <c r="AC92" s="48"/>
      <c r="AD92" s="89"/>
    </row>
    <row r="93" spans="1:30" hidden="1">
      <c r="A93" s="7"/>
      <c r="B93" s="8">
        <f ca="1">SUMIF('DAILY FIESTA'!$B$10:$B$115,$A93,'DAILY FIESTA'!$C$10:$C$114)</f>
        <v>0</v>
      </c>
      <c r="C93" s="8">
        <f>SUMIF('DAILY FIESTA'!$B$10:$B$115,$A93,'DAILY FIESTA'!H$10:H$115)</f>
        <v>0</v>
      </c>
      <c r="D93" s="8">
        <f>SUMIF('DAILY FIESTA'!$B$10:$B$115,$A93,'DAILY FIESTA'!I$10:I$115)</f>
        <v>0</v>
      </c>
      <c r="E93" s="8">
        <f>SUMIF('DAILY FIESTA'!$B$10:$B$115,$A93,'DAILY FIESTA'!J$10:J$115)</f>
        <v>0</v>
      </c>
      <c r="F93" s="8">
        <f>SUMIF('DAILY FIESTA'!$B$10:$B$115,$A93,'DAILY FIESTA'!K$10:K$115)</f>
        <v>0</v>
      </c>
      <c r="G93" s="8">
        <f>SUMIF('DAILY FIESTA'!$B$10:$B$115,$A93,'DAILY FIESTA'!L$10:L$115)</f>
        <v>0</v>
      </c>
      <c r="H93" s="8">
        <f>SUMIF('DAILY FIESTA'!$B$10:$B$115,$A93,'DAILY FIESTA'!M$10:M$115)</f>
        <v>0</v>
      </c>
      <c r="I93" s="8">
        <f>SUMIF('DAILY FIESTA'!$B$10:$B$115,$A93,'DAILY FIESTA'!N$10:N$115)</f>
        <v>0</v>
      </c>
      <c r="J93" s="8">
        <f>SUMIF('DAILY FIESTA'!$B$10:$B$115,$A93,'DAILY FIESTA'!O$10:O$115)</f>
        <v>0</v>
      </c>
      <c r="K93" s="8">
        <f>SUMIF('DAILY FIESTA'!$B$10:$B$115,$A93,'DAILY FIESTA'!P$10:P$115)</f>
        <v>0</v>
      </c>
      <c r="L93" s="8">
        <f>SUMIF('DAILY FIESTA'!$B$10:$B$115,$A93,'DAILY FIESTA'!Q$10:Q$115)</f>
        <v>0</v>
      </c>
      <c r="M93" s="8">
        <f>SUMIF('DAILY FIESTA'!$B$10:$B$115,$A93,'DAILY FIESTA'!R$10:R$115)</f>
        <v>0</v>
      </c>
      <c r="N93" s="8">
        <f>SUMIF('DAILY FIESTA'!$B$10:$B$115,$A93,'DAILY FIESTA'!S$10:S$115)</f>
        <v>0</v>
      </c>
      <c r="O93" s="8">
        <f>SUMIF('DAILY FIESTA'!$B$10:$B$115,$A93,'DAILY FIESTA'!T$10:T$115)</f>
        <v>0</v>
      </c>
      <c r="P93" s="8">
        <f>SUMIF('DAILY FIESTA'!$B$10:$B$115,$A93,'DAILY FIESTA'!U$10:U$115)</f>
        <v>0</v>
      </c>
      <c r="Q93" s="8">
        <f>SUMIF('DAILY FIESTA'!$B$10:$B$115,$A93,'DAILY FIESTA'!V$10:V$115)</f>
        <v>0</v>
      </c>
      <c r="R93" s="8">
        <f>SUMIF('DAILY FIESTA'!$B$10:$B$115,$A93,'DAILY FIESTA'!W$10:W$115)</f>
        <v>0</v>
      </c>
      <c r="S93" s="8">
        <f>SUMIF('DAILY FIESTA'!$B$10:$B$115,$A93,'DAILY FIESTA'!X$10:X$115)</f>
        <v>0</v>
      </c>
      <c r="T93" s="8">
        <f>SUMIF('DAILY FIESTA'!$B$10:$B$115,$A93,'DAILY FIESTA'!Y$10:Y$115)</f>
        <v>0</v>
      </c>
      <c r="U93" s="8">
        <f>SUMIF('DAILY FIESTA'!$B$10:$B$115,$A93,'DAILY FIESTA'!Z$10:Z$115)</f>
        <v>0</v>
      </c>
      <c r="V93" s="8">
        <f>SUMIF('DAILY FIESTA'!$B$10:$B$115,$A93,'DAILY FIESTA'!AA$10:AA$115)</f>
        <v>0</v>
      </c>
      <c r="W93" s="59">
        <f t="shared" si="7"/>
        <v>0</v>
      </c>
      <c r="X93" s="60">
        <f t="shared" ca="1" si="8"/>
        <v>0</v>
      </c>
      <c r="Y93" s="47">
        <f t="shared" ca="1" si="9"/>
        <v>0</v>
      </c>
      <c r="Z93" s="88" t="e">
        <f t="shared" ca="1" si="10"/>
        <v>#DIV/0!</v>
      </c>
      <c r="AA93" s="89" t="e">
        <f t="shared" ca="1" si="11"/>
        <v>#DIV/0!</v>
      </c>
      <c r="AB93" s="112"/>
      <c r="AC93" s="48"/>
      <c r="AD93" s="89"/>
    </row>
    <row r="94" spans="1:30" hidden="1">
      <c r="A94" s="7"/>
      <c r="B94" s="8">
        <f ca="1">SUMIF('DAILY FIESTA'!$B$10:$B$115,$A94,'DAILY FIESTA'!$C$10:$C$114)</f>
        <v>0</v>
      </c>
      <c r="C94" s="8">
        <f>SUMIF('DAILY FIESTA'!$B$10:$B$115,$A94,'DAILY FIESTA'!H$10:H$115)</f>
        <v>0</v>
      </c>
      <c r="D94" s="8">
        <f>SUMIF('DAILY FIESTA'!$B$10:$B$115,$A94,'DAILY FIESTA'!I$10:I$115)</f>
        <v>0</v>
      </c>
      <c r="E94" s="8">
        <f>SUMIF('DAILY FIESTA'!$B$10:$B$115,$A94,'DAILY FIESTA'!J$10:J$115)</f>
        <v>0</v>
      </c>
      <c r="F94" s="8">
        <f>SUMIF('DAILY FIESTA'!$B$10:$B$115,$A94,'DAILY FIESTA'!K$10:K$115)</f>
        <v>0</v>
      </c>
      <c r="G94" s="8">
        <f>SUMIF('DAILY FIESTA'!$B$10:$B$115,$A94,'DAILY FIESTA'!L$10:L$115)</f>
        <v>0</v>
      </c>
      <c r="H94" s="8">
        <f>SUMIF('DAILY FIESTA'!$B$10:$B$115,$A94,'DAILY FIESTA'!M$10:M$115)</f>
        <v>0</v>
      </c>
      <c r="I94" s="8">
        <f>SUMIF('DAILY FIESTA'!$B$10:$B$115,$A94,'DAILY FIESTA'!N$10:N$115)</f>
        <v>0</v>
      </c>
      <c r="J94" s="8">
        <f>SUMIF('DAILY FIESTA'!$B$10:$B$115,$A94,'DAILY FIESTA'!O$10:O$115)</f>
        <v>0</v>
      </c>
      <c r="K94" s="8">
        <f>SUMIF('DAILY FIESTA'!$B$10:$B$115,$A94,'DAILY FIESTA'!P$10:P$115)</f>
        <v>0</v>
      </c>
      <c r="L94" s="8">
        <f>SUMIF('DAILY FIESTA'!$B$10:$B$115,$A94,'DAILY FIESTA'!Q$10:Q$115)</f>
        <v>0</v>
      </c>
      <c r="M94" s="8">
        <f>SUMIF('DAILY FIESTA'!$B$10:$B$115,$A94,'DAILY FIESTA'!R$10:R$115)</f>
        <v>0</v>
      </c>
      <c r="N94" s="8">
        <f>SUMIF('DAILY FIESTA'!$B$10:$B$115,$A94,'DAILY FIESTA'!S$10:S$115)</f>
        <v>0</v>
      </c>
      <c r="O94" s="8">
        <f>SUMIF('DAILY FIESTA'!$B$10:$B$115,$A94,'DAILY FIESTA'!T$10:T$115)</f>
        <v>0</v>
      </c>
      <c r="P94" s="8">
        <f>SUMIF('DAILY FIESTA'!$B$10:$B$115,$A94,'DAILY FIESTA'!U$10:U$115)</f>
        <v>0</v>
      </c>
      <c r="Q94" s="8">
        <f>SUMIF('DAILY FIESTA'!$B$10:$B$115,$A94,'DAILY FIESTA'!V$10:V$115)</f>
        <v>0</v>
      </c>
      <c r="R94" s="8">
        <f>SUMIF('DAILY FIESTA'!$B$10:$B$115,$A94,'DAILY FIESTA'!W$10:W$115)</f>
        <v>0</v>
      </c>
      <c r="S94" s="8">
        <f>SUMIF('DAILY FIESTA'!$B$10:$B$115,$A94,'DAILY FIESTA'!X$10:X$115)</f>
        <v>0</v>
      </c>
      <c r="T94" s="8">
        <f>SUMIF('DAILY FIESTA'!$B$10:$B$115,$A94,'DAILY FIESTA'!Y$10:Y$115)</f>
        <v>0</v>
      </c>
      <c r="U94" s="8">
        <f>SUMIF('DAILY FIESTA'!$B$10:$B$115,$A94,'DAILY FIESTA'!Z$10:Z$115)</f>
        <v>0</v>
      </c>
      <c r="V94" s="8">
        <f>SUMIF('DAILY FIESTA'!$B$10:$B$115,$A94,'DAILY FIESTA'!AA$10:AA$115)</f>
        <v>0</v>
      </c>
      <c r="W94" s="59">
        <f t="shared" si="7"/>
        <v>0</v>
      </c>
      <c r="X94" s="60">
        <f t="shared" ca="1" si="8"/>
        <v>0</v>
      </c>
      <c r="Y94" s="47">
        <f t="shared" ca="1" si="9"/>
        <v>0</v>
      </c>
      <c r="Z94" s="88" t="e">
        <f t="shared" ca="1" si="10"/>
        <v>#DIV/0!</v>
      </c>
      <c r="AA94" s="89" t="e">
        <f t="shared" ca="1" si="11"/>
        <v>#DIV/0!</v>
      </c>
      <c r="AB94" s="112"/>
      <c r="AC94" s="48"/>
      <c r="AD94" s="89"/>
    </row>
    <row r="95" spans="1:30" hidden="1">
      <c r="A95" s="7"/>
      <c r="B95" s="8">
        <f ca="1">SUMIF('DAILY FIESTA'!$B$10:$B$115,$A95,'DAILY FIESTA'!$C$10:$C$114)</f>
        <v>0</v>
      </c>
      <c r="C95" s="8">
        <f>SUMIF('DAILY FIESTA'!$B$10:$B$115,$A95,'DAILY FIESTA'!H$10:H$115)</f>
        <v>0</v>
      </c>
      <c r="D95" s="8">
        <f>SUMIF('DAILY FIESTA'!$B$10:$B$115,$A95,'DAILY FIESTA'!I$10:I$115)</f>
        <v>0</v>
      </c>
      <c r="E95" s="8">
        <f>SUMIF('DAILY FIESTA'!$B$10:$B$115,$A95,'DAILY FIESTA'!J$10:J$115)</f>
        <v>0</v>
      </c>
      <c r="F95" s="8">
        <f>SUMIF('DAILY FIESTA'!$B$10:$B$115,$A95,'DAILY FIESTA'!K$10:K$115)</f>
        <v>0</v>
      </c>
      <c r="G95" s="8">
        <f>SUMIF('DAILY FIESTA'!$B$10:$B$115,$A95,'DAILY FIESTA'!L$10:L$115)</f>
        <v>0</v>
      </c>
      <c r="H95" s="8">
        <f>SUMIF('DAILY FIESTA'!$B$10:$B$115,$A95,'DAILY FIESTA'!M$10:M$115)</f>
        <v>0</v>
      </c>
      <c r="I95" s="8">
        <f>SUMIF('DAILY FIESTA'!$B$10:$B$115,$A95,'DAILY FIESTA'!N$10:N$115)</f>
        <v>0</v>
      </c>
      <c r="J95" s="8">
        <f>SUMIF('DAILY FIESTA'!$B$10:$B$115,$A95,'DAILY FIESTA'!O$10:O$115)</f>
        <v>0</v>
      </c>
      <c r="K95" s="8">
        <f>SUMIF('DAILY FIESTA'!$B$10:$B$115,$A95,'DAILY FIESTA'!P$10:P$115)</f>
        <v>0</v>
      </c>
      <c r="L95" s="8">
        <f>SUMIF('DAILY FIESTA'!$B$10:$B$115,$A95,'DAILY FIESTA'!Q$10:Q$115)</f>
        <v>0</v>
      </c>
      <c r="M95" s="8">
        <f>SUMIF('DAILY FIESTA'!$B$10:$B$115,$A95,'DAILY FIESTA'!R$10:R$115)</f>
        <v>0</v>
      </c>
      <c r="N95" s="8">
        <f>SUMIF('DAILY FIESTA'!$B$10:$B$115,$A95,'DAILY FIESTA'!S$10:S$115)</f>
        <v>0</v>
      </c>
      <c r="O95" s="8">
        <f>SUMIF('DAILY FIESTA'!$B$10:$B$115,$A95,'DAILY FIESTA'!T$10:T$115)</f>
        <v>0</v>
      </c>
      <c r="P95" s="8">
        <f>SUMIF('DAILY FIESTA'!$B$10:$B$115,$A95,'DAILY FIESTA'!U$10:U$115)</f>
        <v>0</v>
      </c>
      <c r="Q95" s="8">
        <f>SUMIF('DAILY FIESTA'!$B$10:$B$115,$A95,'DAILY FIESTA'!V$10:V$115)</f>
        <v>0</v>
      </c>
      <c r="R95" s="8">
        <f>SUMIF('DAILY FIESTA'!$B$10:$B$115,$A95,'DAILY FIESTA'!W$10:W$115)</f>
        <v>0</v>
      </c>
      <c r="S95" s="8">
        <f>SUMIF('DAILY FIESTA'!$B$10:$B$115,$A95,'DAILY FIESTA'!X$10:X$115)</f>
        <v>0</v>
      </c>
      <c r="T95" s="8">
        <f>SUMIF('DAILY FIESTA'!$B$10:$B$115,$A95,'DAILY FIESTA'!Y$10:Y$115)</f>
        <v>0</v>
      </c>
      <c r="U95" s="8">
        <f>SUMIF('DAILY FIESTA'!$B$10:$B$115,$A95,'DAILY FIESTA'!Z$10:Z$115)</f>
        <v>0</v>
      </c>
      <c r="V95" s="8">
        <f>SUMIF('DAILY FIESTA'!$B$10:$B$115,$A95,'DAILY FIESTA'!AA$10:AA$115)</f>
        <v>0</v>
      </c>
      <c r="W95" s="59">
        <f t="shared" si="7"/>
        <v>0</v>
      </c>
      <c r="X95" s="60">
        <f t="shared" ca="1" si="8"/>
        <v>0</v>
      </c>
      <c r="Y95" s="47">
        <f t="shared" ca="1" si="9"/>
        <v>0</v>
      </c>
      <c r="Z95" s="88" t="e">
        <f t="shared" ca="1" si="10"/>
        <v>#DIV/0!</v>
      </c>
      <c r="AA95" s="89" t="e">
        <f t="shared" ca="1" si="11"/>
        <v>#DIV/0!</v>
      </c>
      <c r="AB95" s="112"/>
      <c r="AC95" s="48"/>
      <c r="AD95" s="89"/>
    </row>
    <row r="96" spans="1:30" hidden="1">
      <c r="A96" s="7"/>
      <c r="B96" s="8">
        <f ca="1">SUMIF('DAILY FIESTA'!$B$10:$B$115,$A96,'DAILY FIESTA'!$C$10:$C$114)</f>
        <v>0</v>
      </c>
      <c r="C96" s="8">
        <f>SUMIF('DAILY FIESTA'!$B$10:$B$115,$A96,'DAILY FIESTA'!H$10:H$115)</f>
        <v>0</v>
      </c>
      <c r="D96" s="8">
        <f>SUMIF('DAILY FIESTA'!$B$10:$B$115,$A96,'DAILY FIESTA'!I$10:I$115)</f>
        <v>0</v>
      </c>
      <c r="E96" s="8">
        <f>SUMIF('DAILY FIESTA'!$B$10:$B$115,$A96,'DAILY FIESTA'!J$10:J$115)</f>
        <v>0</v>
      </c>
      <c r="F96" s="8">
        <f>SUMIF('DAILY FIESTA'!$B$10:$B$115,$A96,'DAILY FIESTA'!K$10:K$115)</f>
        <v>0</v>
      </c>
      <c r="G96" s="8">
        <f>SUMIF('DAILY FIESTA'!$B$10:$B$115,$A96,'DAILY FIESTA'!L$10:L$115)</f>
        <v>0</v>
      </c>
      <c r="H96" s="8">
        <f>SUMIF('DAILY FIESTA'!$B$10:$B$115,$A96,'DAILY FIESTA'!M$10:M$115)</f>
        <v>0</v>
      </c>
      <c r="I96" s="8">
        <f>SUMIF('DAILY FIESTA'!$B$10:$B$115,$A96,'DAILY FIESTA'!N$10:N$115)</f>
        <v>0</v>
      </c>
      <c r="J96" s="8">
        <f>SUMIF('DAILY FIESTA'!$B$10:$B$115,$A96,'DAILY FIESTA'!O$10:O$115)</f>
        <v>0</v>
      </c>
      <c r="K96" s="8">
        <f>SUMIF('DAILY FIESTA'!$B$10:$B$115,$A96,'DAILY FIESTA'!P$10:P$115)</f>
        <v>0</v>
      </c>
      <c r="L96" s="8">
        <f>SUMIF('DAILY FIESTA'!$B$10:$B$115,$A96,'DAILY FIESTA'!Q$10:Q$115)</f>
        <v>0</v>
      </c>
      <c r="M96" s="8">
        <f>SUMIF('DAILY FIESTA'!$B$10:$B$115,$A96,'DAILY FIESTA'!R$10:R$115)</f>
        <v>0</v>
      </c>
      <c r="N96" s="8">
        <f>SUMIF('DAILY FIESTA'!$B$10:$B$115,$A96,'DAILY FIESTA'!S$10:S$115)</f>
        <v>0</v>
      </c>
      <c r="O96" s="8">
        <f>SUMIF('DAILY FIESTA'!$B$10:$B$115,$A96,'DAILY FIESTA'!T$10:T$115)</f>
        <v>0</v>
      </c>
      <c r="P96" s="8">
        <f>SUMIF('DAILY FIESTA'!$B$10:$B$115,$A96,'DAILY FIESTA'!U$10:U$115)</f>
        <v>0</v>
      </c>
      <c r="Q96" s="8">
        <f>SUMIF('DAILY FIESTA'!$B$10:$B$115,$A96,'DAILY FIESTA'!V$10:V$115)</f>
        <v>0</v>
      </c>
      <c r="R96" s="8">
        <f>SUMIF('DAILY FIESTA'!$B$10:$B$115,$A96,'DAILY FIESTA'!W$10:W$115)</f>
        <v>0</v>
      </c>
      <c r="S96" s="8">
        <f>SUMIF('DAILY FIESTA'!$B$10:$B$115,$A96,'DAILY FIESTA'!X$10:X$115)</f>
        <v>0</v>
      </c>
      <c r="T96" s="8">
        <f>SUMIF('DAILY FIESTA'!$B$10:$B$115,$A96,'DAILY FIESTA'!Y$10:Y$115)</f>
        <v>0</v>
      </c>
      <c r="U96" s="8">
        <f>SUMIF('DAILY FIESTA'!$B$10:$B$115,$A96,'DAILY FIESTA'!Z$10:Z$115)</f>
        <v>0</v>
      </c>
      <c r="V96" s="8">
        <f>SUMIF('DAILY FIESTA'!$B$10:$B$115,$A96,'DAILY FIESTA'!AA$10:AA$115)</f>
        <v>0</v>
      </c>
      <c r="W96" s="59">
        <f t="shared" si="7"/>
        <v>0</v>
      </c>
      <c r="X96" s="60">
        <f t="shared" ca="1" si="8"/>
        <v>0</v>
      </c>
      <c r="Y96" s="47">
        <f t="shared" ca="1" si="9"/>
        <v>0</v>
      </c>
      <c r="Z96" s="88" t="e">
        <f t="shared" ca="1" si="10"/>
        <v>#DIV/0!</v>
      </c>
      <c r="AA96" s="89" t="e">
        <f t="shared" ca="1" si="11"/>
        <v>#DIV/0!</v>
      </c>
      <c r="AB96" s="112"/>
      <c r="AC96" s="48"/>
      <c r="AD96" s="89"/>
    </row>
    <row r="97" spans="1:30" hidden="1">
      <c r="A97" s="7"/>
      <c r="B97" s="8">
        <f ca="1">SUMIF('DAILY FIESTA'!$B$10:$B$115,$A97,'DAILY FIESTA'!$C$10:$C$114)</f>
        <v>0</v>
      </c>
      <c r="C97" s="8">
        <f>SUMIF('DAILY FIESTA'!$B$10:$B$115,$A97,'DAILY FIESTA'!H$10:H$115)</f>
        <v>0</v>
      </c>
      <c r="D97" s="8">
        <f>SUMIF('DAILY FIESTA'!$B$10:$B$115,$A97,'DAILY FIESTA'!I$10:I$115)</f>
        <v>0</v>
      </c>
      <c r="E97" s="8">
        <f>SUMIF('DAILY FIESTA'!$B$10:$B$115,$A97,'DAILY FIESTA'!J$10:J$115)</f>
        <v>0</v>
      </c>
      <c r="F97" s="8">
        <f>SUMIF('DAILY FIESTA'!$B$10:$B$115,$A97,'DAILY FIESTA'!K$10:K$115)</f>
        <v>0</v>
      </c>
      <c r="G97" s="8">
        <f>SUMIF('DAILY FIESTA'!$B$10:$B$115,$A97,'DAILY FIESTA'!L$10:L$115)</f>
        <v>0</v>
      </c>
      <c r="H97" s="8">
        <f>SUMIF('DAILY FIESTA'!$B$10:$B$115,$A97,'DAILY FIESTA'!M$10:M$115)</f>
        <v>0</v>
      </c>
      <c r="I97" s="8">
        <f>SUMIF('DAILY FIESTA'!$B$10:$B$115,$A97,'DAILY FIESTA'!N$10:N$115)</f>
        <v>0</v>
      </c>
      <c r="J97" s="8">
        <f>SUMIF('DAILY FIESTA'!$B$10:$B$115,$A97,'DAILY FIESTA'!O$10:O$115)</f>
        <v>0</v>
      </c>
      <c r="K97" s="8">
        <f>SUMIF('DAILY FIESTA'!$B$10:$B$115,$A97,'DAILY FIESTA'!P$10:P$115)</f>
        <v>0</v>
      </c>
      <c r="L97" s="8">
        <f>SUMIF('DAILY FIESTA'!$B$10:$B$115,$A97,'DAILY FIESTA'!Q$10:Q$115)</f>
        <v>0</v>
      </c>
      <c r="M97" s="8">
        <f>SUMIF('DAILY FIESTA'!$B$10:$B$115,$A97,'DAILY FIESTA'!R$10:R$115)</f>
        <v>0</v>
      </c>
      <c r="N97" s="8">
        <f>SUMIF('DAILY FIESTA'!$B$10:$B$115,$A97,'DAILY FIESTA'!S$10:S$115)</f>
        <v>0</v>
      </c>
      <c r="O97" s="8">
        <f>SUMIF('DAILY FIESTA'!$B$10:$B$115,$A97,'DAILY FIESTA'!T$10:T$115)</f>
        <v>0</v>
      </c>
      <c r="P97" s="8">
        <f>SUMIF('DAILY FIESTA'!$B$10:$B$115,$A97,'DAILY FIESTA'!U$10:U$115)</f>
        <v>0</v>
      </c>
      <c r="Q97" s="8">
        <f>SUMIF('DAILY FIESTA'!$B$10:$B$115,$A97,'DAILY FIESTA'!V$10:V$115)</f>
        <v>0</v>
      </c>
      <c r="R97" s="8">
        <f>SUMIF('DAILY FIESTA'!$B$10:$B$115,$A97,'DAILY FIESTA'!W$10:W$115)</f>
        <v>0</v>
      </c>
      <c r="S97" s="8">
        <f>SUMIF('DAILY FIESTA'!$B$10:$B$115,$A97,'DAILY FIESTA'!X$10:X$115)</f>
        <v>0</v>
      </c>
      <c r="T97" s="8">
        <f>SUMIF('DAILY FIESTA'!$B$10:$B$115,$A97,'DAILY FIESTA'!Y$10:Y$115)</f>
        <v>0</v>
      </c>
      <c r="U97" s="8">
        <f>SUMIF('DAILY FIESTA'!$B$10:$B$115,$A97,'DAILY FIESTA'!Z$10:Z$115)</f>
        <v>0</v>
      </c>
      <c r="V97" s="8">
        <f>SUMIF('DAILY FIESTA'!$B$10:$B$115,$A97,'DAILY FIESTA'!AA$10:AA$115)</f>
        <v>0</v>
      </c>
      <c r="W97" s="59">
        <f t="shared" si="7"/>
        <v>0</v>
      </c>
      <c r="X97" s="60">
        <f t="shared" ca="1" si="8"/>
        <v>0</v>
      </c>
      <c r="Y97" s="47">
        <f t="shared" ca="1" si="9"/>
        <v>0</v>
      </c>
      <c r="Z97" s="88" t="e">
        <f t="shared" ca="1" si="10"/>
        <v>#DIV/0!</v>
      </c>
      <c r="AA97" s="89" t="e">
        <f t="shared" ca="1" si="11"/>
        <v>#DIV/0!</v>
      </c>
      <c r="AB97" s="112"/>
      <c r="AC97" s="48"/>
      <c r="AD97" s="89"/>
    </row>
    <row r="98" spans="1:30" hidden="1">
      <c r="A98" s="7"/>
      <c r="B98" s="8">
        <f ca="1">SUMIF('DAILY FIESTA'!$B$10:$B$115,$A98,'DAILY FIESTA'!$C$10:$C$114)</f>
        <v>0</v>
      </c>
      <c r="C98" s="8">
        <f>SUMIF('DAILY FIESTA'!$B$10:$B$115,$A98,'DAILY FIESTA'!H$10:H$115)</f>
        <v>0</v>
      </c>
      <c r="D98" s="8">
        <f>SUMIF('DAILY FIESTA'!$B$10:$B$115,$A98,'DAILY FIESTA'!I$10:I$115)</f>
        <v>0</v>
      </c>
      <c r="E98" s="8">
        <f>SUMIF('DAILY FIESTA'!$B$10:$B$115,$A98,'DAILY FIESTA'!J$10:J$115)</f>
        <v>0</v>
      </c>
      <c r="F98" s="8">
        <f>SUMIF('DAILY FIESTA'!$B$10:$B$115,$A98,'DAILY FIESTA'!K$10:K$115)</f>
        <v>0</v>
      </c>
      <c r="G98" s="8">
        <f>SUMIF('DAILY FIESTA'!$B$10:$B$115,$A98,'DAILY FIESTA'!L$10:L$115)</f>
        <v>0</v>
      </c>
      <c r="H98" s="8">
        <f>SUMIF('DAILY FIESTA'!$B$10:$B$115,$A98,'DAILY FIESTA'!M$10:M$115)</f>
        <v>0</v>
      </c>
      <c r="I98" s="8">
        <f>SUMIF('DAILY FIESTA'!$B$10:$B$115,$A98,'DAILY FIESTA'!N$10:N$115)</f>
        <v>0</v>
      </c>
      <c r="J98" s="8">
        <f>SUMIF('DAILY FIESTA'!$B$10:$B$115,$A98,'DAILY FIESTA'!O$10:O$115)</f>
        <v>0</v>
      </c>
      <c r="K98" s="8">
        <f>SUMIF('DAILY FIESTA'!$B$10:$B$115,$A98,'DAILY FIESTA'!P$10:P$115)</f>
        <v>0</v>
      </c>
      <c r="L98" s="8">
        <f>SUMIF('DAILY FIESTA'!$B$10:$B$115,$A98,'DAILY FIESTA'!Q$10:Q$115)</f>
        <v>0</v>
      </c>
      <c r="M98" s="8">
        <f>SUMIF('DAILY FIESTA'!$B$10:$B$115,$A98,'DAILY FIESTA'!R$10:R$115)</f>
        <v>0</v>
      </c>
      <c r="N98" s="8">
        <f>SUMIF('DAILY FIESTA'!$B$10:$B$115,$A98,'DAILY FIESTA'!S$10:S$115)</f>
        <v>0</v>
      </c>
      <c r="O98" s="8">
        <f>SUMIF('DAILY FIESTA'!$B$10:$B$115,$A98,'DAILY FIESTA'!T$10:T$115)</f>
        <v>0</v>
      </c>
      <c r="P98" s="8">
        <f>SUMIF('DAILY FIESTA'!$B$10:$B$115,$A98,'DAILY FIESTA'!U$10:U$115)</f>
        <v>0</v>
      </c>
      <c r="Q98" s="8">
        <f>SUMIF('DAILY FIESTA'!$B$10:$B$115,$A98,'DAILY FIESTA'!V$10:V$115)</f>
        <v>0</v>
      </c>
      <c r="R98" s="8">
        <f>SUMIF('DAILY FIESTA'!$B$10:$B$115,$A98,'DAILY FIESTA'!W$10:W$115)</f>
        <v>0</v>
      </c>
      <c r="S98" s="8">
        <f>SUMIF('DAILY FIESTA'!$B$10:$B$115,$A98,'DAILY FIESTA'!X$10:X$115)</f>
        <v>0</v>
      </c>
      <c r="T98" s="8">
        <f>SUMIF('DAILY FIESTA'!$B$10:$B$115,$A98,'DAILY FIESTA'!Y$10:Y$115)</f>
        <v>0</v>
      </c>
      <c r="U98" s="8">
        <f>SUMIF('DAILY FIESTA'!$B$10:$B$115,$A98,'DAILY FIESTA'!Z$10:Z$115)</f>
        <v>0</v>
      </c>
      <c r="V98" s="8">
        <f>SUMIF('DAILY FIESTA'!$B$10:$B$115,$A98,'DAILY FIESTA'!AA$10:AA$115)</f>
        <v>0</v>
      </c>
      <c r="W98" s="59">
        <f t="shared" si="7"/>
        <v>0</v>
      </c>
      <c r="X98" s="60">
        <f t="shared" ca="1" si="8"/>
        <v>0</v>
      </c>
      <c r="Y98" s="47">
        <f t="shared" ca="1" si="9"/>
        <v>0</v>
      </c>
      <c r="Z98" s="88" t="e">
        <f t="shared" ca="1" si="10"/>
        <v>#DIV/0!</v>
      </c>
      <c r="AA98" s="89" t="e">
        <f t="shared" ca="1" si="11"/>
        <v>#DIV/0!</v>
      </c>
      <c r="AB98" s="112"/>
      <c r="AC98" s="48"/>
      <c r="AD98" s="89"/>
    </row>
    <row r="99" spans="1:30" hidden="1">
      <c r="A99" s="7"/>
      <c r="B99" s="8">
        <f ca="1">SUMIF('DAILY FIESTA'!$B$10:$B$115,$A99,'DAILY FIESTA'!$C$10:$C$114)</f>
        <v>0</v>
      </c>
      <c r="C99" s="8">
        <f>SUMIF('DAILY FIESTA'!$B$10:$B$115,$A99,'DAILY FIESTA'!H$10:H$115)</f>
        <v>0</v>
      </c>
      <c r="D99" s="8">
        <f>SUMIF('DAILY FIESTA'!$B$10:$B$115,$A99,'DAILY FIESTA'!I$10:I$115)</f>
        <v>0</v>
      </c>
      <c r="E99" s="8">
        <f>SUMIF('DAILY FIESTA'!$B$10:$B$115,$A99,'DAILY FIESTA'!J$10:J$115)</f>
        <v>0</v>
      </c>
      <c r="F99" s="8">
        <f>SUMIF('DAILY FIESTA'!$B$10:$B$115,$A99,'DAILY FIESTA'!K$10:K$115)</f>
        <v>0</v>
      </c>
      <c r="G99" s="8">
        <f>SUMIF('DAILY FIESTA'!$B$10:$B$115,$A99,'DAILY FIESTA'!L$10:L$115)</f>
        <v>0</v>
      </c>
      <c r="H99" s="8">
        <f>SUMIF('DAILY FIESTA'!$B$10:$B$115,$A99,'DAILY FIESTA'!M$10:M$115)</f>
        <v>0</v>
      </c>
      <c r="I99" s="8">
        <f>SUMIF('DAILY FIESTA'!$B$10:$B$115,$A99,'DAILY FIESTA'!N$10:N$115)</f>
        <v>0</v>
      </c>
      <c r="J99" s="8">
        <f>SUMIF('DAILY FIESTA'!$B$10:$B$115,$A99,'DAILY FIESTA'!O$10:O$115)</f>
        <v>0</v>
      </c>
      <c r="K99" s="8">
        <f>SUMIF('DAILY FIESTA'!$B$10:$B$115,$A99,'DAILY FIESTA'!P$10:P$115)</f>
        <v>0</v>
      </c>
      <c r="L99" s="8">
        <f>SUMIF('DAILY FIESTA'!$B$10:$B$115,$A99,'DAILY FIESTA'!Q$10:Q$115)</f>
        <v>0</v>
      </c>
      <c r="M99" s="8">
        <f>SUMIF('DAILY FIESTA'!$B$10:$B$115,$A99,'DAILY FIESTA'!R$10:R$115)</f>
        <v>0</v>
      </c>
      <c r="N99" s="8">
        <f>SUMIF('DAILY FIESTA'!$B$10:$B$115,$A99,'DAILY FIESTA'!S$10:S$115)</f>
        <v>0</v>
      </c>
      <c r="O99" s="8">
        <f>SUMIF('DAILY FIESTA'!$B$10:$B$115,$A99,'DAILY FIESTA'!T$10:T$115)</f>
        <v>0</v>
      </c>
      <c r="P99" s="8">
        <f>SUMIF('DAILY FIESTA'!$B$10:$B$115,$A99,'DAILY FIESTA'!U$10:U$115)</f>
        <v>0</v>
      </c>
      <c r="Q99" s="8">
        <f>SUMIF('DAILY FIESTA'!$B$10:$B$115,$A99,'DAILY FIESTA'!V$10:V$115)</f>
        <v>0</v>
      </c>
      <c r="R99" s="8">
        <f>SUMIF('DAILY FIESTA'!$B$10:$B$115,$A99,'DAILY FIESTA'!W$10:W$115)</f>
        <v>0</v>
      </c>
      <c r="S99" s="8">
        <f>SUMIF('DAILY FIESTA'!$B$10:$B$115,$A99,'DAILY FIESTA'!X$10:X$115)</f>
        <v>0</v>
      </c>
      <c r="T99" s="8">
        <f>SUMIF('DAILY FIESTA'!$B$10:$B$115,$A99,'DAILY FIESTA'!Y$10:Y$115)</f>
        <v>0</v>
      </c>
      <c r="U99" s="8">
        <f>SUMIF('DAILY FIESTA'!$B$10:$B$115,$A99,'DAILY FIESTA'!Z$10:Z$115)</f>
        <v>0</v>
      </c>
      <c r="V99" s="8">
        <f>SUMIF('DAILY FIESTA'!$B$10:$B$115,$A99,'DAILY FIESTA'!AA$10:AA$115)</f>
        <v>0</v>
      </c>
      <c r="W99" s="59">
        <f t="shared" si="7"/>
        <v>0</v>
      </c>
      <c r="X99" s="60">
        <f t="shared" ca="1" si="8"/>
        <v>0</v>
      </c>
      <c r="Y99" s="47">
        <f t="shared" ca="1" si="9"/>
        <v>0</v>
      </c>
      <c r="Z99" s="88" t="e">
        <f t="shared" ca="1" si="10"/>
        <v>#DIV/0!</v>
      </c>
      <c r="AA99" s="89" t="e">
        <f t="shared" ca="1" si="11"/>
        <v>#DIV/0!</v>
      </c>
      <c r="AB99" s="112"/>
      <c r="AC99" s="48"/>
      <c r="AD99" s="89"/>
    </row>
    <row r="100" spans="1:30" hidden="1">
      <c r="A100" s="7"/>
      <c r="B100" s="8">
        <f ca="1">SUMIF('DAILY FIESTA'!$B$10:$B$115,$A100,'DAILY FIESTA'!$C$10:$C$114)</f>
        <v>0</v>
      </c>
      <c r="C100" s="8">
        <f>SUMIF('DAILY FIESTA'!$B$10:$B$115,$A100,'DAILY FIESTA'!H$10:H$115)</f>
        <v>0</v>
      </c>
      <c r="D100" s="8">
        <f>SUMIF('DAILY FIESTA'!$B$10:$B$115,$A100,'DAILY FIESTA'!I$10:I$115)</f>
        <v>0</v>
      </c>
      <c r="E100" s="8">
        <f>SUMIF('DAILY FIESTA'!$B$10:$B$115,$A100,'DAILY FIESTA'!J$10:J$115)</f>
        <v>0</v>
      </c>
      <c r="F100" s="8">
        <f>SUMIF('DAILY FIESTA'!$B$10:$B$115,$A100,'DAILY FIESTA'!K$10:K$115)</f>
        <v>0</v>
      </c>
      <c r="G100" s="8">
        <f>SUMIF('DAILY FIESTA'!$B$10:$B$115,$A100,'DAILY FIESTA'!L$10:L$115)</f>
        <v>0</v>
      </c>
      <c r="H100" s="8">
        <f>SUMIF('DAILY FIESTA'!$B$10:$B$115,$A100,'DAILY FIESTA'!M$10:M$115)</f>
        <v>0</v>
      </c>
      <c r="I100" s="8">
        <f>SUMIF('DAILY FIESTA'!$B$10:$B$115,$A100,'DAILY FIESTA'!N$10:N$115)</f>
        <v>0</v>
      </c>
      <c r="J100" s="8">
        <f>SUMIF('DAILY FIESTA'!$B$10:$B$115,$A100,'DAILY FIESTA'!O$10:O$115)</f>
        <v>0</v>
      </c>
      <c r="K100" s="8">
        <f>SUMIF('DAILY FIESTA'!$B$10:$B$115,$A100,'DAILY FIESTA'!P$10:P$115)</f>
        <v>0</v>
      </c>
      <c r="L100" s="8">
        <f>SUMIF('DAILY FIESTA'!$B$10:$B$115,$A100,'DAILY FIESTA'!Q$10:Q$115)</f>
        <v>0</v>
      </c>
      <c r="M100" s="8">
        <f>SUMIF('DAILY FIESTA'!$B$10:$B$115,$A100,'DAILY FIESTA'!R$10:R$115)</f>
        <v>0</v>
      </c>
      <c r="N100" s="8">
        <f>SUMIF('DAILY FIESTA'!$B$10:$B$115,$A100,'DAILY FIESTA'!S$10:S$115)</f>
        <v>0</v>
      </c>
      <c r="O100" s="8">
        <f>SUMIF('DAILY FIESTA'!$B$10:$B$115,$A100,'DAILY FIESTA'!T$10:T$115)</f>
        <v>0</v>
      </c>
      <c r="P100" s="8">
        <f>SUMIF('DAILY FIESTA'!$B$10:$B$115,$A100,'DAILY FIESTA'!U$10:U$115)</f>
        <v>0</v>
      </c>
      <c r="Q100" s="8">
        <f>SUMIF('DAILY FIESTA'!$B$10:$B$115,$A100,'DAILY FIESTA'!V$10:V$115)</f>
        <v>0</v>
      </c>
      <c r="R100" s="8">
        <f>SUMIF('DAILY FIESTA'!$B$10:$B$115,$A100,'DAILY FIESTA'!W$10:W$115)</f>
        <v>0</v>
      </c>
      <c r="S100" s="8">
        <f>SUMIF('DAILY FIESTA'!$B$10:$B$115,$A100,'DAILY FIESTA'!X$10:X$115)</f>
        <v>0</v>
      </c>
      <c r="T100" s="8">
        <f>SUMIF('DAILY FIESTA'!$B$10:$B$115,$A100,'DAILY FIESTA'!Y$10:Y$115)</f>
        <v>0</v>
      </c>
      <c r="U100" s="8">
        <f>SUMIF('DAILY FIESTA'!$B$10:$B$115,$A100,'DAILY FIESTA'!Z$10:Z$115)</f>
        <v>0</v>
      </c>
      <c r="V100" s="8">
        <f>SUMIF('DAILY FIESTA'!$B$10:$B$115,$A100,'DAILY FIESTA'!AA$10:AA$115)</f>
        <v>0</v>
      </c>
      <c r="W100" s="59">
        <f t="shared" si="7"/>
        <v>0</v>
      </c>
      <c r="X100" s="60">
        <f t="shared" ca="1" si="8"/>
        <v>0</v>
      </c>
      <c r="Y100" s="47">
        <f t="shared" ca="1" si="9"/>
        <v>0</v>
      </c>
      <c r="Z100" s="88" t="e">
        <f t="shared" ca="1" si="10"/>
        <v>#DIV/0!</v>
      </c>
      <c r="AA100" s="89" t="e">
        <f t="shared" ca="1" si="11"/>
        <v>#DIV/0!</v>
      </c>
      <c r="AB100" s="112"/>
      <c r="AC100" s="48"/>
      <c r="AD100" s="89"/>
    </row>
    <row r="101" spans="1:30" hidden="1">
      <c r="A101" s="7"/>
      <c r="B101" s="8">
        <f ca="1">SUMIF('DAILY FIESTA'!$B$10:$B$115,$A101,'DAILY FIESTA'!$C$10:$C$114)</f>
        <v>0</v>
      </c>
      <c r="C101" s="8">
        <f>SUMIF('DAILY FIESTA'!$B$10:$B$115,$A101,'DAILY FIESTA'!H$10:H$115)</f>
        <v>0</v>
      </c>
      <c r="D101" s="8">
        <f>SUMIF('DAILY FIESTA'!$B$10:$B$115,$A101,'DAILY FIESTA'!I$10:I$115)</f>
        <v>0</v>
      </c>
      <c r="E101" s="8">
        <f>SUMIF('DAILY FIESTA'!$B$10:$B$115,$A101,'DAILY FIESTA'!J$10:J$115)</f>
        <v>0</v>
      </c>
      <c r="F101" s="8">
        <f>SUMIF('DAILY FIESTA'!$B$10:$B$115,$A101,'DAILY FIESTA'!K$10:K$115)</f>
        <v>0</v>
      </c>
      <c r="G101" s="8">
        <f>SUMIF('DAILY FIESTA'!$B$10:$B$115,$A101,'DAILY FIESTA'!L$10:L$115)</f>
        <v>0</v>
      </c>
      <c r="H101" s="8">
        <f>SUMIF('DAILY FIESTA'!$B$10:$B$115,$A101,'DAILY FIESTA'!M$10:M$115)</f>
        <v>0</v>
      </c>
      <c r="I101" s="8">
        <f>SUMIF('DAILY FIESTA'!$B$10:$B$115,$A101,'DAILY FIESTA'!N$10:N$115)</f>
        <v>0</v>
      </c>
      <c r="J101" s="8">
        <f>SUMIF('DAILY FIESTA'!$B$10:$B$115,$A101,'DAILY FIESTA'!O$10:O$115)</f>
        <v>0</v>
      </c>
      <c r="K101" s="8">
        <f>SUMIF('DAILY FIESTA'!$B$10:$B$115,$A101,'DAILY FIESTA'!P$10:P$115)</f>
        <v>0</v>
      </c>
      <c r="L101" s="8">
        <f>SUMIF('DAILY FIESTA'!$B$10:$B$115,$A101,'DAILY FIESTA'!Q$10:Q$115)</f>
        <v>0</v>
      </c>
      <c r="M101" s="8">
        <f>SUMIF('DAILY FIESTA'!$B$10:$B$115,$A101,'DAILY FIESTA'!R$10:R$115)</f>
        <v>0</v>
      </c>
      <c r="N101" s="8">
        <f>SUMIF('DAILY FIESTA'!$B$10:$B$115,$A101,'DAILY FIESTA'!S$10:S$115)</f>
        <v>0</v>
      </c>
      <c r="O101" s="8">
        <f>SUMIF('DAILY FIESTA'!$B$10:$B$115,$A101,'DAILY FIESTA'!T$10:T$115)</f>
        <v>0</v>
      </c>
      <c r="P101" s="8">
        <f>SUMIF('DAILY FIESTA'!$B$10:$B$115,$A101,'DAILY FIESTA'!U$10:U$115)</f>
        <v>0</v>
      </c>
      <c r="Q101" s="8">
        <f>SUMIF('DAILY FIESTA'!$B$10:$B$115,$A101,'DAILY FIESTA'!V$10:V$115)</f>
        <v>0</v>
      </c>
      <c r="R101" s="8">
        <f>SUMIF('DAILY FIESTA'!$B$10:$B$115,$A101,'DAILY FIESTA'!W$10:W$115)</f>
        <v>0</v>
      </c>
      <c r="S101" s="8">
        <f>SUMIF('DAILY FIESTA'!$B$10:$B$115,$A101,'DAILY FIESTA'!X$10:X$115)</f>
        <v>0</v>
      </c>
      <c r="T101" s="8">
        <f>SUMIF('DAILY FIESTA'!$B$10:$B$115,$A101,'DAILY FIESTA'!Y$10:Y$115)</f>
        <v>0</v>
      </c>
      <c r="U101" s="8">
        <f>SUMIF('DAILY FIESTA'!$B$10:$B$115,$A101,'DAILY FIESTA'!Z$10:Z$115)</f>
        <v>0</v>
      </c>
      <c r="V101" s="8">
        <f>SUMIF('DAILY FIESTA'!$B$10:$B$115,$A101,'DAILY FIESTA'!AA$10:AA$115)</f>
        <v>0</v>
      </c>
      <c r="W101" s="59">
        <f t="shared" si="7"/>
        <v>0</v>
      </c>
      <c r="X101" s="60">
        <f t="shared" ca="1" si="8"/>
        <v>0</v>
      </c>
      <c r="Y101" s="47">
        <f t="shared" ca="1" si="9"/>
        <v>0</v>
      </c>
      <c r="Z101" s="88" t="e">
        <f t="shared" ca="1" si="10"/>
        <v>#DIV/0!</v>
      </c>
      <c r="AA101" s="89" t="e">
        <f t="shared" ca="1" si="11"/>
        <v>#DIV/0!</v>
      </c>
      <c r="AB101" s="112"/>
      <c r="AC101" s="48"/>
      <c r="AD101" s="89"/>
    </row>
    <row r="102" spans="1:30" hidden="1">
      <c r="A102" s="7"/>
      <c r="B102" s="8">
        <f ca="1">SUMIF('DAILY FIESTA'!$B$10:$B$115,$A102,'DAILY FIESTA'!$C$10:$C$114)</f>
        <v>0</v>
      </c>
      <c r="C102" s="8">
        <f>SUMIF('DAILY FIESTA'!$B$10:$B$115,$A102,'DAILY FIESTA'!H$10:H$115)</f>
        <v>0</v>
      </c>
      <c r="D102" s="8">
        <f>SUMIF('DAILY FIESTA'!$B$10:$B$115,$A102,'DAILY FIESTA'!I$10:I$115)</f>
        <v>0</v>
      </c>
      <c r="E102" s="8">
        <f>SUMIF('DAILY FIESTA'!$B$10:$B$115,$A102,'DAILY FIESTA'!J$10:J$115)</f>
        <v>0</v>
      </c>
      <c r="F102" s="8">
        <f>SUMIF('DAILY FIESTA'!$B$10:$B$115,$A102,'DAILY FIESTA'!K$10:K$115)</f>
        <v>0</v>
      </c>
      <c r="G102" s="8">
        <f>SUMIF('DAILY FIESTA'!$B$10:$B$115,$A102,'DAILY FIESTA'!L$10:L$115)</f>
        <v>0</v>
      </c>
      <c r="H102" s="8">
        <f>SUMIF('DAILY FIESTA'!$B$10:$B$115,$A102,'DAILY FIESTA'!M$10:M$115)</f>
        <v>0</v>
      </c>
      <c r="I102" s="8">
        <f>SUMIF('DAILY FIESTA'!$B$10:$B$115,$A102,'DAILY FIESTA'!N$10:N$115)</f>
        <v>0</v>
      </c>
      <c r="J102" s="8">
        <f>SUMIF('DAILY FIESTA'!$B$10:$B$115,$A102,'DAILY FIESTA'!O$10:O$115)</f>
        <v>0</v>
      </c>
      <c r="K102" s="8">
        <f>SUMIF('DAILY FIESTA'!$B$10:$B$115,$A102,'DAILY FIESTA'!P$10:P$115)</f>
        <v>0</v>
      </c>
      <c r="L102" s="8">
        <f>SUMIF('DAILY FIESTA'!$B$10:$B$115,$A102,'DAILY FIESTA'!Q$10:Q$115)</f>
        <v>0</v>
      </c>
      <c r="M102" s="8">
        <f>SUMIF('DAILY FIESTA'!$B$10:$B$115,$A102,'DAILY FIESTA'!R$10:R$115)</f>
        <v>0</v>
      </c>
      <c r="N102" s="8">
        <f>SUMIF('DAILY FIESTA'!$B$10:$B$115,$A102,'DAILY FIESTA'!S$10:S$115)</f>
        <v>0</v>
      </c>
      <c r="O102" s="8">
        <f>SUMIF('DAILY FIESTA'!$B$10:$B$115,$A102,'DAILY FIESTA'!T$10:T$115)</f>
        <v>0</v>
      </c>
      <c r="P102" s="8">
        <f>SUMIF('DAILY FIESTA'!$B$10:$B$115,$A102,'DAILY FIESTA'!U$10:U$115)</f>
        <v>0</v>
      </c>
      <c r="Q102" s="8">
        <f>SUMIF('DAILY FIESTA'!$B$10:$B$115,$A102,'DAILY FIESTA'!V$10:V$115)</f>
        <v>0</v>
      </c>
      <c r="R102" s="8">
        <f>SUMIF('DAILY FIESTA'!$B$10:$B$115,$A102,'DAILY FIESTA'!W$10:W$115)</f>
        <v>0</v>
      </c>
      <c r="S102" s="8">
        <f>SUMIF('DAILY FIESTA'!$B$10:$B$115,$A102,'DAILY FIESTA'!X$10:X$115)</f>
        <v>0</v>
      </c>
      <c r="T102" s="8">
        <f>SUMIF('DAILY FIESTA'!$B$10:$B$115,$A102,'DAILY FIESTA'!Y$10:Y$115)</f>
        <v>0</v>
      </c>
      <c r="U102" s="8">
        <f>SUMIF('DAILY FIESTA'!$B$10:$B$115,$A102,'DAILY FIESTA'!Z$10:Z$115)</f>
        <v>0</v>
      </c>
      <c r="V102" s="8">
        <f>SUMIF('DAILY FIESTA'!$B$10:$B$115,$A102,'DAILY FIESTA'!AA$10:AA$115)</f>
        <v>0</v>
      </c>
      <c r="W102" s="59">
        <f t="shared" si="7"/>
        <v>0</v>
      </c>
      <c r="X102" s="60">
        <f t="shared" ca="1" si="8"/>
        <v>0</v>
      </c>
      <c r="Y102" s="47">
        <f t="shared" ca="1" si="9"/>
        <v>0</v>
      </c>
      <c r="Z102" s="88" t="e">
        <f t="shared" ca="1" si="10"/>
        <v>#DIV/0!</v>
      </c>
      <c r="AA102" s="89" t="e">
        <f t="shared" ca="1" si="11"/>
        <v>#DIV/0!</v>
      </c>
      <c r="AB102" s="112"/>
      <c r="AC102" s="48"/>
      <c r="AD102" s="89"/>
    </row>
    <row r="103" spans="1:30" hidden="1">
      <c r="A103" s="7"/>
      <c r="B103" s="8">
        <f ca="1">SUMIF('DAILY FIESTA'!$B$10:$B$115,$A103,'DAILY FIESTA'!$C$10:$C$114)</f>
        <v>0</v>
      </c>
      <c r="C103" s="8">
        <f>SUMIF('DAILY FIESTA'!$B$10:$B$115,$A103,'DAILY FIESTA'!H$10:H$115)</f>
        <v>0</v>
      </c>
      <c r="D103" s="8">
        <f>SUMIF('DAILY FIESTA'!$B$10:$B$115,$A103,'DAILY FIESTA'!I$10:I$115)</f>
        <v>0</v>
      </c>
      <c r="E103" s="8">
        <f>SUMIF('DAILY FIESTA'!$B$10:$B$115,$A103,'DAILY FIESTA'!J$10:J$115)</f>
        <v>0</v>
      </c>
      <c r="F103" s="8">
        <f>SUMIF('DAILY FIESTA'!$B$10:$B$115,$A103,'DAILY FIESTA'!K$10:K$115)</f>
        <v>0</v>
      </c>
      <c r="G103" s="8">
        <f>SUMIF('DAILY FIESTA'!$B$10:$B$115,$A103,'DAILY FIESTA'!L$10:L$115)</f>
        <v>0</v>
      </c>
      <c r="H103" s="8">
        <f>SUMIF('DAILY FIESTA'!$B$10:$B$115,$A103,'DAILY FIESTA'!M$10:M$115)</f>
        <v>0</v>
      </c>
      <c r="I103" s="8">
        <f>SUMIF('DAILY FIESTA'!$B$10:$B$115,$A103,'DAILY FIESTA'!N$10:N$115)</f>
        <v>0</v>
      </c>
      <c r="J103" s="8">
        <f>SUMIF('DAILY FIESTA'!$B$10:$B$115,$A103,'DAILY FIESTA'!O$10:O$115)</f>
        <v>0</v>
      </c>
      <c r="K103" s="8">
        <f>SUMIF('DAILY FIESTA'!$B$10:$B$115,$A103,'DAILY FIESTA'!P$10:P$115)</f>
        <v>0</v>
      </c>
      <c r="L103" s="8">
        <f>SUMIF('DAILY FIESTA'!$B$10:$B$115,$A103,'DAILY FIESTA'!Q$10:Q$115)</f>
        <v>0</v>
      </c>
      <c r="M103" s="8">
        <f>SUMIF('DAILY FIESTA'!$B$10:$B$115,$A103,'DAILY FIESTA'!R$10:R$115)</f>
        <v>0</v>
      </c>
      <c r="N103" s="8">
        <f>SUMIF('DAILY FIESTA'!$B$10:$B$115,$A103,'DAILY FIESTA'!S$10:S$115)</f>
        <v>0</v>
      </c>
      <c r="O103" s="8">
        <f>SUMIF('DAILY FIESTA'!$B$10:$B$115,$A103,'DAILY FIESTA'!T$10:T$115)</f>
        <v>0</v>
      </c>
      <c r="P103" s="8">
        <f>SUMIF('DAILY FIESTA'!$B$10:$B$115,$A103,'DAILY FIESTA'!U$10:U$115)</f>
        <v>0</v>
      </c>
      <c r="Q103" s="8">
        <f>SUMIF('DAILY FIESTA'!$B$10:$B$115,$A103,'DAILY FIESTA'!V$10:V$115)</f>
        <v>0</v>
      </c>
      <c r="R103" s="8">
        <f>SUMIF('DAILY FIESTA'!$B$10:$B$115,$A103,'DAILY FIESTA'!W$10:W$115)</f>
        <v>0</v>
      </c>
      <c r="S103" s="8">
        <f>SUMIF('DAILY FIESTA'!$B$10:$B$115,$A103,'DAILY FIESTA'!X$10:X$115)</f>
        <v>0</v>
      </c>
      <c r="T103" s="8">
        <f>SUMIF('DAILY FIESTA'!$B$10:$B$115,$A103,'DAILY FIESTA'!Y$10:Y$115)</f>
        <v>0</v>
      </c>
      <c r="U103" s="8">
        <f>SUMIF('DAILY FIESTA'!$B$10:$B$115,$A103,'DAILY FIESTA'!Z$10:Z$115)</f>
        <v>0</v>
      </c>
      <c r="V103" s="8">
        <f>SUMIF('DAILY FIESTA'!$B$10:$B$115,$A103,'DAILY FIESTA'!AA$10:AA$115)</f>
        <v>0</v>
      </c>
      <c r="W103" s="59">
        <f t="shared" si="7"/>
        <v>0</v>
      </c>
      <c r="X103" s="60">
        <f t="shared" ca="1" si="8"/>
        <v>0</v>
      </c>
      <c r="Y103" s="47">
        <f t="shared" ca="1" si="9"/>
        <v>0</v>
      </c>
      <c r="Z103" s="88" t="e">
        <f t="shared" ca="1" si="10"/>
        <v>#DIV/0!</v>
      </c>
      <c r="AA103" s="89" t="e">
        <f t="shared" ca="1" si="11"/>
        <v>#DIV/0!</v>
      </c>
      <c r="AB103" s="112"/>
      <c r="AC103" s="48"/>
      <c r="AD103" s="89"/>
    </row>
    <row r="104" spans="1:30" hidden="1">
      <c r="A104" s="7"/>
      <c r="B104" s="8">
        <f ca="1">SUMIF('DAILY FIESTA'!$B$10:$B$115,$A104,'DAILY FIESTA'!$C$10:$C$114)</f>
        <v>0</v>
      </c>
      <c r="C104" s="8">
        <f>SUMIF('DAILY FIESTA'!$B$10:$B$115,$A104,'DAILY FIESTA'!H$10:H$115)</f>
        <v>0</v>
      </c>
      <c r="D104" s="8">
        <f>SUMIF('DAILY FIESTA'!$B$10:$B$115,$A104,'DAILY FIESTA'!I$10:I$115)</f>
        <v>0</v>
      </c>
      <c r="E104" s="8">
        <f>SUMIF('DAILY FIESTA'!$B$10:$B$115,$A104,'DAILY FIESTA'!J$10:J$115)</f>
        <v>0</v>
      </c>
      <c r="F104" s="8">
        <f>SUMIF('DAILY FIESTA'!$B$10:$B$115,$A104,'DAILY FIESTA'!K$10:K$115)</f>
        <v>0</v>
      </c>
      <c r="G104" s="8">
        <f>SUMIF('DAILY FIESTA'!$B$10:$B$115,$A104,'DAILY FIESTA'!L$10:L$115)</f>
        <v>0</v>
      </c>
      <c r="H104" s="8">
        <f>SUMIF('DAILY FIESTA'!$B$10:$B$115,$A104,'DAILY FIESTA'!M$10:M$115)</f>
        <v>0</v>
      </c>
      <c r="I104" s="8">
        <f>SUMIF('DAILY FIESTA'!$B$10:$B$115,$A104,'DAILY FIESTA'!N$10:N$115)</f>
        <v>0</v>
      </c>
      <c r="J104" s="8">
        <f>SUMIF('DAILY FIESTA'!$B$10:$B$115,$A104,'DAILY FIESTA'!O$10:O$115)</f>
        <v>0</v>
      </c>
      <c r="K104" s="8">
        <f>SUMIF('DAILY FIESTA'!$B$10:$B$115,$A104,'DAILY FIESTA'!P$10:P$115)</f>
        <v>0</v>
      </c>
      <c r="L104" s="8">
        <f>SUMIF('DAILY FIESTA'!$B$10:$B$115,$A104,'DAILY FIESTA'!Q$10:Q$115)</f>
        <v>0</v>
      </c>
      <c r="M104" s="8">
        <f>SUMIF('DAILY FIESTA'!$B$10:$B$115,$A104,'DAILY FIESTA'!R$10:R$115)</f>
        <v>0</v>
      </c>
      <c r="N104" s="8">
        <f>SUMIF('DAILY FIESTA'!$B$10:$B$115,$A104,'DAILY FIESTA'!S$10:S$115)</f>
        <v>0</v>
      </c>
      <c r="O104" s="8">
        <f>SUMIF('DAILY FIESTA'!$B$10:$B$115,$A104,'DAILY FIESTA'!T$10:T$115)</f>
        <v>0</v>
      </c>
      <c r="P104" s="8">
        <f>SUMIF('DAILY FIESTA'!$B$10:$B$115,$A104,'DAILY FIESTA'!U$10:U$115)</f>
        <v>0</v>
      </c>
      <c r="Q104" s="8">
        <f>SUMIF('DAILY FIESTA'!$B$10:$B$115,$A104,'DAILY FIESTA'!V$10:V$115)</f>
        <v>0</v>
      </c>
      <c r="R104" s="8">
        <f>SUMIF('DAILY FIESTA'!$B$10:$B$115,$A104,'DAILY FIESTA'!W$10:W$115)</f>
        <v>0</v>
      </c>
      <c r="S104" s="8">
        <f>SUMIF('DAILY FIESTA'!$B$10:$B$115,$A104,'DAILY FIESTA'!X$10:X$115)</f>
        <v>0</v>
      </c>
      <c r="T104" s="8">
        <f>SUMIF('DAILY FIESTA'!$B$10:$B$115,$A104,'DAILY FIESTA'!Y$10:Y$115)</f>
        <v>0</v>
      </c>
      <c r="U104" s="8">
        <f>SUMIF('DAILY FIESTA'!$B$10:$B$115,$A104,'DAILY FIESTA'!Z$10:Z$115)</f>
        <v>0</v>
      </c>
      <c r="V104" s="8">
        <f>SUMIF('DAILY FIESTA'!$B$10:$B$115,$A104,'DAILY FIESTA'!AA$10:AA$115)</f>
        <v>0</v>
      </c>
      <c r="W104" s="59">
        <f t="shared" si="7"/>
        <v>0</v>
      </c>
      <c r="X104" s="60">
        <f t="shared" ca="1" si="8"/>
        <v>0</v>
      </c>
      <c r="Y104" s="47">
        <f t="shared" ca="1" si="9"/>
        <v>0</v>
      </c>
      <c r="Z104" s="88" t="e">
        <f t="shared" ca="1" si="10"/>
        <v>#DIV/0!</v>
      </c>
      <c r="AA104" s="89" t="e">
        <f t="shared" ca="1" si="11"/>
        <v>#DIV/0!</v>
      </c>
      <c r="AB104" s="112"/>
      <c r="AC104" s="48"/>
      <c r="AD104" s="89"/>
    </row>
    <row r="105" spans="1:30" hidden="1">
      <c r="A105" s="7"/>
      <c r="B105" s="8">
        <f ca="1">SUMIF('DAILY FIESTA'!$B$10:$B$115,$A105,'DAILY FIESTA'!$C$10:$C$114)</f>
        <v>0</v>
      </c>
      <c r="C105" s="8">
        <f>SUMIF('DAILY FIESTA'!$B$10:$B$115,$A105,'DAILY FIESTA'!H$10:H$115)</f>
        <v>0</v>
      </c>
      <c r="D105" s="8">
        <f>SUMIF('DAILY FIESTA'!$B$10:$B$115,$A105,'DAILY FIESTA'!I$10:I$115)</f>
        <v>0</v>
      </c>
      <c r="E105" s="8">
        <f>SUMIF('DAILY FIESTA'!$B$10:$B$115,$A105,'DAILY FIESTA'!J$10:J$115)</f>
        <v>0</v>
      </c>
      <c r="F105" s="8">
        <f>SUMIF('DAILY FIESTA'!$B$10:$B$115,$A105,'DAILY FIESTA'!K$10:K$115)</f>
        <v>0</v>
      </c>
      <c r="G105" s="8">
        <f>SUMIF('DAILY FIESTA'!$B$10:$B$115,$A105,'DAILY FIESTA'!L$10:L$115)</f>
        <v>0</v>
      </c>
      <c r="H105" s="8">
        <f>SUMIF('DAILY FIESTA'!$B$10:$B$115,$A105,'DAILY FIESTA'!M$10:M$115)</f>
        <v>0</v>
      </c>
      <c r="I105" s="8">
        <f>SUMIF('DAILY FIESTA'!$B$10:$B$115,$A105,'DAILY FIESTA'!N$10:N$115)</f>
        <v>0</v>
      </c>
      <c r="J105" s="8">
        <f>SUMIF('DAILY FIESTA'!$B$10:$B$115,$A105,'DAILY FIESTA'!O$10:O$115)</f>
        <v>0</v>
      </c>
      <c r="K105" s="8">
        <f>SUMIF('DAILY FIESTA'!$B$10:$B$115,$A105,'DAILY FIESTA'!P$10:P$115)</f>
        <v>0</v>
      </c>
      <c r="L105" s="8">
        <f>SUMIF('DAILY FIESTA'!$B$10:$B$115,$A105,'DAILY FIESTA'!Q$10:Q$115)</f>
        <v>0</v>
      </c>
      <c r="M105" s="8">
        <f>SUMIF('DAILY FIESTA'!$B$10:$B$115,$A105,'DAILY FIESTA'!R$10:R$115)</f>
        <v>0</v>
      </c>
      <c r="N105" s="8">
        <f>SUMIF('DAILY FIESTA'!$B$10:$B$115,$A105,'DAILY FIESTA'!S$10:S$115)</f>
        <v>0</v>
      </c>
      <c r="O105" s="8">
        <f>SUMIF('DAILY FIESTA'!$B$10:$B$115,$A105,'DAILY FIESTA'!T$10:T$115)</f>
        <v>0</v>
      </c>
      <c r="P105" s="8">
        <f>SUMIF('DAILY FIESTA'!$B$10:$B$115,$A105,'DAILY FIESTA'!U$10:U$115)</f>
        <v>0</v>
      </c>
      <c r="Q105" s="8">
        <f>SUMIF('DAILY FIESTA'!$B$10:$B$115,$A105,'DAILY FIESTA'!V$10:V$115)</f>
        <v>0</v>
      </c>
      <c r="R105" s="8">
        <f>SUMIF('DAILY FIESTA'!$B$10:$B$115,$A105,'DAILY FIESTA'!W$10:W$115)</f>
        <v>0</v>
      </c>
      <c r="S105" s="8">
        <f>SUMIF('DAILY FIESTA'!$B$10:$B$115,$A105,'DAILY FIESTA'!X$10:X$115)</f>
        <v>0</v>
      </c>
      <c r="T105" s="8">
        <f>SUMIF('DAILY FIESTA'!$B$10:$B$115,$A105,'DAILY FIESTA'!Y$10:Y$115)</f>
        <v>0</v>
      </c>
      <c r="U105" s="8">
        <f>SUMIF('DAILY FIESTA'!$B$10:$B$115,$A105,'DAILY FIESTA'!Z$10:Z$115)</f>
        <v>0</v>
      </c>
      <c r="V105" s="8">
        <f>SUMIF('DAILY FIESTA'!$B$10:$B$115,$A105,'DAILY FIESTA'!AA$10:AA$115)</f>
        <v>0</v>
      </c>
      <c r="W105" s="59">
        <f t="shared" si="7"/>
        <v>0</v>
      </c>
      <c r="X105" s="60">
        <f t="shared" ca="1" si="8"/>
        <v>0</v>
      </c>
      <c r="Y105" s="47">
        <f t="shared" ca="1" si="9"/>
        <v>0</v>
      </c>
      <c r="Z105" s="88" t="e">
        <f t="shared" ca="1" si="10"/>
        <v>#DIV/0!</v>
      </c>
      <c r="AA105" s="89" t="e">
        <f t="shared" ca="1" si="11"/>
        <v>#DIV/0!</v>
      </c>
      <c r="AB105" s="112"/>
      <c r="AC105" s="48"/>
      <c r="AD105" s="89"/>
    </row>
    <row r="106" spans="1:30" hidden="1">
      <c r="A106" s="7"/>
      <c r="B106" s="8">
        <f ca="1">SUMIF('DAILY FIESTA'!$B$10:$B$115,$A106,'DAILY FIESTA'!$C$10:$C$114)</f>
        <v>0</v>
      </c>
      <c r="C106" s="8">
        <f>SUMIF('DAILY FIESTA'!$B$10:$B$115,$A106,'DAILY FIESTA'!H$10:H$115)</f>
        <v>0</v>
      </c>
      <c r="D106" s="8">
        <f>SUMIF('DAILY FIESTA'!$B$10:$B$115,$A106,'DAILY FIESTA'!I$10:I$115)</f>
        <v>0</v>
      </c>
      <c r="E106" s="8">
        <f>SUMIF('DAILY FIESTA'!$B$10:$B$115,$A106,'DAILY FIESTA'!J$10:J$115)</f>
        <v>0</v>
      </c>
      <c r="F106" s="8">
        <f>SUMIF('DAILY FIESTA'!$B$10:$B$115,$A106,'DAILY FIESTA'!K$10:K$115)</f>
        <v>0</v>
      </c>
      <c r="G106" s="8">
        <f>SUMIF('DAILY FIESTA'!$B$10:$B$115,$A106,'DAILY FIESTA'!L$10:L$115)</f>
        <v>0</v>
      </c>
      <c r="H106" s="8">
        <f>SUMIF('DAILY FIESTA'!$B$10:$B$115,$A106,'DAILY FIESTA'!M$10:M$115)</f>
        <v>0</v>
      </c>
      <c r="I106" s="8">
        <f>SUMIF('DAILY FIESTA'!$B$10:$B$115,$A106,'DAILY FIESTA'!N$10:N$115)</f>
        <v>0</v>
      </c>
      <c r="J106" s="8">
        <f>SUMIF('DAILY FIESTA'!$B$10:$B$115,$A106,'DAILY FIESTA'!O$10:O$115)</f>
        <v>0</v>
      </c>
      <c r="K106" s="8">
        <f>SUMIF('DAILY FIESTA'!$B$10:$B$115,$A106,'DAILY FIESTA'!P$10:P$115)</f>
        <v>0</v>
      </c>
      <c r="L106" s="8">
        <f>SUMIF('DAILY FIESTA'!$B$10:$B$115,$A106,'DAILY FIESTA'!Q$10:Q$115)</f>
        <v>0</v>
      </c>
      <c r="M106" s="8">
        <f>SUMIF('DAILY FIESTA'!$B$10:$B$115,$A106,'DAILY FIESTA'!R$10:R$115)</f>
        <v>0</v>
      </c>
      <c r="N106" s="8">
        <f>SUMIF('DAILY FIESTA'!$B$10:$B$115,$A106,'DAILY FIESTA'!S$10:S$115)</f>
        <v>0</v>
      </c>
      <c r="O106" s="8">
        <f>SUMIF('DAILY FIESTA'!$B$10:$B$115,$A106,'DAILY FIESTA'!T$10:T$115)</f>
        <v>0</v>
      </c>
      <c r="P106" s="8">
        <f>SUMIF('DAILY FIESTA'!$B$10:$B$115,$A106,'DAILY FIESTA'!U$10:U$115)</f>
        <v>0</v>
      </c>
      <c r="Q106" s="8">
        <f>SUMIF('DAILY FIESTA'!$B$10:$B$115,$A106,'DAILY FIESTA'!V$10:V$115)</f>
        <v>0</v>
      </c>
      <c r="R106" s="8">
        <f>SUMIF('DAILY FIESTA'!$B$10:$B$115,$A106,'DAILY FIESTA'!W$10:W$115)</f>
        <v>0</v>
      </c>
      <c r="S106" s="8">
        <f>SUMIF('DAILY FIESTA'!$B$10:$B$115,$A106,'DAILY FIESTA'!X$10:X$115)</f>
        <v>0</v>
      </c>
      <c r="T106" s="8">
        <f>SUMIF('DAILY FIESTA'!$B$10:$B$115,$A106,'DAILY FIESTA'!Y$10:Y$115)</f>
        <v>0</v>
      </c>
      <c r="U106" s="8">
        <f>SUMIF('DAILY FIESTA'!$B$10:$B$115,$A106,'DAILY FIESTA'!Z$10:Z$115)</f>
        <v>0</v>
      </c>
      <c r="V106" s="8">
        <f>SUMIF('DAILY FIESTA'!$B$10:$B$115,$A106,'DAILY FIESTA'!AA$10:AA$115)</f>
        <v>0</v>
      </c>
      <c r="W106" s="59">
        <f t="shared" si="7"/>
        <v>0</v>
      </c>
      <c r="X106" s="60">
        <f t="shared" ca="1" si="8"/>
        <v>0</v>
      </c>
      <c r="Y106" s="47">
        <f t="shared" ca="1" si="9"/>
        <v>0</v>
      </c>
      <c r="Z106" s="88" t="e">
        <f t="shared" ca="1" si="10"/>
        <v>#DIV/0!</v>
      </c>
      <c r="AA106" s="89" t="e">
        <f t="shared" ca="1" si="11"/>
        <v>#DIV/0!</v>
      </c>
      <c r="AB106" s="112"/>
      <c r="AC106" s="48"/>
      <c r="AD106" s="89"/>
    </row>
    <row r="107" spans="1:30" hidden="1">
      <c r="A107" s="7"/>
      <c r="B107" s="8">
        <f ca="1">SUMIF('DAILY FIESTA'!$B$10:$B$115,$A107,'DAILY FIESTA'!$C$10:$C$114)</f>
        <v>0</v>
      </c>
      <c r="C107" s="8">
        <f>SUMIF('DAILY FIESTA'!$B$10:$B$115,$A107,'DAILY FIESTA'!H$10:H$115)</f>
        <v>0</v>
      </c>
      <c r="D107" s="8">
        <f>SUMIF('DAILY FIESTA'!$B$10:$B$115,$A107,'DAILY FIESTA'!I$10:I$115)</f>
        <v>0</v>
      </c>
      <c r="E107" s="8">
        <f>SUMIF('DAILY FIESTA'!$B$10:$B$115,$A107,'DAILY FIESTA'!J$10:J$115)</f>
        <v>0</v>
      </c>
      <c r="F107" s="8">
        <f>SUMIF('DAILY FIESTA'!$B$10:$B$115,$A107,'DAILY FIESTA'!K$10:K$115)</f>
        <v>0</v>
      </c>
      <c r="G107" s="8">
        <f>SUMIF('DAILY FIESTA'!$B$10:$B$115,$A107,'DAILY FIESTA'!L$10:L$115)</f>
        <v>0</v>
      </c>
      <c r="H107" s="8">
        <f>SUMIF('DAILY FIESTA'!$B$10:$B$115,$A107,'DAILY FIESTA'!M$10:M$115)</f>
        <v>0</v>
      </c>
      <c r="I107" s="8">
        <f>SUMIF('DAILY FIESTA'!$B$10:$B$115,$A107,'DAILY FIESTA'!N$10:N$115)</f>
        <v>0</v>
      </c>
      <c r="J107" s="8">
        <f>SUMIF('DAILY FIESTA'!$B$10:$B$115,$A107,'DAILY FIESTA'!O$10:O$115)</f>
        <v>0</v>
      </c>
      <c r="K107" s="8">
        <f>SUMIF('DAILY FIESTA'!$B$10:$B$115,$A107,'DAILY FIESTA'!P$10:P$115)</f>
        <v>0</v>
      </c>
      <c r="L107" s="8">
        <f>SUMIF('DAILY FIESTA'!$B$10:$B$115,$A107,'DAILY FIESTA'!Q$10:Q$115)</f>
        <v>0</v>
      </c>
      <c r="M107" s="8">
        <f>SUMIF('DAILY FIESTA'!$B$10:$B$115,$A107,'DAILY FIESTA'!R$10:R$115)</f>
        <v>0</v>
      </c>
      <c r="N107" s="8">
        <f>SUMIF('DAILY FIESTA'!$B$10:$B$115,$A107,'DAILY FIESTA'!S$10:S$115)</f>
        <v>0</v>
      </c>
      <c r="O107" s="8">
        <f>SUMIF('DAILY FIESTA'!$B$10:$B$115,$A107,'DAILY FIESTA'!T$10:T$115)</f>
        <v>0</v>
      </c>
      <c r="P107" s="8">
        <f>SUMIF('DAILY FIESTA'!$B$10:$B$115,$A107,'DAILY FIESTA'!U$10:U$115)</f>
        <v>0</v>
      </c>
      <c r="Q107" s="8">
        <f>SUMIF('DAILY FIESTA'!$B$10:$B$115,$A107,'DAILY FIESTA'!V$10:V$115)</f>
        <v>0</v>
      </c>
      <c r="R107" s="8">
        <f>SUMIF('DAILY FIESTA'!$B$10:$B$115,$A107,'DAILY FIESTA'!W$10:W$115)</f>
        <v>0</v>
      </c>
      <c r="S107" s="8">
        <f>SUMIF('DAILY FIESTA'!$B$10:$B$115,$A107,'DAILY FIESTA'!X$10:X$115)</f>
        <v>0</v>
      </c>
      <c r="T107" s="8">
        <f>SUMIF('DAILY FIESTA'!$B$10:$B$115,$A107,'DAILY FIESTA'!Y$10:Y$115)</f>
        <v>0</v>
      </c>
      <c r="U107" s="8">
        <f>SUMIF('DAILY FIESTA'!$B$10:$B$115,$A107,'DAILY FIESTA'!Z$10:Z$115)</f>
        <v>0</v>
      </c>
      <c r="V107" s="8">
        <f>SUMIF('DAILY FIESTA'!$B$10:$B$115,$A107,'DAILY FIESTA'!AA$10:AA$115)</f>
        <v>0</v>
      </c>
      <c r="W107" s="59">
        <f t="shared" si="7"/>
        <v>0</v>
      </c>
      <c r="X107" s="60">
        <f t="shared" ca="1" si="8"/>
        <v>0</v>
      </c>
      <c r="Y107" s="47">
        <f t="shared" ca="1" si="9"/>
        <v>0</v>
      </c>
      <c r="Z107" s="88" t="e">
        <f t="shared" ca="1" si="10"/>
        <v>#DIV/0!</v>
      </c>
      <c r="AA107" s="89" t="e">
        <f t="shared" ca="1" si="11"/>
        <v>#DIV/0!</v>
      </c>
      <c r="AB107" s="112"/>
      <c r="AC107" s="48"/>
      <c r="AD107" s="89"/>
    </row>
    <row r="108" spans="1:30" hidden="1">
      <c r="A108" s="7"/>
      <c r="B108" s="8">
        <f ca="1">SUMIF('DAILY FIESTA'!$B$10:$B$115,$A108,'DAILY FIESTA'!$C$10:$C$114)</f>
        <v>0</v>
      </c>
      <c r="C108" s="8">
        <f>SUMIF('DAILY FIESTA'!$B$10:$B$115,$A108,'DAILY FIESTA'!H$10:H$115)</f>
        <v>0</v>
      </c>
      <c r="D108" s="8">
        <f>SUMIF('DAILY FIESTA'!$B$10:$B$115,$A108,'DAILY FIESTA'!I$10:I$115)</f>
        <v>0</v>
      </c>
      <c r="E108" s="8">
        <f>SUMIF('DAILY FIESTA'!$B$10:$B$115,$A108,'DAILY FIESTA'!J$10:J$115)</f>
        <v>0</v>
      </c>
      <c r="F108" s="8">
        <f>SUMIF('DAILY FIESTA'!$B$10:$B$115,$A108,'DAILY FIESTA'!K$10:K$115)</f>
        <v>0</v>
      </c>
      <c r="G108" s="8">
        <f>SUMIF('DAILY FIESTA'!$B$10:$B$115,$A108,'DAILY FIESTA'!L$10:L$115)</f>
        <v>0</v>
      </c>
      <c r="H108" s="8">
        <f>SUMIF('DAILY FIESTA'!$B$10:$B$115,$A108,'DAILY FIESTA'!M$10:M$115)</f>
        <v>0</v>
      </c>
      <c r="I108" s="8">
        <f>SUMIF('DAILY FIESTA'!$B$10:$B$115,$A108,'DAILY FIESTA'!N$10:N$115)</f>
        <v>0</v>
      </c>
      <c r="J108" s="8">
        <f>SUMIF('DAILY FIESTA'!$B$10:$B$115,$A108,'DAILY FIESTA'!O$10:O$115)</f>
        <v>0</v>
      </c>
      <c r="K108" s="8">
        <f>SUMIF('DAILY FIESTA'!$B$10:$B$115,$A108,'DAILY FIESTA'!P$10:P$115)</f>
        <v>0</v>
      </c>
      <c r="L108" s="8">
        <f>SUMIF('DAILY FIESTA'!$B$10:$B$115,$A108,'DAILY FIESTA'!Q$10:Q$115)</f>
        <v>0</v>
      </c>
      <c r="M108" s="8">
        <f>SUMIF('DAILY FIESTA'!$B$10:$B$115,$A108,'DAILY FIESTA'!R$10:R$115)</f>
        <v>0</v>
      </c>
      <c r="N108" s="8">
        <f>SUMIF('DAILY FIESTA'!$B$10:$B$115,$A108,'DAILY FIESTA'!S$10:S$115)</f>
        <v>0</v>
      </c>
      <c r="O108" s="8">
        <f>SUMIF('DAILY FIESTA'!$B$10:$B$115,$A108,'DAILY FIESTA'!T$10:T$115)</f>
        <v>0</v>
      </c>
      <c r="P108" s="8">
        <f>SUMIF('DAILY FIESTA'!$B$10:$B$115,$A108,'DAILY FIESTA'!U$10:U$115)</f>
        <v>0</v>
      </c>
      <c r="Q108" s="8">
        <f>SUMIF('DAILY FIESTA'!$B$10:$B$115,$A108,'DAILY FIESTA'!V$10:V$115)</f>
        <v>0</v>
      </c>
      <c r="R108" s="8">
        <f>SUMIF('DAILY FIESTA'!$B$10:$B$115,$A108,'DAILY FIESTA'!W$10:W$115)</f>
        <v>0</v>
      </c>
      <c r="S108" s="8">
        <f>SUMIF('DAILY FIESTA'!$B$10:$B$115,$A108,'DAILY FIESTA'!X$10:X$115)</f>
        <v>0</v>
      </c>
      <c r="T108" s="8">
        <f>SUMIF('DAILY FIESTA'!$B$10:$B$115,$A108,'DAILY FIESTA'!Y$10:Y$115)</f>
        <v>0</v>
      </c>
      <c r="U108" s="8">
        <f>SUMIF('DAILY FIESTA'!$B$10:$B$115,$A108,'DAILY FIESTA'!Z$10:Z$115)</f>
        <v>0</v>
      </c>
      <c r="V108" s="8">
        <f>SUMIF('DAILY FIESTA'!$B$10:$B$115,$A108,'DAILY FIESTA'!AA$10:AA$115)</f>
        <v>0</v>
      </c>
      <c r="W108" s="59">
        <f t="shared" si="7"/>
        <v>0</v>
      </c>
      <c r="X108" s="60">
        <f t="shared" ca="1" si="8"/>
        <v>0</v>
      </c>
      <c r="Y108" s="47">
        <f t="shared" ca="1" si="9"/>
        <v>0</v>
      </c>
      <c r="Z108" s="88" t="e">
        <f t="shared" ca="1" si="10"/>
        <v>#DIV/0!</v>
      </c>
      <c r="AA108" s="89" t="e">
        <f t="shared" ca="1" si="11"/>
        <v>#DIV/0!</v>
      </c>
      <c r="AB108" s="112"/>
      <c r="AC108" s="48"/>
      <c r="AD108" s="89"/>
    </row>
    <row r="109" spans="1:30" hidden="1">
      <c r="A109" s="7"/>
      <c r="B109" s="8">
        <f ca="1">SUMIF('DAILY FIESTA'!$B$10:$B$115,$A109,'DAILY FIESTA'!$C$10:$C$114)</f>
        <v>0</v>
      </c>
      <c r="C109" s="8">
        <f>SUMIF('DAILY FIESTA'!$B$10:$B$115,$A109,'DAILY FIESTA'!H$10:H$115)</f>
        <v>0</v>
      </c>
      <c r="D109" s="8">
        <f>SUMIF('DAILY FIESTA'!$B$10:$B$115,$A109,'DAILY FIESTA'!I$10:I$115)</f>
        <v>0</v>
      </c>
      <c r="E109" s="8">
        <f>SUMIF('DAILY FIESTA'!$B$10:$B$115,$A109,'DAILY FIESTA'!J$10:J$115)</f>
        <v>0</v>
      </c>
      <c r="F109" s="8">
        <f>SUMIF('DAILY FIESTA'!$B$10:$B$115,$A109,'DAILY FIESTA'!K$10:K$115)</f>
        <v>0</v>
      </c>
      <c r="G109" s="8">
        <f>SUMIF('DAILY FIESTA'!$B$10:$B$115,$A109,'DAILY FIESTA'!L$10:L$115)</f>
        <v>0</v>
      </c>
      <c r="H109" s="8">
        <f>SUMIF('DAILY FIESTA'!$B$10:$B$115,$A109,'DAILY FIESTA'!M$10:M$115)</f>
        <v>0</v>
      </c>
      <c r="I109" s="8">
        <f>SUMIF('DAILY FIESTA'!$B$10:$B$115,$A109,'DAILY FIESTA'!N$10:N$115)</f>
        <v>0</v>
      </c>
      <c r="J109" s="8">
        <f>SUMIF('DAILY FIESTA'!$B$10:$B$115,$A109,'DAILY FIESTA'!O$10:O$115)</f>
        <v>0</v>
      </c>
      <c r="K109" s="8">
        <f>SUMIF('DAILY FIESTA'!$B$10:$B$115,$A109,'DAILY FIESTA'!P$10:P$115)</f>
        <v>0</v>
      </c>
      <c r="L109" s="8">
        <f>SUMIF('DAILY FIESTA'!$B$10:$B$115,$A109,'DAILY FIESTA'!Q$10:Q$115)</f>
        <v>0</v>
      </c>
      <c r="M109" s="8">
        <f>SUMIF('DAILY FIESTA'!$B$10:$B$115,$A109,'DAILY FIESTA'!R$10:R$115)</f>
        <v>0</v>
      </c>
      <c r="N109" s="8">
        <f>SUMIF('DAILY FIESTA'!$B$10:$B$115,$A109,'DAILY FIESTA'!S$10:S$115)</f>
        <v>0</v>
      </c>
      <c r="O109" s="8">
        <f>SUMIF('DAILY FIESTA'!$B$10:$B$115,$A109,'DAILY FIESTA'!T$10:T$115)</f>
        <v>0</v>
      </c>
      <c r="P109" s="8">
        <f>SUMIF('DAILY FIESTA'!$B$10:$B$115,$A109,'DAILY FIESTA'!U$10:U$115)</f>
        <v>0</v>
      </c>
      <c r="Q109" s="8">
        <f>SUMIF('DAILY FIESTA'!$B$10:$B$115,$A109,'DAILY FIESTA'!V$10:V$115)</f>
        <v>0</v>
      </c>
      <c r="R109" s="8">
        <f>SUMIF('DAILY FIESTA'!$B$10:$B$115,$A109,'DAILY FIESTA'!W$10:W$115)</f>
        <v>0</v>
      </c>
      <c r="S109" s="8">
        <f>SUMIF('DAILY FIESTA'!$B$10:$B$115,$A109,'DAILY FIESTA'!X$10:X$115)</f>
        <v>0</v>
      </c>
      <c r="T109" s="8">
        <f>SUMIF('DAILY FIESTA'!$B$10:$B$115,$A109,'DAILY FIESTA'!Y$10:Y$115)</f>
        <v>0</v>
      </c>
      <c r="U109" s="8">
        <f>SUMIF('DAILY FIESTA'!$B$10:$B$115,$A109,'DAILY FIESTA'!Z$10:Z$115)</f>
        <v>0</v>
      </c>
      <c r="V109" s="8">
        <f>SUMIF('DAILY FIESTA'!$B$10:$B$115,$A109,'DAILY FIESTA'!AA$10:AA$115)</f>
        <v>0</v>
      </c>
      <c r="W109" s="59">
        <f t="shared" si="7"/>
        <v>0</v>
      </c>
      <c r="X109" s="60">
        <f t="shared" ca="1" si="8"/>
        <v>0</v>
      </c>
      <c r="Y109" s="47">
        <f t="shared" ca="1" si="9"/>
        <v>0</v>
      </c>
      <c r="Z109" s="88" t="e">
        <f t="shared" ca="1" si="10"/>
        <v>#DIV/0!</v>
      </c>
      <c r="AA109" s="89" t="e">
        <f t="shared" ca="1" si="11"/>
        <v>#DIV/0!</v>
      </c>
      <c r="AB109" s="112"/>
      <c r="AC109" s="48"/>
      <c r="AD109" s="89"/>
    </row>
    <row r="110" spans="1:30" hidden="1">
      <c r="A110" s="7"/>
      <c r="B110" s="8">
        <f ca="1">SUMIF('DAILY FIESTA'!$B$10:$B$115,$A110,'DAILY FIESTA'!$C$10:$C$114)</f>
        <v>0</v>
      </c>
      <c r="C110" s="8">
        <f>SUMIF('DAILY FIESTA'!$B$10:$B$115,$A110,'DAILY FIESTA'!H$10:H$115)</f>
        <v>0</v>
      </c>
      <c r="D110" s="8">
        <f>SUMIF('DAILY FIESTA'!$B$10:$B$115,$A110,'DAILY FIESTA'!I$10:I$115)</f>
        <v>0</v>
      </c>
      <c r="E110" s="8">
        <f>SUMIF('DAILY FIESTA'!$B$10:$B$115,$A110,'DAILY FIESTA'!J$10:J$115)</f>
        <v>0</v>
      </c>
      <c r="F110" s="8">
        <f>SUMIF('DAILY FIESTA'!$B$10:$B$115,$A110,'DAILY FIESTA'!K$10:K$115)</f>
        <v>0</v>
      </c>
      <c r="G110" s="8">
        <f>SUMIF('DAILY FIESTA'!$B$10:$B$115,$A110,'DAILY FIESTA'!L$10:L$115)</f>
        <v>0</v>
      </c>
      <c r="H110" s="8">
        <f>SUMIF('DAILY FIESTA'!$B$10:$B$115,$A110,'DAILY FIESTA'!M$10:M$115)</f>
        <v>0</v>
      </c>
      <c r="I110" s="8">
        <f>SUMIF('DAILY FIESTA'!$B$10:$B$115,$A110,'DAILY FIESTA'!N$10:N$115)</f>
        <v>0</v>
      </c>
      <c r="J110" s="8">
        <f>SUMIF('DAILY FIESTA'!$B$10:$B$115,$A110,'DAILY FIESTA'!O$10:O$115)</f>
        <v>0</v>
      </c>
      <c r="K110" s="8">
        <f>SUMIF('DAILY FIESTA'!$B$10:$B$115,$A110,'DAILY FIESTA'!P$10:P$115)</f>
        <v>0</v>
      </c>
      <c r="L110" s="8">
        <f>SUMIF('DAILY FIESTA'!$B$10:$B$115,$A110,'DAILY FIESTA'!Q$10:Q$115)</f>
        <v>0</v>
      </c>
      <c r="M110" s="8">
        <f>SUMIF('DAILY FIESTA'!$B$10:$B$115,$A110,'DAILY FIESTA'!R$10:R$115)</f>
        <v>0</v>
      </c>
      <c r="N110" s="8">
        <f>SUMIF('DAILY FIESTA'!$B$10:$B$115,$A110,'DAILY FIESTA'!S$10:S$115)</f>
        <v>0</v>
      </c>
      <c r="O110" s="8">
        <f>SUMIF('DAILY FIESTA'!$B$10:$B$115,$A110,'DAILY FIESTA'!T$10:T$115)</f>
        <v>0</v>
      </c>
      <c r="P110" s="8">
        <f>SUMIF('DAILY FIESTA'!$B$10:$B$115,$A110,'DAILY FIESTA'!U$10:U$115)</f>
        <v>0</v>
      </c>
      <c r="Q110" s="8">
        <f>SUMIF('DAILY FIESTA'!$B$10:$B$115,$A110,'DAILY FIESTA'!V$10:V$115)</f>
        <v>0</v>
      </c>
      <c r="R110" s="8">
        <f>SUMIF('DAILY FIESTA'!$B$10:$B$115,$A110,'DAILY FIESTA'!W$10:W$115)</f>
        <v>0</v>
      </c>
      <c r="S110" s="8">
        <f>SUMIF('DAILY FIESTA'!$B$10:$B$115,$A110,'DAILY FIESTA'!X$10:X$115)</f>
        <v>0</v>
      </c>
      <c r="T110" s="8">
        <f>SUMIF('DAILY FIESTA'!$B$10:$B$115,$A110,'DAILY FIESTA'!Y$10:Y$115)</f>
        <v>0</v>
      </c>
      <c r="U110" s="8">
        <f>SUMIF('DAILY FIESTA'!$B$10:$B$115,$A110,'DAILY FIESTA'!Z$10:Z$115)</f>
        <v>0</v>
      </c>
      <c r="V110" s="8">
        <f>SUMIF('DAILY FIESTA'!$B$10:$B$115,$A110,'DAILY FIESTA'!AA$10:AA$115)</f>
        <v>0</v>
      </c>
      <c r="W110" s="59">
        <f t="shared" si="7"/>
        <v>0</v>
      </c>
      <c r="X110" s="60">
        <f t="shared" ca="1" si="8"/>
        <v>0</v>
      </c>
      <c r="Y110" s="47">
        <f t="shared" ca="1" si="9"/>
        <v>0</v>
      </c>
      <c r="Z110" s="88" t="e">
        <f t="shared" ca="1" si="10"/>
        <v>#DIV/0!</v>
      </c>
      <c r="AA110" s="89" t="e">
        <f t="shared" ca="1" si="11"/>
        <v>#DIV/0!</v>
      </c>
      <c r="AB110" s="112"/>
      <c r="AC110" s="48"/>
      <c r="AD110" s="89"/>
    </row>
    <row r="111" spans="1:30" hidden="1">
      <c r="A111" s="7"/>
      <c r="B111" s="8">
        <f ca="1">SUMIF('DAILY FIESTA'!$B$10:$B$115,$A111,'DAILY FIESTA'!$C$10:$C$114)</f>
        <v>0</v>
      </c>
      <c r="C111" s="8">
        <f>SUMIF('DAILY FIESTA'!$B$10:$B$115,$A111,'DAILY FIESTA'!H$10:H$115)</f>
        <v>0</v>
      </c>
      <c r="D111" s="8">
        <f>SUMIF('DAILY FIESTA'!$B$10:$B$115,$A111,'DAILY FIESTA'!I$10:I$115)</f>
        <v>0</v>
      </c>
      <c r="E111" s="8">
        <f>SUMIF('DAILY FIESTA'!$B$10:$B$115,$A111,'DAILY FIESTA'!J$10:J$115)</f>
        <v>0</v>
      </c>
      <c r="F111" s="8">
        <f>SUMIF('DAILY FIESTA'!$B$10:$B$115,$A111,'DAILY FIESTA'!K$10:K$115)</f>
        <v>0</v>
      </c>
      <c r="G111" s="8">
        <f>SUMIF('DAILY FIESTA'!$B$10:$B$115,$A111,'DAILY FIESTA'!L$10:L$115)</f>
        <v>0</v>
      </c>
      <c r="H111" s="8">
        <f>SUMIF('DAILY FIESTA'!$B$10:$B$115,$A111,'DAILY FIESTA'!M$10:M$115)</f>
        <v>0</v>
      </c>
      <c r="I111" s="8">
        <f>SUMIF('DAILY FIESTA'!$B$10:$B$115,$A111,'DAILY FIESTA'!N$10:N$115)</f>
        <v>0</v>
      </c>
      <c r="J111" s="8">
        <f>SUMIF('DAILY FIESTA'!$B$10:$B$115,$A111,'DAILY FIESTA'!O$10:O$115)</f>
        <v>0</v>
      </c>
      <c r="K111" s="8">
        <f>SUMIF('DAILY FIESTA'!$B$10:$B$115,$A111,'DAILY FIESTA'!P$10:P$115)</f>
        <v>0</v>
      </c>
      <c r="L111" s="8">
        <f>SUMIF('DAILY FIESTA'!$B$10:$B$115,$A111,'DAILY FIESTA'!Q$10:Q$115)</f>
        <v>0</v>
      </c>
      <c r="M111" s="8">
        <f>SUMIF('DAILY FIESTA'!$B$10:$B$115,$A111,'DAILY FIESTA'!R$10:R$115)</f>
        <v>0</v>
      </c>
      <c r="N111" s="8">
        <f>SUMIF('DAILY FIESTA'!$B$10:$B$115,$A111,'DAILY FIESTA'!S$10:S$115)</f>
        <v>0</v>
      </c>
      <c r="O111" s="8">
        <f>SUMIF('DAILY FIESTA'!$B$10:$B$115,$A111,'DAILY FIESTA'!T$10:T$115)</f>
        <v>0</v>
      </c>
      <c r="P111" s="8">
        <f>SUMIF('DAILY FIESTA'!$B$10:$B$115,$A111,'DAILY FIESTA'!U$10:U$115)</f>
        <v>0</v>
      </c>
      <c r="Q111" s="8">
        <f>SUMIF('DAILY FIESTA'!$B$10:$B$115,$A111,'DAILY FIESTA'!V$10:V$115)</f>
        <v>0</v>
      </c>
      <c r="R111" s="8">
        <f>SUMIF('DAILY FIESTA'!$B$10:$B$115,$A111,'DAILY FIESTA'!W$10:W$115)</f>
        <v>0</v>
      </c>
      <c r="S111" s="8">
        <f>SUMIF('DAILY FIESTA'!$B$10:$B$115,$A111,'DAILY FIESTA'!X$10:X$115)</f>
        <v>0</v>
      </c>
      <c r="T111" s="8">
        <f>SUMIF('DAILY FIESTA'!$B$10:$B$115,$A111,'DAILY FIESTA'!Y$10:Y$115)</f>
        <v>0</v>
      </c>
      <c r="U111" s="8">
        <f>SUMIF('DAILY FIESTA'!$B$10:$B$115,$A111,'DAILY FIESTA'!Z$10:Z$115)</f>
        <v>0</v>
      </c>
      <c r="V111" s="8">
        <f>SUMIF('DAILY FIESTA'!$B$10:$B$115,$A111,'DAILY FIESTA'!AA$10:AA$115)</f>
        <v>0</v>
      </c>
      <c r="W111" s="59">
        <f t="shared" si="7"/>
        <v>0</v>
      </c>
      <c r="X111" s="60">
        <f t="shared" ca="1" si="8"/>
        <v>0</v>
      </c>
      <c r="Y111" s="47">
        <f t="shared" ca="1" si="9"/>
        <v>0</v>
      </c>
      <c r="Z111" s="88" t="e">
        <f t="shared" ca="1" si="10"/>
        <v>#DIV/0!</v>
      </c>
      <c r="AA111" s="89" t="e">
        <f t="shared" ca="1" si="11"/>
        <v>#DIV/0!</v>
      </c>
      <c r="AB111" s="112"/>
      <c r="AC111" s="48"/>
      <c r="AD111" s="89"/>
    </row>
    <row r="112" spans="1:30" hidden="1">
      <c r="A112" s="7"/>
      <c r="B112" s="8">
        <f ca="1">SUMIF('DAILY FIESTA'!$B$10:$B$115,$A112,'DAILY FIESTA'!$C$10:$C$114)</f>
        <v>0</v>
      </c>
      <c r="C112" s="8">
        <f>SUMIF('DAILY FIESTA'!$B$10:$B$115,$A112,'DAILY FIESTA'!H$10:H$115)</f>
        <v>0</v>
      </c>
      <c r="D112" s="8">
        <f>SUMIF('DAILY FIESTA'!$B$10:$B$115,$A112,'DAILY FIESTA'!I$10:I$115)</f>
        <v>0</v>
      </c>
      <c r="E112" s="8">
        <f>SUMIF('DAILY FIESTA'!$B$10:$B$115,$A112,'DAILY FIESTA'!J$10:J$115)</f>
        <v>0</v>
      </c>
      <c r="F112" s="8">
        <f>SUMIF('DAILY FIESTA'!$B$10:$B$115,$A112,'DAILY FIESTA'!K$10:K$115)</f>
        <v>0</v>
      </c>
      <c r="G112" s="8">
        <f>SUMIF('DAILY FIESTA'!$B$10:$B$115,$A112,'DAILY FIESTA'!L$10:L$115)</f>
        <v>0</v>
      </c>
      <c r="H112" s="8">
        <f>SUMIF('DAILY FIESTA'!$B$10:$B$115,$A112,'DAILY FIESTA'!M$10:M$115)</f>
        <v>0</v>
      </c>
      <c r="I112" s="8">
        <f>SUMIF('DAILY FIESTA'!$B$10:$B$115,$A112,'DAILY FIESTA'!N$10:N$115)</f>
        <v>0</v>
      </c>
      <c r="J112" s="8">
        <f>SUMIF('DAILY FIESTA'!$B$10:$B$115,$A112,'DAILY FIESTA'!O$10:O$115)</f>
        <v>0</v>
      </c>
      <c r="K112" s="8">
        <f>SUMIF('DAILY FIESTA'!$B$10:$B$115,$A112,'DAILY FIESTA'!P$10:P$115)</f>
        <v>0</v>
      </c>
      <c r="L112" s="8">
        <f>SUMIF('DAILY FIESTA'!$B$10:$B$115,$A112,'DAILY FIESTA'!Q$10:Q$115)</f>
        <v>0</v>
      </c>
      <c r="M112" s="8">
        <f>SUMIF('DAILY FIESTA'!$B$10:$B$115,$A112,'DAILY FIESTA'!R$10:R$115)</f>
        <v>0</v>
      </c>
      <c r="N112" s="8">
        <f>SUMIF('DAILY FIESTA'!$B$10:$B$115,$A112,'DAILY FIESTA'!S$10:S$115)</f>
        <v>0</v>
      </c>
      <c r="O112" s="8">
        <f>SUMIF('DAILY FIESTA'!$B$10:$B$115,$A112,'DAILY FIESTA'!T$10:T$115)</f>
        <v>0</v>
      </c>
      <c r="P112" s="8">
        <f>SUMIF('DAILY FIESTA'!$B$10:$B$115,$A112,'DAILY FIESTA'!U$10:U$115)</f>
        <v>0</v>
      </c>
      <c r="Q112" s="8">
        <f>SUMIF('DAILY FIESTA'!$B$10:$B$115,$A112,'DAILY FIESTA'!V$10:V$115)</f>
        <v>0</v>
      </c>
      <c r="R112" s="8">
        <f>SUMIF('DAILY FIESTA'!$B$10:$B$115,$A112,'DAILY FIESTA'!W$10:W$115)</f>
        <v>0</v>
      </c>
      <c r="S112" s="8">
        <f>SUMIF('DAILY FIESTA'!$B$10:$B$115,$A112,'DAILY FIESTA'!X$10:X$115)</f>
        <v>0</v>
      </c>
      <c r="T112" s="8">
        <f>SUMIF('DAILY FIESTA'!$B$10:$B$115,$A112,'DAILY FIESTA'!Y$10:Y$115)</f>
        <v>0</v>
      </c>
      <c r="U112" s="8">
        <f>SUMIF('DAILY FIESTA'!$B$10:$B$115,$A112,'DAILY FIESTA'!Z$10:Z$115)</f>
        <v>0</v>
      </c>
      <c r="V112" s="8">
        <f>SUMIF('DAILY FIESTA'!$B$10:$B$115,$A112,'DAILY FIESTA'!AA$10:AA$115)</f>
        <v>0</v>
      </c>
      <c r="W112" s="59">
        <f t="shared" si="7"/>
        <v>0</v>
      </c>
      <c r="X112" s="60">
        <f t="shared" ca="1" si="8"/>
        <v>0</v>
      </c>
      <c r="Y112" s="47">
        <f t="shared" ca="1" si="9"/>
        <v>0</v>
      </c>
      <c r="Z112" s="88" t="e">
        <f t="shared" ca="1" si="10"/>
        <v>#DIV/0!</v>
      </c>
      <c r="AA112" s="89" t="e">
        <f t="shared" ca="1" si="11"/>
        <v>#DIV/0!</v>
      </c>
      <c r="AB112" s="112"/>
      <c r="AC112" s="48"/>
      <c r="AD112" s="89"/>
    </row>
    <row r="113" spans="1:30" hidden="1">
      <c r="A113" s="7"/>
      <c r="B113" s="8">
        <f ca="1">SUMIF('DAILY FIESTA'!$B$10:$B$115,$A113,'DAILY FIESTA'!$C$10:$C$114)</f>
        <v>0</v>
      </c>
      <c r="C113" s="8">
        <f>SUMIF('DAILY FIESTA'!$B$10:$B$115,$A113,'DAILY FIESTA'!H$10:H$115)</f>
        <v>0</v>
      </c>
      <c r="D113" s="8">
        <f>SUMIF('DAILY FIESTA'!$B$10:$B$115,$A113,'DAILY FIESTA'!I$10:I$115)</f>
        <v>0</v>
      </c>
      <c r="E113" s="8">
        <f>SUMIF('DAILY FIESTA'!$B$10:$B$115,$A113,'DAILY FIESTA'!J$10:J$115)</f>
        <v>0</v>
      </c>
      <c r="F113" s="8">
        <f>SUMIF('DAILY FIESTA'!$B$10:$B$115,$A113,'DAILY FIESTA'!K$10:K$115)</f>
        <v>0</v>
      </c>
      <c r="G113" s="8">
        <f>SUMIF('DAILY FIESTA'!$B$10:$B$115,$A113,'DAILY FIESTA'!L$10:L$115)</f>
        <v>0</v>
      </c>
      <c r="H113" s="8">
        <f>SUMIF('DAILY FIESTA'!$B$10:$B$115,$A113,'DAILY FIESTA'!M$10:M$115)</f>
        <v>0</v>
      </c>
      <c r="I113" s="8">
        <f>SUMIF('DAILY FIESTA'!$B$10:$B$115,$A113,'DAILY FIESTA'!N$10:N$115)</f>
        <v>0</v>
      </c>
      <c r="J113" s="8">
        <f>SUMIF('DAILY FIESTA'!$B$10:$B$115,$A113,'DAILY FIESTA'!O$10:O$115)</f>
        <v>0</v>
      </c>
      <c r="K113" s="8">
        <f>SUMIF('DAILY FIESTA'!$B$10:$B$115,$A113,'DAILY FIESTA'!P$10:P$115)</f>
        <v>0</v>
      </c>
      <c r="L113" s="8">
        <f>SUMIF('DAILY FIESTA'!$B$10:$B$115,$A113,'DAILY FIESTA'!Q$10:Q$115)</f>
        <v>0</v>
      </c>
      <c r="M113" s="8">
        <f>SUMIF('DAILY FIESTA'!$B$10:$B$115,$A113,'DAILY FIESTA'!R$10:R$115)</f>
        <v>0</v>
      </c>
      <c r="N113" s="8">
        <f>SUMIF('DAILY FIESTA'!$B$10:$B$115,$A113,'DAILY FIESTA'!S$10:S$115)</f>
        <v>0</v>
      </c>
      <c r="O113" s="8">
        <f>SUMIF('DAILY FIESTA'!$B$10:$B$115,$A113,'DAILY FIESTA'!T$10:T$115)</f>
        <v>0</v>
      </c>
      <c r="P113" s="8">
        <f>SUMIF('DAILY FIESTA'!$B$10:$B$115,$A113,'DAILY FIESTA'!U$10:U$115)</f>
        <v>0</v>
      </c>
      <c r="Q113" s="8">
        <f>SUMIF('DAILY FIESTA'!$B$10:$B$115,$A113,'DAILY FIESTA'!V$10:V$115)</f>
        <v>0</v>
      </c>
      <c r="R113" s="8">
        <f>SUMIF('DAILY FIESTA'!$B$10:$B$115,$A113,'DAILY FIESTA'!W$10:W$115)</f>
        <v>0</v>
      </c>
      <c r="S113" s="8">
        <f>SUMIF('DAILY FIESTA'!$B$10:$B$115,$A113,'DAILY FIESTA'!X$10:X$115)</f>
        <v>0</v>
      </c>
      <c r="T113" s="8">
        <f>SUMIF('DAILY FIESTA'!$B$10:$B$115,$A113,'DAILY FIESTA'!Y$10:Y$115)</f>
        <v>0</v>
      </c>
      <c r="U113" s="8">
        <f>SUMIF('DAILY FIESTA'!$B$10:$B$115,$A113,'DAILY FIESTA'!Z$10:Z$115)</f>
        <v>0</v>
      </c>
      <c r="V113" s="8">
        <f>SUMIF('DAILY FIESTA'!$B$10:$B$115,$A113,'DAILY FIESTA'!AA$10:AA$115)</f>
        <v>0</v>
      </c>
      <c r="W113" s="59">
        <f t="shared" si="7"/>
        <v>0</v>
      </c>
      <c r="X113" s="60">
        <f t="shared" ca="1" si="8"/>
        <v>0</v>
      </c>
      <c r="Y113" s="47">
        <f t="shared" ca="1" si="9"/>
        <v>0</v>
      </c>
      <c r="Z113" s="88" t="e">
        <f t="shared" ca="1" si="10"/>
        <v>#DIV/0!</v>
      </c>
      <c r="AA113" s="89" t="e">
        <f t="shared" ca="1" si="11"/>
        <v>#DIV/0!</v>
      </c>
      <c r="AB113" s="112"/>
      <c r="AC113" s="48"/>
      <c r="AD113" s="89"/>
    </row>
    <row r="114" spans="1:30" hidden="1">
      <c r="A114" s="7"/>
      <c r="B114" s="8">
        <f ca="1">SUMIF('DAILY FIESTA'!$B$10:$B$115,$A114,'DAILY FIESTA'!$C$10:$C$114)</f>
        <v>0</v>
      </c>
      <c r="C114" s="8">
        <f>SUMIF('DAILY FIESTA'!$B$10:$B$115,$A114,'DAILY FIESTA'!H$10:H$115)</f>
        <v>0</v>
      </c>
      <c r="D114" s="8">
        <f>SUMIF('DAILY FIESTA'!$B$10:$B$115,$A114,'DAILY FIESTA'!I$10:I$115)</f>
        <v>0</v>
      </c>
      <c r="E114" s="8">
        <f>SUMIF('DAILY FIESTA'!$B$10:$B$115,$A114,'DAILY FIESTA'!J$10:J$115)</f>
        <v>0</v>
      </c>
      <c r="F114" s="8">
        <f>SUMIF('DAILY FIESTA'!$B$10:$B$115,$A114,'DAILY FIESTA'!K$10:K$115)</f>
        <v>0</v>
      </c>
      <c r="G114" s="8">
        <f>SUMIF('DAILY FIESTA'!$B$10:$B$115,$A114,'DAILY FIESTA'!L$10:L$115)</f>
        <v>0</v>
      </c>
      <c r="H114" s="8">
        <f>SUMIF('DAILY FIESTA'!$B$10:$B$115,$A114,'DAILY FIESTA'!M$10:M$115)</f>
        <v>0</v>
      </c>
      <c r="I114" s="8">
        <f>SUMIF('DAILY FIESTA'!$B$10:$B$115,$A114,'DAILY FIESTA'!N$10:N$115)</f>
        <v>0</v>
      </c>
      <c r="J114" s="8">
        <f>SUMIF('DAILY FIESTA'!$B$10:$B$115,$A114,'DAILY FIESTA'!O$10:O$115)</f>
        <v>0</v>
      </c>
      <c r="K114" s="8">
        <f>SUMIF('DAILY FIESTA'!$B$10:$B$115,$A114,'DAILY FIESTA'!P$10:P$115)</f>
        <v>0</v>
      </c>
      <c r="L114" s="8">
        <f>SUMIF('DAILY FIESTA'!$B$10:$B$115,$A114,'DAILY FIESTA'!Q$10:Q$115)</f>
        <v>0</v>
      </c>
      <c r="M114" s="8">
        <f>SUMIF('DAILY FIESTA'!$B$10:$B$115,$A114,'DAILY FIESTA'!R$10:R$115)</f>
        <v>0</v>
      </c>
      <c r="N114" s="8">
        <f>SUMIF('DAILY FIESTA'!$B$10:$B$115,$A114,'DAILY FIESTA'!S$10:S$115)</f>
        <v>0</v>
      </c>
      <c r="O114" s="8">
        <f>SUMIF('DAILY FIESTA'!$B$10:$B$115,$A114,'DAILY FIESTA'!T$10:T$115)</f>
        <v>0</v>
      </c>
      <c r="P114" s="8">
        <f>SUMIF('DAILY FIESTA'!$B$10:$B$115,$A114,'DAILY FIESTA'!U$10:U$115)</f>
        <v>0</v>
      </c>
      <c r="Q114" s="8">
        <f>SUMIF('DAILY FIESTA'!$B$10:$B$115,$A114,'DAILY FIESTA'!V$10:V$115)</f>
        <v>0</v>
      </c>
      <c r="R114" s="8">
        <f>SUMIF('DAILY FIESTA'!$B$10:$B$115,$A114,'DAILY FIESTA'!W$10:W$115)</f>
        <v>0</v>
      </c>
      <c r="S114" s="8">
        <f>SUMIF('DAILY FIESTA'!$B$10:$B$115,$A114,'DAILY FIESTA'!X$10:X$115)</f>
        <v>0</v>
      </c>
      <c r="T114" s="8">
        <f>SUMIF('DAILY FIESTA'!$B$10:$B$115,$A114,'DAILY FIESTA'!Y$10:Y$115)</f>
        <v>0</v>
      </c>
      <c r="U114" s="8">
        <f>SUMIF('DAILY FIESTA'!$B$10:$B$115,$A114,'DAILY FIESTA'!Z$10:Z$115)</f>
        <v>0</v>
      </c>
      <c r="V114" s="8">
        <f>SUMIF('DAILY FIESTA'!$B$10:$B$115,$A114,'DAILY FIESTA'!AA$10:AA$115)</f>
        <v>0</v>
      </c>
      <c r="W114" s="59">
        <f t="shared" si="7"/>
        <v>0</v>
      </c>
      <c r="X114" s="60">
        <f t="shared" ca="1" si="8"/>
        <v>0</v>
      </c>
      <c r="Y114" s="47">
        <f t="shared" ca="1" si="9"/>
        <v>0</v>
      </c>
      <c r="Z114" s="88" t="e">
        <f t="shared" ca="1" si="10"/>
        <v>#DIV/0!</v>
      </c>
      <c r="AA114" s="89" t="e">
        <f t="shared" ca="1" si="11"/>
        <v>#DIV/0!</v>
      </c>
      <c r="AB114" s="112"/>
      <c r="AC114" s="48"/>
      <c r="AD114" s="89"/>
    </row>
    <row r="115" spans="1:30" hidden="1">
      <c r="A115" s="7"/>
      <c r="B115" s="8">
        <f ca="1">SUMIF('DAILY FIESTA'!$B$10:$B$115,$A115,'DAILY FIESTA'!$C$10:$C$114)</f>
        <v>0</v>
      </c>
      <c r="C115" s="8">
        <f>SUMIF('DAILY FIESTA'!$B$10:$B$115,$A115,'DAILY FIESTA'!H$10:H$115)</f>
        <v>0</v>
      </c>
      <c r="D115" s="8">
        <f>SUMIF('DAILY FIESTA'!$B$10:$B$115,$A115,'DAILY FIESTA'!I$10:I$115)</f>
        <v>0</v>
      </c>
      <c r="E115" s="8">
        <f>SUMIF('DAILY FIESTA'!$B$10:$B$115,$A115,'DAILY FIESTA'!J$10:J$115)</f>
        <v>0</v>
      </c>
      <c r="F115" s="8">
        <f>SUMIF('DAILY FIESTA'!$B$10:$B$115,$A115,'DAILY FIESTA'!K$10:K$115)</f>
        <v>0</v>
      </c>
      <c r="G115" s="8">
        <f>SUMIF('DAILY FIESTA'!$B$10:$B$115,$A115,'DAILY FIESTA'!L$10:L$115)</f>
        <v>0</v>
      </c>
      <c r="H115" s="8">
        <f>SUMIF('DAILY FIESTA'!$B$10:$B$115,$A115,'DAILY FIESTA'!M$10:M$115)</f>
        <v>0</v>
      </c>
      <c r="I115" s="8">
        <f>SUMIF('DAILY FIESTA'!$B$10:$B$115,$A115,'DAILY FIESTA'!N$10:N$115)</f>
        <v>0</v>
      </c>
      <c r="J115" s="8">
        <f>SUMIF('DAILY FIESTA'!$B$10:$B$115,$A115,'DAILY FIESTA'!O$10:O$115)</f>
        <v>0</v>
      </c>
      <c r="K115" s="8">
        <f>SUMIF('DAILY FIESTA'!$B$10:$B$115,$A115,'DAILY FIESTA'!P$10:P$115)</f>
        <v>0</v>
      </c>
      <c r="L115" s="8">
        <f>SUMIF('DAILY FIESTA'!$B$10:$B$115,$A115,'DAILY FIESTA'!Q$10:Q$115)</f>
        <v>0</v>
      </c>
      <c r="M115" s="8">
        <f>SUMIF('DAILY FIESTA'!$B$10:$B$115,$A115,'DAILY FIESTA'!R$10:R$115)</f>
        <v>0</v>
      </c>
      <c r="N115" s="8">
        <f>SUMIF('DAILY FIESTA'!$B$10:$B$115,$A115,'DAILY FIESTA'!S$10:S$115)</f>
        <v>0</v>
      </c>
      <c r="O115" s="8">
        <f>SUMIF('DAILY FIESTA'!$B$10:$B$115,$A115,'DAILY FIESTA'!T$10:T$115)</f>
        <v>0</v>
      </c>
      <c r="P115" s="8">
        <f>SUMIF('DAILY FIESTA'!$B$10:$B$115,$A115,'DAILY FIESTA'!U$10:U$115)</f>
        <v>0</v>
      </c>
      <c r="Q115" s="8">
        <f>SUMIF('DAILY FIESTA'!$B$10:$B$115,$A115,'DAILY FIESTA'!V$10:V$115)</f>
        <v>0</v>
      </c>
      <c r="R115" s="8">
        <f>SUMIF('DAILY FIESTA'!$B$10:$B$115,$A115,'DAILY FIESTA'!W$10:W$115)</f>
        <v>0</v>
      </c>
      <c r="S115" s="8">
        <f>SUMIF('DAILY FIESTA'!$B$10:$B$115,$A115,'DAILY FIESTA'!X$10:X$115)</f>
        <v>0</v>
      </c>
      <c r="T115" s="8">
        <f>SUMIF('DAILY FIESTA'!$B$10:$B$115,$A115,'DAILY FIESTA'!Y$10:Y$115)</f>
        <v>0</v>
      </c>
      <c r="U115" s="8">
        <f>SUMIF('DAILY FIESTA'!$B$10:$B$115,$A115,'DAILY FIESTA'!Z$10:Z$115)</f>
        <v>0</v>
      </c>
      <c r="V115" s="8">
        <f>SUMIF('DAILY FIESTA'!$B$10:$B$115,$A115,'DAILY FIESTA'!AA$10:AA$115)</f>
        <v>0</v>
      </c>
      <c r="W115" s="59">
        <f t="shared" si="7"/>
        <v>0</v>
      </c>
      <c r="X115" s="60">
        <f t="shared" ca="1" si="8"/>
        <v>0</v>
      </c>
      <c r="Y115" s="47">
        <f t="shared" ca="1" si="9"/>
        <v>0</v>
      </c>
      <c r="Z115" s="88" t="e">
        <f t="shared" ca="1" si="10"/>
        <v>#DIV/0!</v>
      </c>
      <c r="AA115" s="89" t="e">
        <f t="shared" ca="1" si="11"/>
        <v>#DIV/0!</v>
      </c>
      <c r="AB115" s="112"/>
      <c r="AC115" s="48"/>
      <c r="AD115" s="89"/>
    </row>
    <row r="116" spans="1:30" hidden="1">
      <c r="A116" s="7"/>
      <c r="B116" s="8">
        <f ca="1">SUMIF('DAILY FIESTA'!$B$10:$B$115,$A116,'DAILY FIESTA'!$C$10:$C$114)</f>
        <v>0</v>
      </c>
      <c r="C116" s="8">
        <f>SUMIF('DAILY FIESTA'!$B$10:$B$115,$A116,'DAILY FIESTA'!H$10:H$115)</f>
        <v>0</v>
      </c>
      <c r="D116" s="8">
        <f>SUMIF('DAILY FIESTA'!$B$10:$B$115,$A116,'DAILY FIESTA'!I$10:I$115)</f>
        <v>0</v>
      </c>
      <c r="E116" s="8">
        <f>SUMIF('DAILY FIESTA'!$B$10:$B$115,$A116,'DAILY FIESTA'!J$10:J$115)</f>
        <v>0</v>
      </c>
      <c r="F116" s="8">
        <f>SUMIF('DAILY FIESTA'!$B$10:$B$115,$A116,'DAILY FIESTA'!K$10:K$115)</f>
        <v>0</v>
      </c>
      <c r="G116" s="8">
        <f>SUMIF('DAILY FIESTA'!$B$10:$B$115,$A116,'DAILY FIESTA'!L$10:L$115)</f>
        <v>0</v>
      </c>
      <c r="H116" s="8">
        <f>SUMIF('DAILY FIESTA'!$B$10:$B$115,$A116,'DAILY FIESTA'!M$10:M$115)</f>
        <v>0</v>
      </c>
      <c r="I116" s="8">
        <f>SUMIF('DAILY FIESTA'!$B$10:$B$115,$A116,'DAILY FIESTA'!N$10:N$115)</f>
        <v>0</v>
      </c>
      <c r="J116" s="8">
        <f>SUMIF('DAILY FIESTA'!$B$10:$B$115,$A116,'DAILY FIESTA'!O$10:O$115)</f>
        <v>0</v>
      </c>
      <c r="K116" s="8">
        <f>SUMIF('DAILY FIESTA'!$B$10:$B$115,$A116,'DAILY FIESTA'!P$10:P$115)</f>
        <v>0</v>
      </c>
      <c r="L116" s="8">
        <f>SUMIF('DAILY FIESTA'!$B$10:$B$115,$A116,'DAILY FIESTA'!Q$10:Q$115)</f>
        <v>0</v>
      </c>
      <c r="M116" s="8">
        <f>SUMIF('DAILY FIESTA'!$B$10:$B$115,$A116,'DAILY FIESTA'!R$10:R$115)</f>
        <v>0</v>
      </c>
      <c r="N116" s="8">
        <f>SUMIF('DAILY FIESTA'!$B$10:$B$115,$A116,'DAILY FIESTA'!S$10:S$115)</f>
        <v>0</v>
      </c>
      <c r="O116" s="8">
        <f>SUMIF('DAILY FIESTA'!$B$10:$B$115,$A116,'DAILY FIESTA'!T$10:T$115)</f>
        <v>0</v>
      </c>
      <c r="P116" s="8">
        <f>SUMIF('DAILY FIESTA'!$B$10:$B$115,$A116,'DAILY FIESTA'!U$10:U$115)</f>
        <v>0</v>
      </c>
      <c r="Q116" s="8">
        <f>SUMIF('DAILY FIESTA'!$B$10:$B$115,$A116,'DAILY FIESTA'!V$10:V$115)</f>
        <v>0</v>
      </c>
      <c r="R116" s="8">
        <f>SUMIF('DAILY FIESTA'!$B$10:$B$115,$A116,'DAILY FIESTA'!W$10:W$115)</f>
        <v>0</v>
      </c>
      <c r="S116" s="8">
        <f>SUMIF('DAILY FIESTA'!$B$10:$B$115,$A116,'DAILY FIESTA'!X$10:X$115)</f>
        <v>0</v>
      </c>
      <c r="T116" s="8">
        <f>SUMIF('DAILY FIESTA'!$B$10:$B$115,$A116,'DAILY FIESTA'!Y$10:Y$115)</f>
        <v>0</v>
      </c>
      <c r="U116" s="8">
        <f>SUMIF('DAILY FIESTA'!$B$10:$B$115,$A116,'DAILY FIESTA'!Z$10:Z$115)</f>
        <v>0</v>
      </c>
      <c r="V116" s="8">
        <f>SUMIF('DAILY FIESTA'!$B$10:$B$115,$A116,'DAILY FIESTA'!AA$10:AA$115)</f>
        <v>0</v>
      </c>
      <c r="W116" s="59">
        <f t="shared" si="7"/>
        <v>0</v>
      </c>
      <c r="X116" s="60">
        <f t="shared" ca="1" si="8"/>
        <v>0</v>
      </c>
      <c r="Y116" s="47">
        <f t="shared" ca="1" si="9"/>
        <v>0</v>
      </c>
      <c r="Z116" s="88" t="e">
        <f t="shared" ca="1" si="10"/>
        <v>#DIV/0!</v>
      </c>
      <c r="AA116" s="89" t="e">
        <f t="shared" ca="1" si="11"/>
        <v>#DIV/0!</v>
      </c>
      <c r="AB116" s="112"/>
      <c r="AC116" s="48"/>
      <c r="AD116" s="89"/>
    </row>
    <row r="117" spans="1:30" hidden="1">
      <c r="A117" s="7"/>
      <c r="B117" s="8">
        <f ca="1">SUMIF('DAILY FIESTA'!$B$10:$B$115,$A117,'DAILY FIESTA'!$C$10:$C$114)</f>
        <v>0</v>
      </c>
      <c r="C117" s="8">
        <f>SUMIF('DAILY FIESTA'!$B$10:$B$115,$A117,'DAILY FIESTA'!H$10:H$115)</f>
        <v>0</v>
      </c>
      <c r="D117" s="8">
        <f>SUMIF('DAILY FIESTA'!$B$10:$B$115,$A117,'DAILY FIESTA'!I$10:I$115)</f>
        <v>0</v>
      </c>
      <c r="E117" s="8">
        <f>SUMIF('DAILY FIESTA'!$B$10:$B$115,$A117,'DAILY FIESTA'!J$10:J$115)</f>
        <v>0</v>
      </c>
      <c r="F117" s="8">
        <f>SUMIF('DAILY FIESTA'!$B$10:$B$115,$A117,'DAILY FIESTA'!K$10:K$115)</f>
        <v>0</v>
      </c>
      <c r="G117" s="8">
        <f>SUMIF('DAILY FIESTA'!$B$10:$B$115,$A117,'DAILY FIESTA'!L$10:L$115)</f>
        <v>0</v>
      </c>
      <c r="H117" s="8">
        <f>SUMIF('DAILY FIESTA'!$B$10:$B$115,$A117,'DAILY FIESTA'!M$10:M$115)</f>
        <v>0</v>
      </c>
      <c r="I117" s="8">
        <f>SUMIF('DAILY FIESTA'!$B$10:$B$115,$A117,'DAILY FIESTA'!N$10:N$115)</f>
        <v>0</v>
      </c>
      <c r="J117" s="8">
        <f>SUMIF('DAILY FIESTA'!$B$10:$B$115,$A117,'DAILY FIESTA'!O$10:O$115)</f>
        <v>0</v>
      </c>
      <c r="K117" s="8">
        <f>SUMIF('DAILY FIESTA'!$B$10:$B$115,$A117,'DAILY FIESTA'!P$10:P$115)</f>
        <v>0</v>
      </c>
      <c r="L117" s="8">
        <f>SUMIF('DAILY FIESTA'!$B$10:$B$115,$A117,'DAILY FIESTA'!Q$10:Q$115)</f>
        <v>0</v>
      </c>
      <c r="M117" s="8">
        <f>SUMIF('DAILY FIESTA'!$B$10:$B$115,$A117,'DAILY FIESTA'!R$10:R$115)</f>
        <v>0</v>
      </c>
      <c r="N117" s="8">
        <f>SUMIF('DAILY FIESTA'!$B$10:$B$115,$A117,'DAILY FIESTA'!S$10:S$115)</f>
        <v>0</v>
      </c>
      <c r="O117" s="8">
        <f>SUMIF('DAILY FIESTA'!$B$10:$B$115,$A117,'DAILY FIESTA'!T$10:T$115)</f>
        <v>0</v>
      </c>
      <c r="P117" s="8">
        <f>SUMIF('DAILY FIESTA'!$B$10:$B$115,$A117,'DAILY FIESTA'!U$10:U$115)</f>
        <v>0</v>
      </c>
      <c r="Q117" s="8">
        <f>SUMIF('DAILY FIESTA'!$B$10:$B$115,$A117,'DAILY FIESTA'!V$10:V$115)</f>
        <v>0</v>
      </c>
      <c r="R117" s="8">
        <f>SUMIF('DAILY FIESTA'!$B$10:$B$115,$A117,'DAILY FIESTA'!W$10:W$115)</f>
        <v>0</v>
      </c>
      <c r="S117" s="8">
        <f>SUMIF('DAILY FIESTA'!$B$10:$B$115,$A117,'DAILY FIESTA'!X$10:X$115)</f>
        <v>0</v>
      </c>
      <c r="T117" s="8">
        <f>SUMIF('DAILY FIESTA'!$B$10:$B$115,$A117,'DAILY FIESTA'!Y$10:Y$115)</f>
        <v>0</v>
      </c>
      <c r="U117" s="8">
        <f>SUMIF('DAILY FIESTA'!$B$10:$B$115,$A117,'DAILY FIESTA'!Z$10:Z$115)</f>
        <v>0</v>
      </c>
      <c r="V117" s="8">
        <f>SUMIF('DAILY FIESTA'!$B$10:$B$115,$A117,'DAILY FIESTA'!AA$10:AA$115)</f>
        <v>0</v>
      </c>
      <c r="W117" s="59">
        <f t="shared" si="7"/>
        <v>0</v>
      </c>
      <c r="X117" s="60">
        <f t="shared" ca="1" si="8"/>
        <v>0</v>
      </c>
      <c r="Y117" s="47">
        <f t="shared" ca="1" si="9"/>
        <v>0</v>
      </c>
      <c r="Z117" s="88" t="e">
        <f t="shared" ca="1" si="10"/>
        <v>#DIV/0!</v>
      </c>
      <c r="AA117" s="89" t="e">
        <f t="shared" ca="1" si="11"/>
        <v>#DIV/0!</v>
      </c>
      <c r="AB117" s="112"/>
      <c r="AC117" s="48"/>
      <c r="AD117" s="89"/>
    </row>
    <row r="118" spans="1:30" hidden="1">
      <c r="A118" s="7"/>
      <c r="B118" s="8">
        <f ca="1">SUMIF('DAILY FIESTA'!$B$10:$B$115,$A118,'DAILY FIESTA'!$C$10:$C$114)</f>
        <v>0</v>
      </c>
      <c r="C118" s="8">
        <f>SUMIF('DAILY FIESTA'!$B$10:$B$115,$A118,'DAILY FIESTA'!H$10:H$115)</f>
        <v>0</v>
      </c>
      <c r="D118" s="8">
        <f>SUMIF('DAILY FIESTA'!$B$10:$B$115,$A118,'DAILY FIESTA'!I$10:I$115)</f>
        <v>0</v>
      </c>
      <c r="E118" s="8">
        <f>SUMIF('DAILY FIESTA'!$B$10:$B$115,$A118,'DAILY FIESTA'!J$10:J$115)</f>
        <v>0</v>
      </c>
      <c r="F118" s="8">
        <f>SUMIF('DAILY FIESTA'!$B$10:$B$115,$A118,'DAILY FIESTA'!K$10:K$115)</f>
        <v>0</v>
      </c>
      <c r="G118" s="8">
        <f>SUMIF('DAILY FIESTA'!$B$10:$B$115,$A118,'DAILY FIESTA'!L$10:L$115)</f>
        <v>0</v>
      </c>
      <c r="H118" s="8">
        <f>SUMIF('DAILY FIESTA'!$B$10:$B$115,$A118,'DAILY FIESTA'!M$10:M$115)</f>
        <v>0</v>
      </c>
      <c r="I118" s="8">
        <f>SUMIF('DAILY FIESTA'!$B$10:$B$115,$A118,'DAILY FIESTA'!N$10:N$115)</f>
        <v>0</v>
      </c>
      <c r="J118" s="8">
        <f>SUMIF('DAILY FIESTA'!$B$10:$B$115,$A118,'DAILY FIESTA'!O$10:O$115)</f>
        <v>0</v>
      </c>
      <c r="K118" s="8">
        <f>SUMIF('DAILY FIESTA'!$B$10:$B$115,$A118,'DAILY FIESTA'!P$10:P$115)</f>
        <v>0</v>
      </c>
      <c r="L118" s="8">
        <f>SUMIF('DAILY FIESTA'!$B$10:$B$115,$A118,'DAILY FIESTA'!Q$10:Q$115)</f>
        <v>0</v>
      </c>
      <c r="M118" s="8">
        <f>SUMIF('DAILY FIESTA'!$B$10:$B$115,$A118,'DAILY FIESTA'!R$10:R$115)</f>
        <v>0</v>
      </c>
      <c r="N118" s="8">
        <f>SUMIF('DAILY FIESTA'!$B$10:$B$115,$A118,'DAILY FIESTA'!S$10:S$115)</f>
        <v>0</v>
      </c>
      <c r="O118" s="8">
        <f>SUMIF('DAILY FIESTA'!$B$10:$B$115,$A118,'DAILY FIESTA'!T$10:T$115)</f>
        <v>0</v>
      </c>
      <c r="P118" s="8">
        <f>SUMIF('DAILY FIESTA'!$B$10:$B$115,$A118,'DAILY FIESTA'!U$10:U$115)</f>
        <v>0</v>
      </c>
      <c r="Q118" s="8">
        <f>SUMIF('DAILY FIESTA'!$B$10:$B$115,$A118,'DAILY FIESTA'!V$10:V$115)</f>
        <v>0</v>
      </c>
      <c r="R118" s="8">
        <f>SUMIF('DAILY FIESTA'!$B$10:$B$115,$A118,'DAILY FIESTA'!W$10:W$115)</f>
        <v>0</v>
      </c>
      <c r="S118" s="8">
        <f>SUMIF('DAILY FIESTA'!$B$10:$B$115,$A118,'DAILY FIESTA'!X$10:X$115)</f>
        <v>0</v>
      </c>
      <c r="T118" s="8">
        <f>SUMIF('DAILY FIESTA'!$B$10:$B$115,$A118,'DAILY FIESTA'!Y$10:Y$115)</f>
        <v>0</v>
      </c>
      <c r="U118" s="8">
        <f>SUMIF('DAILY FIESTA'!$B$10:$B$115,$A118,'DAILY FIESTA'!Z$10:Z$115)</f>
        <v>0</v>
      </c>
      <c r="V118" s="8">
        <f>SUMIF('DAILY FIESTA'!$B$10:$B$115,$A118,'DAILY FIESTA'!AA$10:AA$115)</f>
        <v>0</v>
      </c>
      <c r="W118" s="59">
        <f t="shared" si="7"/>
        <v>0</v>
      </c>
      <c r="X118" s="60">
        <f t="shared" ca="1" si="8"/>
        <v>0</v>
      </c>
      <c r="Y118" s="47">
        <f t="shared" ca="1" si="9"/>
        <v>0</v>
      </c>
      <c r="Z118" s="88" t="e">
        <f t="shared" ca="1" si="10"/>
        <v>#DIV/0!</v>
      </c>
      <c r="AA118" s="89" t="e">
        <f t="shared" ca="1" si="11"/>
        <v>#DIV/0!</v>
      </c>
      <c r="AB118" s="112"/>
      <c r="AC118" s="48"/>
      <c r="AD118" s="89"/>
    </row>
    <row r="119" spans="1:30" hidden="1">
      <c r="A119" s="7"/>
      <c r="B119" s="8">
        <f ca="1">SUMIF('DAILY FIESTA'!$B$10:$B$115,$A119,'DAILY FIESTA'!$C$10:$C$114)</f>
        <v>0</v>
      </c>
      <c r="C119" s="8">
        <f>SUMIF('DAILY FIESTA'!$B$10:$B$115,$A119,'DAILY FIESTA'!H$10:H$115)</f>
        <v>0</v>
      </c>
      <c r="D119" s="8">
        <f>SUMIF('DAILY FIESTA'!$B$10:$B$115,$A119,'DAILY FIESTA'!I$10:I$115)</f>
        <v>0</v>
      </c>
      <c r="E119" s="8">
        <f>SUMIF('DAILY FIESTA'!$B$10:$B$115,$A119,'DAILY FIESTA'!J$10:J$115)</f>
        <v>0</v>
      </c>
      <c r="F119" s="8">
        <f>SUMIF('DAILY FIESTA'!$B$10:$B$115,$A119,'DAILY FIESTA'!K$10:K$115)</f>
        <v>0</v>
      </c>
      <c r="G119" s="8">
        <f>SUMIF('DAILY FIESTA'!$B$10:$B$115,$A119,'DAILY FIESTA'!L$10:L$115)</f>
        <v>0</v>
      </c>
      <c r="H119" s="8">
        <f>SUMIF('DAILY FIESTA'!$B$10:$B$115,$A119,'DAILY FIESTA'!M$10:M$115)</f>
        <v>0</v>
      </c>
      <c r="I119" s="8">
        <f>SUMIF('DAILY FIESTA'!$B$10:$B$115,$A119,'DAILY FIESTA'!N$10:N$115)</f>
        <v>0</v>
      </c>
      <c r="J119" s="8">
        <f>SUMIF('DAILY FIESTA'!$B$10:$B$115,$A119,'DAILY FIESTA'!O$10:O$115)</f>
        <v>0</v>
      </c>
      <c r="K119" s="8">
        <f>SUMIF('DAILY FIESTA'!$B$10:$B$115,$A119,'DAILY FIESTA'!P$10:P$115)</f>
        <v>0</v>
      </c>
      <c r="L119" s="8">
        <f>SUMIF('DAILY FIESTA'!$B$10:$B$115,$A119,'DAILY FIESTA'!Q$10:Q$115)</f>
        <v>0</v>
      </c>
      <c r="M119" s="8">
        <f>SUMIF('DAILY FIESTA'!$B$10:$B$115,$A119,'DAILY FIESTA'!R$10:R$115)</f>
        <v>0</v>
      </c>
      <c r="N119" s="8">
        <f>SUMIF('DAILY FIESTA'!$B$10:$B$115,$A119,'DAILY FIESTA'!S$10:S$115)</f>
        <v>0</v>
      </c>
      <c r="O119" s="8">
        <f>SUMIF('DAILY FIESTA'!$B$10:$B$115,$A119,'DAILY FIESTA'!T$10:T$115)</f>
        <v>0</v>
      </c>
      <c r="P119" s="8">
        <f>SUMIF('DAILY FIESTA'!$B$10:$B$115,$A119,'DAILY FIESTA'!U$10:U$115)</f>
        <v>0</v>
      </c>
      <c r="Q119" s="8">
        <f>SUMIF('DAILY FIESTA'!$B$10:$B$115,$A119,'DAILY FIESTA'!V$10:V$115)</f>
        <v>0</v>
      </c>
      <c r="R119" s="8">
        <f>SUMIF('DAILY FIESTA'!$B$10:$B$115,$A119,'DAILY FIESTA'!W$10:W$115)</f>
        <v>0</v>
      </c>
      <c r="S119" s="8">
        <f>SUMIF('DAILY FIESTA'!$B$10:$B$115,$A119,'DAILY FIESTA'!X$10:X$115)</f>
        <v>0</v>
      </c>
      <c r="T119" s="8">
        <f>SUMIF('DAILY FIESTA'!$B$10:$B$115,$A119,'DAILY FIESTA'!Y$10:Y$115)</f>
        <v>0</v>
      </c>
      <c r="U119" s="8">
        <f>SUMIF('DAILY FIESTA'!$B$10:$B$115,$A119,'DAILY FIESTA'!Z$10:Z$115)</f>
        <v>0</v>
      </c>
      <c r="V119" s="8">
        <f>SUMIF('DAILY FIESTA'!$B$10:$B$115,$A119,'DAILY FIESTA'!AA$10:AA$115)</f>
        <v>0</v>
      </c>
      <c r="W119" s="59">
        <f t="shared" si="7"/>
        <v>0</v>
      </c>
      <c r="X119" s="60">
        <f t="shared" ca="1" si="8"/>
        <v>0</v>
      </c>
      <c r="Y119" s="47">
        <f t="shared" ca="1" si="9"/>
        <v>0</v>
      </c>
      <c r="Z119" s="88" t="e">
        <f t="shared" ca="1" si="10"/>
        <v>#DIV/0!</v>
      </c>
      <c r="AA119" s="89" t="e">
        <f t="shared" ca="1" si="11"/>
        <v>#DIV/0!</v>
      </c>
      <c r="AB119" s="112"/>
      <c r="AC119" s="48"/>
      <c r="AD119" s="89"/>
    </row>
    <row r="120" spans="1:30" hidden="1">
      <c r="A120" s="7"/>
      <c r="B120" s="8">
        <f ca="1">SUMIF('DAILY FIESTA'!$B$10:$B$115,$A120,'DAILY FIESTA'!$C$10:$C$114)</f>
        <v>0</v>
      </c>
      <c r="C120" s="8">
        <f>SUMIF('DAILY FIESTA'!$B$10:$B$115,$A120,'DAILY FIESTA'!H$10:H$115)</f>
        <v>0</v>
      </c>
      <c r="D120" s="8">
        <f>SUMIF('DAILY FIESTA'!$B$10:$B$115,$A120,'DAILY FIESTA'!I$10:I$115)</f>
        <v>0</v>
      </c>
      <c r="E120" s="8">
        <f>SUMIF('DAILY FIESTA'!$B$10:$B$115,$A120,'DAILY FIESTA'!J$10:J$115)</f>
        <v>0</v>
      </c>
      <c r="F120" s="8">
        <f>SUMIF('DAILY FIESTA'!$B$10:$B$115,$A120,'DAILY FIESTA'!K$10:K$115)</f>
        <v>0</v>
      </c>
      <c r="G120" s="8">
        <f>SUMIF('DAILY FIESTA'!$B$10:$B$115,$A120,'DAILY FIESTA'!L$10:L$115)</f>
        <v>0</v>
      </c>
      <c r="H120" s="8">
        <f>SUMIF('DAILY FIESTA'!$B$10:$B$115,$A120,'DAILY FIESTA'!M$10:M$115)</f>
        <v>0</v>
      </c>
      <c r="I120" s="8">
        <f>SUMIF('DAILY FIESTA'!$B$10:$B$115,$A120,'DAILY FIESTA'!N$10:N$115)</f>
        <v>0</v>
      </c>
      <c r="J120" s="8">
        <f>SUMIF('DAILY FIESTA'!$B$10:$B$115,$A120,'DAILY FIESTA'!O$10:O$115)</f>
        <v>0</v>
      </c>
      <c r="K120" s="8">
        <f>SUMIF('DAILY FIESTA'!$B$10:$B$115,$A120,'DAILY FIESTA'!P$10:P$115)</f>
        <v>0</v>
      </c>
      <c r="L120" s="8">
        <f>SUMIF('DAILY FIESTA'!$B$10:$B$115,$A120,'DAILY FIESTA'!Q$10:Q$115)</f>
        <v>0</v>
      </c>
      <c r="M120" s="8">
        <f>SUMIF('DAILY FIESTA'!$B$10:$B$115,$A120,'DAILY FIESTA'!R$10:R$115)</f>
        <v>0</v>
      </c>
      <c r="N120" s="8">
        <f>SUMIF('DAILY FIESTA'!$B$10:$B$115,$A120,'DAILY FIESTA'!S$10:S$115)</f>
        <v>0</v>
      </c>
      <c r="O120" s="8">
        <f>SUMIF('DAILY FIESTA'!$B$10:$B$115,$A120,'DAILY FIESTA'!T$10:T$115)</f>
        <v>0</v>
      </c>
      <c r="P120" s="8">
        <f>SUMIF('DAILY FIESTA'!$B$10:$B$115,$A120,'DAILY FIESTA'!U$10:U$115)</f>
        <v>0</v>
      </c>
      <c r="Q120" s="8">
        <f>SUMIF('DAILY FIESTA'!$B$10:$B$115,$A120,'DAILY FIESTA'!V$10:V$115)</f>
        <v>0</v>
      </c>
      <c r="R120" s="8">
        <f>SUMIF('DAILY FIESTA'!$B$10:$B$115,$A120,'DAILY FIESTA'!W$10:W$115)</f>
        <v>0</v>
      </c>
      <c r="S120" s="8">
        <f>SUMIF('DAILY FIESTA'!$B$10:$B$115,$A120,'DAILY FIESTA'!X$10:X$115)</f>
        <v>0</v>
      </c>
      <c r="T120" s="8">
        <f>SUMIF('DAILY FIESTA'!$B$10:$B$115,$A120,'DAILY FIESTA'!Y$10:Y$115)</f>
        <v>0</v>
      </c>
      <c r="U120" s="8">
        <f>SUMIF('DAILY FIESTA'!$B$10:$B$115,$A120,'DAILY FIESTA'!Z$10:Z$115)</f>
        <v>0</v>
      </c>
      <c r="V120" s="8">
        <f>SUMIF('DAILY FIESTA'!$B$10:$B$115,$A120,'DAILY FIESTA'!AA$10:AA$115)</f>
        <v>0</v>
      </c>
      <c r="W120" s="59">
        <f t="shared" si="7"/>
        <v>0</v>
      </c>
      <c r="X120" s="60">
        <f t="shared" ca="1" si="8"/>
        <v>0</v>
      </c>
      <c r="Y120" s="47">
        <f t="shared" ca="1" si="9"/>
        <v>0</v>
      </c>
      <c r="Z120" s="88" t="e">
        <f t="shared" ca="1" si="10"/>
        <v>#DIV/0!</v>
      </c>
      <c r="AA120" s="89" t="e">
        <f t="shared" ca="1" si="11"/>
        <v>#DIV/0!</v>
      </c>
      <c r="AB120" s="112"/>
      <c r="AC120" s="48"/>
      <c r="AD120" s="89"/>
    </row>
    <row r="121" spans="1:30" hidden="1">
      <c r="A121" s="7"/>
      <c r="B121" s="8">
        <f ca="1">SUMIF('DAILY FIESTA'!$B$10:$B$115,$A121,'DAILY FIESTA'!$C$10:$C$114)</f>
        <v>0</v>
      </c>
      <c r="C121" s="8">
        <f>SUMIF('DAILY FIESTA'!$B$10:$B$115,$A121,'DAILY FIESTA'!H$10:H$115)</f>
        <v>0</v>
      </c>
      <c r="D121" s="8">
        <f>SUMIF('DAILY FIESTA'!$B$10:$B$115,$A121,'DAILY FIESTA'!I$10:I$115)</f>
        <v>0</v>
      </c>
      <c r="E121" s="8">
        <f>SUMIF('DAILY FIESTA'!$B$10:$B$115,$A121,'DAILY FIESTA'!J$10:J$115)</f>
        <v>0</v>
      </c>
      <c r="F121" s="8">
        <f>SUMIF('DAILY FIESTA'!$B$10:$B$115,$A121,'DAILY FIESTA'!K$10:K$115)</f>
        <v>0</v>
      </c>
      <c r="G121" s="8">
        <f>SUMIF('DAILY FIESTA'!$B$10:$B$115,$A121,'DAILY FIESTA'!L$10:L$115)</f>
        <v>0</v>
      </c>
      <c r="H121" s="8">
        <f>SUMIF('DAILY FIESTA'!$B$10:$B$115,$A121,'DAILY FIESTA'!M$10:M$115)</f>
        <v>0</v>
      </c>
      <c r="I121" s="8">
        <f>SUMIF('DAILY FIESTA'!$B$10:$B$115,$A121,'DAILY FIESTA'!N$10:N$115)</f>
        <v>0</v>
      </c>
      <c r="J121" s="8">
        <f>SUMIF('DAILY FIESTA'!$B$10:$B$115,$A121,'DAILY FIESTA'!O$10:O$115)</f>
        <v>0</v>
      </c>
      <c r="K121" s="8">
        <f>SUMIF('DAILY FIESTA'!$B$10:$B$115,$A121,'DAILY FIESTA'!P$10:P$115)</f>
        <v>0</v>
      </c>
      <c r="L121" s="8">
        <f>SUMIF('DAILY FIESTA'!$B$10:$B$115,$A121,'DAILY FIESTA'!Q$10:Q$115)</f>
        <v>0</v>
      </c>
      <c r="M121" s="8">
        <f>SUMIF('DAILY FIESTA'!$B$10:$B$115,$A121,'DAILY FIESTA'!R$10:R$115)</f>
        <v>0</v>
      </c>
      <c r="N121" s="8">
        <f>SUMIF('DAILY FIESTA'!$B$10:$B$115,$A121,'DAILY FIESTA'!S$10:S$115)</f>
        <v>0</v>
      </c>
      <c r="O121" s="8">
        <f>SUMIF('DAILY FIESTA'!$B$10:$B$115,$A121,'DAILY FIESTA'!T$10:T$115)</f>
        <v>0</v>
      </c>
      <c r="P121" s="8">
        <f>SUMIF('DAILY FIESTA'!$B$10:$B$115,$A121,'DAILY FIESTA'!U$10:U$115)</f>
        <v>0</v>
      </c>
      <c r="Q121" s="8">
        <f>SUMIF('DAILY FIESTA'!$B$10:$B$115,$A121,'DAILY FIESTA'!V$10:V$115)</f>
        <v>0</v>
      </c>
      <c r="R121" s="8">
        <f>SUMIF('DAILY FIESTA'!$B$10:$B$115,$A121,'DAILY FIESTA'!W$10:W$115)</f>
        <v>0</v>
      </c>
      <c r="S121" s="8">
        <f>SUMIF('DAILY FIESTA'!$B$10:$B$115,$A121,'DAILY FIESTA'!X$10:X$115)</f>
        <v>0</v>
      </c>
      <c r="T121" s="8">
        <f>SUMIF('DAILY FIESTA'!$B$10:$B$115,$A121,'DAILY FIESTA'!Y$10:Y$115)</f>
        <v>0</v>
      </c>
      <c r="U121" s="8">
        <f>SUMIF('DAILY FIESTA'!$B$10:$B$115,$A121,'DAILY FIESTA'!Z$10:Z$115)</f>
        <v>0</v>
      </c>
      <c r="V121" s="8">
        <f>SUMIF('DAILY FIESTA'!$B$10:$B$115,$A121,'DAILY FIESTA'!AA$10:AA$115)</f>
        <v>0</v>
      </c>
      <c r="W121" s="59">
        <f t="shared" si="7"/>
        <v>0</v>
      </c>
      <c r="X121" s="60">
        <f t="shared" ca="1" si="8"/>
        <v>0</v>
      </c>
      <c r="Y121" s="47">
        <f t="shared" ca="1" si="9"/>
        <v>0</v>
      </c>
      <c r="Z121" s="88" t="e">
        <f t="shared" ca="1" si="10"/>
        <v>#DIV/0!</v>
      </c>
      <c r="AA121" s="89" t="e">
        <f t="shared" ca="1" si="11"/>
        <v>#DIV/0!</v>
      </c>
      <c r="AB121" s="112"/>
      <c r="AC121" s="48"/>
      <c r="AD121" s="89"/>
    </row>
    <row r="122" spans="1:30" hidden="1">
      <c r="A122" s="7"/>
      <c r="B122" s="8">
        <f ca="1">SUMIF('DAILY FIESTA'!$B$10:$B$115,$A122,'DAILY FIESTA'!$C$10:$C$114)</f>
        <v>0</v>
      </c>
      <c r="C122" s="8">
        <f>SUMIF('DAILY FIESTA'!$B$10:$B$115,$A122,'DAILY FIESTA'!H$10:H$115)</f>
        <v>0</v>
      </c>
      <c r="D122" s="8">
        <f>SUMIF('DAILY FIESTA'!$B$10:$B$115,$A122,'DAILY FIESTA'!I$10:I$115)</f>
        <v>0</v>
      </c>
      <c r="E122" s="8">
        <f>SUMIF('DAILY FIESTA'!$B$10:$B$115,$A122,'DAILY FIESTA'!J$10:J$115)</f>
        <v>0</v>
      </c>
      <c r="F122" s="8">
        <f>SUMIF('DAILY FIESTA'!$B$10:$B$115,$A122,'DAILY FIESTA'!K$10:K$115)</f>
        <v>0</v>
      </c>
      <c r="G122" s="8">
        <f>SUMIF('DAILY FIESTA'!$B$10:$B$115,$A122,'DAILY FIESTA'!L$10:L$115)</f>
        <v>0</v>
      </c>
      <c r="H122" s="8">
        <f>SUMIF('DAILY FIESTA'!$B$10:$B$115,$A122,'DAILY FIESTA'!M$10:M$115)</f>
        <v>0</v>
      </c>
      <c r="I122" s="8">
        <f>SUMIF('DAILY FIESTA'!$B$10:$B$115,$A122,'DAILY FIESTA'!N$10:N$115)</f>
        <v>0</v>
      </c>
      <c r="J122" s="8">
        <f>SUMIF('DAILY FIESTA'!$B$10:$B$115,$A122,'DAILY FIESTA'!O$10:O$115)</f>
        <v>0</v>
      </c>
      <c r="K122" s="8">
        <f>SUMIF('DAILY FIESTA'!$B$10:$B$115,$A122,'DAILY FIESTA'!P$10:P$115)</f>
        <v>0</v>
      </c>
      <c r="L122" s="8">
        <f>SUMIF('DAILY FIESTA'!$B$10:$B$115,$A122,'DAILY FIESTA'!Q$10:Q$115)</f>
        <v>0</v>
      </c>
      <c r="M122" s="8">
        <f>SUMIF('DAILY FIESTA'!$B$10:$B$115,$A122,'DAILY FIESTA'!R$10:R$115)</f>
        <v>0</v>
      </c>
      <c r="N122" s="8">
        <f>SUMIF('DAILY FIESTA'!$B$10:$B$115,$A122,'DAILY FIESTA'!S$10:S$115)</f>
        <v>0</v>
      </c>
      <c r="O122" s="8">
        <f>SUMIF('DAILY FIESTA'!$B$10:$B$115,$A122,'DAILY FIESTA'!T$10:T$115)</f>
        <v>0</v>
      </c>
      <c r="P122" s="8">
        <f>SUMIF('DAILY FIESTA'!$B$10:$B$115,$A122,'DAILY FIESTA'!U$10:U$115)</f>
        <v>0</v>
      </c>
      <c r="Q122" s="8">
        <f>SUMIF('DAILY FIESTA'!$B$10:$B$115,$A122,'DAILY FIESTA'!V$10:V$115)</f>
        <v>0</v>
      </c>
      <c r="R122" s="8">
        <f>SUMIF('DAILY FIESTA'!$B$10:$B$115,$A122,'DAILY FIESTA'!W$10:W$115)</f>
        <v>0</v>
      </c>
      <c r="S122" s="8">
        <f>SUMIF('DAILY FIESTA'!$B$10:$B$115,$A122,'DAILY FIESTA'!X$10:X$115)</f>
        <v>0</v>
      </c>
      <c r="T122" s="8">
        <f>SUMIF('DAILY FIESTA'!$B$10:$B$115,$A122,'DAILY FIESTA'!Y$10:Y$115)</f>
        <v>0</v>
      </c>
      <c r="U122" s="8">
        <f>SUMIF('DAILY FIESTA'!$B$10:$B$115,$A122,'DAILY FIESTA'!Z$10:Z$115)</f>
        <v>0</v>
      </c>
      <c r="V122" s="8">
        <f>SUMIF('DAILY FIESTA'!$B$10:$B$115,$A122,'DAILY FIESTA'!AA$10:AA$115)</f>
        <v>0</v>
      </c>
      <c r="W122" s="59">
        <f t="shared" si="7"/>
        <v>0</v>
      </c>
      <c r="X122" s="60">
        <f t="shared" ca="1" si="8"/>
        <v>0</v>
      </c>
      <c r="Y122" s="47">
        <f t="shared" ca="1" si="9"/>
        <v>0</v>
      </c>
      <c r="Z122" s="88" t="e">
        <f t="shared" ca="1" si="10"/>
        <v>#DIV/0!</v>
      </c>
      <c r="AA122" s="89" t="e">
        <f t="shared" ca="1" si="11"/>
        <v>#DIV/0!</v>
      </c>
      <c r="AB122" s="112"/>
      <c r="AC122" s="48"/>
      <c r="AD122" s="89"/>
    </row>
    <row r="123" spans="1:30" hidden="1">
      <c r="A123" s="7"/>
      <c r="B123" s="8">
        <f ca="1">SUMIF('DAILY FIESTA'!$B$10:$B$115,$A123,'DAILY FIESTA'!$C$10:$C$114)</f>
        <v>0</v>
      </c>
      <c r="C123" s="8">
        <f>SUMIF('DAILY FIESTA'!$B$10:$B$115,$A123,'DAILY FIESTA'!H$10:H$115)</f>
        <v>0</v>
      </c>
      <c r="D123" s="8">
        <f>SUMIF('DAILY FIESTA'!$B$10:$B$115,$A123,'DAILY FIESTA'!I$10:I$115)</f>
        <v>0</v>
      </c>
      <c r="E123" s="8">
        <f>SUMIF('DAILY FIESTA'!$B$10:$B$115,$A123,'DAILY FIESTA'!J$10:J$115)</f>
        <v>0</v>
      </c>
      <c r="F123" s="8">
        <f>SUMIF('DAILY FIESTA'!$B$10:$B$115,$A123,'DAILY FIESTA'!K$10:K$115)</f>
        <v>0</v>
      </c>
      <c r="G123" s="8">
        <f>SUMIF('DAILY FIESTA'!$B$10:$B$115,$A123,'DAILY FIESTA'!L$10:L$115)</f>
        <v>0</v>
      </c>
      <c r="H123" s="8">
        <f>SUMIF('DAILY FIESTA'!$B$10:$B$115,$A123,'DAILY FIESTA'!M$10:M$115)</f>
        <v>0</v>
      </c>
      <c r="I123" s="8">
        <f>SUMIF('DAILY FIESTA'!$B$10:$B$115,$A123,'DAILY FIESTA'!N$10:N$115)</f>
        <v>0</v>
      </c>
      <c r="J123" s="8">
        <f>SUMIF('DAILY FIESTA'!$B$10:$B$115,$A123,'DAILY FIESTA'!O$10:O$115)</f>
        <v>0</v>
      </c>
      <c r="K123" s="8">
        <f>SUMIF('DAILY FIESTA'!$B$10:$B$115,$A123,'DAILY FIESTA'!P$10:P$115)</f>
        <v>0</v>
      </c>
      <c r="L123" s="8">
        <f>SUMIF('DAILY FIESTA'!$B$10:$B$115,$A123,'DAILY FIESTA'!Q$10:Q$115)</f>
        <v>0</v>
      </c>
      <c r="M123" s="8">
        <f>SUMIF('DAILY FIESTA'!$B$10:$B$115,$A123,'DAILY FIESTA'!R$10:R$115)</f>
        <v>0</v>
      </c>
      <c r="N123" s="8">
        <f>SUMIF('DAILY FIESTA'!$B$10:$B$115,$A123,'DAILY FIESTA'!S$10:S$115)</f>
        <v>0</v>
      </c>
      <c r="O123" s="8">
        <f>SUMIF('DAILY FIESTA'!$B$10:$B$115,$A123,'DAILY FIESTA'!T$10:T$115)</f>
        <v>0</v>
      </c>
      <c r="P123" s="8">
        <f>SUMIF('DAILY FIESTA'!$B$10:$B$115,$A123,'DAILY FIESTA'!U$10:U$115)</f>
        <v>0</v>
      </c>
      <c r="Q123" s="8">
        <f>SUMIF('DAILY FIESTA'!$B$10:$B$115,$A123,'DAILY FIESTA'!V$10:V$115)</f>
        <v>0</v>
      </c>
      <c r="R123" s="8">
        <f>SUMIF('DAILY FIESTA'!$B$10:$B$115,$A123,'DAILY FIESTA'!W$10:W$115)</f>
        <v>0</v>
      </c>
      <c r="S123" s="8">
        <f>SUMIF('DAILY FIESTA'!$B$10:$B$115,$A123,'DAILY FIESTA'!X$10:X$115)</f>
        <v>0</v>
      </c>
      <c r="T123" s="8">
        <f>SUMIF('DAILY FIESTA'!$B$10:$B$115,$A123,'DAILY FIESTA'!Y$10:Y$115)</f>
        <v>0</v>
      </c>
      <c r="U123" s="8">
        <f>SUMIF('DAILY FIESTA'!$B$10:$B$115,$A123,'DAILY FIESTA'!Z$10:Z$115)</f>
        <v>0</v>
      </c>
      <c r="V123" s="8">
        <f>SUMIF('DAILY FIESTA'!$B$10:$B$115,$A123,'DAILY FIESTA'!AA$10:AA$115)</f>
        <v>0</v>
      </c>
      <c r="W123" s="59">
        <f t="shared" si="7"/>
        <v>0</v>
      </c>
      <c r="X123" s="60">
        <f t="shared" ca="1" si="8"/>
        <v>0</v>
      </c>
      <c r="Y123" s="47">
        <f t="shared" ca="1" si="9"/>
        <v>0</v>
      </c>
      <c r="Z123" s="88" t="e">
        <f t="shared" ca="1" si="10"/>
        <v>#DIV/0!</v>
      </c>
      <c r="AA123" s="89" t="e">
        <f t="shared" ca="1" si="11"/>
        <v>#DIV/0!</v>
      </c>
      <c r="AB123" s="112"/>
      <c r="AC123" s="48"/>
      <c r="AD123" s="89"/>
    </row>
    <row r="124" spans="1:30" hidden="1">
      <c r="A124" s="7"/>
      <c r="B124" s="8">
        <f ca="1">SUMIF('DAILY FIESTA'!$B$10:$B$115,$A124,'DAILY FIESTA'!$C$10:$C$114)</f>
        <v>0</v>
      </c>
      <c r="C124" s="8">
        <f>SUMIF('DAILY FIESTA'!$B$10:$B$115,$A124,'DAILY FIESTA'!H$10:H$115)</f>
        <v>0</v>
      </c>
      <c r="D124" s="8">
        <f>SUMIF('DAILY FIESTA'!$B$10:$B$115,$A124,'DAILY FIESTA'!I$10:I$115)</f>
        <v>0</v>
      </c>
      <c r="E124" s="8">
        <f>SUMIF('DAILY FIESTA'!$B$10:$B$115,$A124,'DAILY FIESTA'!J$10:J$115)</f>
        <v>0</v>
      </c>
      <c r="F124" s="8">
        <f>SUMIF('DAILY FIESTA'!$B$10:$B$115,$A124,'DAILY FIESTA'!K$10:K$115)</f>
        <v>0</v>
      </c>
      <c r="G124" s="8">
        <f>SUMIF('DAILY FIESTA'!$B$10:$B$115,$A124,'DAILY FIESTA'!L$10:L$115)</f>
        <v>0</v>
      </c>
      <c r="H124" s="8">
        <f>SUMIF('DAILY FIESTA'!$B$10:$B$115,$A124,'DAILY FIESTA'!M$10:M$115)</f>
        <v>0</v>
      </c>
      <c r="I124" s="8">
        <f>SUMIF('DAILY FIESTA'!$B$10:$B$115,$A124,'DAILY FIESTA'!N$10:N$115)</f>
        <v>0</v>
      </c>
      <c r="J124" s="8">
        <f>SUMIF('DAILY FIESTA'!$B$10:$B$115,$A124,'DAILY FIESTA'!O$10:O$115)</f>
        <v>0</v>
      </c>
      <c r="K124" s="8">
        <f>SUMIF('DAILY FIESTA'!$B$10:$B$115,$A124,'DAILY FIESTA'!P$10:P$115)</f>
        <v>0</v>
      </c>
      <c r="L124" s="8">
        <f>SUMIF('DAILY FIESTA'!$B$10:$B$115,$A124,'DAILY FIESTA'!Q$10:Q$115)</f>
        <v>0</v>
      </c>
      <c r="M124" s="8">
        <f>SUMIF('DAILY FIESTA'!$B$10:$B$115,$A124,'DAILY FIESTA'!R$10:R$115)</f>
        <v>0</v>
      </c>
      <c r="N124" s="8">
        <f>SUMIF('DAILY FIESTA'!$B$10:$B$115,$A124,'DAILY FIESTA'!S$10:S$115)</f>
        <v>0</v>
      </c>
      <c r="O124" s="8">
        <f>SUMIF('DAILY FIESTA'!$B$10:$B$115,$A124,'DAILY FIESTA'!T$10:T$115)</f>
        <v>0</v>
      </c>
      <c r="P124" s="8">
        <f>SUMIF('DAILY FIESTA'!$B$10:$B$115,$A124,'DAILY FIESTA'!U$10:U$115)</f>
        <v>0</v>
      </c>
      <c r="Q124" s="8">
        <f>SUMIF('DAILY FIESTA'!$B$10:$B$115,$A124,'DAILY FIESTA'!V$10:V$115)</f>
        <v>0</v>
      </c>
      <c r="R124" s="8">
        <f>SUMIF('DAILY FIESTA'!$B$10:$B$115,$A124,'DAILY FIESTA'!W$10:W$115)</f>
        <v>0</v>
      </c>
      <c r="S124" s="8">
        <f>SUMIF('DAILY FIESTA'!$B$10:$B$115,$A124,'DAILY FIESTA'!X$10:X$115)</f>
        <v>0</v>
      </c>
      <c r="T124" s="8">
        <f>SUMIF('DAILY FIESTA'!$B$10:$B$115,$A124,'DAILY FIESTA'!Y$10:Y$115)</f>
        <v>0</v>
      </c>
      <c r="U124" s="8">
        <f>SUMIF('DAILY FIESTA'!$B$10:$B$115,$A124,'DAILY FIESTA'!Z$10:Z$115)</f>
        <v>0</v>
      </c>
      <c r="V124" s="8">
        <f>SUMIF('DAILY FIESTA'!$B$10:$B$115,$A124,'DAILY FIESTA'!AA$10:AA$115)</f>
        <v>0</v>
      </c>
      <c r="W124" s="59">
        <f t="shared" si="7"/>
        <v>0</v>
      </c>
      <c r="X124" s="60">
        <f t="shared" ca="1" si="8"/>
        <v>0</v>
      </c>
      <c r="Y124" s="47">
        <f t="shared" ca="1" si="9"/>
        <v>0</v>
      </c>
      <c r="Z124" s="88" t="e">
        <f t="shared" ca="1" si="10"/>
        <v>#DIV/0!</v>
      </c>
      <c r="AA124" s="89" t="e">
        <f t="shared" ca="1" si="11"/>
        <v>#DIV/0!</v>
      </c>
      <c r="AB124" s="112"/>
      <c r="AC124" s="48"/>
      <c r="AD124" s="89"/>
    </row>
    <row r="125" spans="1:30" hidden="1">
      <c r="A125" s="7"/>
      <c r="B125" s="8">
        <f ca="1">SUMIF('DAILY FIESTA'!$B$10:$B$115,$A125,'DAILY FIESTA'!$C$10:$C$114)</f>
        <v>0</v>
      </c>
      <c r="C125" s="8">
        <f>SUMIF('DAILY FIESTA'!$B$10:$B$115,$A125,'DAILY FIESTA'!H$10:H$115)</f>
        <v>0</v>
      </c>
      <c r="D125" s="8">
        <f>SUMIF('DAILY FIESTA'!$B$10:$B$115,$A125,'DAILY FIESTA'!I$10:I$115)</f>
        <v>0</v>
      </c>
      <c r="E125" s="8">
        <f>SUMIF('DAILY FIESTA'!$B$10:$B$115,$A125,'DAILY FIESTA'!J$10:J$115)</f>
        <v>0</v>
      </c>
      <c r="F125" s="8">
        <f>SUMIF('DAILY FIESTA'!$B$10:$B$115,$A125,'DAILY FIESTA'!K$10:K$115)</f>
        <v>0</v>
      </c>
      <c r="G125" s="8">
        <f>SUMIF('DAILY FIESTA'!$B$10:$B$115,$A125,'DAILY FIESTA'!L$10:L$115)</f>
        <v>0</v>
      </c>
      <c r="H125" s="8">
        <f>SUMIF('DAILY FIESTA'!$B$10:$B$115,$A125,'DAILY FIESTA'!M$10:M$115)</f>
        <v>0</v>
      </c>
      <c r="I125" s="8">
        <f>SUMIF('DAILY FIESTA'!$B$10:$B$115,$A125,'DAILY FIESTA'!N$10:N$115)</f>
        <v>0</v>
      </c>
      <c r="J125" s="8">
        <f>SUMIF('DAILY FIESTA'!$B$10:$B$115,$A125,'DAILY FIESTA'!O$10:O$115)</f>
        <v>0</v>
      </c>
      <c r="K125" s="8">
        <f>SUMIF('DAILY FIESTA'!$B$10:$B$115,$A125,'DAILY FIESTA'!P$10:P$115)</f>
        <v>0</v>
      </c>
      <c r="L125" s="8">
        <f>SUMIF('DAILY FIESTA'!$B$10:$B$115,$A125,'DAILY FIESTA'!Q$10:Q$115)</f>
        <v>0</v>
      </c>
      <c r="M125" s="8">
        <f>SUMIF('DAILY FIESTA'!$B$10:$B$115,$A125,'DAILY FIESTA'!R$10:R$115)</f>
        <v>0</v>
      </c>
      <c r="N125" s="8">
        <f>SUMIF('DAILY FIESTA'!$B$10:$B$115,$A125,'DAILY FIESTA'!S$10:S$115)</f>
        <v>0</v>
      </c>
      <c r="O125" s="8">
        <f>SUMIF('DAILY FIESTA'!$B$10:$B$115,$A125,'DAILY FIESTA'!T$10:T$115)</f>
        <v>0</v>
      </c>
      <c r="P125" s="8">
        <f>SUMIF('DAILY FIESTA'!$B$10:$B$115,$A125,'DAILY FIESTA'!U$10:U$115)</f>
        <v>0</v>
      </c>
      <c r="Q125" s="8">
        <f>SUMIF('DAILY FIESTA'!$B$10:$B$115,$A125,'DAILY FIESTA'!V$10:V$115)</f>
        <v>0</v>
      </c>
      <c r="R125" s="8">
        <f>SUMIF('DAILY FIESTA'!$B$10:$B$115,$A125,'DAILY FIESTA'!W$10:W$115)</f>
        <v>0</v>
      </c>
      <c r="S125" s="8">
        <f>SUMIF('DAILY FIESTA'!$B$10:$B$115,$A125,'DAILY FIESTA'!X$10:X$115)</f>
        <v>0</v>
      </c>
      <c r="T125" s="8">
        <f>SUMIF('DAILY FIESTA'!$B$10:$B$115,$A125,'DAILY FIESTA'!Y$10:Y$115)</f>
        <v>0</v>
      </c>
      <c r="U125" s="8">
        <f>SUMIF('DAILY FIESTA'!$B$10:$B$115,$A125,'DAILY FIESTA'!Z$10:Z$115)</f>
        <v>0</v>
      </c>
      <c r="V125" s="8">
        <f>SUMIF('DAILY FIESTA'!$B$10:$B$115,$A125,'DAILY FIESTA'!AA$10:AA$115)</f>
        <v>0</v>
      </c>
      <c r="W125" s="59">
        <f t="shared" si="7"/>
        <v>0</v>
      </c>
      <c r="X125" s="60">
        <f t="shared" ca="1" si="8"/>
        <v>0</v>
      </c>
      <c r="Y125" s="47">
        <f t="shared" ca="1" si="9"/>
        <v>0</v>
      </c>
      <c r="Z125" s="88" t="e">
        <f t="shared" ca="1" si="10"/>
        <v>#DIV/0!</v>
      </c>
      <c r="AA125" s="89" t="e">
        <f t="shared" ca="1" si="11"/>
        <v>#DIV/0!</v>
      </c>
      <c r="AB125" s="112"/>
      <c r="AC125" s="48"/>
      <c r="AD125" s="89"/>
    </row>
    <row r="126" spans="1:30" hidden="1">
      <c r="A126" s="7"/>
      <c r="B126" s="8">
        <f ca="1">SUMIF('DAILY FIESTA'!$B$10:$B$115,$A126,'DAILY FIESTA'!$C$10:$C$114)</f>
        <v>0</v>
      </c>
      <c r="C126" s="8">
        <f>SUMIF('DAILY FIESTA'!$B$10:$B$115,$A126,'DAILY FIESTA'!H$10:H$115)</f>
        <v>0</v>
      </c>
      <c r="D126" s="8">
        <f>SUMIF('DAILY FIESTA'!$B$10:$B$115,$A126,'DAILY FIESTA'!I$10:I$115)</f>
        <v>0</v>
      </c>
      <c r="E126" s="8">
        <f>SUMIF('DAILY FIESTA'!$B$10:$B$115,$A126,'DAILY FIESTA'!J$10:J$115)</f>
        <v>0</v>
      </c>
      <c r="F126" s="8">
        <f>SUMIF('DAILY FIESTA'!$B$10:$B$115,$A126,'DAILY FIESTA'!K$10:K$115)</f>
        <v>0</v>
      </c>
      <c r="G126" s="8">
        <f>SUMIF('DAILY FIESTA'!$B$10:$B$115,$A126,'DAILY FIESTA'!L$10:L$115)</f>
        <v>0</v>
      </c>
      <c r="H126" s="8">
        <f>SUMIF('DAILY FIESTA'!$B$10:$B$115,$A126,'DAILY FIESTA'!M$10:M$115)</f>
        <v>0</v>
      </c>
      <c r="I126" s="8">
        <f>SUMIF('DAILY FIESTA'!$B$10:$B$115,$A126,'DAILY FIESTA'!N$10:N$115)</f>
        <v>0</v>
      </c>
      <c r="J126" s="8">
        <f>SUMIF('DAILY FIESTA'!$B$10:$B$115,$A126,'DAILY FIESTA'!O$10:O$115)</f>
        <v>0</v>
      </c>
      <c r="K126" s="8">
        <f>SUMIF('DAILY FIESTA'!$B$10:$B$115,$A126,'DAILY FIESTA'!P$10:P$115)</f>
        <v>0</v>
      </c>
      <c r="L126" s="8">
        <f>SUMIF('DAILY FIESTA'!$B$10:$B$115,$A126,'DAILY FIESTA'!Q$10:Q$115)</f>
        <v>0</v>
      </c>
      <c r="M126" s="8">
        <f>SUMIF('DAILY FIESTA'!$B$10:$B$115,$A126,'DAILY FIESTA'!R$10:R$115)</f>
        <v>0</v>
      </c>
      <c r="N126" s="8">
        <f>SUMIF('DAILY FIESTA'!$B$10:$B$115,$A126,'DAILY FIESTA'!S$10:S$115)</f>
        <v>0</v>
      </c>
      <c r="O126" s="8">
        <f>SUMIF('DAILY FIESTA'!$B$10:$B$115,$A126,'DAILY FIESTA'!T$10:T$115)</f>
        <v>0</v>
      </c>
      <c r="P126" s="8">
        <f>SUMIF('DAILY FIESTA'!$B$10:$B$115,$A126,'DAILY FIESTA'!U$10:U$115)</f>
        <v>0</v>
      </c>
      <c r="Q126" s="8">
        <f>SUMIF('DAILY FIESTA'!$B$10:$B$115,$A126,'DAILY FIESTA'!V$10:V$115)</f>
        <v>0</v>
      </c>
      <c r="R126" s="8">
        <f>SUMIF('DAILY FIESTA'!$B$10:$B$115,$A126,'DAILY FIESTA'!W$10:W$115)</f>
        <v>0</v>
      </c>
      <c r="S126" s="8">
        <f>SUMIF('DAILY FIESTA'!$B$10:$B$115,$A126,'DAILY FIESTA'!X$10:X$115)</f>
        <v>0</v>
      </c>
      <c r="T126" s="8">
        <f>SUMIF('DAILY FIESTA'!$B$10:$B$115,$A126,'DAILY FIESTA'!Y$10:Y$115)</f>
        <v>0</v>
      </c>
      <c r="U126" s="8">
        <f>SUMIF('DAILY FIESTA'!$B$10:$B$115,$A126,'DAILY FIESTA'!Z$10:Z$115)</f>
        <v>0</v>
      </c>
      <c r="V126" s="8">
        <f>SUMIF('DAILY FIESTA'!$B$10:$B$115,$A126,'DAILY FIESTA'!AA$10:AA$115)</f>
        <v>0</v>
      </c>
      <c r="W126" s="59">
        <f t="shared" si="7"/>
        <v>0</v>
      </c>
      <c r="X126" s="60">
        <f t="shared" ca="1" si="8"/>
        <v>0</v>
      </c>
      <c r="Y126" s="47">
        <f t="shared" ca="1" si="9"/>
        <v>0</v>
      </c>
      <c r="Z126" s="88" t="e">
        <f t="shared" ca="1" si="10"/>
        <v>#DIV/0!</v>
      </c>
      <c r="AA126" s="89" t="e">
        <f t="shared" ca="1" si="11"/>
        <v>#DIV/0!</v>
      </c>
      <c r="AB126" s="112"/>
      <c r="AC126" s="48"/>
      <c r="AD126" s="89"/>
    </row>
    <row r="127" spans="1:30" hidden="1">
      <c r="A127" s="7"/>
      <c r="B127" s="8">
        <f ca="1">SUMIF('DAILY FIESTA'!$B$10:$B$115,$A127,'DAILY FIESTA'!$C$10:$C$114)</f>
        <v>0</v>
      </c>
      <c r="C127" s="8">
        <f>SUMIF('DAILY FIESTA'!$B$10:$B$115,$A127,'DAILY FIESTA'!H$10:H$115)</f>
        <v>0</v>
      </c>
      <c r="D127" s="8">
        <f>SUMIF('DAILY FIESTA'!$B$10:$B$115,$A127,'DAILY FIESTA'!I$10:I$115)</f>
        <v>0</v>
      </c>
      <c r="E127" s="8">
        <f>SUMIF('DAILY FIESTA'!$B$10:$B$115,$A127,'DAILY FIESTA'!J$10:J$115)</f>
        <v>0</v>
      </c>
      <c r="F127" s="8">
        <f>SUMIF('DAILY FIESTA'!$B$10:$B$115,$A127,'DAILY FIESTA'!K$10:K$115)</f>
        <v>0</v>
      </c>
      <c r="G127" s="8">
        <f>SUMIF('DAILY FIESTA'!$B$10:$B$115,$A127,'DAILY FIESTA'!L$10:L$115)</f>
        <v>0</v>
      </c>
      <c r="H127" s="8">
        <f>SUMIF('DAILY FIESTA'!$B$10:$B$115,$A127,'DAILY FIESTA'!M$10:M$115)</f>
        <v>0</v>
      </c>
      <c r="I127" s="8">
        <f>SUMIF('DAILY FIESTA'!$B$10:$B$115,$A127,'DAILY FIESTA'!N$10:N$115)</f>
        <v>0</v>
      </c>
      <c r="J127" s="8">
        <f>SUMIF('DAILY FIESTA'!$B$10:$B$115,$A127,'DAILY FIESTA'!O$10:O$115)</f>
        <v>0</v>
      </c>
      <c r="K127" s="8">
        <f>SUMIF('DAILY FIESTA'!$B$10:$B$115,$A127,'DAILY FIESTA'!P$10:P$115)</f>
        <v>0</v>
      </c>
      <c r="L127" s="8">
        <f>SUMIF('DAILY FIESTA'!$B$10:$B$115,$A127,'DAILY FIESTA'!Q$10:Q$115)</f>
        <v>0</v>
      </c>
      <c r="M127" s="8">
        <f>SUMIF('DAILY FIESTA'!$B$10:$B$115,$A127,'DAILY FIESTA'!R$10:R$115)</f>
        <v>0</v>
      </c>
      <c r="N127" s="8">
        <f>SUMIF('DAILY FIESTA'!$B$10:$B$115,$A127,'DAILY FIESTA'!S$10:S$115)</f>
        <v>0</v>
      </c>
      <c r="O127" s="8">
        <f>SUMIF('DAILY FIESTA'!$B$10:$B$115,$A127,'DAILY FIESTA'!T$10:T$115)</f>
        <v>0</v>
      </c>
      <c r="P127" s="8">
        <f>SUMIF('DAILY FIESTA'!$B$10:$B$115,$A127,'DAILY FIESTA'!U$10:U$115)</f>
        <v>0</v>
      </c>
      <c r="Q127" s="8">
        <f>SUMIF('DAILY FIESTA'!$B$10:$B$115,$A127,'DAILY FIESTA'!V$10:V$115)</f>
        <v>0</v>
      </c>
      <c r="R127" s="8">
        <f>SUMIF('DAILY FIESTA'!$B$10:$B$115,$A127,'DAILY FIESTA'!W$10:W$115)</f>
        <v>0</v>
      </c>
      <c r="S127" s="8">
        <f>SUMIF('DAILY FIESTA'!$B$10:$B$115,$A127,'DAILY FIESTA'!X$10:X$115)</f>
        <v>0</v>
      </c>
      <c r="T127" s="8">
        <f>SUMIF('DAILY FIESTA'!$B$10:$B$115,$A127,'DAILY FIESTA'!Y$10:Y$115)</f>
        <v>0</v>
      </c>
      <c r="U127" s="8">
        <f>SUMIF('DAILY FIESTA'!$B$10:$B$115,$A127,'DAILY FIESTA'!Z$10:Z$115)</f>
        <v>0</v>
      </c>
      <c r="V127" s="8">
        <f>SUMIF('DAILY FIESTA'!$B$10:$B$115,$A127,'DAILY FIESTA'!AA$10:AA$115)</f>
        <v>0</v>
      </c>
      <c r="W127" s="59">
        <f t="shared" si="7"/>
        <v>0</v>
      </c>
      <c r="X127" s="60">
        <f t="shared" ca="1" si="8"/>
        <v>0</v>
      </c>
      <c r="Y127" s="47">
        <f t="shared" ca="1" si="9"/>
        <v>0</v>
      </c>
      <c r="Z127" s="88" t="e">
        <f t="shared" ca="1" si="10"/>
        <v>#DIV/0!</v>
      </c>
      <c r="AA127" s="89" t="e">
        <f t="shared" ca="1" si="11"/>
        <v>#DIV/0!</v>
      </c>
      <c r="AB127" s="112"/>
      <c r="AC127" s="48"/>
      <c r="AD127" s="89"/>
    </row>
    <row r="128" spans="1:30" hidden="1">
      <c r="A128" s="7"/>
      <c r="B128" s="8">
        <f ca="1">SUMIF('DAILY FIESTA'!$B$10:$B$115,$A128,'DAILY FIESTA'!$C$10:$C$114)</f>
        <v>0</v>
      </c>
      <c r="C128" s="8">
        <f>SUMIF('DAILY FIESTA'!$B$10:$B$115,$A128,'DAILY FIESTA'!H$10:H$115)</f>
        <v>0</v>
      </c>
      <c r="D128" s="8">
        <f>SUMIF('DAILY FIESTA'!$B$10:$B$115,$A128,'DAILY FIESTA'!I$10:I$115)</f>
        <v>0</v>
      </c>
      <c r="E128" s="8">
        <f>SUMIF('DAILY FIESTA'!$B$10:$B$115,$A128,'DAILY FIESTA'!J$10:J$115)</f>
        <v>0</v>
      </c>
      <c r="F128" s="8">
        <f>SUMIF('DAILY FIESTA'!$B$10:$B$115,$A128,'DAILY FIESTA'!K$10:K$115)</f>
        <v>0</v>
      </c>
      <c r="G128" s="8">
        <f>SUMIF('DAILY FIESTA'!$B$10:$B$115,$A128,'DAILY FIESTA'!L$10:L$115)</f>
        <v>0</v>
      </c>
      <c r="H128" s="8">
        <f>SUMIF('DAILY FIESTA'!$B$10:$B$115,$A128,'DAILY FIESTA'!M$10:M$115)</f>
        <v>0</v>
      </c>
      <c r="I128" s="8">
        <f>SUMIF('DAILY FIESTA'!$B$10:$B$115,$A128,'DAILY FIESTA'!N$10:N$115)</f>
        <v>0</v>
      </c>
      <c r="J128" s="8">
        <f>SUMIF('DAILY FIESTA'!$B$10:$B$115,$A128,'DAILY FIESTA'!O$10:O$115)</f>
        <v>0</v>
      </c>
      <c r="K128" s="8">
        <f>SUMIF('DAILY FIESTA'!$B$10:$B$115,$A128,'DAILY FIESTA'!P$10:P$115)</f>
        <v>0</v>
      </c>
      <c r="L128" s="8">
        <f>SUMIF('DAILY FIESTA'!$B$10:$B$115,$A128,'DAILY FIESTA'!Q$10:Q$115)</f>
        <v>0</v>
      </c>
      <c r="M128" s="8">
        <f>SUMIF('DAILY FIESTA'!$B$10:$B$115,$A128,'DAILY FIESTA'!R$10:R$115)</f>
        <v>0</v>
      </c>
      <c r="N128" s="8">
        <f>SUMIF('DAILY FIESTA'!$B$10:$B$115,$A128,'DAILY FIESTA'!S$10:S$115)</f>
        <v>0</v>
      </c>
      <c r="O128" s="8">
        <f>SUMIF('DAILY FIESTA'!$B$10:$B$115,$A128,'DAILY FIESTA'!T$10:T$115)</f>
        <v>0</v>
      </c>
      <c r="P128" s="8">
        <f>SUMIF('DAILY FIESTA'!$B$10:$B$115,$A128,'DAILY FIESTA'!U$10:U$115)</f>
        <v>0</v>
      </c>
      <c r="Q128" s="8">
        <f>SUMIF('DAILY FIESTA'!$B$10:$B$115,$A128,'DAILY FIESTA'!V$10:V$115)</f>
        <v>0</v>
      </c>
      <c r="R128" s="8">
        <f>SUMIF('DAILY FIESTA'!$B$10:$B$115,$A128,'DAILY FIESTA'!W$10:W$115)</f>
        <v>0</v>
      </c>
      <c r="S128" s="8">
        <f>SUMIF('DAILY FIESTA'!$B$10:$B$115,$A128,'DAILY FIESTA'!X$10:X$115)</f>
        <v>0</v>
      </c>
      <c r="T128" s="8">
        <f>SUMIF('DAILY FIESTA'!$B$10:$B$115,$A128,'DAILY FIESTA'!Y$10:Y$115)</f>
        <v>0</v>
      </c>
      <c r="U128" s="8">
        <f>SUMIF('DAILY FIESTA'!$B$10:$B$115,$A128,'DAILY FIESTA'!Z$10:Z$115)</f>
        <v>0</v>
      </c>
      <c r="V128" s="8">
        <f>SUMIF('DAILY FIESTA'!$B$10:$B$115,$A128,'DAILY FIESTA'!AA$10:AA$115)</f>
        <v>0</v>
      </c>
      <c r="W128" s="59">
        <f t="shared" si="7"/>
        <v>0</v>
      </c>
      <c r="X128" s="60">
        <f t="shared" ca="1" si="8"/>
        <v>0</v>
      </c>
      <c r="Y128" s="47">
        <f t="shared" ca="1" si="9"/>
        <v>0</v>
      </c>
      <c r="Z128" s="88" t="e">
        <f t="shared" ca="1" si="10"/>
        <v>#DIV/0!</v>
      </c>
      <c r="AA128" s="89" t="e">
        <f t="shared" ca="1" si="11"/>
        <v>#DIV/0!</v>
      </c>
      <c r="AB128" s="112"/>
      <c r="AC128" s="48"/>
      <c r="AD128" s="89"/>
    </row>
    <row r="129" spans="1:30" hidden="1">
      <c r="A129" s="7"/>
      <c r="B129" s="8">
        <f ca="1">SUMIF('DAILY FIESTA'!$B$10:$B$115,$A129,'DAILY FIESTA'!$C$10:$C$114)</f>
        <v>0</v>
      </c>
      <c r="C129" s="8">
        <f>SUMIF('DAILY FIESTA'!$B$10:$B$115,$A129,'DAILY FIESTA'!H$10:H$115)</f>
        <v>0</v>
      </c>
      <c r="D129" s="8">
        <f>SUMIF('DAILY FIESTA'!$B$10:$B$115,$A129,'DAILY FIESTA'!I$10:I$115)</f>
        <v>0</v>
      </c>
      <c r="E129" s="8">
        <f>SUMIF('DAILY FIESTA'!$B$10:$B$115,$A129,'DAILY FIESTA'!J$10:J$115)</f>
        <v>0</v>
      </c>
      <c r="F129" s="8">
        <f>SUMIF('DAILY FIESTA'!$B$10:$B$115,$A129,'DAILY FIESTA'!K$10:K$115)</f>
        <v>0</v>
      </c>
      <c r="G129" s="8">
        <f>SUMIF('DAILY FIESTA'!$B$10:$B$115,$A129,'DAILY FIESTA'!L$10:L$115)</f>
        <v>0</v>
      </c>
      <c r="H129" s="8">
        <f>SUMIF('DAILY FIESTA'!$B$10:$B$115,$A129,'DAILY FIESTA'!M$10:M$115)</f>
        <v>0</v>
      </c>
      <c r="I129" s="8">
        <f>SUMIF('DAILY FIESTA'!$B$10:$B$115,$A129,'DAILY FIESTA'!N$10:N$115)</f>
        <v>0</v>
      </c>
      <c r="J129" s="8">
        <f>SUMIF('DAILY FIESTA'!$B$10:$B$115,$A129,'DAILY FIESTA'!O$10:O$115)</f>
        <v>0</v>
      </c>
      <c r="K129" s="8">
        <f>SUMIF('DAILY FIESTA'!$B$10:$B$115,$A129,'DAILY FIESTA'!P$10:P$115)</f>
        <v>0</v>
      </c>
      <c r="L129" s="8">
        <f>SUMIF('DAILY FIESTA'!$B$10:$B$115,$A129,'DAILY FIESTA'!Q$10:Q$115)</f>
        <v>0</v>
      </c>
      <c r="M129" s="8">
        <f>SUMIF('DAILY FIESTA'!$B$10:$B$115,$A129,'DAILY FIESTA'!R$10:R$115)</f>
        <v>0</v>
      </c>
      <c r="N129" s="8">
        <f>SUMIF('DAILY FIESTA'!$B$10:$B$115,$A129,'DAILY FIESTA'!S$10:S$115)</f>
        <v>0</v>
      </c>
      <c r="O129" s="8">
        <f>SUMIF('DAILY FIESTA'!$B$10:$B$115,$A129,'DAILY FIESTA'!T$10:T$115)</f>
        <v>0</v>
      </c>
      <c r="P129" s="8">
        <f>SUMIF('DAILY FIESTA'!$B$10:$B$115,$A129,'DAILY FIESTA'!U$10:U$115)</f>
        <v>0</v>
      </c>
      <c r="Q129" s="8">
        <f>SUMIF('DAILY FIESTA'!$B$10:$B$115,$A129,'DAILY FIESTA'!V$10:V$115)</f>
        <v>0</v>
      </c>
      <c r="R129" s="8">
        <f>SUMIF('DAILY FIESTA'!$B$10:$B$115,$A129,'DAILY FIESTA'!W$10:W$115)</f>
        <v>0</v>
      </c>
      <c r="S129" s="8">
        <f>SUMIF('DAILY FIESTA'!$B$10:$B$115,$A129,'DAILY FIESTA'!X$10:X$115)</f>
        <v>0</v>
      </c>
      <c r="T129" s="8">
        <f>SUMIF('DAILY FIESTA'!$B$10:$B$115,$A129,'DAILY FIESTA'!Y$10:Y$115)</f>
        <v>0</v>
      </c>
      <c r="U129" s="8">
        <f>SUMIF('DAILY FIESTA'!$B$10:$B$115,$A129,'DAILY FIESTA'!Z$10:Z$115)</f>
        <v>0</v>
      </c>
      <c r="V129" s="8">
        <f>SUMIF('DAILY FIESTA'!$B$10:$B$115,$A129,'DAILY FIESTA'!AA$10:AA$115)</f>
        <v>0</v>
      </c>
      <c r="W129" s="59">
        <f t="shared" si="7"/>
        <v>0</v>
      </c>
      <c r="X129" s="60">
        <f t="shared" ca="1" si="8"/>
        <v>0</v>
      </c>
      <c r="Y129" s="47">
        <f t="shared" ca="1" si="9"/>
        <v>0</v>
      </c>
      <c r="Z129" s="88" t="e">
        <f t="shared" ca="1" si="10"/>
        <v>#DIV/0!</v>
      </c>
      <c r="AA129" s="89" t="e">
        <f t="shared" ca="1" si="11"/>
        <v>#DIV/0!</v>
      </c>
      <c r="AB129" s="112"/>
      <c r="AC129" s="48"/>
      <c r="AD129" s="89"/>
    </row>
    <row r="130" spans="1:30" hidden="1">
      <c r="A130" s="7"/>
      <c r="B130" s="8">
        <f ca="1">SUMIF('DAILY FIESTA'!$B$10:$B$115,$A130,'DAILY FIESTA'!$C$10:$C$114)</f>
        <v>0</v>
      </c>
      <c r="C130" s="8">
        <f>SUMIF('DAILY FIESTA'!$B$10:$B$115,$A130,'DAILY FIESTA'!H$10:H$115)</f>
        <v>0</v>
      </c>
      <c r="D130" s="8">
        <f>SUMIF('DAILY FIESTA'!$B$10:$B$115,$A130,'DAILY FIESTA'!I$10:I$115)</f>
        <v>0</v>
      </c>
      <c r="E130" s="8">
        <f>SUMIF('DAILY FIESTA'!$B$10:$B$115,$A130,'DAILY FIESTA'!J$10:J$115)</f>
        <v>0</v>
      </c>
      <c r="F130" s="8">
        <f>SUMIF('DAILY FIESTA'!$B$10:$B$115,$A130,'DAILY FIESTA'!K$10:K$115)</f>
        <v>0</v>
      </c>
      <c r="G130" s="8">
        <f>SUMIF('DAILY FIESTA'!$B$10:$B$115,$A130,'DAILY FIESTA'!L$10:L$115)</f>
        <v>0</v>
      </c>
      <c r="H130" s="8">
        <f>SUMIF('DAILY FIESTA'!$B$10:$B$115,$A130,'DAILY FIESTA'!M$10:M$115)</f>
        <v>0</v>
      </c>
      <c r="I130" s="8">
        <f>SUMIF('DAILY FIESTA'!$B$10:$B$115,$A130,'DAILY FIESTA'!N$10:N$115)</f>
        <v>0</v>
      </c>
      <c r="J130" s="8">
        <f>SUMIF('DAILY FIESTA'!$B$10:$B$115,$A130,'DAILY FIESTA'!O$10:O$115)</f>
        <v>0</v>
      </c>
      <c r="K130" s="8">
        <f>SUMIF('DAILY FIESTA'!$B$10:$B$115,$A130,'DAILY FIESTA'!P$10:P$115)</f>
        <v>0</v>
      </c>
      <c r="L130" s="8">
        <f>SUMIF('DAILY FIESTA'!$B$10:$B$115,$A130,'DAILY FIESTA'!Q$10:Q$115)</f>
        <v>0</v>
      </c>
      <c r="M130" s="8">
        <f>SUMIF('DAILY FIESTA'!$B$10:$B$115,$A130,'DAILY FIESTA'!R$10:R$115)</f>
        <v>0</v>
      </c>
      <c r="N130" s="8">
        <f>SUMIF('DAILY FIESTA'!$B$10:$B$115,$A130,'DAILY FIESTA'!S$10:S$115)</f>
        <v>0</v>
      </c>
      <c r="O130" s="8">
        <f>SUMIF('DAILY FIESTA'!$B$10:$B$115,$A130,'DAILY FIESTA'!T$10:T$115)</f>
        <v>0</v>
      </c>
      <c r="P130" s="8">
        <f>SUMIF('DAILY FIESTA'!$B$10:$B$115,$A130,'DAILY FIESTA'!U$10:U$115)</f>
        <v>0</v>
      </c>
      <c r="Q130" s="8">
        <f>SUMIF('DAILY FIESTA'!$B$10:$B$115,$A130,'DAILY FIESTA'!V$10:V$115)</f>
        <v>0</v>
      </c>
      <c r="R130" s="8">
        <f>SUMIF('DAILY FIESTA'!$B$10:$B$115,$A130,'DAILY FIESTA'!W$10:W$115)</f>
        <v>0</v>
      </c>
      <c r="S130" s="8">
        <f>SUMIF('DAILY FIESTA'!$B$10:$B$115,$A130,'DAILY FIESTA'!X$10:X$115)</f>
        <v>0</v>
      </c>
      <c r="T130" s="8">
        <f>SUMIF('DAILY FIESTA'!$B$10:$B$115,$A130,'DAILY FIESTA'!Y$10:Y$115)</f>
        <v>0</v>
      </c>
      <c r="U130" s="8">
        <f>SUMIF('DAILY FIESTA'!$B$10:$B$115,$A130,'DAILY FIESTA'!Z$10:Z$115)</f>
        <v>0</v>
      </c>
      <c r="V130" s="8">
        <f>SUMIF('DAILY FIESTA'!$B$10:$B$115,$A130,'DAILY FIESTA'!AA$10:AA$115)</f>
        <v>0</v>
      </c>
      <c r="W130" s="59">
        <f t="shared" si="7"/>
        <v>0</v>
      </c>
      <c r="X130" s="60">
        <f t="shared" ca="1" si="8"/>
        <v>0</v>
      </c>
      <c r="Y130" s="47">
        <f t="shared" ca="1" si="9"/>
        <v>0</v>
      </c>
      <c r="Z130" s="88" t="e">
        <f t="shared" ca="1" si="10"/>
        <v>#DIV/0!</v>
      </c>
      <c r="AA130" s="89" t="e">
        <f t="shared" ca="1" si="11"/>
        <v>#DIV/0!</v>
      </c>
      <c r="AB130" s="112"/>
      <c r="AC130" s="48"/>
      <c r="AD130" s="89"/>
    </row>
    <row r="131" spans="1:30" hidden="1">
      <c r="A131" s="7"/>
      <c r="B131" s="8">
        <f ca="1">SUMIF('DAILY FIESTA'!$B$10:$B$115,$A131,'DAILY FIESTA'!$C$10:$C$114)</f>
        <v>0</v>
      </c>
      <c r="C131" s="8">
        <f>SUMIF('DAILY FIESTA'!$B$10:$B$115,$A131,'DAILY FIESTA'!H$10:H$115)</f>
        <v>0</v>
      </c>
      <c r="D131" s="8">
        <f>SUMIF('DAILY FIESTA'!$B$10:$B$115,$A131,'DAILY FIESTA'!I$10:I$115)</f>
        <v>0</v>
      </c>
      <c r="E131" s="8">
        <f>SUMIF('DAILY FIESTA'!$B$10:$B$115,$A131,'DAILY FIESTA'!J$10:J$115)</f>
        <v>0</v>
      </c>
      <c r="F131" s="8">
        <f>SUMIF('DAILY FIESTA'!$B$10:$B$115,$A131,'DAILY FIESTA'!K$10:K$115)</f>
        <v>0</v>
      </c>
      <c r="G131" s="8">
        <f>SUMIF('DAILY FIESTA'!$B$10:$B$115,$A131,'DAILY FIESTA'!L$10:L$115)</f>
        <v>0</v>
      </c>
      <c r="H131" s="8">
        <f>SUMIF('DAILY FIESTA'!$B$10:$B$115,$A131,'DAILY FIESTA'!M$10:M$115)</f>
        <v>0</v>
      </c>
      <c r="I131" s="8">
        <f>SUMIF('DAILY FIESTA'!$B$10:$B$115,$A131,'DAILY FIESTA'!N$10:N$115)</f>
        <v>0</v>
      </c>
      <c r="J131" s="8">
        <f>SUMIF('DAILY FIESTA'!$B$10:$B$115,$A131,'DAILY FIESTA'!O$10:O$115)</f>
        <v>0</v>
      </c>
      <c r="K131" s="8">
        <f>SUMIF('DAILY FIESTA'!$B$10:$B$115,$A131,'DAILY FIESTA'!P$10:P$115)</f>
        <v>0</v>
      </c>
      <c r="L131" s="8">
        <f>SUMIF('DAILY FIESTA'!$B$10:$B$115,$A131,'DAILY FIESTA'!Q$10:Q$115)</f>
        <v>0</v>
      </c>
      <c r="M131" s="8">
        <f>SUMIF('DAILY FIESTA'!$B$10:$B$115,$A131,'DAILY FIESTA'!R$10:R$115)</f>
        <v>0</v>
      </c>
      <c r="N131" s="8">
        <f>SUMIF('DAILY FIESTA'!$B$10:$B$115,$A131,'DAILY FIESTA'!S$10:S$115)</f>
        <v>0</v>
      </c>
      <c r="O131" s="8">
        <f>SUMIF('DAILY FIESTA'!$B$10:$B$115,$A131,'DAILY FIESTA'!T$10:T$115)</f>
        <v>0</v>
      </c>
      <c r="P131" s="8">
        <f>SUMIF('DAILY FIESTA'!$B$10:$B$115,$A131,'DAILY FIESTA'!U$10:U$115)</f>
        <v>0</v>
      </c>
      <c r="Q131" s="8">
        <f>SUMIF('DAILY FIESTA'!$B$10:$B$115,$A131,'DAILY FIESTA'!V$10:V$115)</f>
        <v>0</v>
      </c>
      <c r="R131" s="8">
        <f>SUMIF('DAILY FIESTA'!$B$10:$B$115,$A131,'DAILY FIESTA'!W$10:W$115)</f>
        <v>0</v>
      </c>
      <c r="S131" s="8">
        <f>SUMIF('DAILY FIESTA'!$B$10:$B$115,$A131,'DAILY FIESTA'!X$10:X$115)</f>
        <v>0</v>
      </c>
      <c r="T131" s="8">
        <f>SUMIF('DAILY FIESTA'!$B$10:$B$115,$A131,'DAILY FIESTA'!Y$10:Y$115)</f>
        <v>0</v>
      </c>
      <c r="U131" s="8">
        <f>SUMIF('DAILY FIESTA'!$B$10:$B$115,$A131,'DAILY FIESTA'!Z$10:Z$115)</f>
        <v>0</v>
      </c>
      <c r="V131" s="8">
        <f>SUMIF('DAILY FIESTA'!$B$10:$B$115,$A131,'DAILY FIESTA'!AA$10:AA$115)</f>
        <v>0</v>
      </c>
      <c r="W131" s="59">
        <f t="shared" si="7"/>
        <v>0</v>
      </c>
      <c r="X131" s="60">
        <f t="shared" ca="1" si="8"/>
        <v>0</v>
      </c>
      <c r="Y131" s="47">
        <f t="shared" ca="1" si="9"/>
        <v>0</v>
      </c>
      <c r="Z131" s="88" t="e">
        <f t="shared" ca="1" si="10"/>
        <v>#DIV/0!</v>
      </c>
      <c r="AA131" s="89" t="e">
        <f t="shared" ca="1" si="11"/>
        <v>#DIV/0!</v>
      </c>
      <c r="AB131" s="112"/>
      <c r="AC131" s="48"/>
      <c r="AD131" s="89"/>
    </row>
    <row r="132" spans="1:30" hidden="1">
      <c r="A132" s="7"/>
      <c r="B132" s="8">
        <f ca="1">SUMIF('DAILY FIESTA'!$B$10:$B$115,$A132,'DAILY FIESTA'!$C$10:$C$114)</f>
        <v>0</v>
      </c>
      <c r="C132" s="8">
        <f>SUMIF('DAILY FIESTA'!$B$10:$B$115,$A132,'DAILY FIESTA'!H$10:H$115)</f>
        <v>0</v>
      </c>
      <c r="D132" s="8">
        <f>SUMIF('DAILY FIESTA'!$B$10:$B$115,$A132,'DAILY FIESTA'!I$10:I$115)</f>
        <v>0</v>
      </c>
      <c r="E132" s="8">
        <f>SUMIF('DAILY FIESTA'!$B$10:$B$115,$A132,'DAILY FIESTA'!J$10:J$115)</f>
        <v>0</v>
      </c>
      <c r="F132" s="8">
        <f>SUMIF('DAILY FIESTA'!$B$10:$B$115,$A132,'DAILY FIESTA'!K$10:K$115)</f>
        <v>0</v>
      </c>
      <c r="G132" s="8">
        <f>SUMIF('DAILY FIESTA'!$B$10:$B$115,$A132,'DAILY FIESTA'!L$10:L$115)</f>
        <v>0</v>
      </c>
      <c r="H132" s="8">
        <f>SUMIF('DAILY FIESTA'!$B$10:$B$115,$A132,'DAILY FIESTA'!M$10:M$115)</f>
        <v>0</v>
      </c>
      <c r="I132" s="8">
        <f>SUMIF('DAILY FIESTA'!$B$10:$B$115,$A132,'DAILY FIESTA'!N$10:N$115)</f>
        <v>0</v>
      </c>
      <c r="J132" s="8">
        <f>SUMIF('DAILY FIESTA'!$B$10:$B$115,$A132,'DAILY FIESTA'!O$10:O$115)</f>
        <v>0</v>
      </c>
      <c r="K132" s="8">
        <f>SUMIF('DAILY FIESTA'!$B$10:$B$115,$A132,'DAILY FIESTA'!P$10:P$115)</f>
        <v>0</v>
      </c>
      <c r="L132" s="8">
        <f>SUMIF('DAILY FIESTA'!$B$10:$B$115,$A132,'DAILY FIESTA'!Q$10:Q$115)</f>
        <v>0</v>
      </c>
      <c r="M132" s="8">
        <f>SUMIF('DAILY FIESTA'!$B$10:$B$115,$A132,'DAILY FIESTA'!R$10:R$115)</f>
        <v>0</v>
      </c>
      <c r="N132" s="8">
        <f>SUMIF('DAILY FIESTA'!$B$10:$B$115,$A132,'DAILY FIESTA'!S$10:S$115)</f>
        <v>0</v>
      </c>
      <c r="O132" s="8">
        <f>SUMIF('DAILY FIESTA'!$B$10:$B$115,$A132,'DAILY FIESTA'!T$10:T$115)</f>
        <v>0</v>
      </c>
      <c r="P132" s="8">
        <f>SUMIF('DAILY FIESTA'!$B$10:$B$115,$A132,'DAILY FIESTA'!U$10:U$115)</f>
        <v>0</v>
      </c>
      <c r="Q132" s="8">
        <f>SUMIF('DAILY FIESTA'!$B$10:$B$115,$A132,'DAILY FIESTA'!V$10:V$115)</f>
        <v>0</v>
      </c>
      <c r="R132" s="8">
        <f>SUMIF('DAILY FIESTA'!$B$10:$B$115,$A132,'DAILY FIESTA'!W$10:W$115)</f>
        <v>0</v>
      </c>
      <c r="S132" s="8">
        <f>SUMIF('DAILY FIESTA'!$B$10:$B$115,$A132,'DAILY FIESTA'!X$10:X$115)</f>
        <v>0</v>
      </c>
      <c r="T132" s="8">
        <f>SUMIF('DAILY FIESTA'!$B$10:$B$115,$A132,'DAILY FIESTA'!Y$10:Y$115)</f>
        <v>0</v>
      </c>
      <c r="U132" s="8">
        <f>SUMIF('DAILY FIESTA'!$B$10:$B$115,$A132,'DAILY FIESTA'!Z$10:Z$115)</f>
        <v>0</v>
      </c>
      <c r="V132" s="8">
        <f>SUMIF('DAILY FIESTA'!$B$10:$B$115,$A132,'DAILY FIESTA'!AA$10:AA$115)</f>
        <v>0</v>
      </c>
      <c r="W132" s="59">
        <f t="shared" si="7"/>
        <v>0</v>
      </c>
      <c r="X132" s="60">
        <f t="shared" ca="1" si="8"/>
        <v>0</v>
      </c>
      <c r="Y132" s="47">
        <f t="shared" ca="1" si="9"/>
        <v>0</v>
      </c>
      <c r="Z132" s="88" t="e">
        <f t="shared" ca="1" si="10"/>
        <v>#DIV/0!</v>
      </c>
      <c r="AA132" s="89" t="e">
        <f t="shared" ca="1" si="11"/>
        <v>#DIV/0!</v>
      </c>
      <c r="AB132" s="112"/>
      <c r="AC132" s="48"/>
      <c r="AD132" s="89"/>
    </row>
    <row r="133" spans="1:30" hidden="1">
      <c r="A133" s="7"/>
      <c r="B133" s="8">
        <f ca="1">SUMIF('DAILY FIESTA'!$B$10:$B$115,$A133,'DAILY FIESTA'!$C$10:$C$114)</f>
        <v>0</v>
      </c>
      <c r="C133" s="8">
        <f>SUMIF('DAILY FIESTA'!$B$10:$B$115,$A133,'DAILY FIESTA'!H$10:H$115)</f>
        <v>0</v>
      </c>
      <c r="D133" s="8">
        <f>SUMIF('DAILY FIESTA'!$B$10:$B$115,$A133,'DAILY FIESTA'!I$10:I$115)</f>
        <v>0</v>
      </c>
      <c r="E133" s="8">
        <f>SUMIF('DAILY FIESTA'!$B$10:$B$115,$A133,'DAILY FIESTA'!J$10:J$115)</f>
        <v>0</v>
      </c>
      <c r="F133" s="8">
        <f>SUMIF('DAILY FIESTA'!$B$10:$B$115,$A133,'DAILY FIESTA'!K$10:K$115)</f>
        <v>0</v>
      </c>
      <c r="G133" s="8">
        <f>SUMIF('DAILY FIESTA'!$B$10:$B$115,$A133,'DAILY FIESTA'!L$10:L$115)</f>
        <v>0</v>
      </c>
      <c r="H133" s="8">
        <f>SUMIF('DAILY FIESTA'!$B$10:$B$115,$A133,'DAILY FIESTA'!M$10:M$115)</f>
        <v>0</v>
      </c>
      <c r="I133" s="8">
        <f>SUMIF('DAILY FIESTA'!$B$10:$B$115,$A133,'DAILY FIESTA'!N$10:N$115)</f>
        <v>0</v>
      </c>
      <c r="J133" s="8">
        <f>SUMIF('DAILY FIESTA'!$B$10:$B$115,$A133,'DAILY FIESTA'!O$10:O$115)</f>
        <v>0</v>
      </c>
      <c r="K133" s="8">
        <f>SUMIF('DAILY FIESTA'!$B$10:$B$115,$A133,'DAILY FIESTA'!P$10:P$115)</f>
        <v>0</v>
      </c>
      <c r="L133" s="8">
        <f>SUMIF('DAILY FIESTA'!$B$10:$B$115,$A133,'DAILY FIESTA'!Q$10:Q$115)</f>
        <v>0</v>
      </c>
      <c r="M133" s="8">
        <f>SUMIF('DAILY FIESTA'!$B$10:$B$115,$A133,'DAILY FIESTA'!R$10:R$115)</f>
        <v>0</v>
      </c>
      <c r="N133" s="8">
        <f>SUMIF('DAILY FIESTA'!$B$10:$B$115,$A133,'DAILY FIESTA'!S$10:S$115)</f>
        <v>0</v>
      </c>
      <c r="O133" s="8">
        <f>SUMIF('DAILY FIESTA'!$B$10:$B$115,$A133,'DAILY FIESTA'!T$10:T$115)</f>
        <v>0</v>
      </c>
      <c r="P133" s="8">
        <f>SUMIF('DAILY FIESTA'!$B$10:$B$115,$A133,'DAILY FIESTA'!U$10:U$115)</f>
        <v>0</v>
      </c>
      <c r="Q133" s="8">
        <f>SUMIF('DAILY FIESTA'!$B$10:$B$115,$A133,'DAILY FIESTA'!V$10:V$115)</f>
        <v>0</v>
      </c>
      <c r="R133" s="8">
        <f>SUMIF('DAILY FIESTA'!$B$10:$B$115,$A133,'DAILY FIESTA'!W$10:W$115)</f>
        <v>0</v>
      </c>
      <c r="S133" s="8">
        <f>SUMIF('DAILY FIESTA'!$B$10:$B$115,$A133,'DAILY FIESTA'!X$10:X$115)</f>
        <v>0</v>
      </c>
      <c r="T133" s="8">
        <f>SUMIF('DAILY FIESTA'!$B$10:$B$115,$A133,'DAILY FIESTA'!Y$10:Y$115)</f>
        <v>0</v>
      </c>
      <c r="U133" s="8">
        <f>SUMIF('DAILY FIESTA'!$B$10:$B$115,$A133,'DAILY FIESTA'!Z$10:Z$115)</f>
        <v>0</v>
      </c>
      <c r="V133" s="8">
        <f>SUMIF('DAILY FIESTA'!$B$10:$B$115,$A133,'DAILY FIESTA'!AA$10:AA$115)</f>
        <v>0</v>
      </c>
      <c r="W133" s="59">
        <f t="shared" ref="W133:W148" si="12">SUM(E133:V133)</f>
        <v>0</v>
      </c>
      <c r="X133" s="60">
        <f t="shared" ref="X133:X148" ca="1" si="13">+B133-C133-D133-W133</f>
        <v>0</v>
      </c>
      <c r="Y133" s="47">
        <f t="shared" ref="Y133:Y150" ca="1" si="14">+X133/2.4</f>
        <v>0</v>
      </c>
      <c r="Z133" s="88" t="e">
        <f t="shared" ca="1" si="10"/>
        <v>#DIV/0!</v>
      </c>
      <c r="AA133" s="89" t="e">
        <f t="shared" ca="1" si="11"/>
        <v>#DIV/0!</v>
      </c>
      <c r="AB133" s="112"/>
      <c r="AC133" s="48"/>
      <c r="AD133" s="89"/>
    </row>
    <row r="134" spans="1:30" hidden="1">
      <c r="A134" s="7"/>
      <c r="B134" s="8">
        <f ca="1">SUMIF('DAILY FIESTA'!$B$10:$B$115,$A134,'DAILY FIESTA'!$C$10:$C$114)</f>
        <v>0</v>
      </c>
      <c r="C134" s="8">
        <f>SUMIF('DAILY FIESTA'!$B$10:$B$115,$A134,'DAILY FIESTA'!H$10:H$115)</f>
        <v>0</v>
      </c>
      <c r="D134" s="8">
        <f>SUMIF('DAILY FIESTA'!$B$10:$B$115,$A134,'DAILY FIESTA'!I$10:I$115)</f>
        <v>0</v>
      </c>
      <c r="E134" s="8">
        <f>SUMIF('DAILY FIESTA'!$B$10:$B$115,$A134,'DAILY FIESTA'!J$10:J$115)</f>
        <v>0</v>
      </c>
      <c r="F134" s="8">
        <f>SUMIF('DAILY FIESTA'!$B$10:$B$115,$A134,'DAILY FIESTA'!K$10:K$115)</f>
        <v>0</v>
      </c>
      <c r="G134" s="8">
        <f>SUMIF('DAILY FIESTA'!$B$10:$B$115,$A134,'DAILY FIESTA'!L$10:L$115)</f>
        <v>0</v>
      </c>
      <c r="H134" s="8">
        <f>SUMIF('DAILY FIESTA'!$B$10:$B$115,$A134,'DAILY FIESTA'!M$10:M$115)</f>
        <v>0</v>
      </c>
      <c r="I134" s="8">
        <f>SUMIF('DAILY FIESTA'!$B$10:$B$115,$A134,'DAILY FIESTA'!N$10:N$115)</f>
        <v>0</v>
      </c>
      <c r="J134" s="8">
        <f>SUMIF('DAILY FIESTA'!$B$10:$B$115,$A134,'DAILY FIESTA'!O$10:O$115)</f>
        <v>0</v>
      </c>
      <c r="K134" s="8">
        <f>SUMIF('DAILY FIESTA'!$B$10:$B$115,$A134,'DAILY FIESTA'!P$10:P$115)</f>
        <v>0</v>
      </c>
      <c r="L134" s="8">
        <f>SUMIF('DAILY FIESTA'!$B$10:$B$115,$A134,'DAILY FIESTA'!Q$10:Q$115)</f>
        <v>0</v>
      </c>
      <c r="M134" s="8">
        <f>SUMIF('DAILY FIESTA'!$B$10:$B$115,$A134,'DAILY FIESTA'!R$10:R$115)</f>
        <v>0</v>
      </c>
      <c r="N134" s="8">
        <f>SUMIF('DAILY FIESTA'!$B$10:$B$115,$A134,'DAILY FIESTA'!S$10:S$115)</f>
        <v>0</v>
      </c>
      <c r="O134" s="8">
        <f>SUMIF('DAILY FIESTA'!$B$10:$B$115,$A134,'DAILY FIESTA'!T$10:T$115)</f>
        <v>0</v>
      </c>
      <c r="P134" s="8">
        <f>SUMIF('DAILY FIESTA'!$B$10:$B$115,$A134,'DAILY FIESTA'!U$10:U$115)</f>
        <v>0</v>
      </c>
      <c r="Q134" s="8">
        <f>SUMIF('DAILY FIESTA'!$B$10:$B$115,$A134,'DAILY FIESTA'!V$10:V$115)</f>
        <v>0</v>
      </c>
      <c r="R134" s="8">
        <f>SUMIF('DAILY FIESTA'!$B$10:$B$115,$A134,'DAILY FIESTA'!W$10:W$115)</f>
        <v>0</v>
      </c>
      <c r="S134" s="8">
        <f>SUMIF('DAILY FIESTA'!$B$10:$B$115,$A134,'DAILY FIESTA'!X$10:X$115)</f>
        <v>0</v>
      </c>
      <c r="T134" s="8">
        <f>SUMIF('DAILY FIESTA'!$B$10:$B$115,$A134,'DAILY FIESTA'!Y$10:Y$115)</f>
        <v>0</v>
      </c>
      <c r="U134" s="8">
        <f>SUMIF('DAILY FIESTA'!$B$10:$B$115,$A134,'DAILY FIESTA'!Z$10:Z$115)</f>
        <v>0</v>
      </c>
      <c r="V134" s="8">
        <f>SUMIF('DAILY FIESTA'!$B$10:$B$115,$A134,'DAILY FIESTA'!AA$10:AA$115)</f>
        <v>0</v>
      </c>
      <c r="W134" s="59">
        <f t="shared" si="12"/>
        <v>0</v>
      </c>
      <c r="X134" s="60">
        <f t="shared" ca="1" si="13"/>
        <v>0</v>
      </c>
      <c r="Y134" s="47">
        <f t="shared" ca="1" si="14"/>
        <v>0</v>
      </c>
      <c r="Z134" s="88" t="e">
        <f t="shared" ca="1" si="10"/>
        <v>#DIV/0!</v>
      </c>
      <c r="AA134" s="89" t="e">
        <f t="shared" ca="1" si="11"/>
        <v>#DIV/0!</v>
      </c>
      <c r="AB134" s="112"/>
      <c r="AC134" s="48"/>
      <c r="AD134" s="89"/>
    </row>
    <row r="135" spans="1:30" hidden="1">
      <c r="A135" s="7"/>
      <c r="B135" s="8">
        <f ca="1">SUMIF('DAILY FIESTA'!$B$10:$B$115,$A135,'DAILY FIESTA'!$C$10:$C$114)</f>
        <v>0</v>
      </c>
      <c r="C135" s="8">
        <f>SUMIF('DAILY FIESTA'!$B$10:$B$115,$A135,'DAILY FIESTA'!H$10:H$115)</f>
        <v>0</v>
      </c>
      <c r="D135" s="8">
        <f>SUMIF('DAILY FIESTA'!$B$10:$B$115,$A135,'DAILY FIESTA'!I$10:I$115)</f>
        <v>0</v>
      </c>
      <c r="E135" s="8">
        <f>SUMIF('DAILY FIESTA'!$B$10:$B$115,$A135,'DAILY FIESTA'!J$10:J$115)</f>
        <v>0</v>
      </c>
      <c r="F135" s="8">
        <f>SUMIF('DAILY FIESTA'!$B$10:$B$115,$A135,'DAILY FIESTA'!K$10:K$115)</f>
        <v>0</v>
      </c>
      <c r="G135" s="8">
        <f>SUMIF('DAILY FIESTA'!$B$10:$B$115,$A135,'DAILY FIESTA'!L$10:L$115)</f>
        <v>0</v>
      </c>
      <c r="H135" s="8">
        <f>SUMIF('DAILY FIESTA'!$B$10:$B$115,$A135,'DAILY FIESTA'!M$10:M$115)</f>
        <v>0</v>
      </c>
      <c r="I135" s="8">
        <f>SUMIF('DAILY FIESTA'!$B$10:$B$115,$A135,'DAILY FIESTA'!N$10:N$115)</f>
        <v>0</v>
      </c>
      <c r="J135" s="8">
        <f>SUMIF('DAILY FIESTA'!$B$10:$B$115,$A135,'DAILY FIESTA'!O$10:O$115)</f>
        <v>0</v>
      </c>
      <c r="K135" s="8">
        <f>SUMIF('DAILY FIESTA'!$B$10:$B$115,$A135,'DAILY FIESTA'!P$10:P$115)</f>
        <v>0</v>
      </c>
      <c r="L135" s="8">
        <f>SUMIF('DAILY FIESTA'!$B$10:$B$115,$A135,'DAILY FIESTA'!Q$10:Q$115)</f>
        <v>0</v>
      </c>
      <c r="M135" s="8">
        <f>SUMIF('DAILY FIESTA'!$B$10:$B$115,$A135,'DAILY FIESTA'!R$10:R$115)</f>
        <v>0</v>
      </c>
      <c r="N135" s="8">
        <f>SUMIF('DAILY FIESTA'!$B$10:$B$115,$A135,'DAILY FIESTA'!S$10:S$115)</f>
        <v>0</v>
      </c>
      <c r="O135" s="8">
        <f>SUMIF('DAILY FIESTA'!$B$10:$B$115,$A135,'DAILY FIESTA'!T$10:T$115)</f>
        <v>0</v>
      </c>
      <c r="P135" s="8">
        <f>SUMIF('DAILY FIESTA'!$B$10:$B$115,$A135,'DAILY FIESTA'!U$10:U$115)</f>
        <v>0</v>
      </c>
      <c r="Q135" s="8">
        <f>SUMIF('DAILY FIESTA'!$B$10:$B$115,$A135,'DAILY FIESTA'!V$10:V$115)</f>
        <v>0</v>
      </c>
      <c r="R135" s="8">
        <f>SUMIF('DAILY FIESTA'!$B$10:$B$115,$A135,'DAILY FIESTA'!W$10:W$115)</f>
        <v>0</v>
      </c>
      <c r="S135" s="8">
        <f>SUMIF('DAILY FIESTA'!$B$10:$B$115,$A135,'DAILY FIESTA'!X$10:X$115)</f>
        <v>0</v>
      </c>
      <c r="T135" s="8">
        <f>SUMIF('DAILY FIESTA'!$B$10:$B$115,$A135,'DAILY FIESTA'!Y$10:Y$115)</f>
        <v>0</v>
      </c>
      <c r="U135" s="8">
        <f>SUMIF('DAILY FIESTA'!$B$10:$B$115,$A135,'DAILY FIESTA'!Z$10:Z$115)</f>
        <v>0</v>
      </c>
      <c r="V135" s="8">
        <f>SUMIF('DAILY FIESTA'!$B$10:$B$115,$A135,'DAILY FIESTA'!AA$10:AA$115)</f>
        <v>0</v>
      </c>
      <c r="W135" s="59">
        <f t="shared" si="12"/>
        <v>0</v>
      </c>
      <c r="X135" s="60">
        <f t="shared" ca="1" si="13"/>
        <v>0</v>
      </c>
      <c r="Y135" s="47">
        <f t="shared" ca="1" si="14"/>
        <v>0</v>
      </c>
      <c r="Z135" s="88" t="e">
        <f t="shared" ca="1" si="10"/>
        <v>#DIV/0!</v>
      </c>
      <c r="AA135" s="89" t="e">
        <f t="shared" ca="1" si="11"/>
        <v>#DIV/0!</v>
      </c>
      <c r="AB135" s="112"/>
      <c r="AC135" s="48"/>
      <c r="AD135" s="89"/>
    </row>
    <row r="136" spans="1:30" hidden="1">
      <c r="A136" s="7"/>
      <c r="B136" s="8">
        <f ca="1">SUMIF('DAILY FIESTA'!$B$10:$B$115,$A136,'DAILY FIESTA'!$C$10:$C$114)</f>
        <v>0</v>
      </c>
      <c r="C136" s="8">
        <f>SUMIF('DAILY FIESTA'!$B$10:$B$115,$A136,'DAILY FIESTA'!H$10:H$115)</f>
        <v>0</v>
      </c>
      <c r="D136" s="8">
        <f>SUMIF('DAILY FIESTA'!$B$10:$B$115,$A136,'DAILY FIESTA'!I$10:I$115)</f>
        <v>0</v>
      </c>
      <c r="E136" s="8">
        <f>SUMIF('DAILY FIESTA'!$B$10:$B$115,$A136,'DAILY FIESTA'!J$10:J$115)</f>
        <v>0</v>
      </c>
      <c r="F136" s="8">
        <f>SUMIF('DAILY FIESTA'!$B$10:$B$115,$A136,'DAILY FIESTA'!K$10:K$115)</f>
        <v>0</v>
      </c>
      <c r="G136" s="8">
        <f>SUMIF('DAILY FIESTA'!$B$10:$B$115,$A136,'DAILY FIESTA'!L$10:L$115)</f>
        <v>0</v>
      </c>
      <c r="H136" s="8">
        <f>SUMIF('DAILY FIESTA'!$B$10:$B$115,$A136,'DAILY FIESTA'!M$10:M$115)</f>
        <v>0</v>
      </c>
      <c r="I136" s="8">
        <f>SUMIF('DAILY FIESTA'!$B$10:$B$115,$A136,'DAILY FIESTA'!N$10:N$115)</f>
        <v>0</v>
      </c>
      <c r="J136" s="8">
        <f>SUMIF('DAILY FIESTA'!$B$10:$B$115,$A136,'DAILY FIESTA'!O$10:O$115)</f>
        <v>0</v>
      </c>
      <c r="K136" s="8">
        <f>SUMIF('DAILY FIESTA'!$B$10:$B$115,$A136,'DAILY FIESTA'!P$10:P$115)</f>
        <v>0</v>
      </c>
      <c r="L136" s="8">
        <f>SUMIF('DAILY FIESTA'!$B$10:$B$115,$A136,'DAILY FIESTA'!Q$10:Q$115)</f>
        <v>0</v>
      </c>
      <c r="M136" s="8">
        <f>SUMIF('DAILY FIESTA'!$B$10:$B$115,$A136,'DAILY FIESTA'!R$10:R$115)</f>
        <v>0</v>
      </c>
      <c r="N136" s="8">
        <f>SUMIF('DAILY FIESTA'!$B$10:$B$115,$A136,'DAILY FIESTA'!S$10:S$115)</f>
        <v>0</v>
      </c>
      <c r="O136" s="8">
        <f>SUMIF('DAILY FIESTA'!$B$10:$B$115,$A136,'DAILY FIESTA'!T$10:T$115)</f>
        <v>0</v>
      </c>
      <c r="P136" s="8">
        <f>SUMIF('DAILY FIESTA'!$B$10:$B$115,$A136,'DAILY FIESTA'!U$10:U$115)</f>
        <v>0</v>
      </c>
      <c r="Q136" s="8">
        <f>SUMIF('DAILY FIESTA'!$B$10:$B$115,$A136,'DAILY FIESTA'!V$10:V$115)</f>
        <v>0</v>
      </c>
      <c r="R136" s="8">
        <f>SUMIF('DAILY FIESTA'!$B$10:$B$115,$A136,'DAILY FIESTA'!W$10:W$115)</f>
        <v>0</v>
      </c>
      <c r="S136" s="8">
        <f>SUMIF('DAILY FIESTA'!$B$10:$B$115,$A136,'DAILY FIESTA'!X$10:X$115)</f>
        <v>0</v>
      </c>
      <c r="T136" s="8">
        <f>SUMIF('DAILY FIESTA'!$B$10:$B$115,$A136,'DAILY FIESTA'!Y$10:Y$115)</f>
        <v>0</v>
      </c>
      <c r="U136" s="8">
        <f>SUMIF('DAILY FIESTA'!$B$10:$B$115,$A136,'DAILY FIESTA'!Z$10:Z$115)</f>
        <v>0</v>
      </c>
      <c r="V136" s="8">
        <f>SUMIF('DAILY FIESTA'!$B$10:$B$115,$A136,'DAILY FIESTA'!AA$10:AA$115)</f>
        <v>0</v>
      </c>
      <c r="W136" s="59">
        <f t="shared" si="12"/>
        <v>0</v>
      </c>
      <c r="X136" s="60">
        <f t="shared" ca="1" si="13"/>
        <v>0</v>
      </c>
      <c r="Y136" s="47">
        <f t="shared" ca="1" si="14"/>
        <v>0</v>
      </c>
      <c r="Z136" s="88" t="e">
        <f t="shared" ca="1" si="10"/>
        <v>#DIV/0!</v>
      </c>
      <c r="AA136" s="89" t="e">
        <f t="shared" ca="1" si="11"/>
        <v>#DIV/0!</v>
      </c>
      <c r="AB136" s="112"/>
      <c r="AC136" s="48"/>
      <c r="AD136" s="89"/>
    </row>
    <row r="137" spans="1:30" hidden="1">
      <c r="A137" s="7"/>
      <c r="B137" s="8">
        <f ca="1">SUMIF('DAILY FIESTA'!$B$10:$B$115,$A137,'DAILY FIESTA'!$C$10:$C$114)</f>
        <v>0</v>
      </c>
      <c r="C137" s="8">
        <f>SUMIF('DAILY FIESTA'!$B$10:$B$115,$A137,'DAILY FIESTA'!H$10:H$115)</f>
        <v>0</v>
      </c>
      <c r="D137" s="8">
        <f>SUMIF('DAILY FIESTA'!$B$10:$B$115,$A137,'DAILY FIESTA'!I$10:I$115)</f>
        <v>0</v>
      </c>
      <c r="E137" s="8">
        <f>SUMIF('DAILY FIESTA'!$B$10:$B$115,$A137,'DAILY FIESTA'!J$10:J$115)</f>
        <v>0</v>
      </c>
      <c r="F137" s="8">
        <f>SUMIF('DAILY FIESTA'!$B$10:$B$115,$A137,'DAILY FIESTA'!K$10:K$115)</f>
        <v>0</v>
      </c>
      <c r="G137" s="8">
        <f>SUMIF('DAILY FIESTA'!$B$10:$B$115,$A137,'DAILY FIESTA'!L$10:L$115)</f>
        <v>0</v>
      </c>
      <c r="H137" s="8">
        <f>SUMIF('DAILY FIESTA'!$B$10:$B$115,$A137,'DAILY FIESTA'!M$10:M$115)</f>
        <v>0</v>
      </c>
      <c r="I137" s="8">
        <f>SUMIF('DAILY FIESTA'!$B$10:$B$115,$A137,'DAILY FIESTA'!N$10:N$115)</f>
        <v>0</v>
      </c>
      <c r="J137" s="8">
        <f>SUMIF('DAILY FIESTA'!$B$10:$B$115,$A137,'DAILY FIESTA'!O$10:O$115)</f>
        <v>0</v>
      </c>
      <c r="K137" s="8">
        <f>SUMIF('DAILY FIESTA'!$B$10:$B$115,$A137,'DAILY FIESTA'!P$10:P$115)</f>
        <v>0</v>
      </c>
      <c r="L137" s="8">
        <f>SUMIF('DAILY FIESTA'!$B$10:$B$115,$A137,'DAILY FIESTA'!Q$10:Q$115)</f>
        <v>0</v>
      </c>
      <c r="M137" s="8">
        <f>SUMIF('DAILY FIESTA'!$B$10:$B$115,$A137,'DAILY FIESTA'!R$10:R$115)</f>
        <v>0</v>
      </c>
      <c r="N137" s="8">
        <f>SUMIF('DAILY FIESTA'!$B$10:$B$115,$A137,'DAILY FIESTA'!S$10:S$115)</f>
        <v>0</v>
      </c>
      <c r="O137" s="8">
        <f>SUMIF('DAILY FIESTA'!$B$10:$B$115,$A137,'DAILY FIESTA'!T$10:T$115)</f>
        <v>0</v>
      </c>
      <c r="P137" s="8">
        <f>SUMIF('DAILY FIESTA'!$B$10:$B$115,$A137,'DAILY FIESTA'!U$10:U$115)</f>
        <v>0</v>
      </c>
      <c r="Q137" s="8">
        <f>SUMIF('DAILY FIESTA'!$B$10:$B$115,$A137,'DAILY FIESTA'!V$10:V$115)</f>
        <v>0</v>
      </c>
      <c r="R137" s="8">
        <f>SUMIF('DAILY FIESTA'!$B$10:$B$115,$A137,'DAILY FIESTA'!W$10:W$115)</f>
        <v>0</v>
      </c>
      <c r="S137" s="8">
        <f>SUMIF('DAILY FIESTA'!$B$10:$B$115,$A137,'DAILY FIESTA'!X$10:X$115)</f>
        <v>0</v>
      </c>
      <c r="T137" s="8">
        <f>SUMIF('DAILY FIESTA'!$B$10:$B$115,$A137,'DAILY FIESTA'!Y$10:Y$115)</f>
        <v>0</v>
      </c>
      <c r="U137" s="8">
        <f>SUMIF('DAILY FIESTA'!$B$10:$B$115,$A137,'DAILY FIESTA'!Z$10:Z$115)</f>
        <v>0</v>
      </c>
      <c r="V137" s="8">
        <f>SUMIF('DAILY FIESTA'!$B$10:$B$115,$A137,'DAILY FIESTA'!AA$10:AA$115)</f>
        <v>0</v>
      </c>
      <c r="W137" s="59">
        <f t="shared" si="12"/>
        <v>0</v>
      </c>
      <c r="X137" s="60">
        <f t="shared" ca="1" si="13"/>
        <v>0</v>
      </c>
      <c r="Y137" s="47">
        <f t="shared" ca="1" si="14"/>
        <v>0</v>
      </c>
      <c r="Z137" s="88" t="e">
        <f t="shared" ref="Z137:Z150" ca="1" si="15">+C137/B137</f>
        <v>#DIV/0!</v>
      </c>
      <c r="AA137" s="89" t="e">
        <f t="shared" ref="AA137:AA150" ca="1" si="16">100%-Z137</f>
        <v>#DIV/0!</v>
      </c>
      <c r="AB137" s="112"/>
      <c r="AC137" s="48"/>
      <c r="AD137" s="89"/>
    </row>
    <row r="138" spans="1:30" hidden="1">
      <c r="A138" s="7"/>
      <c r="B138" s="8">
        <f ca="1">SUMIF('DAILY FIESTA'!$B$10:$B$115,$A138,'DAILY FIESTA'!$C$10:$C$114)</f>
        <v>0</v>
      </c>
      <c r="C138" s="8">
        <f>SUMIF('DAILY FIESTA'!$B$10:$B$115,$A138,'DAILY FIESTA'!H$10:H$115)</f>
        <v>0</v>
      </c>
      <c r="D138" s="8">
        <f>SUMIF('DAILY FIESTA'!$B$10:$B$115,$A138,'DAILY FIESTA'!I$10:I$115)</f>
        <v>0</v>
      </c>
      <c r="E138" s="8">
        <f>SUMIF('DAILY FIESTA'!$B$10:$B$115,$A138,'DAILY FIESTA'!J$10:J$115)</f>
        <v>0</v>
      </c>
      <c r="F138" s="8">
        <f>SUMIF('DAILY FIESTA'!$B$10:$B$115,$A138,'DAILY FIESTA'!K$10:K$115)</f>
        <v>0</v>
      </c>
      <c r="G138" s="8">
        <f>SUMIF('DAILY FIESTA'!$B$10:$B$115,$A138,'DAILY FIESTA'!L$10:L$115)</f>
        <v>0</v>
      </c>
      <c r="H138" s="8">
        <f>SUMIF('DAILY FIESTA'!$B$10:$B$115,$A138,'DAILY FIESTA'!M$10:M$115)</f>
        <v>0</v>
      </c>
      <c r="I138" s="8">
        <f>SUMIF('DAILY FIESTA'!$B$10:$B$115,$A138,'DAILY FIESTA'!N$10:N$115)</f>
        <v>0</v>
      </c>
      <c r="J138" s="8">
        <f>SUMIF('DAILY FIESTA'!$B$10:$B$115,$A138,'DAILY FIESTA'!O$10:O$115)</f>
        <v>0</v>
      </c>
      <c r="K138" s="8">
        <f>SUMIF('DAILY FIESTA'!$B$10:$B$115,$A138,'DAILY FIESTA'!P$10:P$115)</f>
        <v>0</v>
      </c>
      <c r="L138" s="8">
        <f>SUMIF('DAILY FIESTA'!$B$10:$B$115,$A138,'DAILY FIESTA'!Q$10:Q$115)</f>
        <v>0</v>
      </c>
      <c r="M138" s="8">
        <f>SUMIF('DAILY FIESTA'!$B$10:$B$115,$A138,'DAILY FIESTA'!R$10:R$115)</f>
        <v>0</v>
      </c>
      <c r="N138" s="8">
        <f>SUMIF('DAILY FIESTA'!$B$10:$B$115,$A138,'DAILY FIESTA'!S$10:S$115)</f>
        <v>0</v>
      </c>
      <c r="O138" s="8">
        <f>SUMIF('DAILY FIESTA'!$B$10:$B$115,$A138,'DAILY FIESTA'!T$10:T$115)</f>
        <v>0</v>
      </c>
      <c r="P138" s="8">
        <f>SUMIF('DAILY FIESTA'!$B$10:$B$115,$A138,'DAILY FIESTA'!U$10:U$115)</f>
        <v>0</v>
      </c>
      <c r="Q138" s="8">
        <f>SUMIF('DAILY FIESTA'!$B$10:$B$115,$A138,'DAILY FIESTA'!V$10:V$115)</f>
        <v>0</v>
      </c>
      <c r="R138" s="8">
        <f>SUMIF('DAILY FIESTA'!$B$10:$B$115,$A138,'DAILY FIESTA'!W$10:W$115)</f>
        <v>0</v>
      </c>
      <c r="S138" s="8">
        <f>SUMIF('DAILY FIESTA'!$B$10:$B$115,$A138,'DAILY FIESTA'!X$10:X$115)</f>
        <v>0</v>
      </c>
      <c r="T138" s="8">
        <f>SUMIF('DAILY FIESTA'!$B$10:$B$115,$A138,'DAILY FIESTA'!Y$10:Y$115)</f>
        <v>0</v>
      </c>
      <c r="U138" s="8">
        <f>SUMIF('DAILY FIESTA'!$B$10:$B$115,$A138,'DAILY FIESTA'!Z$10:Z$115)</f>
        <v>0</v>
      </c>
      <c r="V138" s="8">
        <f>SUMIF('DAILY FIESTA'!$B$10:$B$115,$A138,'DAILY FIESTA'!AA$10:AA$115)</f>
        <v>0</v>
      </c>
      <c r="W138" s="59">
        <f t="shared" si="12"/>
        <v>0</v>
      </c>
      <c r="X138" s="60">
        <f t="shared" ca="1" si="13"/>
        <v>0</v>
      </c>
      <c r="Y138" s="47">
        <f t="shared" ca="1" si="14"/>
        <v>0</v>
      </c>
      <c r="Z138" s="88" t="e">
        <f t="shared" ca="1" si="15"/>
        <v>#DIV/0!</v>
      </c>
      <c r="AA138" s="89" t="e">
        <f t="shared" ca="1" si="16"/>
        <v>#DIV/0!</v>
      </c>
      <c r="AB138" s="112"/>
      <c r="AC138" s="48"/>
      <c r="AD138" s="89"/>
    </row>
    <row r="139" spans="1:30" hidden="1">
      <c r="A139" s="7"/>
      <c r="B139" s="8">
        <f ca="1">SUMIF('DAILY FIESTA'!$B$10:$B$115,$A139,'DAILY FIESTA'!$C$10:$C$114)</f>
        <v>0</v>
      </c>
      <c r="C139" s="8">
        <f>SUMIF('DAILY FIESTA'!$B$10:$B$115,$A139,'DAILY FIESTA'!H$10:H$115)</f>
        <v>0</v>
      </c>
      <c r="D139" s="8">
        <f>SUMIF('DAILY FIESTA'!$B$10:$B$115,$A139,'DAILY FIESTA'!I$10:I$115)</f>
        <v>0</v>
      </c>
      <c r="E139" s="8">
        <f>SUMIF('DAILY FIESTA'!$B$10:$B$115,$A139,'DAILY FIESTA'!J$10:J$115)</f>
        <v>0</v>
      </c>
      <c r="F139" s="8">
        <f>SUMIF('DAILY FIESTA'!$B$10:$B$115,$A139,'DAILY FIESTA'!K$10:K$115)</f>
        <v>0</v>
      </c>
      <c r="G139" s="8">
        <f>SUMIF('DAILY FIESTA'!$B$10:$B$115,$A139,'DAILY FIESTA'!L$10:L$115)</f>
        <v>0</v>
      </c>
      <c r="H139" s="8">
        <f>SUMIF('DAILY FIESTA'!$B$10:$B$115,$A139,'DAILY FIESTA'!M$10:M$115)</f>
        <v>0</v>
      </c>
      <c r="I139" s="8">
        <f>SUMIF('DAILY FIESTA'!$B$10:$B$115,$A139,'DAILY FIESTA'!N$10:N$115)</f>
        <v>0</v>
      </c>
      <c r="J139" s="8">
        <f>SUMIF('DAILY FIESTA'!$B$10:$B$115,$A139,'DAILY FIESTA'!O$10:O$115)</f>
        <v>0</v>
      </c>
      <c r="K139" s="8">
        <f>SUMIF('DAILY FIESTA'!$B$10:$B$115,$A139,'DAILY FIESTA'!P$10:P$115)</f>
        <v>0</v>
      </c>
      <c r="L139" s="8">
        <f>SUMIF('DAILY FIESTA'!$B$10:$B$115,$A139,'DAILY FIESTA'!Q$10:Q$115)</f>
        <v>0</v>
      </c>
      <c r="M139" s="8">
        <f>SUMIF('DAILY FIESTA'!$B$10:$B$115,$A139,'DAILY FIESTA'!R$10:R$115)</f>
        <v>0</v>
      </c>
      <c r="N139" s="8">
        <f>SUMIF('DAILY FIESTA'!$B$10:$B$115,$A139,'DAILY FIESTA'!S$10:S$115)</f>
        <v>0</v>
      </c>
      <c r="O139" s="8">
        <f>SUMIF('DAILY FIESTA'!$B$10:$B$115,$A139,'DAILY FIESTA'!T$10:T$115)</f>
        <v>0</v>
      </c>
      <c r="P139" s="8">
        <f>SUMIF('DAILY FIESTA'!$B$10:$B$115,$A139,'DAILY FIESTA'!U$10:U$115)</f>
        <v>0</v>
      </c>
      <c r="Q139" s="8">
        <f>SUMIF('DAILY FIESTA'!$B$10:$B$115,$A139,'DAILY FIESTA'!V$10:V$115)</f>
        <v>0</v>
      </c>
      <c r="R139" s="8">
        <f>SUMIF('DAILY FIESTA'!$B$10:$B$115,$A139,'DAILY FIESTA'!W$10:W$115)</f>
        <v>0</v>
      </c>
      <c r="S139" s="8">
        <f>SUMIF('DAILY FIESTA'!$B$10:$B$115,$A139,'DAILY FIESTA'!X$10:X$115)</f>
        <v>0</v>
      </c>
      <c r="T139" s="8">
        <f>SUMIF('DAILY FIESTA'!$B$10:$B$115,$A139,'DAILY FIESTA'!Y$10:Y$115)</f>
        <v>0</v>
      </c>
      <c r="U139" s="8">
        <f>SUMIF('DAILY FIESTA'!$B$10:$B$115,$A139,'DAILY FIESTA'!Z$10:Z$115)</f>
        <v>0</v>
      </c>
      <c r="V139" s="8">
        <f>SUMIF('DAILY FIESTA'!$B$10:$B$115,$A139,'DAILY FIESTA'!AA$10:AA$115)</f>
        <v>0</v>
      </c>
      <c r="W139" s="59">
        <f t="shared" si="12"/>
        <v>0</v>
      </c>
      <c r="X139" s="60">
        <f t="shared" ca="1" si="13"/>
        <v>0</v>
      </c>
      <c r="Y139" s="47">
        <f t="shared" ca="1" si="14"/>
        <v>0</v>
      </c>
      <c r="Z139" s="88" t="e">
        <f t="shared" ca="1" si="15"/>
        <v>#DIV/0!</v>
      </c>
      <c r="AA139" s="89" t="e">
        <f t="shared" ca="1" si="16"/>
        <v>#DIV/0!</v>
      </c>
      <c r="AB139" s="112"/>
      <c r="AC139" s="48"/>
      <c r="AD139" s="89"/>
    </row>
    <row r="140" spans="1:30" hidden="1">
      <c r="A140" s="7"/>
      <c r="B140" s="8">
        <f ca="1">SUMIF('DAILY FIESTA'!$B$10:$B$115,$A140,'DAILY FIESTA'!$C$10:$C$114)</f>
        <v>0</v>
      </c>
      <c r="C140" s="8">
        <f>SUMIF('DAILY FIESTA'!$B$10:$B$115,$A140,'DAILY FIESTA'!H$10:H$115)</f>
        <v>0</v>
      </c>
      <c r="D140" s="8">
        <f>SUMIF('DAILY FIESTA'!$B$10:$B$115,$A140,'DAILY FIESTA'!I$10:I$115)</f>
        <v>0</v>
      </c>
      <c r="E140" s="8">
        <f>SUMIF('DAILY FIESTA'!$B$10:$B$115,$A140,'DAILY FIESTA'!J$10:J$115)</f>
        <v>0</v>
      </c>
      <c r="F140" s="8">
        <f>SUMIF('DAILY FIESTA'!$B$10:$B$115,$A140,'DAILY FIESTA'!K$10:K$115)</f>
        <v>0</v>
      </c>
      <c r="G140" s="8">
        <f>SUMIF('DAILY FIESTA'!$B$10:$B$115,$A140,'DAILY FIESTA'!L$10:L$115)</f>
        <v>0</v>
      </c>
      <c r="H140" s="8">
        <f>SUMIF('DAILY FIESTA'!$B$10:$B$115,$A140,'DAILY FIESTA'!M$10:M$115)</f>
        <v>0</v>
      </c>
      <c r="I140" s="8">
        <f>SUMIF('DAILY FIESTA'!$B$10:$B$115,$A140,'DAILY FIESTA'!N$10:N$115)</f>
        <v>0</v>
      </c>
      <c r="J140" s="8">
        <f>SUMIF('DAILY FIESTA'!$B$10:$B$115,$A140,'DAILY FIESTA'!O$10:O$115)</f>
        <v>0</v>
      </c>
      <c r="K140" s="8">
        <f>SUMIF('DAILY FIESTA'!$B$10:$B$115,$A140,'DAILY FIESTA'!P$10:P$115)</f>
        <v>0</v>
      </c>
      <c r="L140" s="8">
        <f>SUMIF('DAILY FIESTA'!$B$10:$B$115,$A140,'DAILY FIESTA'!Q$10:Q$115)</f>
        <v>0</v>
      </c>
      <c r="M140" s="8">
        <f>SUMIF('DAILY FIESTA'!$B$10:$B$115,$A140,'DAILY FIESTA'!R$10:R$115)</f>
        <v>0</v>
      </c>
      <c r="N140" s="8">
        <f>SUMIF('DAILY FIESTA'!$B$10:$B$115,$A140,'DAILY FIESTA'!S$10:S$115)</f>
        <v>0</v>
      </c>
      <c r="O140" s="8">
        <f>SUMIF('DAILY FIESTA'!$B$10:$B$115,$A140,'DAILY FIESTA'!T$10:T$115)</f>
        <v>0</v>
      </c>
      <c r="P140" s="8">
        <f>SUMIF('DAILY FIESTA'!$B$10:$B$115,$A140,'DAILY FIESTA'!U$10:U$115)</f>
        <v>0</v>
      </c>
      <c r="Q140" s="8">
        <f>SUMIF('DAILY FIESTA'!$B$10:$B$115,$A140,'DAILY FIESTA'!V$10:V$115)</f>
        <v>0</v>
      </c>
      <c r="R140" s="8">
        <f>SUMIF('DAILY FIESTA'!$B$10:$B$115,$A140,'DAILY FIESTA'!W$10:W$115)</f>
        <v>0</v>
      </c>
      <c r="S140" s="8">
        <f>SUMIF('DAILY FIESTA'!$B$10:$B$115,$A140,'DAILY FIESTA'!X$10:X$115)</f>
        <v>0</v>
      </c>
      <c r="T140" s="8">
        <f>SUMIF('DAILY FIESTA'!$B$10:$B$115,$A140,'DAILY FIESTA'!Y$10:Y$115)</f>
        <v>0</v>
      </c>
      <c r="U140" s="8">
        <f>SUMIF('DAILY FIESTA'!$B$10:$B$115,$A140,'DAILY FIESTA'!Z$10:Z$115)</f>
        <v>0</v>
      </c>
      <c r="V140" s="8">
        <f>SUMIF('DAILY FIESTA'!$B$10:$B$115,$A140,'DAILY FIESTA'!AA$10:AA$115)</f>
        <v>0</v>
      </c>
      <c r="W140" s="59">
        <f t="shared" si="12"/>
        <v>0</v>
      </c>
      <c r="X140" s="60">
        <f t="shared" ca="1" si="13"/>
        <v>0</v>
      </c>
      <c r="Y140" s="47">
        <f t="shared" ca="1" si="14"/>
        <v>0</v>
      </c>
      <c r="Z140" s="88" t="e">
        <f t="shared" ca="1" si="15"/>
        <v>#DIV/0!</v>
      </c>
      <c r="AA140" s="89" t="e">
        <f t="shared" ca="1" si="16"/>
        <v>#DIV/0!</v>
      </c>
      <c r="AB140" s="112"/>
      <c r="AC140" s="48"/>
      <c r="AD140" s="89"/>
    </row>
    <row r="141" spans="1:30" hidden="1">
      <c r="A141" s="7"/>
      <c r="B141" s="8">
        <f ca="1">SUMIF('DAILY FIESTA'!$B$10:$B$115,$A141,'DAILY FIESTA'!$C$10:$C$114)</f>
        <v>0</v>
      </c>
      <c r="C141" s="8">
        <f>SUMIF('DAILY FIESTA'!$B$10:$B$115,$A141,'DAILY FIESTA'!H$10:H$115)</f>
        <v>0</v>
      </c>
      <c r="D141" s="8">
        <f>SUMIF('DAILY FIESTA'!$B$10:$B$115,$A141,'DAILY FIESTA'!I$10:I$115)</f>
        <v>0</v>
      </c>
      <c r="E141" s="8">
        <f>SUMIF('DAILY FIESTA'!$B$10:$B$115,$A141,'DAILY FIESTA'!J$10:J$115)</f>
        <v>0</v>
      </c>
      <c r="F141" s="8">
        <f>SUMIF('DAILY FIESTA'!$B$10:$B$115,$A141,'DAILY FIESTA'!K$10:K$115)</f>
        <v>0</v>
      </c>
      <c r="G141" s="8">
        <f>SUMIF('DAILY FIESTA'!$B$10:$B$115,$A141,'DAILY FIESTA'!L$10:L$115)</f>
        <v>0</v>
      </c>
      <c r="H141" s="8">
        <f>SUMIF('DAILY FIESTA'!$B$10:$B$115,$A141,'DAILY FIESTA'!M$10:M$115)</f>
        <v>0</v>
      </c>
      <c r="I141" s="8">
        <f>SUMIF('DAILY FIESTA'!$B$10:$B$115,$A141,'DAILY FIESTA'!N$10:N$115)</f>
        <v>0</v>
      </c>
      <c r="J141" s="8">
        <f>SUMIF('DAILY FIESTA'!$B$10:$B$115,$A141,'DAILY FIESTA'!O$10:O$115)</f>
        <v>0</v>
      </c>
      <c r="K141" s="8">
        <f>SUMIF('DAILY FIESTA'!$B$10:$B$115,$A141,'DAILY FIESTA'!P$10:P$115)</f>
        <v>0</v>
      </c>
      <c r="L141" s="8">
        <f>SUMIF('DAILY FIESTA'!$B$10:$B$115,$A141,'DAILY FIESTA'!Q$10:Q$115)</f>
        <v>0</v>
      </c>
      <c r="M141" s="8">
        <f>SUMIF('DAILY FIESTA'!$B$10:$B$115,$A141,'DAILY FIESTA'!R$10:R$115)</f>
        <v>0</v>
      </c>
      <c r="N141" s="8">
        <f>SUMIF('DAILY FIESTA'!$B$10:$B$115,$A141,'DAILY FIESTA'!S$10:S$115)</f>
        <v>0</v>
      </c>
      <c r="O141" s="8">
        <f>SUMIF('DAILY FIESTA'!$B$10:$B$115,$A141,'DAILY FIESTA'!T$10:T$115)</f>
        <v>0</v>
      </c>
      <c r="P141" s="8">
        <f>SUMIF('DAILY FIESTA'!$B$10:$B$115,$A141,'DAILY FIESTA'!U$10:U$115)</f>
        <v>0</v>
      </c>
      <c r="Q141" s="8">
        <f>SUMIF('DAILY FIESTA'!$B$10:$B$115,$A141,'DAILY FIESTA'!V$10:V$115)</f>
        <v>0</v>
      </c>
      <c r="R141" s="8">
        <f>SUMIF('DAILY FIESTA'!$B$10:$B$115,$A141,'DAILY FIESTA'!W$10:W$115)</f>
        <v>0</v>
      </c>
      <c r="S141" s="8">
        <f>SUMIF('DAILY FIESTA'!$B$10:$B$115,$A141,'DAILY FIESTA'!X$10:X$115)</f>
        <v>0</v>
      </c>
      <c r="T141" s="8">
        <f>SUMIF('DAILY FIESTA'!$B$10:$B$115,$A141,'DAILY FIESTA'!Y$10:Y$115)</f>
        <v>0</v>
      </c>
      <c r="U141" s="8">
        <f>SUMIF('DAILY FIESTA'!$B$10:$B$115,$A141,'DAILY FIESTA'!Z$10:Z$115)</f>
        <v>0</v>
      </c>
      <c r="V141" s="8">
        <f>SUMIF('DAILY FIESTA'!$B$10:$B$115,$A141,'DAILY FIESTA'!AA$10:AA$115)</f>
        <v>0</v>
      </c>
      <c r="W141" s="59">
        <f t="shared" si="12"/>
        <v>0</v>
      </c>
      <c r="X141" s="60">
        <f t="shared" ca="1" si="13"/>
        <v>0</v>
      </c>
      <c r="Y141" s="47">
        <f t="shared" ca="1" si="14"/>
        <v>0</v>
      </c>
      <c r="Z141" s="88" t="e">
        <f t="shared" ca="1" si="15"/>
        <v>#DIV/0!</v>
      </c>
      <c r="AA141" s="89" t="e">
        <f t="shared" ca="1" si="16"/>
        <v>#DIV/0!</v>
      </c>
      <c r="AB141" s="112"/>
      <c r="AC141" s="48"/>
      <c r="AD141" s="89"/>
    </row>
    <row r="142" spans="1:30" hidden="1">
      <c r="A142" s="7"/>
      <c r="B142" s="8">
        <f ca="1">SUMIF('DAILY FIESTA'!$B$10:$B$115,$A142,'DAILY FIESTA'!$C$10:$C$114)</f>
        <v>0</v>
      </c>
      <c r="C142" s="8">
        <f>SUMIF('DAILY FIESTA'!$B$10:$B$115,$A142,'DAILY FIESTA'!H$10:H$115)</f>
        <v>0</v>
      </c>
      <c r="D142" s="8">
        <f>SUMIF('DAILY FIESTA'!$B$10:$B$115,$A142,'DAILY FIESTA'!I$10:I$115)</f>
        <v>0</v>
      </c>
      <c r="E142" s="8">
        <f>SUMIF('DAILY FIESTA'!$B$10:$B$115,$A142,'DAILY FIESTA'!J$10:J$115)</f>
        <v>0</v>
      </c>
      <c r="F142" s="8">
        <f>SUMIF('DAILY FIESTA'!$B$10:$B$115,$A142,'DAILY FIESTA'!K$10:K$115)</f>
        <v>0</v>
      </c>
      <c r="G142" s="8">
        <f>SUMIF('DAILY FIESTA'!$B$10:$B$115,$A142,'DAILY FIESTA'!L$10:L$115)</f>
        <v>0</v>
      </c>
      <c r="H142" s="8">
        <f>SUMIF('DAILY FIESTA'!$B$10:$B$115,$A142,'DAILY FIESTA'!M$10:M$115)</f>
        <v>0</v>
      </c>
      <c r="I142" s="8">
        <f>SUMIF('DAILY FIESTA'!$B$10:$B$115,$A142,'DAILY FIESTA'!N$10:N$115)</f>
        <v>0</v>
      </c>
      <c r="J142" s="8">
        <f>SUMIF('DAILY FIESTA'!$B$10:$B$115,$A142,'DAILY FIESTA'!O$10:O$115)</f>
        <v>0</v>
      </c>
      <c r="K142" s="8">
        <f>SUMIF('DAILY FIESTA'!$B$10:$B$115,$A142,'DAILY FIESTA'!P$10:P$115)</f>
        <v>0</v>
      </c>
      <c r="L142" s="8">
        <f>SUMIF('DAILY FIESTA'!$B$10:$B$115,$A142,'DAILY FIESTA'!Q$10:Q$115)</f>
        <v>0</v>
      </c>
      <c r="M142" s="8">
        <f>SUMIF('DAILY FIESTA'!$B$10:$B$115,$A142,'DAILY FIESTA'!R$10:R$115)</f>
        <v>0</v>
      </c>
      <c r="N142" s="8">
        <f>SUMIF('DAILY FIESTA'!$B$10:$B$115,$A142,'DAILY FIESTA'!S$10:S$115)</f>
        <v>0</v>
      </c>
      <c r="O142" s="8">
        <f>SUMIF('DAILY FIESTA'!$B$10:$B$115,$A142,'DAILY FIESTA'!T$10:T$115)</f>
        <v>0</v>
      </c>
      <c r="P142" s="8">
        <f>SUMIF('DAILY FIESTA'!$B$10:$B$115,$A142,'DAILY FIESTA'!U$10:U$115)</f>
        <v>0</v>
      </c>
      <c r="Q142" s="8">
        <f>SUMIF('DAILY FIESTA'!$B$10:$B$115,$A142,'DAILY FIESTA'!V$10:V$115)</f>
        <v>0</v>
      </c>
      <c r="R142" s="8">
        <f>SUMIF('DAILY FIESTA'!$B$10:$B$115,$A142,'DAILY FIESTA'!W$10:W$115)</f>
        <v>0</v>
      </c>
      <c r="S142" s="8">
        <f>SUMIF('DAILY FIESTA'!$B$10:$B$115,$A142,'DAILY FIESTA'!X$10:X$115)</f>
        <v>0</v>
      </c>
      <c r="T142" s="8">
        <f>SUMIF('DAILY FIESTA'!$B$10:$B$115,$A142,'DAILY FIESTA'!Y$10:Y$115)</f>
        <v>0</v>
      </c>
      <c r="U142" s="8">
        <f>SUMIF('DAILY FIESTA'!$B$10:$B$115,$A142,'DAILY FIESTA'!Z$10:Z$115)</f>
        <v>0</v>
      </c>
      <c r="V142" s="8">
        <f>SUMIF('DAILY FIESTA'!$B$10:$B$115,$A142,'DAILY FIESTA'!AA$10:AA$115)</f>
        <v>0</v>
      </c>
      <c r="W142" s="59">
        <f t="shared" si="12"/>
        <v>0</v>
      </c>
      <c r="X142" s="60">
        <f t="shared" ca="1" si="13"/>
        <v>0</v>
      </c>
      <c r="Y142" s="47">
        <f t="shared" ca="1" si="14"/>
        <v>0</v>
      </c>
      <c r="Z142" s="88" t="e">
        <f t="shared" ca="1" si="15"/>
        <v>#DIV/0!</v>
      </c>
      <c r="AA142" s="89" t="e">
        <f t="shared" ca="1" si="16"/>
        <v>#DIV/0!</v>
      </c>
      <c r="AB142" s="112"/>
      <c r="AC142" s="48"/>
      <c r="AD142" s="89"/>
    </row>
    <row r="143" spans="1:30" hidden="1">
      <c r="A143" s="7"/>
      <c r="B143" s="8">
        <f ca="1">SUMIF('DAILY FIESTA'!$B$10:$B$115,$A143,'DAILY FIESTA'!$C$10:$C$114)</f>
        <v>0</v>
      </c>
      <c r="C143" s="8">
        <f>SUMIF('DAILY FIESTA'!$B$10:$B$115,$A143,'DAILY FIESTA'!H$10:H$115)</f>
        <v>0</v>
      </c>
      <c r="D143" s="8">
        <f>SUMIF('DAILY FIESTA'!$B$10:$B$115,$A143,'DAILY FIESTA'!I$10:I$115)</f>
        <v>0</v>
      </c>
      <c r="E143" s="8">
        <f>SUMIF('DAILY FIESTA'!$B$10:$B$115,$A143,'DAILY FIESTA'!J$10:J$115)</f>
        <v>0</v>
      </c>
      <c r="F143" s="8">
        <f>SUMIF('DAILY FIESTA'!$B$10:$B$115,$A143,'DAILY FIESTA'!K$10:K$115)</f>
        <v>0</v>
      </c>
      <c r="G143" s="8">
        <f>SUMIF('DAILY FIESTA'!$B$10:$B$115,$A143,'DAILY FIESTA'!L$10:L$115)</f>
        <v>0</v>
      </c>
      <c r="H143" s="8">
        <f>SUMIF('DAILY FIESTA'!$B$10:$B$115,$A143,'DAILY FIESTA'!M$10:M$115)</f>
        <v>0</v>
      </c>
      <c r="I143" s="8">
        <f>SUMIF('DAILY FIESTA'!$B$10:$B$115,$A143,'DAILY FIESTA'!N$10:N$115)</f>
        <v>0</v>
      </c>
      <c r="J143" s="8">
        <f>SUMIF('DAILY FIESTA'!$B$10:$B$115,$A143,'DAILY FIESTA'!O$10:O$115)</f>
        <v>0</v>
      </c>
      <c r="K143" s="8">
        <f>SUMIF('DAILY FIESTA'!$B$10:$B$115,$A143,'DAILY FIESTA'!P$10:P$115)</f>
        <v>0</v>
      </c>
      <c r="L143" s="8">
        <f>SUMIF('DAILY FIESTA'!$B$10:$B$115,$A143,'DAILY FIESTA'!Q$10:Q$115)</f>
        <v>0</v>
      </c>
      <c r="M143" s="8">
        <f>SUMIF('DAILY FIESTA'!$B$10:$B$115,$A143,'DAILY FIESTA'!R$10:R$115)</f>
        <v>0</v>
      </c>
      <c r="N143" s="8">
        <f>SUMIF('DAILY FIESTA'!$B$10:$B$115,$A143,'DAILY FIESTA'!S$10:S$115)</f>
        <v>0</v>
      </c>
      <c r="O143" s="8">
        <f>SUMIF('DAILY FIESTA'!$B$10:$B$115,$A143,'DAILY FIESTA'!T$10:T$115)</f>
        <v>0</v>
      </c>
      <c r="P143" s="8">
        <f>SUMIF('DAILY FIESTA'!$B$10:$B$115,$A143,'DAILY FIESTA'!U$10:U$115)</f>
        <v>0</v>
      </c>
      <c r="Q143" s="8">
        <f>SUMIF('DAILY FIESTA'!$B$10:$B$115,$A143,'DAILY FIESTA'!V$10:V$115)</f>
        <v>0</v>
      </c>
      <c r="R143" s="8">
        <f>SUMIF('DAILY FIESTA'!$B$10:$B$115,$A143,'DAILY FIESTA'!W$10:W$115)</f>
        <v>0</v>
      </c>
      <c r="S143" s="8">
        <f>SUMIF('DAILY FIESTA'!$B$10:$B$115,$A143,'DAILY FIESTA'!X$10:X$115)</f>
        <v>0</v>
      </c>
      <c r="T143" s="8">
        <f>SUMIF('DAILY FIESTA'!$B$10:$B$115,$A143,'DAILY FIESTA'!Y$10:Y$115)</f>
        <v>0</v>
      </c>
      <c r="U143" s="8">
        <f>SUMIF('DAILY FIESTA'!$B$10:$B$115,$A143,'DAILY FIESTA'!Z$10:Z$115)</f>
        <v>0</v>
      </c>
      <c r="V143" s="8">
        <f>SUMIF('DAILY FIESTA'!$B$10:$B$115,$A143,'DAILY FIESTA'!AA$10:AA$115)</f>
        <v>0</v>
      </c>
      <c r="W143" s="59">
        <f t="shared" si="12"/>
        <v>0</v>
      </c>
      <c r="X143" s="60">
        <f t="shared" ca="1" si="13"/>
        <v>0</v>
      </c>
      <c r="Y143" s="47">
        <f t="shared" ca="1" si="14"/>
        <v>0</v>
      </c>
      <c r="Z143" s="88" t="e">
        <f t="shared" ca="1" si="15"/>
        <v>#DIV/0!</v>
      </c>
      <c r="AA143" s="89" t="e">
        <f t="shared" ca="1" si="16"/>
        <v>#DIV/0!</v>
      </c>
      <c r="AB143" s="112"/>
      <c r="AC143" s="48"/>
      <c r="AD143" s="89"/>
    </row>
    <row r="144" spans="1:30" hidden="1">
      <c r="A144" s="7"/>
      <c r="B144" s="8">
        <f ca="1">SUMIF('DAILY FIESTA'!$B$10:$B$115,$A144,'DAILY FIESTA'!$C$10:$C$114)</f>
        <v>0</v>
      </c>
      <c r="C144" s="8">
        <f>SUMIF('DAILY FIESTA'!$B$10:$B$115,$A144,'DAILY FIESTA'!H$10:H$115)</f>
        <v>0</v>
      </c>
      <c r="D144" s="8">
        <f>SUMIF('DAILY FIESTA'!$B$10:$B$115,$A144,'DAILY FIESTA'!I$10:I$115)</f>
        <v>0</v>
      </c>
      <c r="E144" s="8">
        <f>SUMIF('DAILY FIESTA'!$B$10:$B$115,$A144,'DAILY FIESTA'!J$10:J$115)</f>
        <v>0</v>
      </c>
      <c r="F144" s="8">
        <f>SUMIF('DAILY FIESTA'!$B$10:$B$115,$A144,'DAILY FIESTA'!K$10:K$115)</f>
        <v>0</v>
      </c>
      <c r="G144" s="8">
        <f>SUMIF('DAILY FIESTA'!$B$10:$B$115,$A144,'DAILY FIESTA'!L$10:L$115)</f>
        <v>0</v>
      </c>
      <c r="H144" s="8">
        <f>SUMIF('DAILY FIESTA'!$B$10:$B$115,$A144,'DAILY FIESTA'!M$10:M$115)</f>
        <v>0</v>
      </c>
      <c r="I144" s="8">
        <f>SUMIF('DAILY FIESTA'!$B$10:$B$115,$A144,'DAILY FIESTA'!N$10:N$115)</f>
        <v>0</v>
      </c>
      <c r="J144" s="8">
        <f>SUMIF('DAILY FIESTA'!$B$10:$B$115,$A144,'DAILY FIESTA'!O$10:O$115)</f>
        <v>0</v>
      </c>
      <c r="K144" s="8">
        <f>SUMIF('DAILY FIESTA'!$B$10:$B$115,$A144,'DAILY FIESTA'!P$10:P$115)</f>
        <v>0</v>
      </c>
      <c r="L144" s="8">
        <f>SUMIF('DAILY FIESTA'!$B$10:$B$115,$A144,'DAILY FIESTA'!Q$10:Q$115)</f>
        <v>0</v>
      </c>
      <c r="M144" s="8">
        <f>SUMIF('DAILY FIESTA'!$B$10:$B$115,$A144,'DAILY FIESTA'!R$10:R$115)</f>
        <v>0</v>
      </c>
      <c r="N144" s="8">
        <f>SUMIF('DAILY FIESTA'!$B$10:$B$115,$A144,'DAILY FIESTA'!S$10:S$115)</f>
        <v>0</v>
      </c>
      <c r="O144" s="8">
        <f>SUMIF('DAILY FIESTA'!$B$10:$B$115,$A144,'DAILY FIESTA'!T$10:T$115)</f>
        <v>0</v>
      </c>
      <c r="P144" s="8">
        <f>SUMIF('DAILY FIESTA'!$B$10:$B$115,$A144,'DAILY FIESTA'!U$10:U$115)</f>
        <v>0</v>
      </c>
      <c r="Q144" s="8">
        <f>SUMIF('DAILY FIESTA'!$B$10:$B$115,$A144,'DAILY FIESTA'!V$10:V$115)</f>
        <v>0</v>
      </c>
      <c r="R144" s="8">
        <f>SUMIF('DAILY FIESTA'!$B$10:$B$115,$A144,'DAILY FIESTA'!W$10:W$115)</f>
        <v>0</v>
      </c>
      <c r="S144" s="8">
        <f>SUMIF('DAILY FIESTA'!$B$10:$B$115,$A144,'DAILY FIESTA'!X$10:X$115)</f>
        <v>0</v>
      </c>
      <c r="T144" s="8">
        <f>SUMIF('DAILY FIESTA'!$B$10:$B$115,$A144,'DAILY FIESTA'!Y$10:Y$115)</f>
        <v>0</v>
      </c>
      <c r="U144" s="8">
        <f>SUMIF('DAILY FIESTA'!$B$10:$B$115,$A144,'DAILY FIESTA'!Z$10:Z$115)</f>
        <v>0</v>
      </c>
      <c r="V144" s="8">
        <f>SUMIF('DAILY FIESTA'!$B$10:$B$115,$A144,'DAILY FIESTA'!AA$10:AA$115)</f>
        <v>0</v>
      </c>
      <c r="W144" s="59">
        <f t="shared" si="12"/>
        <v>0</v>
      </c>
      <c r="X144" s="60">
        <f t="shared" ca="1" si="13"/>
        <v>0</v>
      </c>
      <c r="Y144" s="47">
        <f t="shared" ca="1" si="14"/>
        <v>0</v>
      </c>
      <c r="Z144" s="88" t="e">
        <f t="shared" ca="1" si="15"/>
        <v>#DIV/0!</v>
      </c>
      <c r="AA144" s="89" t="e">
        <f t="shared" ca="1" si="16"/>
        <v>#DIV/0!</v>
      </c>
      <c r="AB144" s="112"/>
      <c r="AC144" s="48"/>
      <c r="AD144" s="89"/>
    </row>
    <row r="145" spans="1:30" hidden="1">
      <c r="A145" s="7"/>
      <c r="B145" s="8">
        <f ca="1">SUMIF('DAILY FIESTA'!$B$10:$B$115,$A145,'DAILY FIESTA'!$C$10:$C$114)</f>
        <v>0</v>
      </c>
      <c r="C145" s="8">
        <f>SUMIF('DAILY FIESTA'!$B$10:$B$115,$A145,'DAILY FIESTA'!H$10:H$115)</f>
        <v>0</v>
      </c>
      <c r="D145" s="8">
        <f>SUMIF('DAILY FIESTA'!$B$10:$B$115,$A145,'DAILY FIESTA'!I$10:I$115)</f>
        <v>0</v>
      </c>
      <c r="E145" s="8">
        <f>SUMIF('DAILY FIESTA'!$B$10:$B$115,$A145,'DAILY FIESTA'!J$10:J$115)</f>
        <v>0</v>
      </c>
      <c r="F145" s="8">
        <f>SUMIF('DAILY FIESTA'!$B$10:$B$115,$A145,'DAILY FIESTA'!K$10:K$115)</f>
        <v>0</v>
      </c>
      <c r="G145" s="8">
        <f>SUMIF('DAILY FIESTA'!$B$10:$B$115,$A145,'DAILY FIESTA'!L$10:L$115)</f>
        <v>0</v>
      </c>
      <c r="H145" s="8">
        <f>SUMIF('DAILY FIESTA'!$B$10:$B$115,$A145,'DAILY FIESTA'!M$10:M$115)</f>
        <v>0</v>
      </c>
      <c r="I145" s="8">
        <f>SUMIF('DAILY FIESTA'!$B$10:$B$115,$A145,'DAILY FIESTA'!N$10:N$115)</f>
        <v>0</v>
      </c>
      <c r="J145" s="8">
        <f>SUMIF('DAILY FIESTA'!$B$10:$B$115,$A145,'DAILY FIESTA'!O$10:O$115)</f>
        <v>0</v>
      </c>
      <c r="K145" s="8">
        <f>SUMIF('DAILY FIESTA'!$B$10:$B$115,$A145,'DAILY FIESTA'!P$10:P$115)</f>
        <v>0</v>
      </c>
      <c r="L145" s="8">
        <f>SUMIF('DAILY FIESTA'!$B$10:$B$115,$A145,'DAILY FIESTA'!Q$10:Q$115)</f>
        <v>0</v>
      </c>
      <c r="M145" s="8">
        <f>SUMIF('DAILY FIESTA'!$B$10:$B$115,$A145,'DAILY FIESTA'!R$10:R$115)</f>
        <v>0</v>
      </c>
      <c r="N145" s="8">
        <f>SUMIF('DAILY FIESTA'!$B$10:$B$115,$A145,'DAILY FIESTA'!S$10:S$115)</f>
        <v>0</v>
      </c>
      <c r="O145" s="8">
        <f>SUMIF('DAILY FIESTA'!$B$10:$B$115,$A145,'DAILY FIESTA'!T$10:T$115)</f>
        <v>0</v>
      </c>
      <c r="P145" s="8">
        <f>SUMIF('DAILY FIESTA'!$B$10:$B$115,$A145,'DAILY FIESTA'!U$10:U$115)</f>
        <v>0</v>
      </c>
      <c r="Q145" s="8">
        <f>SUMIF('DAILY FIESTA'!$B$10:$B$115,$A145,'DAILY FIESTA'!V$10:V$115)</f>
        <v>0</v>
      </c>
      <c r="R145" s="8">
        <f>SUMIF('DAILY FIESTA'!$B$10:$B$115,$A145,'DAILY FIESTA'!W$10:W$115)</f>
        <v>0</v>
      </c>
      <c r="S145" s="8">
        <f>SUMIF('DAILY FIESTA'!$B$10:$B$115,$A145,'DAILY FIESTA'!X$10:X$115)</f>
        <v>0</v>
      </c>
      <c r="T145" s="8">
        <f>SUMIF('DAILY FIESTA'!$B$10:$B$115,$A145,'DAILY FIESTA'!Y$10:Y$115)</f>
        <v>0</v>
      </c>
      <c r="U145" s="8">
        <f>SUMIF('DAILY FIESTA'!$B$10:$B$115,$A145,'DAILY FIESTA'!Z$10:Z$115)</f>
        <v>0</v>
      </c>
      <c r="V145" s="8">
        <f>SUMIF('DAILY FIESTA'!$B$10:$B$115,$A145,'DAILY FIESTA'!AA$10:AA$115)</f>
        <v>0</v>
      </c>
      <c r="W145" s="59">
        <f t="shared" si="12"/>
        <v>0</v>
      </c>
      <c r="X145" s="60">
        <f t="shared" ca="1" si="13"/>
        <v>0</v>
      </c>
      <c r="Y145" s="47">
        <f t="shared" ca="1" si="14"/>
        <v>0</v>
      </c>
      <c r="Z145" s="88" t="e">
        <f t="shared" ca="1" si="15"/>
        <v>#DIV/0!</v>
      </c>
      <c r="AA145" s="89" t="e">
        <f t="shared" ca="1" si="16"/>
        <v>#DIV/0!</v>
      </c>
      <c r="AB145" s="112"/>
      <c r="AC145" s="48"/>
      <c r="AD145" s="89"/>
    </row>
    <row r="146" spans="1:30" hidden="1">
      <c r="A146" s="7"/>
      <c r="B146" s="8">
        <f ca="1">SUMIF('DAILY FIESTA'!$B$10:$B$115,$A146,'DAILY FIESTA'!$C$10:$C$114)</f>
        <v>0</v>
      </c>
      <c r="C146" s="8">
        <f>SUMIF('DAILY FIESTA'!$B$10:$B$115,$A146,'DAILY FIESTA'!H$10:H$115)</f>
        <v>0</v>
      </c>
      <c r="D146" s="8">
        <f>SUMIF('DAILY FIESTA'!$B$10:$B$115,$A146,'DAILY FIESTA'!I$10:I$115)</f>
        <v>0</v>
      </c>
      <c r="E146" s="8">
        <f>SUMIF('DAILY FIESTA'!$B$10:$B$115,$A146,'DAILY FIESTA'!J$10:J$115)</f>
        <v>0</v>
      </c>
      <c r="F146" s="8">
        <f>SUMIF('DAILY FIESTA'!$B$10:$B$115,$A146,'DAILY FIESTA'!K$10:K$115)</f>
        <v>0</v>
      </c>
      <c r="G146" s="8">
        <f>SUMIF('DAILY FIESTA'!$B$10:$B$115,$A146,'DAILY FIESTA'!L$10:L$115)</f>
        <v>0</v>
      </c>
      <c r="H146" s="8">
        <f>SUMIF('DAILY FIESTA'!$B$10:$B$115,$A146,'DAILY FIESTA'!M$10:M$115)</f>
        <v>0</v>
      </c>
      <c r="I146" s="8">
        <f>SUMIF('DAILY FIESTA'!$B$10:$B$115,$A146,'DAILY FIESTA'!N$10:N$115)</f>
        <v>0</v>
      </c>
      <c r="J146" s="8">
        <f>SUMIF('DAILY FIESTA'!$B$10:$B$115,$A146,'DAILY FIESTA'!O$10:O$115)</f>
        <v>0</v>
      </c>
      <c r="K146" s="8">
        <f>SUMIF('DAILY FIESTA'!$B$10:$B$115,$A146,'DAILY FIESTA'!P$10:P$115)</f>
        <v>0</v>
      </c>
      <c r="L146" s="8">
        <f>SUMIF('DAILY FIESTA'!$B$10:$B$115,$A146,'DAILY FIESTA'!Q$10:Q$115)</f>
        <v>0</v>
      </c>
      <c r="M146" s="8">
        <f>SUMIF('DAILY FIESTA'!$B$10:$B$115,$A146,'DAILY FIESTA'!R$10:R$115)</f>
        <v>0</v>
      </c>
      <c r="N146" s="8">
        <f>SUMIF('DAILY FIESTA'!$B$10:$B$115,$A146,'DAILY FIESTA'!S$10:S$115)</f>
        <v>0</v>
      </c>
      <c r="O146" s="8">
        <f>SUMIF('DAILY FIESTA'!$B$10:$B$115,$A146,'DAILY FIESTA'!T$10:T$115)</f>
        <v>0</v>
      </c>
      <c r="P146" s="8">
        <f>SUMIF('DAILY FIESTA'!$B$10:$B$115,$A146,'DAILY FIESTA'!U$10:U$115)</f>
        <v>0</v>
      </c>
      <c r="Q146" s="8">
        <f>SUMIF('DAILY FIESTA'!$B$10:$B$115,$A146,'DAILY FIESTA'!V$10:V$115)</f>
        <v>0</v>
      </c>
      <c r="R146" s="8">
        <f>SUMIF('DAILY FIESTA'!$B$10:$B$115,$A146,'DAILY FIESTA'!W$10:W$115)</f>
        <v>0</v>
      </c>
      <c r="S146" s="8">
        <f>SUMIF('DAILY FIESTA'!$B$10:$B$115,$A146,'DAILY FIESTA'!X$10:X$115)</f>
        <v>0</v>
      </c>
      <c r="T146" s="8">
        <f>SUMIF('DAILY FIESTA'!$B$10:$B$115,$A146,'DAILY FIESTA'!Y$10:Y$115)</f>
        <v>0</v>
      </c>
      <c r="U146" s="8">
        <f>SUMIF('DAILY FIESTA'!$B$10:$B$115,$A146,'DAILY FIESTA'!Z$10:Z$115)</f>
        <v>0</v>
      </c>
      <c r="V146" s="8">
        <f>SUMIF('DAILY FIESTA'!$B$10:$B$115,$A146,'DAILY FIESTA'!AA$10:AA$115)</f>
        <v>0</v>
      </c>
      <c r="W146" s="59">
        <f t="shared" si="12"/>
        <v>0</v>
      </c>
      <c r="X146" s="60">
        <f t="shared" ca="1" si="13"/>
        <v>0</v>
      </c>
      <c r="Y146" s="47">
        <f t="shared" ca="1" si="14"/>
        <v>0</v>
      </c>
      <c r="Z146" s="88" t="e">
        <f t="shared" ca="1" si="15"/>
        <v>#DIV/0!</v>
      </c>
      <c r="AA146" s="89" t="e">
        <f t="shared" ca="1" si="16"/>
        <v>#DIV/0!</v>
      </c>
      <c r="AB146" s="112"/>
      <c r="AC146" s="48"/>
      <c r="AD146" s="89"/>
    </row>
    <row r="147" spans="1:30" hidden="1">
      <c r="A147" s="7"/>
      <c r="B147" s="8">
        <f ca="1">SUMIF('DAILY FIESTA'!$B$10:$B$115,$A147,'DAILY FIESTA'!$C$10:$C$114)</f>
        <v>0</v>
      </c>
      <c r="C147" s="8">
        <f>SUMIF('DAILY FIESTA'!$B$10:$B$115,$A147,'DAILY FIESTA'!H$10:H$115)</f>
        <v>0</v>
      </c>
      <c r="D147" s="8">
        <f>SUMIF('DAILY FIESTA'!$B$10:$B$115,$A147,'DAILY FIESTA'!I$10:I$115)</f>
        <v>0</v>
      </c>
      <c r="E147" s="8">
        <f>SUMIF('DAILY FIESTA'!$B$10:$B$115,$A147,'DAILY FIESTA'!J$10:J$115)</f>
        <v>0</v>
      </c>
      <c r="F147" s="8">
        <f>SUMIF('DAILY FIESTA'!$B$10:$B$115,$A147,'DAILY FIESTA'!K$10:K$115)</f>
        <v>0</v>
      </c>
      <c r="G147" s="8">
        <f>SUMIF('DAILY FIESTA'!$B$10:$B$115,$A147,'DAILY FIESTA'!L$10:L$115)</f>
        <v>0</v>
      </c>
      <c r="H147" s="8">
        <f>SUMIF('DAILY FIESTA'!$B$10:$B$115,$A147,'DAILY FIESTA'!M$10:M$115)</f>
        <v>0</v>
      </c>
      <c r="I147" s="8">
        <f>SUMIF('DAILY FIESTA'!$B$10:$B$115,$A147,'DAILY FIESTA'!N$10:N$115)</f>
        <v>0</v>
      </c>
      <c r="J147" s="8">
        <f>SUMIF('DAILY FIESTA'!$B$10:$B$115,$A147,'DAILY FIESTA'!O$10:O$115)</f>
        <v>0</v>
      </c>
      <c r="K147" s="8">
        <f>SUMIF('DAILY FIESTA'!$B$10:$B$115,$A147,'DAILY FIESTA'!P$10:P$115)</f>
        <v>0</v>
      </c>
      <c r="L147" s="8">
        <f>SUMIF('DAILY FIESTA'!$B$10:$B$115,$A147,'DAILY FIESTA'!Q$10:Q$115)</f>
        <v>0</v>
      </c>
      <c r="M147" s="8">
        <f>SUMIF('DAILY FIESTA'!$B$10:$B$115,$A147,'DAILY FIESTA'!R$10:R$115)</f>
        <v>0</v>
      </c>
      <c r="N147" s="8">
        <f>SUMIF('DAILY FIESTA'!$B$10:$B$115,$A147,'DAILY FIESTA'!S$10:S$115)</f>
        <v>0</v>
      </c>
      <c r="O147" s="8">
        <f>SUMIF('DAILY FIESTA'!$B$10:$B$115,$A147,'DAILY FIESTA'!T$10:T$115)</f>
        <v>0</v>
      </c>
      <c r="P147" s="8">
        <f>SUMIF('DAILY FIESTA'!$B$10:$B$115,$A147,'DAILY FIESTA'!U$10:U$115)</f>
        <v>0</v>
      </c>
      <c r="Q147" s="8">
        <f>SUMIF('DAILY FIESTA'!$B$10:$B$115,$A147,'DAILY FIESTA'!V$10:V$115)</f>
        <v>0</v>
      </c>
      <c r="R147" s="8">
        <f>SUMIF('DAILY FIESTA'!$B$10:$B$115,$A147,'DAILY FIESTA'!W$10:W$115)</f>
        <v>0</v>
      </c>
      <c r="S147" s="8">
        <f>SUMIF('DAILY FIESTA'!$B$10:$B$115,$A147,'DAILY FIESTA'!X$10:X$115)</f>
        <v>0</v>
      </c>
      <c r="T147" s="8">
        <f>SUMIF('DAILY FIESTA'!$B$10:$B$115,$A147,'DAILY FIESTA'!Y$10:Y$115)</f>
        <v>0</v>
      </c>
      <c r="U147" s="8">
        <f>SUMIF('DAILY FIESTA'!$B$10:$B$115,$A147,'DAILY FIESTA'!Z$10:Z$115)</f>
        <v>0</v>
      </c>
      <c r="V147" s="8">
        <f>SUMIF('DAILY FIESTA'!$B$10:$B$115,$A147,'DAILY FIESTA'!AA$10:AA$115)</f>
        <v>0</v>
      </c>
      <c r="W147" s="59">
        <f t="shared" si="12"/>
        <v>0</v>
      </c>
      <c r="X147" s="60">
        <f t="shared" ca="1" si="13"/>
        <v>0</v>
      </c>
      <c r="Y147" s="47">
        <f t="shared" ca="1" si="14"/>
        <v>0</v>
      </c>
      <c r="Z147" s="88" t="e">
        <f t="shared" ca="1" si="15"/>
        <v>#DIV/0!</v>
      </c>
      <c r="AA147" s="89" t="e">
        <f t="shared" ca="1" si="16"/>
        <v>#DIV/0!</v>
      </c>
      <c r="AB147" s="112"/>
      <c r="AC147" s="48"/>
      <c r="AD147" s="89"/>
    </row>
    <row r="148" spans="1:30" hidden="1">
      <c r="A148" s="7"/>
      <c r="B148" s="8">
        <f ca="1">SUMIF('DAILY FIESTA'!$B$10:$B$115,$A148,'DAILY FIESTA'!$C$10:$C$114)</f>
        <v>0</v>
      </c>
      <c r="C148" s="8">
        <f>SUMIF('DAILY FIESTA'!$B$10:$B$115,$A148,'DAILY FIESTA'!H$10:H$115)</f>
        <v>0</v>
      </c>
      <c r="D148" s="8">
        <f>SUMIF('DAILY FIESTA'!$B$10:$B$115,$A148,'DAILY FIESTA'!I$10:I$115)</f>
        <v>0</v>
      </c>
      <c r="E148" s="8">
        <f>SUMIF('DAILY FIESTA'!$B$10:$B$115,$A148,'DAILY FIESTA'!J$10:J$115)</f>
        <v>0</v>
      </c>
      <c r="F148" s="8">
        <f>SUMIF('DAILY FIESTA'!$B$10:$B$115,$A148,'DAILY FIESTA'!K$10:K$115)</f>
        <v>0</v>
      </c>
      <c r="G148" s="8">
        <f>SUMIF('DAILY FIESTA'!$B$10:$B$115,$A148,'DAILY FIESTA'!L$10:L$115)</f>
        <v>0</v>
      </c>
      <c r="H148" s="8">
        <f>SUMIF('DAILY FIESTA'!$B$10:$B$115,$A148,'DAILY FIESTA'!M$10:M$115)</f>
        <v>0</v>
      </c>
      <c r="I148" s="8">
        <f>SUMIF('DAILY FIESTA'!$B$10:$B$115,$A148,'DAILY FIESTA'!N$10:N$115)</f>
        <v>0</v>
      </c>
      <c r="J148" s="8">
        <f>SUMIF('DAILY FIESTA'!$B$10:$B$115,$A148,'DAILY FIESTA'!O$10:O$115)</f>
        <v>0</v>
      </c>
      <c r="K148" s="8">
        <f>SUMIF('DAILY FIESTA'!$B$10:$B$115,$A148,'DAILY FIESTA'!P$10:P$115)</f>
        <v>0</v>
      </c>
      <c r="L148" s="8">
        <f>SUMIF('DAILY FIESTA'!$B$10:$B$115,$A148,'DAILY FIESTA'!Q$10:Q$115)</f>
        <v>0</v>
      </c>
      <c r="M148" s="8">
        <f>SUMIF('DAILY FIESTA'!$B$10:$B$115,$A148,'DAILY FIESTA'!R$10:R$115)</f>
        <v>0</v>
      </c>
      <c r="N148" s="8">
        <f>SUMIF('DAILY FIESTA'!$B$10:$B$115,$A148,'DAILY FIESTA'!S$10:S$115)</f>
        <v>0</v>
      </c>
      <c r="O148" s="8">
        <f>SUMIF('DAILY FIESTA'!$B$10:$B$115,$A148,'DAILY FIESTA'!T$10:T$115)</f>
        <v>0</v>
      </c>
      <c r="P148" s="8">
        <f>SUMIF('DAILY FIESTA'!$B$10:$B$115,$A148,'DAILY FIESTA'!U$10:U$115)</f>
        <v>0</v>
      </c>
      <c r="Q148" s="8">
        <f>SUMIF('DAILY FIESTA'!$B$10:$B$115,$A148,'DAILY FIESTA'!V$10:V$115)</f>
        <v>0</v>
      </c>
      <c r="R148" s="8">
        <f>SUMIF('DAILY FIESTA'!$B$10:$B$115,$A148,'DAILY FIESTA'!W$10:W$115)</f>
        <v>0</v>
      </c>
      <c r="S148" s="8">
        <f>SUMIF('DAILY FIESTA'!$B$10:$B$115,$A148,'DAILY FIESTA'!X$10:X$115)</f>
        <v>0</v>
      </c>
      <c r="T148" s="8">
        <f>SUMIF('DAILY FIESTA'!$B$10:$B$115,$A148,'DAILY FIESTA'!Y$10:Y$115)</f>
        <v>0</v>
      </c>
      <c r="U148" s="8">
        <f>SUMIF('DAILY FIESTA'!$B$10:$B$115,$A148,'DAILY FIESTA'!Z$10:Z$115)</f>
        <v>0</v>
      </c>
      <c r="V148" s="8">
        <f>SUMIF('DAILY FIESTA'!$B$10:$B$115,$A148,'DAILY FIESTA'!AA$10:AA$115)</f>
        <v>0</v>
      </c>
      <c r="W148" s="59">
        <f t="shared" si="12"/>
        <v>0</v>
      </c>
      <c r="X148" s="60">
        <f t="shared" ca="1" si="13"/>
        <v>0</v>
      </c>
      <c r="Y148" s="47">
        <f t="shared" ca="1" si="14"/>
        <v>0</v>
      </c>
      <c r="Z148" s="88" t="e">
        <f t="shared" ca="1" si="15"/>
        <v>#DIV/0!</v>
      </c>
      <c r="AA148" s="89" t="e">
        <f t="shared" ca="1" si="16"/>
        <v>#DIV/0!</v>
      </c>
      <c r="AB148" s="112"/>
      <c r="AC148" s="48"/>
      <c r="AD148" s="89"/>
    </row>
    <row r="149" spans="1:30" hidden="1">
      <c r="A149" s="7"/>
      <c r="B149" s="8">
        <f ca="1">SUMIF('DAILY FIESTA'!$B$10:$B$115,$A149,'DAILY FIESTA'!$C$10:$C$114)</f>
        <v>0</v>
      </c>
      <c r="C149" s="8">
        <f>SUMIF('DAILY FIESTA'!$B$10:$B$115,$A149,'DAILY FIESTA'!H$10:H$115)</f>
        <v>0</v>
      </c>
      <c r="D149" s="8">
        <f>SUMIF('DAILY FIESTA'!$B$10:$B$115,$A149,'DAILY FIESTA'!I$10:I$115)</f>
        <v>0</v>
      </c>
      <c r="E149" s="8">
        <f>SUMIF('DAILY FIESTA'!$B$10:$B$115,$A149,'DAILY FIESTA'!J$10:J$115)</f>
        <v>0</v>
      </c>
      <c r="F149" s="8">
        <f>SUMIF('DAILY FIESTA'!$B$10:$B$115,$A149,'DAILY FIESTA'!K$10:K$115)</f>
        <v>0</v>
      </c>
      <c r="G149" s="8">
        <f>SUMIF('DAILY FIESTA'!$B$10:$B$115,$A149,'DAILY FIESTA'!L$10:L$115)</f>
        <v>0</v>
      </c>
      <c r="H149" s="8">
        <f>SUMIF('DAILY FIESTA'!$B$10:$B$115,$A149,'DAILY FIESTA'!M$10:M$115)</f>
        <v>0</v>
      </c>
      <c r="I149" s="8">
        <f>SUMIF('DAILY FIESTA'!$B$10:$B$115,$A149,'DAILY FIESTA'!N$10:N$115)</f>
        <v>0</v>
      </c>
      <c r="J149" s="8">
        <f>SUMIF('DAILY FIESTA'!$B$10:$B$115,$A149,'DAILY FIESTA'!O$10:O$115)</f>
        <v>0</v>
      </c>
      <c r="K149" s="8">
        <f>SUMIF('DAILY FIESTA'!$B$10:$B$115,$A149,'DAILY FIESTA'!P$10:P$115)</f>
        <v>0</v>
      </c>
      <c r="L149" s="8">
        <f>SUMIF('DAILY FIESTA'!$B$10:$B$115,$A149,'DAILY FIESTA'!Q$10:Q$115)</f>
        <v>0</v>
      </c>
      <c r="M149" s="8">
        <f>SUMIF('DAILY FIESTA'!$B$10:$B$115,$A149,'DAILY FIESTA'!R$10:R$115)</f>
        <v>0</v>
      </c>
      <c r="N149" s="8">
        <f>SUMIF('DAILY FIESTA'!$B$10:$B$115,$A149,'DAILY FIESTA'!S$10:S$115)</f>
        <v>0</v>
      </c>
      <c r="O149" s="8">
        <f>SUMIF('DAILY FIESTA'!$B$10:$B$115,$A149,'DAILY FIESTA'!T$10:T$115)</f>
        <v>0</v>
      </c>
      <c r="P149" s="8">
        <f>SUMIF('DAILY FIESTA'!$B$10:$B$115,$A149,'DAILY FIESTA'!U$10:U$115)</f>
        <v>0</v>
      </c>
      <c r="Q149" s="8">
        <f>SUMIF('DAILY FIESTA'!$B$10:$B$115,$A149,'DAILY FIESTA'!V$10:V$115)</f>
        <v>0</v>
      </c>
      <c r="R149" s="8">
        <f>SUMIF('DAILY FIESTA'!$B$10:$B$115,$A149,'DAILY FIESTA'!W$10:W$115)</f>
        <v>0</v>
      </c>
      <c r="S149" s="8">
        <f>SUMIF('DAILY FIESTA'!$B$10:$B$115,$A149,'DAILY FIESTA'!X$10:X$115)</f>
        <v>0</v>
      </c>
      <c r="T149" s="8">
        <f>SUMIF('DAILY FIESTA'!$B$10:$B$115,$A149,'DAILY FIESTA'!Y$10:Y$115)</f>
        <v>0</v>
      </c>
      <c r="U149" s="8">
        <f>SUMIF('DAILY FIESTA'!$B$10:$B$115,$A149,'DAILY FIESTA'!Z$10:Z$115)</f>
        <v>0</v>
      </c>
      <c r="V149" s="8">
        <f>SUMIF('DAILY FIESTA'!$B$10:$B$115,$A149,'DAILY FIESTA'!AA$10:AA$115)</f>
        <v>0</v>
      </c>
      <c r="W149" s="59">
        <f>SUM(E149:V149)</f>
        <v>0</v>
      </c>
      <c r="X149" s="60">
        <f ca="1">+B149-C149-D149-W149</f>
        <v>0</v>
      </c>
      <c r="Y149" s="47">
        <f t="shared" ca="1" si="14"/>
        <v>0</v>
      </c>
      <c r="Z149" s="88" t="e">
        <f t="shared" ca="1" si="15"/>
        <v>#DIV/0!</v>
      </c>
      <c r="AA149" s="89" t="e">
        <f t="shared" ca="1" si="16"/>
        <v>#DIV/0!</v>
      </c>
      <c r="AB149" s="112"/>
      <c r="AC149" s="48"/>
      <c r="AD149" s="89"/>
    </row>
    <row r="150" spans="1:30" hidden="1">
      <c r="A150" s="7"/>
      <c r="B150" s="8">
        <f ca="1">SUMIF('DAILY FIESTA'!$B$10:$B$115,$A150,'DAILY FIESTA'!$C$10:$C$114)</f>
        <v>0</v>
      </c>
      <c r="C150" s="8">
        <f>SUMIF('DAILY FIESTA'!$B$10:$B$115,$A150,'DAILY FIESTA'!H$10:H$115)</f>
        <v>0</v>
      </c>
      <c r="D150" s="8">
        <f>SUMIF('DAILY FIESTA'!$B$10:$B$115,$A150,'DAILY FIESTA'!I$10:I$115)</f>
        <v>0</v>
      </c>
      <c r="E150" s="8">
        <f>SUMIF('DAILY FIESTA'!$B$10:$B$115,$A150,'DAILY FIESTA'!J$10:J$115)</f>
        <v>0</v>
      </c>
      <c r="F150" s="8">
        <f>SUMIF('DAILY FIESTA'!$B$10:$B$115,$A150,'DAILY FIESTA'!K$10:K$115)</f>
        <v>0</v>
      </c>
      <c r="G150" s="8">
        <f>SUMIF('DAILY FIESTA'!$B$10:$B$115,$A150,'DAILY FIESTA'!L$10:L$115)</f>
        <v>0</v>
      </c>
      <c r="H150" s="8">
        <f>SUMIF('DAILY FIESTA'!$B$10:$B$115,$A150,'DAILY FIESTA'!M$10:M$115)</f>
        <v>0</v>
      </c>
      <c r="I150" s="8">
        <f>SUMIF('DAILY FIESTA'!$B$10:$B$115,$A150,'DAILY FIESTA'!N$10:N$115)</f>
        <v>0</v>
      </c>
      <c r="J150" s="8">
        <f>SUMIF('DAILY FIESTA'!$B$10:$B$115,$A150,'DAILY FIESTA'!O$10:O$115)</f>
        <v>0</v>
      </c>
      <c r="K150" s="8">
        <f>SUMIF('DAILY FIESTA'!$B$10:$B$115,$A150,'DAILY FIESTA'!P$10:P$115)</f>
        <v>0</v>
      </c>
      <c r="L150" s="8">
        <f>SUMIF('DAILY FIESTA'!$B$10:$B$115,$A150,'DAILY FIESTA'!Q$10:Q$115)</f>
        <v>0</v>
      </c>
      <c r="M150" s="8">
        <f>SUMIF('DAILY FIESTA'!$B$10:$B$115,$A150,'DAILY FIESTA'!R$10:R$115)</f>
        <v>0</v>
      </c>
      <c r="N150" s="8">
        <f>SUMIF('DAILY FIESTA'!$B$10:$B$115,$A150,'DAILY FIESTA'!S$10:S$115)</f>
        <v>0</v>
      </c>
      <c r="O150" s="8">
        <f>SUMIF('DAILY FIESTA'!$B$10:$B$115,$A150,'DAILY FIESTA'!T$10:T$115)</f>
        <v>0</v>
      </c>
      <c r="P150" s="8">
        <f>SUMIF('DAILY FIESTA'!$B$10:$B$115,$A150,'DAILY FIESTA'!U$10:U$115)</f>
        <v>0</v>
      </c>
      <c r="Q150" s="8">
        <f>SUMIF('DAILY FIESTA'!$B$10:$B$115,$A150,'DAILY FIESTA'!V$10:V$115)</f>
        <v>0</v>
      </c>
      <c r="R150" s="8">
        <f>SUMIF('DAILY FIESTA'!$B$10:$B$115,$A150,'DAILY FIESTA'!W$10:W$115)</f>
        <v>0</v>
      </c>
      <c r="S150" s="8">
        <f>SUMIF('DAILY FIESTA'!$B$10:$B$115,$A150,'DAILY FIESTA'!X$10:X$115)</f>
        <v>0</v>
      </c>
      <c r="T150" s="8">
        <f>SUMIF('DAILY FIESTA'!$B$10:$B$115,$A150,'DAILY FIESTA'!Y$10:Y$115)</f>
        <v>0</v>
      </c>
      <c r="U150" s="8">
        <f>SUMIF('DAILY FIESTA'!$B$10:$B$115,$A150,'DAILY FIESTA'!Z$10:Z$115)</f>
        <v>0</v>
      </c>
      <c r="V150" s="8">
        <f>SUMIF('DAILY FIESTA'!$B$10:$B$115,$A150,'DAILY FIESTA'!AA$10:AA$115)</f>
        <v>0</v>
      </c>
      <c r="W150" s="59">
        <f>SUM(E150:V150)</f>
        <v>0</v>
      </c>
      <c r="X150" s="60">
        <f ca="1">+B150-C150-D150-W150</f>
        <v>0</v>
      </c>
      <c r="Y150" s="47">
        <f t="shared" ca="1" si="14"/>
        <v>0</v>
      </c>
      <c r="Z150" s="88" t="e">
        <f t="shared" ca="1" si="15"/>
        <v>#DIV/0!</v>
      </c>
      <c r="AA150" s="89" t="e">
        <f t="shared" ca="1" si="16"/>
        <v>#DIV/0!</v>
      </c>
      <c r="AB150" s="112"/>
      <c r="AC150" s="48"/>
      <c r="AD150" s="89"/>
    </row>
    <row r="151" spans="1:30">
      <c r="B151" s="59">
        <f ca="1">SUM(B4:B150)</f>
        <v>0</v>
      </c>
      <c r="C151" s="59">
        <f t="shared" ref="C151:X151" si="17">SUM(C4:C150)</f>
        <v>0</v>
      </c>
      <c r="D151" s="59">
        <f t="shared" si="17"/>
        <v>0</v>
      </c>
      <c r="E151" s="59">
        <f t="shared" si="17"/>
        <v>0</v>
      </c>
      <c r="F151" s="59">
        <f t="shared" si="17"/>
        <v>0</v>
      </c>
      <c r="G151" s="59">
        <f t="shared" si="17"/>
        <v>0</v>
      </c>
      <c r="H151" s="59">
        <f t="shared" si="17"/>
        <v>0</v>
      </c>
      <c r="I151" s="59">
        <f t="shared" si="17"/>
        <v>0</v>
      </c>
      <c r="J151" s="59">
        <f t="shared" si="17"/>
        <v>0</v>
      </c>
      <c r="K151" s="59">
        <f t="shared" si="17"/>
        <v>0</v>
      </c>
      <c r="L151" s="59">
        <f t="shared" si="17"/>
        <v>0</v>
      </c>
      <c r="M151" s="59">
        <f t="shared" si="17"/>
        <v>0</v>
      </c>
      <c r="N151" s="59">
        <f t="shared" si="17"/>
        <v>0</v>
      </c>
      <c r="O151" s="59">
        <f t="shared" si="17"/>
        <v>0</v>
      </c>
      <c r="P151" s="59">
        <f t="shared" si="17"/>
        <v>0</v>
      </c>
      <c r="Q151" s="59">
        <f t="shared" si="17"/>
        <v>0</v>
      </c>
      <c r="R151" s="59">
        <f t="shared" si="17"/>
        <v>0</v>
      </c>
      <c r="S151" s="59">
        <f t="shared" si="17"/>
        <v>0</v>
      </c>
      <c r="T151" s="59">
        <f t="shared" si="17"/>
        <v>0</v>
      </c>
      <c r="U151" s="59">
        <f t="shared" si="17"/>
        <v>0</v>
      </c>
      <c r="V151" s="59">
        <f t="shared" si="17"/>
        <v>0</v>
      </c>
      <c r="W151" s="59">
        <f t="shared" si="17"/>
        <v>0</v>
      </c>
      <c r="X151" s="59">
        <f t="shared" ca="1" si="17"/>
        <v>0</v>
      </c>
      <c r="AB151" s="111">
        <f>SUM(AB4:AB150)</f>
        <v>0</v>
      </c>
      <c r="AC151" s="109">
        <f>SUM(AC4:AC150)</f>
        <v>0</v>
      </c>
      <c r="AD151" s="110" t="e">
        <f>SUM(C4:C150)/AC151</f>
        <v>#DIV/0!</v>
      </c>
    </row>
    <row r="152" spans="1:30">
      <c r="C152" s="61" t="e">
        <f ca="1">+C151/$B$151</f>
        <v>#DIV/0!</v>
      </c>
      <c r="D152" s="61" t="e">
        <f t="shared" ref="D152:X152" ca="1" si="18">+D151/$B$151</f>
        <v>#DIV/0!</v>
      </c>
      <c r="E152" s="61" t="e">
        <f t="shared" ca="1" si="18"/>
        <v>#DIV/0!</v>
      </c>
      <c r="F152" s="61" t="e">
        <f t="shared" ca="1" si="18"/>
        <v>#DIV/0!</v>
      </c>
      <c r="G152" s="61" t="e">
        <f t="shared" ca="1" si="18"/>
        <v>#DIV/0!</v>
      </c>
      <c r="H152" s="61" t="e">
        <f t="shared" ca="1" si="18"/>
        <v>#DIV/0!</v>
      </c>
      <c r="I152" s="61" t="e">
        <f t="shared" ca="1" si="18"/>
        <v>#DIV/0!</v>
      </c>
      <c r="J152" s="61" t="e">
        <f t="shared" ca="1" si="18"/>
        <v>#DIV/0!</v>
      </c>
      <c r="K152" s="61" t="e">
        <f t="shared" ca="1" si="18"/>
        <v>#DIV/0!</v>
      </c>
      <c r="L152" s="61" t="e">
        <f t="shared" ca="1" si="18"/>
        <v>#DIV/0!</v>
      </c>
      <c r="M152" s="61" t="e">
        <f t="shared" ca="1" si="18"/>
        <v>#DIV/0!</v>
      </c>
      <c r="N152" s="61" t="e">
        <f t="shared" ca="1" si="18"/>
        <v>#DIV/0!</v>
      </c>
      <c r="O152" s="61" t="e">
        <f t="shared" ca="1" si="18"/>
        <v>#DIV/0!</v>
      </c>
      <c r="P152" s="61" t="e">
        <f t="shared" ca="1" si="18"/>
        <v>#DIV/0!</v>
      </c>
      <c r="Q152" s="61" t="e">
        <f t="shared" ca="1" si="18"/>
        <v>#DIV/0!</v>
      </c>
      <c r="R152" s="61" t="e">
        <f t="shared" ca="1" si="18"/>
        <v>#DIV/0!</v>
      </c>
      <c r="S152" s="61" t="e">
        <f t="shared" ca="1" si="18"/>
        <v>#DIV/0!</v>
      </c>
      <c r="T152" s="61" t="e">
        <f t="shared" ca="1" si="18"/>
        <v>#DIV/0!</v>
      </c>
      <c r="U152" s="61" t="e">
        <f t="shared" ca="1" si="18"/>
        <v>#DIV/0!</v>
      </c>
      <c r="V152" s="61" t="e">
        <f t="shared" ca="1" si="18"/>
        <v>#DIV/0!</v>
      </c>
      <c r="W152" s="62" t="e">
        <f t="shared" ca="1" si="18"/>
        <v>#DIV/0!</v>
      </c>
      <c r="X152" s="61" t="e">
        <f t="shared" ca="1" si="18"/>
        <v>#DIV/0!</v>
      </c>
    </row>
  </sheetData>
  <mergeCells count="10">
    <mergeCell ref="A2:A3"/>
    <mergeCell ref="B2:B3"/>
    <mergeCell ref="C2:C3"/>
    <mergeCell ref="D2:D3"/>
    <mergeCell ref="E2:S2"/>
    <mergeCell ref="W2:W3"/>
    <mergeCell ref="X2:X3"/>
    <mergeCell ref="AB2:AB3"/>
    <mergeCell ref="AD2:AD3"/>
    <mergeCell ref="C1:D1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>
  <sheetPr codeName="Sheet20">
    <tabColor rgb="FF000099"/>
  </sheetPr>
  <dimension ref="A1:Y57"/>
  <sheetViews>
    <sheetView zoomScale="80" zoomScaleNormal="80" workbookViewId="0">
      <pane xSplit="1" ySplit="5" topLeftCell="C6" activePane="bottomRight" state="frozen"/>
      <selection activeCell="EE10" sqref="EE10"/>
      <selection pane="topRight" activeCell="EE10" sqref="EE10"/>
      <selection pane="bottomLeft" activeCell="EE10" sqref="EE10"/>
      <selection pane="bottomRight" activeCell="G33" sqref="G33"/>
    </sheetView>
  </sheetViews>
  <sheetFormatPr defaultRowHeight="12.75"/>
  <cols>
    <col min="1" max="1" width="10.28515625" style="47" customWidth="1"/>
    <col min="2" max="3" width="13.7109375" style="47" customWidth="1"/>
    <col min="4" max="4" width="11" style="47" customWidth="1"/>
    <col min="5" max="5" width="12.7109375" style="47" customWidth="1"/>
    <col min="6" max="6" width="11.7109375" style="46" customWidth="1"/>
    <col min="7" max="9" width="12.28515625" style="47" customWidth="1"/>
    <col min="10" max="10" width="11.7109375" style="47" customWidth="1"/>
    <col min="11" max="11" width="9.140625" style="47" customWidth="1"/>
    <col min="12" max="12" width="11.28515625" style="47" bestFit="1" customWidth="1"/>
    <col min="13" max="13" width="10" style="47" customWidth="1"/>
    <col min="14" max="14" width="9.5703125" style="47" bestFit="1" customWidth="1"/>
    <col min="15" max="15" width="13.5703125" style="47" customWidth="1"/>
    <col min="16" max="16" width="11.7109375" style="47" customWidth="1"/>
    <col min="17" max="17" width="11.140625" style="47" customWidth="1"/>
    <col min="18" max="18" width="12" style="47" customWidth="1"/>
    <col min="19" max="19" width="13.28515625" style="47" customWidth="1"/>
    <col min="20" max="21" width="12" style="47" customWidth="1"/>
    <col min="22" max="23" width="11.140625" style="47" customWidth="1"/>
    <col min="24" max="24" width="13" style="47" customWidth="1"/>
    <col min="25" max="16384" width="9.140625" style="47"/>
  </cols>
  <sheetData>
    <row r="1" spans="1:25" ht="15.75">
      <c r="A1" s="725" t="s">
        <v>65</v>
      </c>
      <c r="B1" s="725"/>
      <c r="C1" s="725"/>
      <c r="D1" s="725"/>
      <c r="E1" s="725"/>
      <c r="F1" s="725"/>
      <c r="G1" s="725"/>
      <c r="H1" s="725"/>
      <c r="I1" s="725"/>
      <c r="J1" s="725"/>
      <c r="K1" s="725"/>
      <c r="L1" s="725"/>
      <c r="M1" s="725"/>
      <c r="N1" s="725"/>
      <c r="O1" s="725"/>
      <c r="P1" s="725"/>
      <c r="Q1" s="725"/>
      <c r="R1" s="725"/>
      <c r="S1" s="725"/>
      <c r="T1" s="725"/>
      <c r="U1" s="725"/>
      <c r="V1" s="725"/>
      <c r="W1" s="725"/>
      <c r="X1" s="725"/>
    </row>
    <row r="2" spans="1:25" ht="15.75">
      <c r="A2" s="726" t="str">
        <f>+'DAILY CHAMP AYAM'!A3:AD3</f>
        <v>JULI'26</v>
      </c>
      <c r="B2" s="726"/>
      <c r="C2" s="726"/>
      <c r="D2" s="726"/>
      <c r="E2" s="726"/>
      <c r="F2" s="726"/>
      <c r="G2" s="726"/>
      <c r="H2" s="726"/>
      <c r="I2" s="726"/>
      <c r="J2" s="726"/>
      <c r="K2" s="726"/>
      <c r="L2" s="726"/>
      <c r="M2" s="726"/>
      <c r="N2" s="726"/>
      <c r="O2" s="726"/>
      <c r="P2" s="726"/>
      <c r="Q2" s="726"/>
      <c r="R2" s="726"/>
      <c r="S2" s="726"/>
      <c r="T2" s="726"/>
      <c r="U2" s="726"/>
      <c r="V2" s="726"/>
      <c r="W2" s="726"/>
      <c r="X2" s="726"/>
    </row>
    <row r="3" spans="1:25">
      <c r="A3" s="9"/>
      <c r="B3" s="9"/>
      <c r="C3" s="717" t="s">
        <v>10</v>
      </c>
      <c r="D3" s="717"/>
      <c r="E3" s="9"/>
      <c r="H3" s="48"/>
    </row>
    <row r="4" spans="1:25" ht="12.75" customHeight="1">
      <c r="A4" s="718" t="s">
        <v>24</v>
      </c>
      <c r="B4" s="719" t="s">
        <v>7</v>
      </c>
      <c r="C4" s="720" t="s">
        <v>8</v>
      </c>
      <c r="D4" s="720" t="s">
        <v>13</v>
      </c>
      <c r="E4" s="715" t="s">
        <v>23</v>
      </c>
      <c r="F4" s="715"/>
      <c r="G4" s="715"/>
      <c r="H4" s="715"/>
      <c r="I4" s="715"/>
      <c r="J4" s="715"/>
      <c r="K4" s="715"/>
      <c r="L4" s="715"/>
      <c r="M4" s="715"/>
      <c r="N4" s="715"/>
      <c r="O4" s="715"/>
      <c r="P4" s="715"/>
      <c r="Q4" s="715"/>
      <c r="R4" s="715"/>
      <c r="S4" s="715"/>
      <c r="T4" s="22"/>
      <c r="U4" s="115"/>
      <c r="V4" s="22"/>
      <c r="W4" s="721" t="s">
        <v>15</v>
      </c>
      <c r="X4" s="722" t="s">
        <v>9</v>
      </c>
    </row>
    <row r="5" spans="1:25" ht="26.25" customHeight="1">
      <c r="A5" s="718"/>
      <c r="B5" s="719"/>
      <c r="C5" s="719"/>
      <c r="D5" s="719"/>
      <c r="E5" s="96" t="s">
        <v>16</v>
      </c>
      <c r="F5" s="96" t="s">
        <v>17</v>
      </c>
      <c r="G5" s="96" t="s">
        <v>58</v>
      </c>
      <c r="H5" s="96" t="s">
        <v>59</v>
      </c>
      <c r="I5" s="96" t="s">
        <v>18</v>
      </c>
      <c r="J5" s="96" t="s">
        <v>60</v>
      </c>
      <c r="K5" s="96" t="s">
        <v>19</v>
      </c>
      <c r="L5" s="96" t="s">
        <v>55</v>
      </c>
      <c r="M5" s="96" t="s">
        <v>61</v>
      </c>
      <c r="N5" s="96" t="s">
        <v>62</v>
      </c>
      <c r="O5" s="96" t="s">
        <v>63</v>
      </c>
      <c r="P5" s="96" t="s">
        <v>56</v>
      </c>
      <c r="Q5" s="96" t="s">
        <v>20</v>
      </c>
      <c r="R5" s="96" t="s">
        <v>57</v>
      </c>
      <c r="S5" s="272" t="s">
        <v>154</v>
      </c>
      <c r="T5" s="96" t="s">
        <v>21</v>
      </c>
      <c r="U5" s="126" t="s">
        <v>155</v>
      </c>
      <c r="V5" s="118" t="s">
        <v>22</v>
      </c>
      <c r="W5" s="721"/>
      <c r="X5" s="722"/>
      <c r="Y5" s="288" t="s">
        <v>114</v>
      </c>
    </row>
    <row r="6" spans="1:25">
      <c r="A6" s="7">
        <v>46204</v>
      </c>
      <c r="B6" s="8">
        <f ca="1">+'REKAPAN CHAMP AYAM'!B4+'REKAPAN OKEY AYAM'!B4+'REKAPAN CHAMP SAPI'!B4+'REKAPAN CHAMP OTAK-OTAK'!B4+'REKAPAN FIESTA'!B4</f>
        <v>11727.413</v>
      </c>
      <c r="C6" s="8">
        <f>+'REKAPAN CHAMP AYAM'!C4+'REKAPAN OKEY AYAM'!C4+'REKAPAN CHAMP SAPI'!C4+'REKAPAN CHAMP OTAK-OTAK'!C4+'REKAPAN FIESTA'!C4</f>
        <v>11395.117</v>
      </c>
      <c r="D6" s="8">
        <f>+'REKAPAN CHAMP AYAM'!D4+'REKAPAN OKEY AYAM'!D4+'REKAPAN CHAMP SAPI'!D4+'REKAPAN CHAMP OTAK-OTAK'!D4+'REKAPAN FIESTA'!D4</f>
        <v>0</v>
      </c>
      <c r="E6" s="8">
        <f>+'REKAPAN CHAMP AYAM'!E4+'REKAPAN OKEY AYAM'!E4+'REKAPAN CHAMP SAPI'!E4+'REKAPAN CHAMP OTAK-OTAK'!E4+'REKAPAN FIESTA'!E4</f>
        <v>32.340000000000003</v>
      </c>
      <c r="F6" s="8">
        <f>+'REKAPAN CHAMP AYAM'!F4+'REKAPAN OKEY AYAM'!F4+'REKAPAN CHAMP SAPI'!F4+'REKAPAN CHAMP OTAK-OTAK'!F4+'REKAPAN FIESTA'!F4</f>
        <v>55.25</v>
      </c>
      <c r="G6" s="8">
        <f>+'REKAPAN CHAMP AYAM'!G4+'REKAPAN OKEY AYAM'!G4+'REKAPAN CHAMP SAPI'!G4+'REKAPAN CHAMP OTAK-OTAK'!G4+'REKAPAN FIESTA'!G4</f>
        <v>4.4000000000000004</v>
      </c>
      <c r="H6" s="8">
        <f>+'REKAPAN CHAMP AYAM'!H4+'REKAPAN OKEY AYAM'!H4+'REKAPAN CHAMP SAPI'!H4+'REKAPAN CHAMP OTAK-OTAK'!H4+'REKAPAN FIESTA'!H4</f>
        <v>2.0499999999999998</v>
      </c>
      <c r="I6" s="8">
        <f>+'REKAPAN CHAMP AYAM'!I4+'REKAPAN OKEY AYAM'!I4+'REKAPAN CHAMP SAPI'!I4+'REKAPAN CHAMP OTAK-OTAK'!I4+'REKAPAN FIESTA'!I4</f>
        <v>139.79999999999998</v>
      </c>
      <c r="J6" s="8">
        <f>+'REKAPAN CHAMP AYAM'!J4+'REKAPAN OKEY AYAM'!J4+'REKAPAN CHAMP SAPI'!J4+'REKAPAN CHAMP OTAK-OTAK'!J4+'REKAPAN FIESTA'!J4</f>
        <v>7.25</v>
      </c>
      <c r="K6" s="8">
        <f>+'REKAPAN CHAMP AYAM'!K4+'REKAPAN OKEY AYAM'!K4+'REKAPAN CHAMP SAPI'!K4+'REKAPAN CHAMP OTAK-OTAK'!K4+'REKAPAN FIESTA'!K4</f>
        <v>0</v>
      </c>
      <c r="L6" s="8">
        <f>+'REKAPAN CHAMP AYAM'!L4+'REKAPAN OKEY AYAM'!L4+'REKAPAN CHAMP SAPI'!L4+'REKAPAN CHAMP OTAK-OTAK'!L4+'REKAPAN FIESTA'!L4</f>
        <v>10.649999999999999</v>
      </c>
      <c r="M6" s="8">
        <f>+'REKAPAN CHAMP AYAM'!M4+'REKAPAN OKEY AYAM'!M4+'REKAPAN CHAMP SAPI'!M4+'REKAPAN CHAMP OTAK-OTAK'!M4+'REKAPAN FIESTA'!M4</f>
        <v>7.85</v>
      </c>
      <c r="N6" s="8">
        <f>+'REKAPAN CHAMP AYAM'!N4+'REKAPAN OKEY AYAM'!N4+'REKAPAN CHAMP SAPI'!N4+'REKAPAN CHAMP OTAK-OTAK'!N4+'REKAPAN FIESTA'!N4</f>
        <v>15.6</v>
      </c>
      <c r="O6" s="8">
        <f>+'REKAPAN CHAMP AYAM'!O4+'REKAPAN OKEY AYAM'!O4+'REKAPAN CHAMP SAPI'!O4+'REKAPAN CHAMP OTAK-OTAK'!O4+'REKAPAN FIESTA'!O4</f>
        <v>0</v>
      </c>
      <c r="P6" s="8">
        <f>+'REKAPAN CHAMP AYAM'!P4+'REKAPAN OKEY AYAM'!P4+'REKAPAN CHAMP SAPI'!P4+'REKAPAN CHAMP OTAK-OTAK'!P4+'REKAPAN FIESTA'!P4</f>
        <v>0</v>
      </c>
      <c r="Q6" s="8">
        <f>+'REKAPAN CHAMP AYAM'!Q4+'REKAPAN OKEY AYAM'!Q4+'REKAPAN CHAMP SAPI'!Q4+'REKAPAN CHAMP OTAK-OTAK'!Q4+'REKAPAN FIESTA'!Q4</f>
        <v>0</v>
      </c>
      <c r="R6" s="8">
        <f>+'REKAPAN CHAMP AYAM'!R4+'REKAPAN OKEY AYAM'!R4+'REKAPAN CHAMP SAPI'!R4+'REKAPAN CHAMP OTAK-OTAK'!R4+'REKAPAN FIESTA'!R4</f>
        <v>0</v>
      </c>
      <c r="S6" s="8">
        <f>+'REKAPAN CHAMP AYAM'!S4+'REKAPAN OKEY AYAM'!S4+'REKAPAN CHAMP SAPI'!S4+'REKAPAN CHAMP OTAK-OTAK'!S4+'REKAPAN FIESTA'!S4</f>
        <v>0</v>
      </c>
      <c r="T6" s="8">
        <f>+'REKAPAN CHAMP AYAM'!T4+'REKAPAN OKEY AYAM'!T4+'REKAPAN CHAMP SAPI'!T4+'REKAPAN CHAMP OTAK-OTAK'!T4+'REKAPAN FIESTA'!T4</f>
        <v>0</v>
      </c>
      <c r="U6" s="8">
        <f>+'REKAPAN CHAMP AYAM'!U4+'REKAPAN OKEY AYAM'!U4+'REKAPAN CHAMP SAPI'!U4+'REKAPAN CHAMP OTAK-OTAK'!U4+'REKAPAN FIESTA'!U4</f>
        <v>0</v>
      </c>
      <c r="V6" s="8">
        <f>+'REKAPAN CHAMP AYAM'!V4+'REKAPAN OKEY AYAM'!V4+'REKAPAN CHAMP SAPI'!V4+'REKAPAN CHAMP OTAK-OTAK'!V4+'REKAPAN FIESTA'!V4</f>
        <v>0</v>
      </c>
      <c r="W6" s="59">
        <f t="shared" ref="W6:W36" si="0">SUM(E6:V6)</f>
        <v>275.19</v>
      </c>
      <c r="X6" s="60">
        <f ca="1">+B6-C6-D6-W6</f>
        <v>57.106000000000279</v>
      </c>
      <c r="Y6" s="287">
        <f ca="1">+W6/B6</f>
        <v>2.3465533276605846E-2</v>
      </c>
    </row>
    <row r="7" spans="1:25">
      <c r="A7" s="7">
        <f>+A6+1</f>
        <v>46205</v>
      </c>
      <c r="B7" s="8">
        <f ca="1">+'REKAPAN CHAMP AYAM'!B5+'REKAPAN OKEY AYAM'!B5+'REKAPAN CHAMP SAPI'!B5+'REKAPAN CHAMP OTAK-OTAK'!B5+'REKAPAN FIESTA'!B5</f>
        <v>14447.16</v>
      </c>
      <c r="C7" s="8">
        <f>+'REKAPAN CHAMP AYAM'!C5+'REKAPAN OKEY AYAM'!C5+'REKAPAN CHAMP SAPI'!C5+'REKAPAN CHAMP OTAK-OTAK'!C5+'REKAPAN FIESTA'!C5</f>
        <v>13746.095999999996</v>
      </c>
      <c r="D7" s="8">
        <f>+'REKAPAN CHAMP AYAM'!D5+'REKAPAN OKEY AYAM'!D5+'REKAPAN CHAMP SAPI'!D5+'REKAPAN CHAMP OTAK-OTAK'!D5+'REKAPAN FIESTA'!D5</f>
        <v>592.9559999999999</v>
      </c>
      <c r="E7" s="8">
        <f>+'REKAPAN CHAMP AYAM'!E5+'REKAPAN OKEY AYAM'!E5+'REKAPAN CHAMP SAPI'!E5+'REKAPAN CHAMP OTAK-OTAK'!E5+'REKAPAN FIESTA'!E5</f>
        <v>31.47</v>
      </c>
      <c r="F7" s="8">
        <f>+'REKAPAN CHAMP AYAM'!F5+'REKAPAN OKEY AYAM'!F5+'REKAPAN CHAMP SAPI'!F5+'REKAPAN CHAMP OTAK-OTAK'!F5+'REKAPAN FIESTA'!F5</f>
        <v>39.97</v>
      </c>
      <c r="G7" s="8">
        <f>+'REKAPAN CHAMP AYAM'!G5+'REKAPAN OKEY AYAM'!G5+'REKAPAN CHAMP SAPI'!G5+'REKAPAN CHAMP OTAK-OTAK'!G5+'REKAPAN FIESTA'!G5</f>
        <v>0</v>
      </c>
      <c r="H7" s="8">
        <f>+'REKAPAN CHAMP AYAM'!H5+'REKAPAN OKEY AYAM'!H5+'REKAPAN CHAMP SAPI'!H5+'REKAPAN CHAMP OTAK-OTAK'!H5+'REKAPAN FIESTA'!H5</f>
        <v>1.4</v>
      </c>
      <c r="I7" s="8">
        <f>+'REKAPAN CHAMP AYAM'!I5+'REKAPAN OKEY AYAM'!I5+'REKAPAN CHAMP SAPI'!I5+'REKAPAN CHAMP OTAK-OTAK'!I5+'REKAPAN FIESTA'!I5</f>
        <v>61.209999999999994</v>
      </c>
      <c r="J7" s="8">
        <f>+'REKAPAN CHAMP AYAM'!J5+'REKAPAN OKEY AYAM'!J5+'REKAPAN CHAMP SAPI'!J5+'REKAPAN CHAMP OTAK-OTAK'!J5+'REKAPAN FIESTA'!J5</f>
        <v>4.6800000000000006</v>
      </c>
      <c r="K7" s="8">
        <f>+'REKAPAN CHAMP AYAM'!K5+'REKAPAN OKEY AYAM'!K5+'REKAPAN CHAMP SAPI'!K5+'REKAPAN CHAMP OTAK-OTAK'!K5+'REKAPAN FIESTA'!K5</f>
        <v>0</v>
      </c>
      <c r="L7" s="8">
        <f>+'REKAPAN CHAMP AYAM'!L5+'REKAPAN OKEY AYAM'!L5+'REKAPAN CHAMP SAPI'!L5+'REKAPAN CHAMP OTAK-OTAK'!L5+'REKAPAN FIESTA'!L5</f>
        <v>2.91</v>
      </c>
      <c r="M7" s="8">
        <f>+'REKAPAN CHAMP AYAM'!M5+'REKAPAN OKEY AYAM'!M5+'REKAPAN CHAMP SAPI'!M5+'REKAPAN CHAMP OTAK-OTAK'!M5+'REKAPAN FIESTA'!M5</f>
        <v>13.309999999999999</v>
      </c>
      <c r="N7" s="8">
        <f>+'REKAPAN CHAMP AYAM'!N5+'REKAPAN OKEY AYAM'!N5+'REKAPAN CHAMP SAPI'!N5+'REKAPAN CHAMP OTAK-OTAK'!N5+'REKAPAN FIESTA'!N5</f>
        <v>10.629999999999999</v>
      </c>
      <c r="O7" s="8">
        <f>+'REKAPAN CHAMP AYAM'!O5+'REKAPAN OKEY AYAM'!O5+'REKAPAN CHAMP SAPI'!O5+'REKAPAN CHAMP OTAK-OTAK'!O5+'REKAPAN FIESTA'!O5</f>
        <v>0</v>
      </c>
      <c r="P7" s="8">
        <f>+'REKAPAN CHAMP AYAM'!P5+'REKAPAN OKEY AYAM'!P5+'REKAPAN CHAMP SAPI'!P5+'REKAPAN CHAMP OTAK-OTAK'!P5+'REKAPAN FIESTA'!P5</f>
        <v>0</v>
      </c>
      <c r="Q7" s="8">
        <f>+'REKAPAN CHAMP AYAM'!Q5+'REKAPAN OKEY AYAM'!Q5+'REKAPAN CHAMP SAPI'!Q5+'REKAPAN CHAMP OTAK-OTAK'!Q5+'REKAPAN FIESTA'!Q5</f>
        <v>0</v>
      </c>
      <c r="R7" s="8">
        <f>+'REKAPAN CHAMP AYAM'!R5+'REKAPAN OKEY AYAM'!R5+'REKAPAN CHAMP SAPI'!R5+'REKAPAN CHAMP OTAK-OTAK'!R5+'REKAPAN FIESTA'!R5</f>
        <v>0</v>
      </c>
      <c r="S7" s="8">
        <f>+'REKAPAN CHAMP AYAM'!S5+'REKAPAN OKEY AYAM'!S5+'REKAPAN CHAMP SAPI'!S5+'REKAPAN CHAMP OTAK-OTAK'!S5+'REKAPAN FIESTA'!S5</f>
        <v>0</v>
      </c>
      <c r="T7" s="8">
        <f>+'REKAPAN CHAMP AYAM'!T5+'REKAPAN OKEY AYAM'!T5+'REKAPAN CHAMP SAPI'!T5+'REKAPAN CHAMP OTAK-OTAK'!T5+'REKAPAN FIESTA'!T5</f>
        <v>0</v>
      </c>
      <c r="U7" s="8">
        <f>+'REKAPAN CHAMP AYAM'!U5+'REKAPAN OKEY AYAM'!U5+'REKAPAN CHAMP SAPI'!U5+'REKAPAN CHAMP OTAK-OTAK'!U5+'REKAPAN FIESTA'!U5</f>
        <v>0</v>
      </c>
      <c r="V7" s="8">
        <f>+'REKAPAN CHAMP AYAM'!V5+'REKAPAN OKEY AYAM'!V5+'REKAPAN CHAMP SAPI'!V5+'REKAPAN CHAMP OTAK-OTAK'!V5+'REKAPAN FIESTA'!V5</f>
        <v>0</v>
      </c>
      <c r="W7" s="59">
        <f t="shared" si="0"/>
        <v>165.58</v>
      </c>
      <c r="X7" s="60">
        <f t="shared" ref="X7:X36" ca="1" si="1">+B7-C7-D7-W7</f>
        <v>-57.471999999995973</v>
      </c>
      <c r="Y7" s="287">
        <f t="shared" ref="Y7:Y36" ca="1" si="2">+W7/B7</f>
        <v>1.1461076086926428E-2</v>
      </c>
    </row>
    <row r="8" spans="1:25">
      <c r="A8" s="7">
        <f t="shared" ref="A8:A36" si="3">+A7+1</f>
        <v>46206</v>
      </c>
      <c r="B8" s="8">
        <f ca="1">+'REKAPAN CHAMP AYAM'!B6+'REKAPAN OKEY AYAM'!B6+'REKAPAN CHAMP SAPI'!B6+'REKAPAN CHAMP OTAK-OTAK'!B6+'REKAPAN FIESTA'!B6</f>
        <v>14155.596</v>
      </c>
      <c r="C8" s="8">
        <f>+'REKAPAN CHAMP AYAM'!C6+'REKAPAN OKEY AYAM'!C6+'REKAPAN CHAMP SAPI'!C6+'REKAPAN CHAMP OTAK-OTAK'!C6+'REKAPAN FIESTA'!C6</f>
        <v>13644.539999999997</v>
      </c>
      <c r="D8" s="8">
        <f>+'REKAPAN CHAMP AYAM'!D6+'REKAPAN OKEY AYAM'!D6+'REKAPAN CHAMP SAPI'!D6+'REKAPAN CHAMP OTAK-OTAK'!D6+'REKAPAN FIESTA'!D6</f>
        <v>0</v>
      </c>
      <c r="E8" s="8">
        <f>+'REKAPAN CHAMP AYAM'!E6+'REKAPAN OKEY AYAM'!E6+'REKAPAN CHAMP SAPI'!E6+'REKAPAN CHAMP OTAK-OTAK'!E6+'REKAPAN FIESTA'!E6</f>
        <v>60.440000000000005</v>
      </c>
      <c r="F8" s="8">
        <f>+'REKAPAN CHAMP AYAM'!F6+'REKAPAN OKEY AYAM'!F6+'REKAPAN CHAMP SAPI'!F6+'REKAPAN CHAMP OTAK-OTAK'!F6+'REKAPAN FIESTA'!F6</f>
        <v>77.050000000000011</v>
      </c>
      <c r="G8" s="8">
        <f>+'REKAPAN CHAMP AYAM'!G6+'REKAPAN OKEY AYAM'!G6+'REKAPAN CHAMP SAPI'!G6+'REKAPAN CHAMP OTAK-OTAK'!G6+'REKAPAN FIESTA'!G6</f>
        <v>0</v>
      </c>
      <c r="H8" s="8">
        <f>+'REKAPAN CHAMP AYAM'!H6+'REKAPAN OKEY AYAM'!H6+'REKAPAN CHAMP SAPI'!H6+'REKAPAN CHAMP OTAK-OTAK'!H6+'REKAPAN FIESTA'!H6</f>
        <v>29.3</v>
      </c>
      <c r="I8" s="8">
        <f>+'REKAPAN CHAMP AYAM'!I6+'REKAPAN OKEY AYAM'!I6+'REKAPAN CHAMP SAPI'!I6+'REKAPAN CHAMP OTAK-OTAK'!I6+'REKAPAN FIESTA'!I6</f>
        <v>71.2</v>
      </c>
      <c r="J8" s="8">
        <f>+'REKAPAN CHAMP AYAM'!J6+'REKAPAN OKEY AYAM'!J6+'REKAPAN CHAMP SAPI'!J6+'REKAPAN CHAMP OTAK-OTAK'!J6+'REKAPAN FIESTA'!J6</f>
        <v>2.8899999999999997</v>
      </c>
      <c r="K8" s="8">
        <f>+'REKAPAN CHAMP AYAM'!K6+'REKAPAN OKEY AYAM'!K6+'REKAPAN CHAMP SAPI'!K6+'REKAPAN CHAMP OTAK-OTAK'!K6+'REKAPAN FIESTA'!K6</f>
        <v>0</v>
      </c>
      <c r="L8" s="8">
        <f>+'REKAPAN CHAMP AYAM'!L6+'REKAPAN OKEY AYAM'!L6+'REKAPAN CHAMP SAPI'!L6+'REKAPAN CHAMP OTAK-OTAK'!L6+'REKAPAN FIESTA'!L6</f>
        <v>1.1000000000000001</v>
      </c>
      <c r="M8" s="8">
        <f>+'REKAPAN CHAMP AYAM'!M6+'REKAPAN OKEY AYAM'!M6+'REKAPAN CHAMP SAPI'!M6+'REKAPAN CHAMP OTAK-OTAK'!M6+'REKAPAN FIESTA'!M6</f>
        <v>1.8499999999999999</v>
      </c>
      <c r="N8" s="8">
        <f>+'REKAPAN CHAMP AYAM'!N6+'REKAPAN OKEY AYAM'!N6+'REKAPAN CHAMP SAPI'!N6+'REKAPAN CHAMP OTAK-OTAK'!N6+'REKAPAN FIESTA'!N6</f>
        <v>10.100000000000001</v>
      </c>
      <c r="O8" s="8">
        <f>+'REKAPAN CHAMP AYAM'!O6+'REKAPAN OKEY AYAM'!O6+'REKAPAN CHAMP SAPI'!O6+'REKAPAN CHAMP OTAK-OTAK'!O6+'REKAPAN FIESTA'!O6</f>
        <v>0</v>
      </c>
      <c r="P8" s="8">
        <f>+'REKAPAN CHAMP AYAM'!P6+'REKAPAN OKEY AYAM'!P6+'REKAPAN CHAMP SAPI'!P6+'REKAPAN CHAMP OTAK-OTAK'!P6+'REKAPAN FIESTA'!P6</f>
        <v>0</v>
      </c>
      <c r="Q8" s="8">
        <f>+'REKAPAN CHAMP AYAM'!Q6+'REKAPAN OKEY AYAM'!Q6+'REKAPAN CHAMP SAPI'!Q6+'REKAPAN CHAMP OTAK-OTAK'!Q6+'REKAPAN FIESTA'!Q6</f>
        <v>0</v>
      </c>
      <c r="R8" s="8">
        <f>+'REKAPAN CHAMP AYAM'!R6+'REKAPAN OKEY AYAM'!R6+'REKAPAN CHAMP SAPI'!R6+'REKAPAN CHAMP OTAK-OTAK'!R6+'REKAPAN FIESTA'!R6</f>
        <v>0</v>
      </c>
      <c r="S8" s="8">
        <f>+'REKAPAN CHAMP AYAM'!S6+'REKAPAN OKEY AYAM'!S6+'REKAPAN CHAMP SAPI'!S6+'REKAPAN CHAMP OTAK-OTAK'!S6+'REKAPAN FIESTA'!S6</f>
        <v>0</v>
      </c>
      <c r="T8" s="8">
        <f>+'REKAPAN CHAMP AYAM'!T6+'REKAPAN OKEY AYAM'!T6+'REKAPAN CHAMP SAPI'!T6+'REKAPAN CHAMP OTAK-OTAK'!T6+'REKAPAN FIESTA'!T6</f>
        <v>0</v>
      </c>
      <c r="U8" s="8">
        <f>+'REKAPAN CHAMP AYAM'!U6+'REKAPAN OKEY AYAM'!U6+'REKAPAN CHAMP SAPI'!U6+'REKAPAN CHAMP OTAK-OTAK'!U6+'REKAPAN FIESTA'!U6</f>
        <v>0</v>
      </c>
      <c r="V8" s="8">
        <f>+'REKAPAN CHAMP AYAM'!V6+'REKAPAN OKEY AYAM'!V6+'REKAPAN CHAMP SAPI'!V6+'REKAPAN CHAMP OTAK-OTAK'!V6+'REKAPAN FIESTA'!V6</f>
        <v>0</v>
      </c>
      <c r="W8" s="59">
        <f t="shared" si="0"/>
        <v>253.92999999999998</v>
      </c>
      <c r="X8" s="60">
        <f t="shared" ca="1" si="1"/>
        <v>257.12600000000236</v>
      </c>
      <c r="Y8" s="287">
        <f t="shared" ca="1" si="2"/>
        <v>1.7938488778572091E-2</v>
      </c>
    </row>
    <row r="9" spans="1:25">
      <c r="A9" s="7">
        <f t="shared" si="3"/>
        <v>46207</v>
      </c>
      <c r="B9" s="8">
        <f ca="1">+'REKAPAN CHAMP AYAM'!B7+'REKAPAN OKEY AYAM'!B7+'REKAPAN CHAMP SAPI'!B7+'REKAPAN CHAMP OTAK-OTAK'!B7+'REKAPAN FIESTA'!B7</f>
        <v>0</v>
      </c>
      <c r="C9" s="8">
        <f>+'REKAPAN CHAMP AYAM'!C7+'REKAPAN OKEY AYAM'!C7+'REKAPAN CHAMP SAPI'!C7+'REKAPAN CHAMP OTAK-OTAK'!C7+'REKAPAN FIESTA'!C7</f>
        <v>0</v>
      </c>
      <c r="D9" s="8">
        <f>+'REKAPAN CHAMP AYAM'!D7+'REKAPAN OKEY AYAM'!D7+'REKAPAN CHAMP SAPI'!D7+'REKAPAN CHAMP OTAK-OTAK'!D7+'REKAPAN FIESTA'!D7</f>
        <v>0</v>
      </c>
      <c r="E9" s="8">
        <f>+'REKAPAN CHAMP AYAM'!E7+'REKAPAN OKEY AYAM'!E7+'REKAPAN CHAMP SAPI'!E7+'REKAPAN CHAMP OTAK-OTAK'!E7+'REKAPAN FIESTA'!E7</f>
        <v>0</v>
      </c>
      <c r="F9" s="8">
        <f>+'REKAPAN CHAMP AYAM'!F7+'REKAPAN OKEY AYAM'!F7+'REKAPAN CHAMP SAPI'!F7+'REKAPAN CHAMP OTAK-OTAK'!F7+'REKAPAN FIESTA'!F7</f>
        <v>0</v>
      </c>
      <c r="G9" s="8">
        <f>+'REKAPAN CHAMP AYAM'!G7+'REKAPAN OKEY AYAM'!G7+'REKAPAN CHAMP SAPI'!G7+'REKAPAN CHAMP OTAK-OTAK'!G7+'REKAPAN FIESTA'!G7</f>
        <v>0</v>
      </c>
      <c r="H9" s="8">
        <f>+'REKAPAN CHAMP AYAM'!H7+'REKAPAN OKEY AYAM'!H7+'REKAPAN CHAMP SAPI'!H7+'REKAPAN CHAMP OTAK-OTAK'!H7+'REKAPAN FIESTA'!H7</f>
        <v>0</v>
      </c>
      <c r="I9" s="8">
        <f>+'REKAPAN CHAMP AYAM'!I7+'REKAPAN OKEY AYAM'!I7+'REKAPAN CHAMP SAPI'!I7+'REKAPAN CHAMP OTAK-OTAK'!I7+'REKAPAN FIESTA'!I7</f>
        <v>0</v>
      </c>
      <c r="J9" s="8">
        <f>+'REKAPAN CHAMP AYAM'!J7+'REKAPAN OKEY AYAM'!J7+'REKAPAN CHAMP SAPI'!J7+'REKAPAN CHAMP OTAK-OTAK'!J7+'REKAPAN FIESTA'!J7</f>
        <v>0</v>
      </c>
      <c r="K9" s="8">
        <f>+'REKAPAN CHAMP AYAM'!K7+'REKAPAN OKEY AYAM'!K7+'REKAPAN CHAMP SAPI'!K7+'REKAPAN CHAMP OTAK-OTAK'!K7+'REKAPAN FIESTA'!K7</f>
        <v>0</v>
      </c>
      <c r="L9" s="8">
        <f>+'REKAPAN CHAMP AYAM'!L7+'REKAPAN OKEY AYAM'!L7+'REKAPAN CHAMP SAPI'!L7+'REKAPAN CHAMP OTAK-OTAK'!L7+'REKAPAN FIESTA'!L7</f>
        <v>0</v>
      </c>
      <c r="M9" s="8">
        <f>+'REKAPAN CHAMP AYAM'!M7+'REKAPAN OKEY AYAM'!M7+'REKAPAN CHAMP SAPI'!M7+'REKAPAN CHAMP OTAK-OTAK'!M7+'REKAPAN FIESTA'!M7</f>
        <v>0</v>
      </c>
      <c r="N9" s="8">
        <f>+'REKAPAN CHAMP AYAM'!N7+'REKAPAN OKEY AYAM'!N7+'REKAPAN CHAMP SAPI'!N7+'REKAPAN CHAMP OTAK-OTAK'!N7+'REKAPAN FIESTA'!N7</f>
        <v>0</v>
      </c>
      <c r="O9" s="8">
        <f>+'REKAPAN CHAMP AYAM'!O7+'REKAPAN OKEY AYAM'!O7+'REKAPAN CHAMP SAPI'!O7+'REKAPAN CHAMP OTAK-OTAK'!O7+'REKAPAN FIESTA'!O7</f>
        <v>0</v>
      </c>
      <c r="P9" s="8">
        <f>+'REKAPAN CHAMP AYAM'!P7+'REKAPAN OKEY AYAM'!P7+'REKAPAN CHAMP SAPI'!P7+'REKAPAN CHAMP OTAK-OTAK'!P7+'REKAPAN FIESTA'!P7</f>
        <v>0</v>
      </c>
      <c r="Q9" s="8">
        <f>+'REKAPAN CHAMP AYAM'!Q7+'REKAPAN OKEY AYAM'!Q7+'REKAPAN CHAMP SAPI'!Q7+'REKAPAN CHAMP OTAK-OTAK'!Q7+'REKAPAN FIESTA'!Q7</f>
        <v>0</v>
      </c>
      <c r="R9" s="8">
        <f>+'REKAPAN CHAMP AYAM'!R7+'REKAPAN OKEY AYAM'!R7+'REKAPAN CHAMP SAPI'!R7+'REKAPAN CHAMP OTAK-OTAK'!R7+'REKAPAN FIESTA'!R7</f>
        <v>0</v>
      </c>
      <c r="S9" s="8">
        <f>+'REKAPAN CHAMP AYAM'!S7+'REKAPAN OKEY AYAM'!S7+'REKAPAN CHAMP SAPI'!S7+'REKAPAN CHAMP OTAK-OTAK'!S7+'REKAPAN FIESTA'!S7</f>
        <v>0</v>
      </c>
      <c r="T9" s="8">
        <f>+'REKAPAN CHAMP AYAM'!T7+'REKAPAN OKEY AYAM'!T7+'REKAPAN CHAMP SAPI'!T7+'REKAPAN CHAMP OTAK-OTAK'!T7+'REKAPAN FIESTA'!T7</f>
        <v>0</v>
      </c>
      <c r="U9" s="8">
        <f>+'REKAPAN CHAMP AYAM'!U7+'REKAPAN OKEY AYAM'!U7+'REKAPAN CHAMP SAPI'!U7+'REKAPAN CHAMP OTAK-OTAK'!U7+'REKAPAN FIESTA'!U7</f>
        <v>0</v>
      </c>
      <c r="V9" s="8">
        <f>+'REKAPAN CHAMP AYAM'!V7+'REKAPAN OKEY AYAM'!V7+'REKAPAN CHAMP SAPI'!V7+'REKAPAN CHAMP OTAK-OTAK'!V7+'REKAPAN FIESTA'!V7</f>
        <v>0</v>
      </c>
      <c r="W9" s="59">
        <f t="shared" si="0"/>
        <v>0</v>
      </c>
      <c r="X9" s="60">
        <f ca="1">+B9-C9-D9-W9</f>
        <v>0</v>
      </c>
      <c r="Y9" s="287" t="e">
        <f t="shared" ca="1" si="2"/>
        <v>#DIV/0!</v>
      </c>
    </row>
    <row r="10" spans="1:25">
      <c r="A10" s="7">
        <f t="shared" si="3"/>
        <v>46208</v>
      </c>
      <c r="B10" s="8">
        <f ca="1">+'REKAPAN CHAMP AYAM'!B8+'REKAPAN OKEY AYAM'!B8+'REKAPAN CHAMP SAPI'!B8+'REKAPAN CHAMP OTAK-OTAK'!B8+'REKAPAN FIESTA'!B8</f>
        <v>0</v>
      </c>
      <c r="C10" s="8">
        <f>+'REKAPAN CHAMP AYAM'!C8+'REKAPAN OKEY AYAM'!C8+'REKAPAN CHAMP SAPI'!C8+'REKAPAN CHAMP OTAK-OTAK'!C8+'REKAPAN FIESTA'!C8</f>
        <v>0</v>
      </c>
      <c r="D10" s="8">
        <f>+'REKAPAN CHAMP AYAM'!D8+'REKAPAN OKEY AYAM'!D8+'REKAPAN CHAMP SAPI'!D8+'REKAPAN CHAMP OTAK-OTAK'!D8+'REKAPAN FIESTA'!D8</f>
        <v>0</v>
      </c>
      <c r="E10" s="8">
        <f>+'REKAPAN CHAMP AYAM'!E8+'REKAPAN OKEY AYAM'!E8+'REKAPAN CHAMP SAPI'!E8+'REKAPAN CHAMP OTAK-OTAK'!E8+'REKAPAN FIESTA'!E8</f>
        <v>0</v>
      </c>
      <c r="F10" s="8">
        <f>+'REKAPAN CHAMP AYAM'!F8+'REKAPAN OKEY AYAM'!F8+'REKAPAN CHAMP SAPI'!F8+'REKAPAN CHAMP OTAK-OTAK'!F8+'REKAPAN FIESTA'!F8</f>
        <v>0</v>
      </c>
      <c r="G10" s="8">
        <f>+'REKAPAN CHAMP AYAM'!G8+'REKAPAN OKEY AYAM'!G8+'REKAPAN CHAMP SAPI'!G8+'REKAPAN CHAMP OTAK-OTAK'!G8+'REKAPAN FIESTA'!G8</f>
        <v>0</v>
      </c>
      <c r="H10" s="8">
        <f>+'REKAPAN CHAMP AYAM'!H8+'REKAPAN OKEY AYAM'!H8+'REKAPAN CHAMP SAPI'!H8+'REKAPAN CHAMP OTAK-OTAK'!H8+'REKAPAN FIESTA'!H8</f>
        <v>0</v>
      </c>
      <c r="I10" s="8">
        <f>+'REKAPAN CHAMP AYAM'!I8+'REKAPAN OKEY AYAM'!I8+'REKAPAN CHAMP SAPI'!I8+'REKAPAN CHAMP OTAK-OTAK'!I8+'REKAPAN FIESTA'!I8</f>
        <v>0</v>
      </c>
      <c r="J10" s="8">
        <f>+'REKAPAN CHAMP AYAM'!J8+'REKAPAN OKEY AYAM'!J8+'REKAPAN CHAMP SAPI'!J8+'REKAPAN CHAMP OTAK-OTAK'!J8+'REKAPAN FIESTA'!J8</f>
        <v>0</v>
      </c>
      <c r="K10" s="8">
        <f>+'REKAPAN CHAMP AYAM'!K8+'REKAPAN OKEY AYAM'!K8+'REKAPAN CHAMP SAPI'!K8+'REKAPAN CHAMP OTAK-OTAK'!K8+'REKAPAN FIESTA'!K8</f>
        <v>0</v>
      </c>
      <c r="L10" s="8">
        <f>+'REKAPAN CHAMP AYAM'!L8+'REKAPAN OKEY AYAM'!L8+'REKAPAN CHAMP SAPI'!L8+'REKAPAN CHAMP OTAK-OTAK'!L8+'REKAPAN FIESTA'!L8</f>
        <v>0</v>
      </c>
      <c r="M10" s="8">
        <f>+'REKAPAN CHAMP AYAM'!M8+'REKAPAN OKEY AYAM'!M8+'REKAPAN CHAMP SAPI'!M8+'REKAPAN CHAMP OTAK-OTAK'!M8+'REKAPAN FIESTA'!M8</f>
        <v>0</v>
      </c>
      <c r="N10" s="8">
        <f>+'REKAPAN CHAMP AYAM'!N8+'REKAPAN OKEY AYAM'!N8+'REKAPAN CHAMP SAPI'!N8+'REKAPAN CHAMP OTAK-OTAK'!N8+'REKAPAN FIESTA'!N8</f>
        <v>0</v>
      </c>
      <c r="O10" s="8">
        <f>+'REKAPAN CHAMP AYAM'!O8+'REKAPAN OKEY AYAM'!O8+'REKAPAN CHAMP SAPI'!O8+'REKAPAN CHAMP OTAK-OTAK'!O8+'REKAPAN FIESTA'!O8</f>
        <v>0</v>
      </c>
      <c r="P10" s="8">
        <f>+'REKAPAN CHAMP AYAM'!P8+'REKAPAN OKEY AYAM'!P8+'REKAPAN CHAMP SAPI'!P8+'REKAPAN CHAMP OTAK-OTAK'!P8+'REKAPAN FIESTA'!P8</f>
        <v>0</v>
      </c>
      <c r="Q10" s="8">
        <f>+'REKAPAN CHAMP AYAM'!Q8+'REKAPAN OKEY AYAM'!Q8+'REKAPAN CHAMP SAPI'!Q8+'REKAPAN CHAMP OTAK-OTAK'!Q8+'REKAPAN FIESTA'!Q8</f>
        <v>0</v>
      </c>
      <c r="R10" s="8">
        <f>+'REKAPAN CHAMP AYAM'!R8+'REKAPAN OKEY AYAM'!R8+'REKAPAN CHAMP SAPI'!R8+'REKAPAN CHAMP OTAK-OTAK'!R8+'REKAPAN FIESTA'!R8</f>
        <v>0</v>
      </c>
      <c r="S10" s="8">
        <f>+'REKAPAN CHAMP AYAM'!S8+'REKAPAN OKEY AYAM'!S8+'REKAPAN CHAMP SAPI'!S8+'REKAPAN CHAMP OTAK-OTAK'!S8+'REKAPAN FIESTA'!S8</f>
        <v>0</v>
      </c>
      <c r="T10" s="8">
        <f>+'REKAPAN CHAMP AYAM'!T8+'REKAPAN OKEY AYAM'!T8+'REKAPAN CHAMP SAPI'!T8+'REKAPAN CHAMP OTAK-OTAK'!T8+'REKAPAN FIESTA'!T8</f>
        <v>0</v>
      </c>
      <c r="U10" s="8">
        <f>+'REKAPAN CHAMP AYAM'!U8+'REKAPAN OKEY AYAM'!U8+'REKAPAN CHAMP SAPI'!U8+'REKAPAN CHAMP OTAK-OTAK'!U8+'REKAPAN FIESTA'!U8</f>
        <v>0</v>
      </c>
      <c r="V10" s="8">
        <f>+'REKAPAN CHAMP AYAM'!V8+'REKAPAN OKEY AYAM'!V8+'REKAPAN CHAMP SAPI'!V8+'REKAPAN CHAMP OTAK-OTAK'!V8+'REKAPAN FIESTA'!V8</f>
        <v>0</v>
      </c>
      <c r="W10" s="59">
        <f t="shared" si="0"/>
        <v>0</v>
      </c>
      <c r="X10" s="60">
        <f t="shared" ca="1" si="1"/>
        <v>0</v>
      </c>
      <c r="Y10" s="287" t="e">
        <f t="shared" ca="1" si="2"/>
        <v>#DIV/0!</v>
      </c>
    </row>
    <row r="11" spans="1:25">
      <c r="A11" s="7">
        <f t="shared" si="3"/>
        <v>46209</v>
      </c>
      <c r="B11" s="8">
        <f ca="1">+'REKAPAN CHAMP AYAM'!B9+'REKAPAN OKEY AYAM'!B9+'REKAPAN CHAMP SAPI'!B9+'REKAPAN CHAMP OTAK-OTAK'!B9+'REKAPAN FIESTA'!B9</f>
        <v>1495.75</v>
      </c>
      <c r="C11" s="8">
        <f>+'REKAPAN CHAMP AYAM'!C9+'REKAPAN OKEY AYAM'!C9+'REKAPAN CHAMP SAPI'!C9+'REKAPAN CHAMP OTAK-OTAK'!C9+'REKAPAN FIESTA'!C9</f>
        <v>1464.75</v>
      </c>
      <c r="D11" s="8">
        <f>+'REKAPAN CHAMP AYAM'!D9+'REKAPAN OKEY AYAM'!D9+'REKAPAN CHAMP SAPI'!D9+'REKAPAN CHAMP OTAK-OTAK'!D9+'REKAPAN FIESTA'!D9</f>
        <v>0</v>
      </c>
      <c r="E11" s="8">
        <f>+'REKAPAN CHAMP AYAM'!E9+'REKAPAN OKEY AYAM'!E9+'REKAPAN CHAMP SAPI'!E9+'REKAPAN CHAMP OTAK-OTAK'!E9+'REKAPAN FIESTA'!E9</f>
        <v>0.32</v>
      </c>
      <c r="F11" s="8">
        <f>+'REKAPAN CHAMP AYAM'!F9+'REKAPAN OKEY AYAM'!F9+'REKAPAN CHAMP SAPI'!F9+'REKAPAN CHAMP OTAK-OTAK'!F9+'REKAPAN FIESTA'!F9</f>
        <v>0.5</v>
      </c>
      <c r="G11" s="8">
        <f>+'REKAPAN CHAMP AYAM'!G9+'REKAPAN OKEY AYAM'!G9+'REKAPAN CHAMP SAPI'!G9+'REKAPAN CHAMP OTAK-OTAK'!G9+'REKAPAN FIESTA'!G9</f>
        <v>0</v>
      </c>
      <c r="H11" s="8">
        <f>+'REKAPAN CHAMP AYAM'!H9+'REKAPAN OKEY AYAM'!H9+'REKAPAN CHAMP SAPI'!H9+'REKAPAN CHAMP OTAK-OTAK'!H9+'REKAPAN FIESTA'!H9</f>
        <v>0</v>
      </c>
      <c r="I11" s="8">
        <f>+'REKAPAN CHAMP AYAM'!I9+'REKAPAN OKEY AYAM'!I9+'REKAPAN CHAMP SAPI'!I9+'REKAPAN CHAMP OTAK-OTAK'!I9+'REKAPAN FIESTA'!I9</f>
        <v>1.2</v>
      </c>
      <c r="J11" s="8">
        <f>+'REKAPAN CHAMP AYAM'!J9+'REKAPAN OKEY AYAM'!J9+'REKAPAN CHAMP SAPI'!J9+'REKAPAN CHAMP OTAK-OTAK'!J9+'REKAPAN FIESTA'!J9</f>
        <v>0.5</v>
      </c>
      <c r="K11" s="8">
        <f>+'REKAPAN CHAMP AYAM'!K9+'REKAPAN OKEY AYAM'!K9+'REKAPAN CHAMP SAPI'!K9+'REKAPAN CHAMP OTAK-OTAK'!K9+'REKAPAN FIESTA'!K9</f>
        <v>0</v>
      </c>
      <c r="L11" s="8">
        <f>+'REKAPAN CHAMP AYAM'!L9+'REKAPAN OKEY AYAM'!L9+'REKAPAN CHAMP SAPI'!L9+'REKAPAN CHAMP OTAK-OTAK'!L9+'REKAPAN FIESTA'!L9</f>
        <v>4.95</v>
      </c>
      <c r="M11" s="8">
        <f>+'REKAPAN CHAMP AYAM'!M9+'REKAPAN OKEY AYAM'!M9+'REKAPAN CHAMP SAPI'!M9+'REKAPAN CHAMP OTAK-OTAK'!M9+'REKAPAN FIESTA'!M9</f>
        <v>0</v>
      </c>
      <c r="N11" s="8">
        <f>+'REKAPAN CHAMP AYAM'!N9+'REKAPAN OKEY AYAM'!N9+'REKAPAN CHAMP SAPI'!N9+'REKAPAN CHAMP OTAK-OTAK'!N9+'REKAPAN FIESTA'!N9</f>
        <v>1.5</v>
      </c>
      <c r="O11" s="8">
        <f>+'REKAPAN CHAMP AYAM'!O9+'REKAPAN OKEY AYAM'!O9+'REKAPAN CHAMP SAPI'!O9+'REKAPAN CHAMP OTAK-OTAK'!O9+'REKAPAN FIESTA'!O9</f>
        <v>0</v>
      </c>
      <c r="P11" s="8">
        <f>+'REKAPAN CHAMP AYAM'!P9+'REKAPAN OKEY AYAM'!P9+'REKAPAN CHAMP SAPI'!P9+'REKAPAN CHAMP OTAK-OTAK'!P9+'REKAPAN FIESTA'!P9</f>
        <v>0</v>
      </c>
      <c r="Q11" s="8">
        <f>+'REKAPAN CHAMP AYAM'!Q9+'REKAPAN OKEY AYAM'!Q9+'REKAPAN CHAMP SAPI'!Q9+'REKAPAN CHAMP OTAK-OTAK'!Q9+'REKAPAN FIESTA'!Q9</f>
        <v>0</v>
      </c>
      <c r="R11" s="8">
        <f>+'REKAPAN CHAMP AYAM'!R9+'REKAPAN OKEY AYAM'!R9+'REKAPAN CHAMP SAPI'!R9+'REKAPAN CHAMP OTAK-OTAK'!R9+'REKAPAN FIESTA'!R9</f>
        <v>0</v>
      </c>
      <c r="S11" s="8">
        <f>+'REKAPAN CHAMP AYAM'!S9+'REKAPAN OKEY AYAM'!S9+'REKAPAN CHAMP SAPI'!S9+'REKAPAN CHAMP OTAK-OTAK'!S9+'REKAPAN FIESTA'!S9</f>
        <v>0</v>
      </c>
      <c r="T11" s="8">
        <f>+'REKAPAN CHAMP AYAM'!T9+'REKAPAN OKEY AYAM'!T9+'REKAPAN CHAMP SAPI'!T9+'REKAPAN CHAMP OTAK-OTAK'!T9+'REKAPAN FIESTA'!T9</f>
        <v>0</v>
      </c>
      <c r="U11" s="8">
        <f>+'REKAPAN CHAMP AYAM'!U9+'REKAPAN OKEY AYAM'!U9+'REKAPAN CHAMP SAPI'!U9+'REKAPAN CHAMP OTAK-OTAK'!U9+'REKAPAN FIESTA'!U9</f>
        <v>0</v>
      </c>
      <c r="V11" s="8">
        <f>+'REKAPAN CHAMP AYAM'!V9+'REKAPAN OKEY AYAM'!V9+'REKAPAN CHAMP SAPI'!V9+'REKAPAN CHAMP OTAK-OTAK'!V9+'REKAPAN FIESTA'!V9</f>
        <v>0</v>
      </c>
      <c r="W11" s="59">
        <f t="shared" si="0"/>
        <v>8.9700000000000006</v>
      </c>
      <c r="X11" s="60">
        <f t="shared" ca="1" si="1"/>
        <v>22.03</v>
      </c>
      <c r="Y11" s="287">
        <f t="shared" ca="1" si="2"/>
        <v>5.9969914758482368E-3</v>
      </c>
    </row>
    <row r="12" spans="1:25">
      <c r="A12" s="7">
        <f t="shared" si="3"/>
        <v>46210</v>
      </c>
      <c r="B12" s="8">
        <f ca="1">+'REKAPAN CHAMP AYAM'!B10+'REKAPAN OKEY AYAM'!B10+'REKAPAN CHAMP SAPI'!B10+'REKAPAN CHAMP OTAK-OTAK'!B10+'REKAPAN FIESTA'!B10</f>
        <v>12775.875</v>
      </c>
      <c r="C12" s="8">
        <f>+'REKAPAN CHAMP AYAM'!C10+'REKAPAN OKEY AYAM'!C10+'REKAPAN CHAMP SAPI'!C10+'REKAPAN CHAMP OTAK-OTAK'!C10+'REKAPAN FIESTA'!C10</f>
        <v>12419.375</v>
      </c>
      <c r="D12" s="8">
        <f>+'REKAPAN CHAMP AYAM'!D10+'REKAPAN OKEY AYAM'!D10+'REKAPAN CHAMP SAPI'!D10+'REKAPAN CHAMP OTAK-OTAK'!D10+'REKAPAN FIESTA'!D10</f>
        <v>0</v>
      </c>
      <c r="E12" s="8">
        <f>+'REKAPAN CHAMP AYAM'!E10+'REKAPAN OKEY AYAM'!E10+'REKAPAN CHAMP SAPI'!E10+'REKAPAN CHAMP OTAK-OTAK'!E10+'REKAPAN FIESTA'!E10</f>
        <v>12.95</v>
      </c>
      <c r="F12" s="8">
        <f>+'REKAPAN CHAMP AYAM'!F10+'REKAPAN OKEY AYAM'!F10+'REKAPAN CHAMP SAPI'!F10+'REKAPAN CHAMP OTAK-OTAK'!F10+'REKAPAN FIESTA'!F10</f>
        <v>20.78</v>
      </c>
      <c r="G12" s="8">
        <f>+'REKAPAN CHAMP AYAM'!G10+'REKAPAN OKEY AYAM'!G10+'REKAPAN CHAMP SAPI'!G10+'REKAPAN CHAMP OTAK-OTAK'!G10+'REKAPAN FIESTA'!G10</f>
        <v>0</v>
      </c>
      <c r="H12" s="8">
        <f>+'REKAPAN CHAMP AYAM'!H10+'REKAPAN OKEY AYAM'!H10+'REKAPAN CHAMP SAPI'!H10+'REKAPAN CHAMP OTAK-OTAK'!H10+'REKAPAN FIESTA'!H10</f>
        <v>3.22</v>
      </c>
      <c r="I12" s="8">
        <f>+'REKAPAN CHAMP AYAM'!I10+'REKAPAN OKEY AYAM'!I10+'REKAPAN CHAMP SAPI'!I10+'REKAPAN CHAMP OTAK-OTAK'!I10+'REKAPAN FIESTA'!I10</f>
        <v>76.069999999999993</v>
      </c>
      <c r="J12" s="8">
        <f>+'REKAPAN CHAMP AYAM'!J10+'REKAPAN OKEY AYAM'!J10+'REKAPAN CHAMP SAPI'!J10+'REKAPAN CHAMP OTAK-OTAK'!J10+'REKAPAN FIESTA'!J10</f>
        <v>6.1199999999999992</v>
      </c>
      <c r="K12" s="8">
        <f>+'REKAPAN CHAMP AYAM'!K10+'REKAPAN OKEY AYAM'!K10+'REKAPAN CHAMP SAPI'!K10+'REKAPAN CHAMP OTAK-OTAK'!K10+'REKAPAN FIESTA'!K10</f>
        <v>0</v>
      </c>
      <c r="L12" s="8">
        <f>+'REKAPAN CHAMP AYAM'!L10+'REKAPAN OKEY AYAM'!L10+'REKAPAN CHAMP SAPI'!L10+'REKAPAN CHAMP OTAK-OTAK'!L10+'REKAPAN FIESTA'!L10</f>
        <v>21.5</v>
      </c>
      <c r="M12" s="8">
        <f>+'REKAPAN CHAMP AYAM'!M10+'REKAPAN OKEY AYAM'!M10+'REKAPAN CHAMP SAPI'!M10+'REKAPAN CHAMP OTAK-OTAK'!M10+'REKAPAN FIESTA'!M10</f>
        <v>0.31999999999999995</v>
      </c>
      <c r="N12" s="8">
        <f>+'REKAPAN CHAMP AYAM'!N10+'REKAPAN OKEY AYAM'!N10+'REKAPAN CHAMP SAPI'!N10+'REKAPAN CHAMP OTAK-OTAK'!N10+'REKAPAN FIESTA'!N10</f>
        <v>11.370000000000001</v>
      </c>
      <c r="O12" s="8">
        <f>+'REKAPAN CHAMP AYAM'!O10+'REKAPAN OKEY AYAM'!O10+'REKAPAN CHAMP SAPI'!O10+'REKAPAN CHAMP OTAK-OTAK'!O10+'REKAPAN FIESTA'!O10</f>
        <v>0</v>
      </c>
      <c r="P12" s="8">
        <f>+'REKAPAN CHAMP AYAM'!P10+'REKAPAN OKEY AYAM'!P10+'REKAPAN CHAMP SAPI'!P10+'REKAPAN CHAMP OTAK-OTAK'!P10+'REKAPAN FIESTA'!P10</f>
        <v>0</v>
      </c>
      <c r="Q12" s="8">
        <f>+'REKAPAN CHAMP AYAM'!Q10+'REKAPAN OKEY AYAM'!Q10+'REKAPAN CHAMP SAPI'!Q10+'REKAPAN CHAMP OTAK-OTAK'!Q10+'REKAPAN FIESTA'!Q10</f>
        <v>0</v>
      </c>
      <c r="R12" s="8">
        <f>+'REKAPAN CHAMP AYAM'!R10+'REKAPAN OKEY AYAM'!R10+'REKAPAN CHAMP SAPI'!R10+'REKAPAN CHAMP OTAK-OTAK'!R10+'REKAPAN FIESTA'!R10</f>
        <v>0</v>
      </c>
      <c r="S12" s="8">
        <f>+'REKAPAN CHAMP AYAM'!S10+'REKAPAN OKEY AYAM'!S10+'REKAPAN CHAMP SAPI'!S10+'REKAPAN CHAMP OTAK-OTAK'!S10+'REKAPAN FIESTA'!S10</f>
        <v>0</v>
      </c>
      <c r="T12" s="8">
        <f>+'REKAPAN CHAMP AYAM'!T10+'REKAPAN OKEY AYAM'!T10+'REKAPAN CHAMP SAPI'!T10+'REKAPAN CHAMP OTAK-OTAK'!T10+'REKAPAN FIESTA'!T10</f>
        <v>0</v>
      </c>
      <c r="U12" s="8">
        <f>+'REKAPAN CHAMP AYAM'!U10+'REKAPAN OKEY AYAM'!U10+'REKAPAN CHAMP SAPI'!U10+'REKAPAN CHAMP OTAK-OTAK'!U10+'REKAPAN FIESTA'!U10</f>
        <v>0</v>
      </c>
      <c r="V12" s="8">
        <f>+'REKAPAN CHAMP AYAM'!V10+'REKAPAN OKEY AYAM'!V10+'REKAPAN CHAMP SAPI'!V10+'REKAPAN CHAMP OTAK-OTAK'!V10+'REKAPAN FIESTA'!V10</f>
        <v>0</v>
      </c>
      <c r="W12" s="59">
        <f t="shared" si="0"/>
        <v>152.32999999999998</v>
      </c>
      <c r="X12" s="60">
        <f t="shared" ca="1" si="1"/>
        <v>204.17000000000002</v>
      </c>
      <c r="Y12" s="287">
        <f t="shared" ca="1" si="2"/>
        <v>1.1923253788879431E-2</v>
      </c>
    </row>
    <row r="13" spans="1:25">
      <c r="A13" s="7">
        <f t="shared" si="3"/>
        <v>46211</v>
      </c>
      <c r="B13" s="8">
        <f ca="1">+'REKAPAN CHAMP AYAM'!B11+'REKAPAN OKEY AYAM'!B11+'REKAPAN CHAMP SAPI'!B11+'REKAPAN CHAMP OTAK-OTAK'!B11+'REKAPAN FIESTA'!B11</f>
        <v>14426.625</v>
      </c>
      <c r="C13" s="8">
        <f>+'REKAPAN CHAMP AYAM'!C11+'REKAPAN OKEY AYAM'!C11+'REKAPAN CHAMP SAPI'!C11+'REKAPAN CHAMP OTAK-OTAK'!C11+'REKAPAN FIESTA'!C11</f>
        <v>13984.875</v>
      </c>
      <c r="D13" s="8">
        <f>+'REKAPAN CHAMP AYAM'!D11+'REKAPAN OKEY AYAM'!D11+'REKAPAN CHAMP SAPI'!D11+'REKAPAN CHAMP OTAK-OTAK'!D11+'REKAPAN FIESTA'!D11</f>
        <v>0</v>
      </c>
      <c r="E13" s="8">
        <f>+'REKAPAN CHAMP AYAM'!E11+'REKAPAN OKEY AYAM'!E11+'REKAPAN CHAMP SAPI'!E11+'REKAPAN CHAMP OTAK-OTAK'!E11+'REKAPAN FIESTA'!E11</f>
        <v>13.459999999999999</v>
      </c>
      <c r="F13" s="8">
        <f>+'REKAPAN CHAMP AYAM'!F11+'REKAPAN OKEY AYAM'!F11+'REKAPAN CHAMP SAPI'!F11+'REKAPAN CHAMP OTAK-OTAK'!F11+'REKAPAN FIESTA'!F11</f>
        <v>25.92</v>
      </c>
      <c r="G13" s="8">
        <f>+'REKAPAN CHAMP AYAM'!G11+'REKAPAN OKEY AYAM'!G11+'REKAPAN CHAMP SAPI'!G11+'REKAPAN CHAMP OTAK-OTAK'!G11+'REKAPAN FIESTA'!G11</f>
        <v>0</v>
      </c>
      <c r="H13" s="8">
        <f>+'REKAPAN CHAMP AYAM'!H11+'REKAPAN OKEY AYAM'!H11+'REKAPAN CHAMP SAPI'!H11+'REKAPAN CHAMP OTAK-OTAK'!H11+'REKAPAN FIESTA'!H11</f>
        <v>0.14000000000000001</v>
      </c>
      <c r="I13" s="8">
        <f>+'REKAPAN CHAMP AYAM'!I11+'REKAPAN OKEY AYAM'!I11+'REKAPAN CHAMP SAPI'!I11+'REKAPAN CHAMP OTAK-OTAK'!I11+'REKAPAN FIESTA'!I11</f>
        <v>49.11</v>
      </c>
      <c r="J13" s="8">
        <f>+'REKAPAN CHAMP AYAM'!J11+'REKAPAN OKEY AYAM'!J11+'REKAPAN CHAMP SAPI'!J11+'REKAPAN CHAMP OTAK-OTAK'!J11+'REKAPAN FIESTA'!J11</f>
        <v>5.17</v>
      </c>
      <c r="K13" s="8">
        <f>+'REKAPAN CHAMP AYAM'!K11+'REKAPAN OKEY AYAM'!K11+'REKAPAN CHAMP SAPI'!K11+'REKAPAN CHAMP OTAK-OTAK'!K11+'REKAPAN FIESTA'!K11</f>
        <v>0</v>
      </c>
      <c r="L13" s="8">
        <f>+'REKAPAN CHAMP AYAM'!L11+'REKAPAN OKEY AYAM'!L11+'REKAPAN CHAMP SAPI'!L11+'REKAPAN CHAMP OTAK-OTAK'!L11+'REKAPAN FIESTA'!L11</f>
        <v>9.42</v>
      </c>
      <c r="M13" s="8">
        <f>+'REKAPAN CHAMP AYAM'!M11+'REKAPAN OKEY AYAM'!M11+'REKAPAN CHAMP SAPI'!M11+'REKAPAN CHAMP OTAK-OTAK'!M11+'REKAPAN FIESTA'!M11</f>
        <v>1.55</v>
      </c>
      <c r="N13" s="8">
        <f>+'REKAPAN CHAMP AYAM'!N11+'REKAPAN OKEY AYAM'!N11+'REKAPAN CHAMP SAPI'!N11+'REKAPAN CHAMP OTAK-OTAK'!N11+'REKAPAN FIESTA'!N11</f>
        <v>15.159999999999998</v>
      </c>
      <c r="O13" s="8">
        <f>+'REKAPAN CHAMP AYAM'!O11+'REKAPAN OKEY AYAM'!O11+'REKAPAN CHAMP SAPI'!O11+'REKAPAN CHAMP OTAK-OTAK'!O11+'REKAPAN FIESTA'!O11</f>
        <v>0</v>
      </c>
      <c r="P13" s="8">
        <f>+'REKAPAN CHAMP AYAM'!P11+'REKAPAN OKEY AYAM'!P11+'REKAPAN CHAMP SAPI'!P11+'REKAPAN CHAMP OTAK-OTAK'!P11+'REKAPAN FIESTA'!P11</f>
        <v>0</v>
      </c>
      <c r="Q13" s="8">
        <f>+'REKAPAN CHAMP AYAM'!Q11+'REKAPAN OKEY AYAM'!Q11+'REKAPAN CHAMP SAPI'!Q11+'REKAPAN CHAMP OTAK-OTAK'!Q11+'REKAPAN FIESTA'!Q11</f>
        <v>0</v>
      </c>
      <c r="R13" s="8">
        <f>+'REKAPAN CHAMP AYAM'!R11+'REKAPAN OKEY AYAM'!R11+'REKAPAN CHAMP SAPI'!R11+'REKAPAN CHAMP OTAK-OTAK'!R11+'REKAPAN FIESTA'!R11</f>
        <v>0</v>
      </c>
      <c r="S13" s="8">
        <f>+'REKAPAN CHAMP AYAM'!S11+'REKAPAN OKEY AYAM'!S11+'REKAPAN CHAMP SAPI'!S11+'REKAPAN CHAMP OTAK-OTAK'!S11+'REKAPAN FIESTA'!S11</f>
        <v>0</v>
      </c>
      <c r="T13" s="8">
        <f>+'REKAPAN CHAMP AYAM'!T11+'REKAPAN OKEY AYAM'!T11+'REKAPAN CHAMP SAPI'!T11+'REKAPAN CHAMP OTAK-OTAK'!T11+'REKAPAN FIESTA'!T11</f>
        <v>0</v>
      </c>
      <c r="U13" s="8">
        <f>+'REKAPAN CHAMP AYAM'!U11+'REKAPAN OKEY AYAM'!U11+'REKAPAN CHAMP SAPI'!U11+'REKAPAN CHAMP OTAK-OTAK'!U11+'REKAPAN FIESTA'!U11</f>
        <v>0</v>
      </c>
      <c r="V13" s="8">
        <f>+'REKAPAN CHAMP AYAM'!V11+'REKAPAN OKEY AYAM'!V11+'REKAPAN CHAMP SAPI'!V11+'REKAPAN CHAMP OTAK-OTAK'!V11+'REKAPAN FIESTA'!V11</f>
        <v>0</v>
      </c>
      <c r="W13" s="59">
        <f t="shared" si="0"/>
        <v>119.92999999999999</v>
      </c>
      <c r="X13" s="60">
        <f t="shared" ca="1" si="1"/>
        <v>321.82</v>
      </c>
      <c r="Y13" s="287">
        <f t="shared" ca="1" si="2"/>
        <v>8.3131016436623247E-3</v>
      </c>
    </row>
    <row r="14" spans="1:25">
      <c r="A14" s="7">
        <f t="shared" si="3"/>
        <v>46212</v>
      </c>
      <c r="B14" s="8">
        <f ca="1">+'REKAPAN CHAMP AYAM'!B12+'REKAPAN OKEY AYAM'!B12+'REKAPAN CHAMP SAPI'!B12+'REKAPAN CHAMP OTAK-OTAK'!B12+'REKAPAN FIESTA'!B12</f>
        <v>15209.375</v>
      </c>
      <c r="C14" s="8">
        <f>+'REKAPAN CHAMP AYAM'!C12+'REKAPAN OKEY AYAM'!C12+'REKAPAN CHAMP SAPI'!C12+'REKAPAN CHAMP OTAK-OTAK'!C12+'REKAPAN FIESTA'!C12</f>
        <v>14496.375</v>
      </c>
      <c r="D14" s="8">
        <f>+'REKAPAN CHAMP AYAM'!D12+'REKAPAN OKEY AYAM'!D12+'REKAPAN CHAMP SAPI'!D12+'REKAPAN CHAMP OTAK-OTAK'!D12+'REKAPAN FIESTA'!D12</f>
        <v>0</v>
      </c>
      <c r="E14" s="8">
        <f>+'REKAPAN CHAMP AYAM'!E12+'REKAPAN OKEY AYAM'!E12+'REKAPAN CHAMP SAPI'!E12+'REKAPAN CHAMP OTAK-OTAK'!E12+'REKAPAN FIESTA'!E12</f>
        <v>26.859999999999996</v>
      </c>
      <c r="F14" s="8">
        <f>+'REKAPAN CHAMP AYAM'!F12+'REKAPAN OKEY AYAM'!F12+'REKAPAN CHAMP SAPI'!F12+'REKAPAN CHAMP OTAK-OTAK'!F12+'REKAPAN FIESTA'!F12</f>
        <v>49.21</v>
      </c>
      <c r="G14" s="8">
        <f>+'REKAPAN CHAMP AYAM'!G12+'REKAPAN OKEY AYAM'!G12+'REKAPAN CHAMP SAPI'!G12+'REKAPAN CHAMP OTAK-OTAK'!G12+'REKAPAN FIESTA'!G12</f>
        <v>1.7999999999999998</v>
      </c>
      <c r="H14" s="8">
        <f>+'REKAPAN CHAMP AYAM'!H12+'REKAPAN OKEY AYAM'!H12+'REKAPAN CHAMP SAPI'!H12+'REKAPAN CHAMP OTAK-OTAK'!H12+'REKAPAN FIESTA'!H12</f>
        <v>0</v>
      </c>
      <c r="I14" s="8">
        <f>+'REKAPAN CHAMP AYAM'!I12+'REKAPAN OKEY AYAM'!I12+'REKAPAN CHAMP SAPI'!I12+'REKAPAN CHAMP OTAK-OTAK'!I12+'REKAPAN FIESTA'!I12</f>
        <v>77.81</v>
      </c>
      <c r="J14" s="8">
        <f>+'REKAPAN CHAMP AYAM'!J12+'REKAPAN OKEY AYAM'!J12+'REKAPAN CHAMP SAPI'!J12+'REKAPAN CHAMP OTAK-OTAK'!J12+'REKAPAN FIESTA'!J12</f>
        <v>4.6899999999999995</v>
      </c>
      <c r="K14" s="8">
        <f>+'REKAPAN CHAMP AYAM'!K12+'REKAPAN OKEY AYAM'!K12+'REKAPAN CHAMP SAPI'!K12+'REKAPAN CHAMP OTAK-OTAK'!K12+'REKAPAN FIESTA'!K12</f>
        <v>0</v>
      </c>
      <c r="L14" s="8">
        <f>+'REKAPAN CHAMP AYAM'!L12+'REKAPAN OKEY AYAM'!L12+'REKAPAN CHAMP SAPI'!L12+'REKAPAN CHAMP OTAK-OTAK'!L12+'REKAPAN FIESTA'!L12</f>
        <v>5.5900000000000007</v>
      </c>
      <c r="M14" s="8">
        <f>+'REKAPAN CHAMP AYAM'!M12+'REKAPAN OKEY AYAM'!M12+'REKAPAN CHAMP SAPI'!M12+'REKAPAN CHAMP OTAK-OTAK'!M12+'REKAPAN FIESTA'!M12</f>
        <v>0.4</v>
      </c>
      <c r="N14" s="8">
        <f>+'REKAPAN CHAMP AYAM'!N12+'REKAPAN OKEY AYAM'!N12+'REKAPAN CHAMP SAPI'!N12+'REKAPAN CHAMP OTAK-OTAK'!N12+'REKAPAN FIESTA'!N12</f>
        <v>15.67</v>
      </c>
      <c r="O14" s="8">
        <f>+'REKAPAN CHAMP AYAM'!O12+'REKAPAN OKEY AYAM'!O12+'REKAPAN CHAMP SAPI'!O12+'REKAPAN CHAMP OTAK-OTAK'!O12+'REKAPAN FIESTA'!O12</f>
        <v>0</v>
      </c>
      <c r="P14" s="8">
        <f>+'REKAPAN CHAMP AYAM'!P12+'REKAPAN OKEY AYAM'!P12+'REKAPAN CHAMP SAPI'!P12+'REKAPAN CHAMP OTAK-OTAK'!P12+'REKAPAN FIESTA'!P12</f>
        <v>0</v>
      </c>
      <c r="Q14" s="8">
        <f>+'REKAPAN CHAMP AYAM'!Q12+'REKAPAN OKEY AYAM'!Q12+'REKAPAN CHAMP SAPI'!Q12+'REKAPAN CHAMP OTAK-OTAK'!Q12+'REKAPAN FIESTA'!Q12</f>
        <v>0</v>
      </c>
      <c r="R14" s="8">
        <f>+'REKAPAN CHAMP AYAM'!R12+'REKAPAN OKEY AYAM'!R12+'REKAPAN CHAMP SAPI'!R12+'REKAPAN CHAMP OTAK-OTAK'!R12+'REKAPAN FIESTA'!R12</f>
        <v>0</v>
      </c>
      <c r="S14" s="8">
        <f>+'REKAPAN CHAMP AYAM'!S12+'REKAPAN OKEY AYAM'!S12+'REKAPAN CHAMP SAPI'!S12+'REKAPAN CHAMP OTAK-OTAK'!S12+'REKAPAN FIESTA'!S12</f>
        <v>0</v>
      </c>
      <c r="T14" s="8">
        <f>+'REKAPAN CHAMP AYAM'!T12+'REKAPAN OKEY AYAM'!T12+'REKAPAN CHAMP SAPI'!T12+'REKAPAN CHAMP OTAK-OTAK'!T12+'REKAPAN FIESTA'!T12</f>
        <v>0</v>
      </c>
      <c r="U14" s="8">
        <f>+'REKAPAN CHAMP AYAM'!U12+'REKAPAN OKEY AYAM'!U12+'REKAPAN CHAMP SAPI'!U12+'REKAPAN CHAMP OTAK-OTAK'!U12+'REKAPAN FIESTA'!U12</f>
        <v>0</v>
      </c>
      <c r="V14" s="8">
        <f>+'REKAPAN CHAMP AYAM'!V12+'REKAPAN OKEY AYAM'!V12+'REKAPAN CHAMP SAPI'!V12+'REKAPAN CHAMP OTAK-OTAK'!V12+'REKAPAN FIESTA'!V12</f>
        <v>0</v>
      </c>
      <c r="W14" s="59">
        <f t="shared" si="0"/>
        <v>182.03</v>
      </c>
      <c r="X14" s="60">
        <f t="shared" ca="1" si="1"/>
        <v>530.97</v>
      </c>
      <c r="Y14" s="287">
        <f t="shared" ca="1" si="2"/>
        <v>1.1968276145469489E-2</v>
      </c>
    </row>
    <row r="15" spans="1:25">
      <c r="A15" s="7">
        <f t="shared" si="3"/>
        <v>46213</v>
      </c>
      <c r="B15" s="8">
        <f ca="1">+'REKAPAN CHAMP AYAM'!B13+'REKAPAN OKEY AYAM'!B13+'REKAPAN CHAMP SAPI'!B13+'REKAPAN CHAMP OTAK-OTAK'!B13+'REKAPAN FIESTA'!B13</f>
        <v>14418.875</v>
      </c>
      <c r="C15" s="8">
        <f>+'REKAPAN CHAMP AYAM'!C13+'REKAPAN OKEY AYAM'!C13+'REKAPAN CHAMP SAPI'!C13+'REKAPAN CHAMP OTAK-OTAK'!C13+'REKAPAN FIESTA'!C13</f>
        <v>13202.125</v>
      </c>
      <c r="D15" s="8">
        <f>+'REKAPAN CHAMP AYAM'!D13+'REKAPAN OKEY AYAM'!D13+'REKAPAN CHAMP SAPI'!D13+'REKAPAN CHAMP OTAK-OTAK'!D13+'REKAPAN FIESTA'!D13</f>
        <v>410.75</v>
      </c>
      <c r="E15" s="8">
        <f>+'REKAPAN CHAMP AYAM'!E13+'REKAPAN OKEY AYAM'!E13+'REKAPAN CHAMP SAPI'!E13+'REKAPAN CHAMP OTAK-OTAK'!E13+'REKAPAN FIESTA'!E13</f>
        <v>20.990000000000002</v>
      </c>
      <c r="F15" s="8">
        <f>+'REKAPAN CHAMP AYAM'!F13+'REKAPAN OKEY AYAM'!F13+'REKAPAN CHAMP SAPI'!F13+'REKAPAN CHAMP OTAK-OTAK'!F13+'REKAPAN FIESTA'!F13</f>
        <v>42.56</v>
      </c>
      <c r="G15" s="8">
        <f>+'REKAPAN CHAMP AYAM'!G13+'REKAPAN OKEY AYAM'!G13+'REKAPAN CHAMP SAPI'!G13+'REKAPAN CHAMP OTAK-OTAK'!G13+'REKAPAN FIESTA'!G13</f>
        <v>2.69</v>
      </c>
      <c r="H15" s="8">
        <f>+'REKAPAN CHAMP AYAM'!H13+'REKAPAN OKEY AYAM'!H13+'REKAPAN CHAMP SAPI'!H13+'REKAPAN CHAMP OTAK-OTAK'!H13+'REKAPAN FIESTA'!H13</f>
        <v>2.7199999999999998</v>
      </c>
      <c r="I15" s="8">
        <f>+'REKAPAN CHAMP AYAM'!I13+'REKAPAN OKEY AYAM'!I13+'REKAPAN CHAMP SAPI'!I13+'REKAPAN CHAMP OTAK-OTAK'!I13+'REKAPAN FIESTA'!I13</f>
        <v>30</v>
      </c>
      <c r="J15" s="8">
        <f>+'REKAPAN CHAMP AYAM'!J13+'REKAPAN OKEY AYAM'!J13+'REKAPAN CHAMP SAPI'!J13+'REKAPAN CHAMP OTAK-OTAK'!J13+'REKAPAN FIESTA'!J13</f>
        <v>5.57</v>
      </c>
      <c r="K15" s="8">
        <f>+'REKAPAN CHAMP AYAM'!K13+'REKAPAN OKEY AYAM'!K13+'REKAPAN CHAMP SAPI'!K13+'REKAPAN CHAMP OTAK-OTAK'!K13+'REKAPAN FIESTA'!K13</f>
        <v>0</v>
      </c>
      <c r="L15" s="8">
        <f>+'REKAPAN CHAMP AYAM'!L13+'REKAPAN OKEY AYAM'!L13+'REKAPAN CHAMP SAPI'!L13+'REKAPAN CHAMP OTAK-OTAK'!L13+'REKAPAN FIESTA'!L13</f>
        <v>2.7</v>
      </c>
      <c r="M15" s="8">
        <f>+'REKAPAN CHAMP AYAM'!M13+'REKAPAN OKEY AYAM'!M13+'REKAPAN CHAMP SAPI'!M13+'REKAPAN CHAMP OTAK-OTAK'!M13+'REKAPAN FIESTA'!M13</f>
        <v>0</v>
      </c>
      <c r="N15" s="8">
        <f>+'REKAPAN CHAMP AYAM'!N13+'REKAPAN OKEY AYAM'!N13+'REKAPAN CHAMP SAPI'!N13+'REKAPAN CHAMP OTAK-OTAK'!N13+'REKAPAN FIESTA'!N13</f>
        <v>11.08</v>
      </c>
      <c r="O15" s="8">
        <f>+'REKAPAN CHAMP AYAM'!O13+'REKAPAN OKEY AYAM'!O13+'REKAPAN CHAMP SAPI'!O13+'REKAPAN CHAMP OTAK-OTAK'!O13+'REKAPAN FIESTA'!O13</f>
        <v>0.5</v>
      </c>
      <c r="P15" s="8">
        <f>+'REKAPAN CHAMP AYAM'!P13+'REKAPAN OKEY AYAM'!P13+'REKAPAN CHAMP SAPI'!P13+'REKAPAN CHAMP OTAK-OTAK'!P13+'REKAPAN FIESTA'!P13</f>
        <v>0</v>
      </c>
      <c r="Q15" s="8">
        <f>+'REKAPAN CHAMP AYAM'!Q13+'REKAPAN OKEY AYAM'!Q13+'REKAPAN CHAMP SAPI'!Q13+'REKAPAN CHAMP OTAK-OTAK'!Q13+'REKAPAN FIESTA'!Q13</f>
        <v>0</v>
      </c>
      <c r="R15" s="8">
        <f>+'REKAPAN CHAMP AYAM'!R13+'REKAPAN OKEY AYAM'!R13+'REKAPAN CHAMP SAPI'!R13+'REKAPAN CHAMP OTAK-OTAK'!R13+'REKAPAN FIESTA'!R13</f>
        <v>0</v>
      </c>
      <c r="S15" s="8">
        <f>+'REKAPAN CHAMP AYAM'!S13+'REKAPAN OKEY AYAM'!S13+'REKAPAN CHAMP SAPI'!S13+'REKAPAN CHAMP OTAK-OTAK'!S13+'REKAPAN FIESTA'!S13</f>
        <v>0</v>
      </c>
      <c r="T15" s="8">
        <f>+'REKAPAN CHAMP AYAM'!T13+'REKAPAN OKEY AYAM'!T13+'REKAPAN CHAMP SAPI'!T13+'REKAPAN CHAMP OTAK-OTAK'!T13+'REKAPAN FIESTA'!T13</f>
        <v>0</v>
      </c>
      <c r="U15" s="8">
        <f>+'REKAPAN CHAMP AYAM'!U13+'REKAPAN OKEY AYAM'!U13+'REKAPAN CHAMP SAPI'!U13+'REKAPAN CHAMP OTAK-OTAK'!U13+'REKAPAN FIESTA'!U13</f>
        <v>0</v>
      </c>
      <c r="V15" s="8">
        <f>+'REKAPAN CHAMP AYAM'!V13+'REKAPAN OKEY AYAM'!V13+'REKAPAN CHAMP SAPI'!V13+'REKAPAN CHAMP OTAK-OTAK'!V13+'REKAPAN FIESTA'!V13</f>
        <v>0</v>
      </c>
      <c r="W15" s="59">
        <f t="shared" si="0"/>
        <v>118.81</v>
      </c>
      <c r="X15" s="60">
        <f t="shared" ca="1" si="1"/>
        <v>687.19</v>
      </c>
      <c r="Y15" s="287">
        <f t="shared" ca="1" si="2"/>
        <v>8.2398938890863548E-3</v>
      </c>
    </row>
    <row r="16" spans="1:25">
      <c r="A16" s="7">
        <f t="shared" si="3"/>
        <v>46214</v>
      </c>
      <c r="B16" s="8">
        <f ca="1">+'REKAPAN CHAMP AYAM'!B14+'REKAPAN OKEY AYAM'!B14+'REKAPAN CHAMP SAPI'!B14+'REKAPAN CHAMP OTAK-OTAK'!B14+'REKAPAN FIESTA'!B14</f>
        <v>0</v>
      </c>
      <c r="C16" s="8">
        <f>+'REKAPAN CHAMP AYAM'!C14+'REKAPAN OKEY AYAM'!C14+'REKAPAN CHAMP SAPI'!C14+'REKAPAN CHAMP OTAK-OTAK'!C14+'REKAPAN FIESTA'!C14</f>
        <v>0</v>
      </c>
      <c r="D16" s="8">
        <f>+'REKAPAN CHAMP AYAM'!D14+'REKAPAN OKEY AYAM'!D14+'REKAPAN CHAMP SAPI'!D14+'REKAPAN CHAMP OTAK-OTAK'!D14+'REKAPAN FIESTA'!D14</f>
        <v>0</v>
      </c>
      <c r="E16" s="8">
        <f>+'REKAPAN CHAMP AYAM'!E14+'REKAPAN OKEY AYAM'!E14+'REKAPAN CHAMP SAPI'!E14+'REKAPAN CHAMP OTAK-OTAK'!E14+'REKAPAN FIESTA'!E14</f>
        <v>0</v>
      </c>
      <c r="F16" s="8">
        <f>+'REKAPAN CHAMP AYAM'!F14+'REKAPAN OKEY AYAM'!F14+'REKAPAN CHAMP SAPI'!F14+'REKAPAN CHAMP OTAK-OTAK'!F14+'REKAPAN FIESTA'!F14</f>
        <v>0</v>
      </c>
      <c r="G16" s="8">
        <f>+'REKAPAN CHAMP AYAM'!G14+'REKAPAN OKEY AYAM'!G14+'REKAPAN CHAMP SAPI'!G14+'REKAPAN CHAMP OTAK-OTAK'!G14+'REKAPAN FIESTA'!G14</f>
        <v>0</v>
      </c>
      <c r="H16" s="8">
        <f>+'REKAPAN CHAMP AYAM'!H14+'REKAPAN OKEY AYAM'!H14+'REKAPAN CHAMP SAPI'!H14+'REKAPAN CHAMP OTAK-OTAK'!H14+'REKAPAN FIESTA'!H14</f>
        <v>0</v>
      </c>
      <c r="I16" s="8">
        <f>+'REKAPAN CHAMP AYAM'!I14+'REKAPAN OKEY AYAM'!I14+'REKAPAN CHAMP SAPI'!I14+'REKAPAN CHAMP OTAK-OTAK'!I14+'REKAPAN FIESTA'!I14</f>
        <v>0</v>
      </c>
      <c r="J16" s="8">
        <f>+'REKAPAN CHAMP AYAM'!J14+'REKAPAN OKEY AYAM'!J14+'REKAPAN CHAMP SAPI'!J14+'REKAPAN CHAMP OTAK-OTAK'!J14+'REKAPAN FIESTA'!J14</f>
        <v>0</v>
      </c>
      <c r="K16" s="8">
        <f>+'REKAPAN CHAMP AYAM'!K14+'REKAPAN OKEY AYAM'!K14+'REKAPAN CHAMP SAPI'!K14+'REKAPAN CHAMP OTAK-OTAK'!K14+'REKAPAN FIESTA'!K14</f>
        <v>0</v>
      </c>
      <c r="L16" s="8">
        <f>+'REKAPAN CHAMP AYAM'!L14+'REKAPAN OKEY AYAM'!L14+'REKAPAN CHAMP SAPI'!L14+'REKAPAN CHAMP OTAK-OTAK'!L14+'REKAPAN FIESTA'!L14</f>
        <v>0</v>
      </c>
      <c r="M16" s="8">
        <f>+'REKAPAN CHAMP AYAM'!M14+'REKAPAN OKEY AYAM'!M14+'REKAPAN CHAMP SAPI'!M14+'REKAPAN CHAMP OTAK-OTAK'!M14+'REKAPAN FIESTA'!M14</f>
        <v>0</v>
      </c>
      <c r="N16" s="8">
        <f>+'REKAPAN CHAMP AYAM'!N14+'REKAPAN OKEY AYAM'!N14+'REKAPAN CHAMP SAPI'!N14+'REKAPAN CHAMP OTAK-OTAK'!N14+'REKAPAN FIESTA'!N14</f>
        <v>0</v>
      </c>
      <c r="O16" s="8">
        <f>+'REKAPAN CHAMP AYAM'!O14+'REKAPAN OKEY AYAM'!O14+'REKAPAN CHAMP SAPI'!O14+'REKAPAN CHAMP OTAK-OTAK'!O14+'REKAPAN FIESTA'!O14</f>
        <v>0</v>
      </c>
      <c r="P16" s="8">
        <f>+'REKAPAN CHAMP AYAM'!P14+'REKAPAN OKEY AYAM'!P14+'REKAPAN CHAMP SAPI'!P14+'REKAPAN CHAMP OTAK-OTAK'!P14+'REKAPAN FIESTA'!P14</f>
        <v>0</v>
      </c>
      <c r="Q16" s="8">
        <f>+'REKAPAN CHAMP AYAM'!Q14+'REKAPAN OKEY AYAM'!Q14+'REKAPAN CHAMP SAPI'!Q14+'REKAPAN CHAMP OTAK-OTAK'!Q14+'REKAPAN FIESTA'!Q14</f>
        <v>0</v>
      </c>
      <c r="R16" s="8">
        <f>+'REKAPAN CHAMP AYAM'!R14+'REKAPAN OKEY AYAM'!R14+'REKAPAN CHAMP SAPI'!R14+'REKAPAN CHAMP OTAK-OTAK'!R14+'REKAPAN FIESTA'!R14</f>
        <v>0</v>
      </c>
      <c r="S16" s="8">
        <f>+'REKAPAN CHAMP AYAM'!S14+'REKAPAN OKEY AYAM'!S14+'REKAPAN CHAMP SAPI'!S14+'REKAPAN CHAMP OTAK-OTAK'!S14+'REKAPAN FIESTA'!S14</f>
        <v>0</v>
      </c>
      <c r="T16" s="8">
        <f>+'REKAPAN CHAMP AYAM'!T14+'REKAPAN OKEY AYAM'!T14+'REKAPAN CHAMP SAPI'!T14+'REKAPAN CHAMP OTAK-OTAK'!T14+'REKAPAN FIESTA'!T14</f>
        <v>0</v>
      </c>
      <c r="U16" s="8">
        <f>+'REKAPAN CHAMP AYAM'!U14+'REKAPAN OKEY AYAM'!U14+'REKAPAN CHAMP SAPI'!U14+'REKAPAN CHAMP OTAK-OTAK'!U14+'REKAPAN FIESTA'!U14</f>
        <v>0</v>
      </c>
      <c r="V16" s="8">
        <f>+'REKAPAN CHAMP AYAM'!V14+'REKAPAN OKEY AYAM'!V14+'REKAPAN CHAMP SAPI'!V14+'REKAPAN CHAMP OTAK-OTAK'!V14+'REKAPAN FIESTA'!V14</f>
        <v>0</v>
      </c>
      <c r="W16" s="59">
        <f t="shared" si="0"/>
        <v>0</v>
      </c>
      <c r="X16" s="60">
        <f t="shared" ca="1" si="1"/>
        <v>0</v>
      </c>
      <c r="Y16" s="287" t="e">
        <f t="shared" ca="1" si="2"/>
        <v>#DIV/0!</v>
      </c>
    </row>
    <row r="17" spans="1:25">
      <c r="A17" s="7">
        <f t="shared" si="3"/>
        <v>46215</v>
      </c>
      <c r="B17" s="8">
        <f ca="1">+'REKAPAN CHAMP AYAM'!B15+'REKAPAN OKEY AYAM'!B15+'REKAPAN CHAMP SAPI'!B15+'REKAPAN CHAMP OTAK-OTAK'!B15+'REKAPAN FIESTA'!B15</f>
        <v>0</v>
      </c>
      <c r="C17" s="8">
        <f>+'REKAPAN CHAMP AYAM'!C15+'REKAPAN OKEY AYAM'!C15+'REKAPAN CHAMP SAPI'!C15+'REKAPAN CHAMP OTAK-OTAK'!C15+'REKAPAN FIESTA'!C15</f>
        <v>0</v>
      </c>
      <c r="D17" s="8">
        <f>+'REKAPAN CHAMP AYAM'!D15+'REKAPAN OKEY AYAM'!D15+'REKAPAN CHAMP SAPI'!D15+'REKAPAN CHAMP OTAK-OTAK'!D15+'REKAPAN FIESTA'!D15</f>
        <v>0</v>
      </c>
      <c r="E17" s="8">
        <f>+'REKAPAN CHAMP AYAM'!E15+'REKAPAN OKEY AYAM'!E15+'REKAPAN CHAMP SAPI'!E15+'REKAPAN CHAMP OTAK-OTAK'!E15+'REKAPAN FIESTA'!E15</f>
        <v>0</v>
      </c>
      <c r="F17" s="8">
        <f>+'REKAPAN CHAMP AYAM'!F15+'REKAPAN OKEY AYAM'!F15+'REKAPAN CHAMP SAPI'!F15+'REKAPAN CHAMP OTAK-OTAK'!F15+'REKAPAN FIESTA'!F15</f>
        <v>0</v>
      </c>
      <c r="G17" s="8">
        <f>+'REKAPAN CHAMP AYAM'!G15+'REKAPAN OKEY AYAM'!G15+'REKAPAN CHAMP SAPI'!G15+'REKAPAN CHAMP OTAK-OTAK'!G15+'REKAPAN FIESTA'!G15</f>
        <v>0</v>
      </c>
      <c r="H17" s="8">
        <f>+'REKAPAN CHAMP AYAM'!H15+'REKAPAN OKEY AYAM'!H15+'REKAPAN CHAMP SAPI'!H15+'REKAPAN CHAMP OTAK-OTAK'!H15+'REKAPAN FIESTA'!H15</f>
        <v>0</v>
      </c>
      <c r="I17" s="8">
        <f>+'REKAPAN CHAMP AYAM'!I15+'REKAPAN OKEY AYAM'!I15+'REKAPAN CHAMP SAPI'!I15+'REKAPAN CHAMP OTAK-OTAK'!I15+'REKAPAN FIESTA'!I15</f>
        <v>0</v>
      </c>
      <c r="J17" s="8">
        <f>+'REKAPAN CHAMP AYAM'!J15+'REKAPAN OKEY AYAM'!J15+'REKAPAN CHAMP SAPI'!J15+'REKAPAN CHAMP OTAK-OTAK'!J15+'REKAPAN FIESTA'!J15</f>
        <v>0</v>
      </c>
      <c r="K17" s="8">
        <f>+'REKAPAN CHAMP AYAM'!K15+'REKAPAN OKEY AYAM'!K15+'REKAPAN CHAMP SAPI'!K15+'REKAPAN CHAMP OTAK-OTAK'!K15+'REKAPAN FIESTA'!K15</f>
        <v>0</v>
      </c>
      <c r="L17" s="8">
        <f>+'REKAPAN CHAMP AYAM'!L15+'REKAPAN OKEY AYAM'!L15+'REKAPAN CHAMP SAPI'!L15+'REKAPAN CHAMP OTAK-OTAK'!L15+'REKAPAN FIESTA'!L15</f>
        <v>0</v>
      </c>
      <c r="M17" s="8">
        <f>+'REKAPAN CHAMP AYAM'!M15+'REKAPAN OKEY AYAM'!M15+'REKAPAN CHAMP SAPI'!M15+'REKAPAN CHAMP OTAK-OTAK'!M15+'REKAPAN FIESTA'!M15</f>
        <v>0</v>
      </c>
      <c r="N17" s="8">
        <f>+'REKAPAN CHAMP AYAM'!N15+'REKAPAN OKEY AYAM'!N15+'REKAPAN CHAMP SAPI'!N15+'REKAPAN CHAMP OTAK-OTAK'!N15+'REKAPAN FIESTA'!N15</f>
        <v>0</v>
      </c>
      <c r="O17" s="8">
        <f>+'REKAPAN CHAMP AYAM'!O15+'REKAPAN OKEY AYAM'!O15+'REKAPAN CHAMP SAPI'!O15+'REKAPAN CHAMP OTAK-OTAK'!O15+'REKAPAN FIESTA'!O15</f>
        <v>0</v>
      </c>
      <c r="P17" s="8">
        <f>+'REKAPAN CHAMP AYAM'!P15+'REKAPAN OKEY AYAM'!P15+'REKAPAN CHAMP SAPI'!P15+'REKAPAN CHAMP OTAK-OTAK'!P15+'REKAPAN FIESTA'!P15</f>
        <v>0</v>
      </c>
      <c r="Q17" s="8">
        <f>+'REKAPAN CHAMP AYAM'!Q15+'REKAPAN OKEY AYAM'!Q15+'REKAPAN CHAMP SAPI'!Q15+'REKAPAN CHAMP OTAK-OTAK'!Q15+'REKAPAN FIESTA'!Q15</f>
        <v>0</v>
      </c>
      <c r="R17" s="8">
        <f>+'REKAPAN CHAMP AYAM'!R15+'REKAPAN OKEY AYAM'!R15+'REKAPAN CHAMP SAPI'!R15+'REKAPAN CHAMP OTAK-OTAK'!R15+'REKAPAN FIESTA'!R15</f>
        <v>0</v>
      </c>
      <c r="S17" s="8">
        <f>+'REKAPAN CHAMP AYAM'!S15+'REKAPAN OKEY AYAM'!S15+'REKAPAN CHAMP SAPI'!S15+'REKAPAN CHAMP OTAK-OTAK'!S15+'REKAPAN FIESTA'!S15</f>
        <v>0</v>
      </c>
      <c r="T17" s="8">
        <f>+'REKAPAN CHAMP AYAM'!T15+'REKAPAN OKEY AYAM'!T15+'REKAPAN CHAMP SAPI'!T15+'REKAPAN CHAMP OTAK-OTAK'!T15+'REKAPAN FIESTA'!T15</f>
        <v>0</v>
      </c>
      <c r="U17" s="8">
        <f>+'REKAPAN CHAMP AYAM'!U15+'REKAPAN OKEY AYAM'!U15+'REKAPAN CHAMP SAPI'!U15+'REKAPAN CHAMP OTAK-OTAK'!U15+'REKAPAN FIESTA'!U15</f>
        <v>0</v>
      </c>
      <c r="V17" s="8">
        <f>+'REKAPAN CHAMP AYAM'!V15+'REKAPAN OKEY AYAM'!V15+'REKAPAN CHAMP SAPI'!V15+'REKAPAN CHAMP OTAK-OTAK'!V15+'REKAPAN FIESTA'!V15</f>
        <v>0</v>
      </c>
      <c r="W17" s="59">
        <f t="shared" si="0"/>
        <v>0</v>
      </c>
      <c r="X17" s="60">
        <f t="shared" ca="1" si="1"/>
        <v>0</v>
      </c>
      <c r="Y17" s="287" t="e">
        <f t="shared" ca="1" si="2"/>
        <v>#DIV/0!</v>
      </c>
    </row>
    <row r="18" spans="1:25">
      <c r="A18" s="7">
        <f t="shared" si="3"/>
        <v>46216</v>
      </c>
      <c r="B18" s="8">
        <f ca="1">+'REKAPAN CHAMP AYAM'!B16+'REKAPAN OKEY AYAM'!B16+'REKAPAN CHAMP SAPI'!B16+'REKAPAN CHAMP OTAK-OTAK'!B16+'REKAPAN FIESTA'!B16</f>
        <v>1434.8879999999999</v>
      </c>
      <c r="C18" s="8">
        <f>+'REKAPAN CHAMP AYAM'!C16+'REKAPAN OKEY AYAM'!C16+'REKAPAN CHAMP SAPI'!C16+'REKAPAN CHAMP OTAK-OTAK'!C16+'REKAPAN FIESTA'!C16</f>
        <v>1395.576</v>
      </c>
      <c r="D18" s="8">
        <f>+'REKAPAN CHAMP AYAM'!D16+'REKAPAN OKEY AYAM'!D16+'REKAPAN CHAMP SAPI'!D16+'REKAPAN CHAMP OTAK-OTAK'!D16+'REKAPAN FIESTA'!D16</f>
        <v>0</v>
      </c>
      <c r="E18" s="8">
        <f>+'REKAPAN CHAMP AYAM'!E16+'REKAPAN OKEY AYAM'!E16+'REKAPAN CHAMP SAPI'!E16+'REKAPAN CHAMP OTAK-OTAK'!E16+'REKAPAN FIESTA'!E16</f>
        <v>4.2</v>
      </c>
      <c r="F18" s="8">
        <f>+'REKAPAN CHAMP AYAM'!F16+'REKAPAN OKEY AYAM'!F16+'REKAPAN CHAMP SAPI'!F16+'REKAPAN CHAMP OTAK-OTAK'!F16+'REKAPAN FIESTA'!F16</f>
        <v>13.37</v>
      </c>
      <c r="G18" s="8">
        <f>+'REKAPAN CHAMP AYAM'!G16+'REKAPAN OKEY AYAM'!G16+'REKAPAN CHAMP SAPI'!G16+'REKAPAN CHAMP OTAK-OTAK'!G16+'REKAPAN FIESTA'!G16</f>
        <v>17.5</v>
      </c>
      <c r="H18" s="8">
        <f>+'REKAPAN CHAMP AYAM'!H16+'REKAPAN OKEY AYAM'!H16+'REKAPAN CHAMP SAPI'!H16+'REKAPAN CHAMP OTAK-OTAK'!H16+'REKAPAN FIESTA'!H16</f>
        <v>0</v>
      </c>
      <c r="I18" s="8">
        <f>+'REKAPAN CHAMP AYAM'!I16+'REKAPAN OKEY AYAM'!I16+'REKAPAN CHAMP SAPI'!I16+'REKAPAN CHAMP OTAK-OTAK'!I16+'REKAPAN FIESTA'!I16</f>
        <v>4.5</v>
      </c>
      <c r="J18" s="8">
        <f>+'REKAPAN CHAMP AYAM'!J16+'REKAPAN OKEY AYAM'!J16+'REKAPAN CHAMP SAPI'!J16+'REKAPAN CHAMP OTAK-OTAK'!J16+'REKAPAN FIESTA'!J16</f>
        <v>0.6</v>
      </c>
      <c r="K18" s="8">
        <f>+'REKAPAN CHAMP AYAM'!K16+'REKAPAN OKEY AYAM'!K16+'REKAPAN CHAMP SAPI'!K16+'REKAPAN CHAMP OTAK-OTAK'!K16+'REKAPAN FIESTA'!K16</f>
        <v>0</v>
      </c>
      <c r="L18" s="8">
        <f>+'REKAPAN CHAMP AYAM'!L16+'REKAPAN OKEY AYAM'!L16+'REKAPAN CHAMP SAPI'!L16+'REKAPAN CHAMP OTAK-OTAK'!L16+'REKAPAN FIESTA'!L16</f>
        <v>1.95</v>
      </c>
      <c r="M18" s="8">
        <f>+'REKAPAN CHAMP AYAM'!M16+'REKAPAN OKEY AYAM'!M16+'REKAPAN CHAMP SAPI'!M16+'REKAPAN CHAMP OTAK-OTAK'!M16+'REKAPAN FIESTA'!M16</f>
        <v>0</v>
      </c>
      <c r="N18" s="8">
        <f>+'REKAPAN CHAMP AYAM'!N16+'REKAPAN OKEY AYAM'!N16+'REKAPAN CHAMP SAPI'!N16+'REKAPAN CHAMP OTAK-OTAK'!N16+'REKAPAN FIESTA'!N16</f>
        <v>0.49</v>
      </c>
      <c r="O18" s="8">
        <f>+'REKAPAN CHAMP AYAM'!O16+'REKAPAN OKEY AYAM'!O16+'REKAPAN CHAMP SAPI'!O16+'REKAPAN CHAMP OTAK-OTAK'!O16+'REKAPAN FIESTA'!O16</f>
        <v>0</v>
      </c>
      <c r="P18" s="8">
        <f>+'REKAPAN CHAMP AYAM'!P16+'REKAPAN OKEY AYAM'!P16+'REKAPAN CHAMP SAPI'!P16+'REKAPAN CHAMP OTAK-OTAK'!P16+'REKAPAN FIESTA'!P16</f>
        <v>0</v>
      </c>
      <c r="Q18" s="8">
        <f>+'REKAPAN CHAMP AYAM'!Q16+'REKAPAN OKEY AYAM'!Q16+'REKAPAN CHAMP SAPI'!Q16+'REKAPAN CHAMP OTAK-OTAK'!Q16+'REKAPAN FIESTA'!Q16</f>
        <v>0</v>
      </c>
      <c r="R18" s="8">
        <f>+'REKAPAN CHAMP AYAM'!R16+'REKAPAN OKEY AYAM'!R16+'REKAPAN CHAMP SAPI'!R16+'REKAPAN CHAMP OTAK-OTAK'!R16+'REKAPAN FIESTA'!R16</f>
        <v>0</v>
      </c>
      <c r="S18" s="8">
        <f>+'REKAPAN CHAMP AYAM'!S16+'REKAPAN OKEY AYAM'!S16+'REKAPAN CHAMP SAPI'!S16+'REKAPAN CHAMP OTAK-OTAK'!S16+'REKAPAN FIESTA'!S16</f>
        <v>0</v>
      </c>
      <c r="T18" s="8">
        <f>+'REKAPAN CHAMP AYAM'!T16+'REKAPAN OKEY AYAM'!T16+'REKAPAN CHAMP SAPI'!T16+'REKAPAN CHAMP OTAK-OTAK'!T16+'REKAPAN FIESTA'!T16</f>
        <v>0</v>
      </c>
      <c r="U18" s="8">
        <f>+'REKAPAN CHAMP AYAM'!U16+'REKAPAN OKEY AYAM'!U16+'REKAPAN CHAMP SAPI'!U16+'REKAPAN CHAMP OTAK-OTAK'!U16+'REKAPAN FIESTA'!U16</f>
        <v>0</v>
      </c>
      <c r="V18" s="8">
        <f>+'REKAPAN CHAMP AYAM'!V16+'REKAPAN OKEY AYAM'!V16+'REKAPAN CHAMP SAPI'!V16+'REKAPAN CHAMP OTAK-OTAK'!V16+'REKAPAN FIESTA'!V16</f>
        <v>0</v>
      </c>
      <c r="W18" s="59">
        <f t="shared" si="0"/>
        <v>42.610000000000007</v>
      </c>
      <c r="X18" s="60">
        <f t="shared" ca="1" si="1"/>
        <v>-3.2980000000001084</v>
      </c>
      <c r="Y18" s="287">
        <f t="shared" ca="1" si="2"/>
        <v>2.969569750391669E-2</v>
      </c>
    </row>
    <row r="19" spans="1:25">
      <c r="A19" s="7">
        <f t="shared" si="3"/>
        <v>46217</v>
      </c>
      <c r="B19" s="8">
        <f ca="1">+'REKAPAN CHAMP AYAM'!B17+'REKAPAN OKEY AYAM'!B17+'REKAPAN CHAMP SAPI'!B17+'REKAPAN CHAMP OTAK-OTAK'!B17+'REKAPAN FIESTA'!B17</f>
        <v>15452.892</v>
      </c>
      <c r="C19" s="8">
        <f>+'REKAPAN CHAMP AYAM'!C17+'REKAPAN OKEY AYAM'!C17+'REKAPAN CHAMP SAPI'!C17+'REKAPAN CHAMP OTAK-OTAK'!C17+'REKAPAN FIESTA'!C17</f>
        <v>15131.843999999999</v>
      </c>
      <c r="D19" s="8">
        <f>+'REKAPAN CHAMP AYAM'!D17+'REKAPAN OKEY AYAM'!D17+'REKAPAN CHAMP SAPI'!D17+'REKAPAN CHAMP OTAK-OTAK'!D17+'REKAPAN FIESTA'!D17</f>
        <v>0</v>
      </c>
      <c r="E19" s="8">
        <f>+'REKAPAN CHAMP AYAM'!E17+'REKAPAN OKEY AYAM'!E17+'REKAPAN CHAMP SAPI'!E17+'REKAPAN CHAMP OTAK-OTAK'!E17+'REKAPAN FIESTA'!E17</f>
        <v>51.91</v>
      </c>
      <c r="F19" s="8">
        <f>+'REKAPAN CHAMP AYAM'!F17+'REKAPAN OKEY AYAM'!F17+'REKAPAN CHAMP SAPI'!F17+'REKAPAN CHAMP OTAK-OTAK'!F17+'REKAPAN FIESTA'!F17</f>
        <v>100.98</v>
      </c>
      <c r="G19" s="8">
        <f>+'REKAPAN CHAMP AYAM'!G17+'REKAPAN OKEY AYAM'!G17+'REKAPAN CHAMP SAPI'!G17+'REKAPAN CHAMP OTAK-OTAK'!G17+'REKAPAN FIESTA'!G17</f>
        <v>8.8000000000000007</v>
      </c>
      <c r="H19" s="8">
        <f>+'REKAPAN CHAMP AYAM'!H17+'REKAPAN OKEY AYAM'!H17+'REKAPAN CHAMP SAPI'!H17+'REKAPAN CHAMP OTAK-OTAK'!H17+'REKAPAN FIESTA'!H17</f>
        <v>0</v>
      </c>
      <c r="I19" s="8">
        <f>+'REKAPAN CHAMP AYAM'!I17+'REKAPAN OKEY AYAM'!I17+'REKAPAN CHAMP SAPI'!I17+'REKAPAN CHAMP OTAK-OTAK'!I17+'REKAPAN FIESTA'!I17</f>
        <v>127.13000000000002</v>
      </c>
      <c r="J19" s="8">
        <f>+'REKAPAN CHAMP AYAM'!J17+'REKAPAN OKEY AYAM'!J17+'REKAPAN CHAMP SAPI'!J17+'REKAPAN CHAMP OTAK-OTAK'!J17+'REKAPAN FIESTA'!J17</f>
        <v>3.41</v>
      </c>
      <c r="K19" s="8">
        <f>+'REKAPAN CHAMP AYAM'!K17+'REKAPAN OKEY AYAM'!K17+'REKAPAN CHAMP SAPI'!K17+'REKAPAN CHAMP OTAK-OTAK'!K17+'REKAPAN FIESTA'!K17</f>
        <v>0</v>
      </c>
      <c r="L19" s="8">
        <f>+'REKAPAN CHAMP AYAM'!L17+'REKAPAN OKEY AYAM'!L17+'REKAPAN CHAMP SAPI'!L17+'REKAPAN CHAMP OTAK-OTAK'!L17+'REKAPAN FIESTA'!L17</f>
        <v>10.95</v>
      </c>
      <c r="M19" s="8">
        <f>+'REKAPAN CHAMP AYAM'!M17+'REKAPAN OKEY AYAM'!M17+'REKAPAN CHAMP SAPI'!M17+'REKAPAN CHAMP OTAK-OTAK'!M17+'REKAPAN FIESTA'!M17</f>
        <v>5.3</v>
      </c>
      <c r="N19" s="8">
        <f>+'REKAPAN CHAMP AYAM'!N17+'REKAPAN OKEY AYAM'!N17+'REKAPAN CHAMP SAPI'!N17+'REKAPAN CHAMP OTAK-OTAK'!N17+'REKAPAN FIESTA'!N17</f>
        <v>12.770000000000001</v>
      </c>
      <c r="O19" s="8">
        <f>+'REKAPAN CHAMP AYAM'!O17+'REKAPAN OKEY AYAM'!O17+'REKAPAN CHAMP SAPI'!O17+'REKAPAN CHAMP OTAK-OTAK'!O17+'REKAPAN FIESTA'!O17</f>
        <v>0</v>
      </c>
      <c r="P19" s="8">
        <f>+'REKAPAN CHAMP AYAM'!P17+'REKAPAN OKEY AYAM'!P17+'REKAPAN CHAMP SAPI'!P17+'REKAPAN CHAMP OTAK-OTAK'!P17+'REKAPAN FIESTA'!P17</f>
        <v>0</v>
      </c>
      <c r="Q19" s="8">
        <f>+'REKAPAN CHAMP AYAM'!Q17+'REKAPAN OKEY AYAM'!Q17+'REKAPAN CHAMP SAPI'!Q17+'REKAPAN CHAMP OTAK-OTAK'!Q17+'REKAPAN FIESTA'!Q17</f>
        <v>0</v>
      </c>
      <c r="R19" s="8">
        <f>+'REKAPAN CHAMP AYAM'!R17+'REKAPAN OKEY AYAM'!R17+'REKAPAN CHAMP SAPI'!R17+'REKAPAN CHAMP OTAK-OTAK'!R17+'REKAPAN FIESTA'!R17</f>
        <v>0</v>
      </c>
      <c r="S19" s="8">
        <f>+'REKAPAN CHAMP AYAM'!S17+'REKAPAN OKEY AYAM'!S17+'REKAPAN CHAMP SAPI'!S17+'REKAPAN CHAMP OTAK-OTAK'!S17+'REKAPAN FIESTA'!S17</f>
        <v>0</v>
      </c>
      <c r="T19" s="8">
        <f>+'REKAPAN CHAMP AYAM'!T17+'REKAPAN OKEY AYAM'!T17+'REKAPAN CHAMP SAPI'!T17+'REKAPAN CHAMP OTAK-OTAK'!T17+'REKAPAN FIESTA'!T17</f>
        <v>0</v>
      </c>
      <c r="U19" s="8">
        <f>+'REKAPAN CHAMP AYAM'!U17+'REKAPAN OKEY AYAM'!U17+'REKAPAN CHAMP SAPI'!U17+'REKAPAN CHAMP OTAK-OTAK'!U17+'REKAPAN FIESTA'!U17</f>
        <v>0</v>
      </c>
      <c r="V19" s="8">
        <f>+'REKAPAN CHAMP AYAM'!V17+'REKAPAN OKEY AYAM'!V17+'REKAPAN CHAMP SAPI'!V17+'REKAPAN CHAMP OTAK-OTAK'!V17+'REKAPAN FIESTA'!V17</f>
        <v>0</v>
      </c>
      <c r="W19" s="59">
        <f t="shared" si="0"/>
        <v>321.25000000000006</v>
      </c>
      <c r="X19" s="60">
        <f t="shared" ca="1" si="1"/>
        <v>-0.2019999999993729</v>
      </c>
      <c r="Y19" s="287">
        <f t="shared" ca="1" si="2"/>
        <v>2.0788988883116512E-2</v>
      </c>
    </row>
    <row r="20" spans="1:25">
      <c r="A20" s="7">
        <f t="shared" si="3"/>
        <v>46218</v>
      </c>
      <c r="B20" s="8">
        <f ca="1">+'REKAPAN CHAMP AYAM'!B18+'REKAPAN OKEY AYAM'!B18+'REKAPAN CHAMP SAPI'!B18+'REKAPAN CHAMP OTAK-OTAK'!B18+'REKAPAN FIESTA'!B18</f>
        <v>16606.043999999998</v>
      </c>
      <c r="C20" s="8">
        <f>+'REKAPAN CHAMP AYAM'!C18+'REKAPAN OKEY AYAM'!C18+'REKAPAN CHAMP SAPI'!C18+'REKAPAN CHAMP OTAK-OTAK'!C18+'REKAPAN FIESTA'!C18</f>
        <v>16239.132</v>
      </c>
      <c r="D20" s="8">
        <f>+'REKAPAN CHAMP AYAM'!D18+'REKAPAN OKEY AYAM'!D18+'REKAPAN CHAMP SAPI'!D18+'REKAPAN CHAMP OTAK-OTAK'!D18+'REKAPAN FIESTA'!D18</f>
        <v>0</v>
      </c>
      <c r="E20" s="8">
        <f>+'REKAPAN CHAMP AYAM'!E18+'REKAPAN OKEY AYAM'!E18+'REKAPAN CHAMP SAPI'!E18+'REKAPAN CHAMP OTAK-OTAK'!E18+'REKAPAN FIESTA'!E18</f>
        <v>55.78</v>
      </c>
      <c r="F20" s="8">
        <f>+'REKAPAN CHAMP AYAM'!F18+'REKAPAN OKEY AYAM'!F18+'REKAPAN CHAMP SAPI'!F18+'REKAPAN CHAMP OTAK-OTAK'!F18+'REKAPAN FIESTA'!F18</f>
        <v>90.76</v>
      </c>
      <c r="G20" s="8">
        <f>+'REKAPAN CHAMP AYAM'!G18+'REKAPAN OKEY AYAM'!G18+'REKAPAN CHAMP SAPI'!G18+'REKAPAN CHAMP OTAK-OTAK'!G18+'REKAPAN FIESTA'!G18</f>
        <v>2</v>
      </c>
      <c r="H20" s="8">
        <f>+'REKAPAN CHAMP AYAM'!H18+'REKAPAN OKEY AYAM'!H18+'REKAPAN CHAMP SAPI'!H18+'REKAPAN CHAMP OTAK-OTAK'!H18+'REKAPAN FIESTA'!H18</f>
        <v>0</v>
      </c>
      <c r="I20" s="8">
        <f>+'REKAPAN CHAMP AYAM'!I18+'REKAPAN OKEY AYAM'!I18+'REKAPAN CHAMP SAPI'!I18+'REKAPAN CHAMP OTAK-OTAK'!I18+'REKAPAN FIESTA'!I18</f>
        <v>152.42000000000002</v>
      </c>
      <c r="J20" s="8">
        <f>+'REKAPAN CHAMP AYAM'!J18+'REKAPAN OKEY AYAM'!J18+'REKAPAN CHAMP SAPI'!J18+'REKAPAN CHAMP OTAK-OTAK'!J18+'REKAPAN FIESTA'!J18</f>
        <v>3.3820000000000001</v>
      </c>
      <c r="K20" s="8">
        <f>+'REKAPAN CHAMP AYAM'!K18+'REKAPAN OKEY AYAM'!K18+'REKAPAN CHAMP SAPI'!K18+'REKAPAN CHAMP OTAK-OTAK'!K18+'REKAPAN FIESTA'!K18</f>
        <v>0</v>
      </c>
      <c r="L20" s="8">
        <f>+'REKAPAN CHAMP AYAM'!L18+'REKAPAN OKEY AYAM'!L18+'REKAPAN CHAMP SAPI'!L18+'REKAPAN CHAMP OTAK-OTAK'!L18+'REKAPAN FIESTA'!L18</f>
        <v>5.21</v>
      </c>
      <c r="M20" s="8">
        <f>+'REKAPAN CHAMP AYAM'!M18+'REKAPAN OKEY AYAM'!M18+'REKAPAN CHAMP SAPI'!M18+'REKAPAN CHAMP OTAK-OTAK'!M18+'REKAPAN FIESTA'!M18</f>
        <v>16.600000000000001</v>
      </c>
      <c r="N20" s="8">
        <f>+'REKAPAN CHAMP AYAM'!N18+'REKAPAN OKEY AYAM'!N18+'REKAPAN CHAMP SAPI'!N18+'REKAPAN CHAMP OTAK-OTAK'!N18+'REKAPAN FIESTA'!N18</f>
        <v>18.57</v>
      </c>
      <c r="O20" s="8">
        <f>+'REKAPAN CHAMP AYAM'!O18+'REKAPAN OKEY AYAM'!O18+'REKAPAN CHAMP SAPI'!O18+'REKAPAN CHAMP OTAK-OTAK'!O18+'REKAPAN FIESTA'!O18</f>
        <v>0</v>
      </c>
      <c r="P20" s="8">
        <f>+'REKAPAN CHAMP AYAM'!P18+'REKAPAN OKEY AYAM'!P18+'REKAPAN CHAMP SAPI'!P18+'REKAPAN CHAMP OTAK-OTAK'!P18+'REKAPAN FIESTA'!P18</f>
        <v>0</v>
      </c>
      <c r="Q20" s="8">
        <f>+'REKAPAN CHAMP AYAM'!Q18+'REKAPAN OKEY AYAM'!Q18+'REKAPAN CHAMP SAPI'!Q18+'REKAPAN CHAMP OTAK-OTAK'!Q18+'REKAPAN FIESTA'!Q18</f>
        <v>0</v>
      </c>
      <c r="R20" s="8">
        <f>+'REKAPAN CHAMP AYAM'!R18+'REKAPAN OKEY AYAM'!R18+'REKAPAN CHAMP SAPI'!R18+'REKAPAN CHAMP OTAK-OTAK'!R18+'REKAPAN FIESTA'!R18</f>
        <v>0</v>
      </c>
      <c r="S20" s="8">
        <f>+'REKAPAN CHAMP AYAM'!S18+'REKAPAN OKEY AYAM'!S18+'REKAPAN CHAMP SAPI'!S18+'REKAPAN CHAMP OTAK-OTAK'!S18+'REKAPAN FIESTA'!S18</f>
        <v>0</v>
      </c>
      <c r="T20" s="8">
        <f>+'REKAPAN CHAMP AYAM'!T18+'REKAPAN OKEY AYAM'!T18+'REKAPAN CHAMP SAPI'!T18+'REKAPAN CHAMP OTAK-OTAK'!T18+'REKAPAN FIESTA'!T18</f>
        <v>0</v>
      </c>
      <c r="U20" s="8">
        <f>+'REKAPAN CHAMP AYAM'!U18+'REKAPAN OKEY AYAM'!U18+'REKAPAN CHAMP SAPI'!U18+'REKAPAN CHAMP OTAK-OTAK'!U18+'REKAPAN FIESTA'!U18</f>
        <v>0</v>
      </c>
      <c r="V20" s="8">
        <f>+'REKAPAN CHAMP AYAM'!V18+'REKAPAN OKEY AYAM'!V18+'REKAPAN CHAMP SAPI'!V18+'REKAPAN CHAMP OTAK-OTAK'!V18+'REKAPAN FIESTA'!V18</f>
        <v>0</v>
      </c>
      <c r="W20" s="59">
        <f t="shared" si="0"/>
        <v>344.72200000000004</v>
      </c>
      <c r="X20" s="60">
        <f t="shared" ca="1" si="1"/>
        <v>22.189999999998406</v>
      </c>
      <c r="Y20" s="287">
        <f t="shared" ca="1" si="2"/>
        <v>2.0758827328170398E-2</v>
      </c>
    </row>
    <row r="21" spans="1:25">
      <c r="A21" s="7">
        <f t="shared" si="3"/>
        <v>46219</v>
      </c>
      <c r="B21" s="8">
        <f ca="1">+'REKAPAN CHAMP AYAM'!B19+'REKAPAN OKEY AYAM'!B19+'REKAPAN CHAMP SAPI'!B19+'REKAPAN CHAMP OTAK-OTAK'!B19+'REKAPAN FIESTA'!B19</f>
        <v>17723.16</v>
      </c>
      <c r="C21" s="8">
        <f>+'REKAPAN CHAMP AYAM'!C19+'REKAPAN OKEY AYAM'!C19+'REKAPAN CHAMP SAPI'!C19+'REKAPAN CHAMP OTAK-OTAK'!C19+'REKAPAN FIESTA'!C19</f>
        <v>16855.02</v>
      </c>
      <c r="D21" s="8">
        <f>+'REKAPAN CHAMP AYAM'!D19+'REKAPAN OKEY AYAM'!D19+'REKAPAN CHAMP SAPI'!D19+'REKAPAN CHAMP OTAK-OTAK'!D19+'REKAPAN FIESTA'!D19</f>
        <v>19.655999999999999</v>
      </c>
      <c r="E21" s="8">
        <f>+'REKAPAN CHAMP AYAM'!E19+'REKAPAN OKEY AYAM'!E19+'REKAPAN CHAMP SAPI'!E19+'REKAPAN CHAMP OTAK-OTAK'!E19+'REKAPAN FIESTA'!E19</f>
        <v>49.42</v>
      </c>
      <c r="F21" s="8">
        <f>+'REKAPAN CHAMP AYAM'!F19+'REKAPAN OKEY AYAM'!F19+'REKAPAN CHAMP SAPI'!F19+'REKAPAN CHAMP OTAK-OTAK'!F19+'REKAPAN FIESTA'!F19</f>
        <v>80.36</v>
      </c>
      <c r="G21" s="8">
        <f>+'REKAPAN CHAMP AYAM'!G19+'REKAPAN OKEY AYAM'!G19+'REKAPAN CHAMP SAPI'!G19+'REKAPAN CHAMP OTAK-OTAK'!G19+'REKAPAN FIESTA'!G19</f>
        <v>4.6000000000000005</v>
      </c>
      <c r="H21" s="8">
        <f>+'REKAPAN CHAMP AYAM'!H19+'REKAPAN OKEY AYAM'!H19+'REKAPAN CHAMP SAPI'!H19+'REKAPAN CHAMP OTAK-OTAK'!H19+'REKAPAN FIESTA'!H19</f>
        <v>0</v>
      </c>
      <c r="I21" s="8">
        <f>+'REKAPAN CHAMP AYAM'!I19+'REKAPAN OKEY AYAM'!I19+'REKAPAN CHAMP SAPI'!I19+'REKAPAN CHAMP OTAK-OTAK'!I19+'REKAPAN FIESTA'!I19</f>
        <v>75.36</v>
      </c>
      <c r="J21" s="8">
        <f>+'REKAPAN CHAMP AYAM'!J19+'REKAPAN OKEY AYAM'!J19+'REKAPAN CHAMP SAPI'!J19+'REKAPAN CHAMP OTAK-OTAK'!J19+'REKAPAN FIESTA'!J19</f>
        <v>4.07</v>
      </c>
      <c r="K21" s="8">
        <f>+'REKAPAN CHAMP AYAM'!K19+'REKAPAN OKEY AYAM'!K19+'REKAPAN CHAMP SAPI'!K19+'REKAPAN CHAMP OTAK-OTAK'!K19+'REKAPAN FIESTA'!K19</f>
        <v>0</v>
      </c>
      <c r="L21" s="8">
        <f>+'REKAPAN CHAMP AYAM'!L19+'REKAPAN OKEY AYAM'!L19+'REKAPAN CHAMP SAPI'!L19+'REKAPAN CHAMP OTAK-OTAK'!L19+'REKAPAN FIESTA'!L19</f>
        <v>6.85</v>
      </c>
      <c r="M21" s="8">
        <f>+'REKAPAN CHAMP AYAM'!M19+'REKAPAN OKEY AYAM'!M19+'REKAPAN CHAMP SAPI'!M19+'REKAPAN CHAMP OTAK-OTAK'!M19+'REKAPAN FIESTA'!M19</f>
        <v>2.58</v>
      </c>
      <c r="N21" s="8">
        <f>+'REKAPAN CHAMP AYAM'!N19+'REKAPAN OKEY AYAM'!N19+'REKAPAN CHAMP SAPI'!N19+'REKAPAN CHAMP OTAK-OTAK'!N19+'REKAPAN FIESTA'!N19</f>
        <v>34.200000000000003</v>
      </c>
      <c r="O21" s="8">
        <f>+'REKAPAN CHAMP AYAM'!O19+'REKAPAN OKEY AYAM'!O19+'REKAPAN CHAMP SAPI'!O19+'REKAPAN CHAMP OTAK-OTAK'!O19+'REKAPAN FIESTA'!O19</f>
        <v>0.78</v>
      </c>
      <c r="P21" s="8">
        <f>+'REKAPAN CHAMP AYAM'!P19+'REKAPAN OKEY AYAM'!P19+'REKAPAN CHAMP SAPI'!P19+'REKAPAN CHAMP OTAK-OTAK'!P19+'REKAPAN FIESTA'!P19</f>
        <v>0</v>
      </c>
      <c r="Q21" s="8">
        <f>+'REKAPAN CHAMP AYAM'!Q19+'REKAPAN OKEY AYAM'!Q19+'REKAPAN CHAMP SAPI'!Q19+'REKAPAN CHAMP OTAK-OTAK'!Q19+'REKAPAN FIESTA'!Q19</f>
        <v>0</v>
      </c>
      <c r="R21" s="8">
        <f>+'REKAPAN CHAMP AYAM'!R19+'REKAPAN OKEY AYAM'!R19+'REKAPAN CHAMP SAPI'!R19+'REKAPAN CHAMP OTAK-OTAK'!R19+'REKAPAN FIESTA'!R19</f>
        <v>0</v>
      </c>
      <c r="S21" s="8">
        <f>+'REKAPAN CHAMP AYAM'!S19+'REKAPAN OKEY AYAM'!S19+'REKAPAN CHAMP SAPI'!S19+'REKAPAN CHAMP OTAK-OTAK'!S19+'REKAPAN FIESTA'!S19</f>
        <v>0</v>
      </c>
      <c r="T21" s="8">
        <f>+'REKAPAN CHAMP AYAM'!T19+'REKAPAN OKEY AYAM'!T19+'REKAPAN CHAMP SAPI'!T19+'REKAPAN CHAMP OTAK-OTAK'!T19+'REKAPAN FIESTA'!T19</f>
        <v>0</v>
      </c>
      <c r="U21" s="8">
        <f>+'REKAPAN CHAMP AYAM'!U19+'REKAPAN OKEY AYAM'!U19+'REKAPAN CHAMP SAPI'!U19+'REKAPAN CHAMP OTAK-OTAK'!U19+'REKAPAN FIESTA'!U19</f>
        <v>0</v>
      </c>
      <c r="V21" s="8">
        <f>+'REKAPAN CHAMP AYAM'!V19+'REKAPAN OKEY AYAM'!V19+'REKAPAN CHAMP SAPI'!V19+'REKAPAN CHAMP OTAK-OTAK'!V19+'REKAPAN FIESTA'!V19</f>
        <v>0</v>
      </c>
      <c r="W21" s="59">
        <f t="shared" si="0"/>
        <v>258.21999999999997</v>
      </c>
      <c r="X21" s="60">
        <f t="shared" ca="1" si="1"/>
        <v>590.26399999999944</v>
      </c>
      <c r="Y21" s="287">
        <f t="shared" ca="1" si="2"/>
        <v>1.4569636565939707E-2</v>
      </c>
    </row>
    <row r="22" spans="1:25">
      <c r="A22" s="7">
        <f t="shared" si="3"/>
        <v>46220</v>
      </c>
      <c r="B22" s="8">
        <f ca="1">+'REKAPAN CHAMP AYAM'!B20+'REKAPAN OKEY AYAM'!B20+'REKAPAN CHAMP SAPI'!B20+'REKAPAN CHAMP OTAK-OTAK'!B20+'REKAPAN FIESTA'!B20</f>
        <v>12007.462</v>
      </c>
      <c r="C22" s="8">
        <f>+'REKAPAN CHAMP AYAM'!C20+'REKAPAN OKEY AYAM'!C20+'REKAPAN CHAMP SAPI'!C20+'REKAPAN CHAMP OTAK-OTAK'!C20+'REKAPAN FIESTA'!C20</f>
        <v>11563.39</v>
      </c>
      <c r="D22" s="8">
        <f>+'REKAPAN CHAMP AYAM'!D20+'REKAPAN OKEY AYAM'!D20+'REKAPAN CHAMP SAPI'!D20+'REKAPAN CHAMP OTAK-OTAK'!D20+'REKAPAN FIESTA'!D20</f>
        <v>0</v>
      </c>
      <c r="E22" s="8">
        <f>+'REKAPAN CHAMP AYAM'!E20+'REKAPAN OKEY AYAM'!E20+'REKAPAN CHAMP SAPI'!E20+'REKAPAN CHAMP OTAK-OTAK'!E20+'REKAPAN FIESTA'!E20</f>
        <v>17.53</v>
      </c>
      <c r="F22" s="8">
        <f>+'REKAPAN CHAMP AYAM'!F20+'REKAPAN OKEY AYAM'!F20+'REKAPAN CHAMP SAPI'!F20+'REKAPAN CHAMP OTAK-OTAK'!F20+'REKAPAN FIESTA'!F20</f>
        <v>34.849999999999994</v>
      </c>
      <c r="G22" s="8">
        <f>+'REKAPAN CHAMP AYAM'!G20+'REKAPAN OKEY AYAM'!G20+'REKAPAN CHAMP SAPI'!G20+'REKAPAN CHAMP OTAK-OTAK'!G20+'REKAPAN FIESTA'!G20</f>
        <v>2.27</v>
      </c>
      <c r="H22" s="8">
        <f>+'REKAPAN CHAMP AYAM'!H20+'REKAPAN OKEY AYAM'!H20+'REKAPAN CHAMP SAPI'!H20+'REKAPAN CHAMP OTAK-OTAK'!H20+'REKAPAN FIESTA'!H20</f>
        <v>0.76</v>
      </c>
      <c r="I22" s="8">
        <f>+'REKAPAN CHAMP AYAM'!I20+'REKAPAN OKEY AYAM'!I20+'REKAPAN CHAMP SAPI'!I20+'REKAPAN CHAMP OTAK-OTAK'!I20+'REKAPAN FIESTA'!I20</f>
        <v>36.04</v>
      </c>
      <c r="J22" s="8">
        <f>+'REKAPAN CHAMP AYAM'!J20+'REKAPAN OKEY AYAM'!J20+'REKAPAN CHAMP SAPI'!J20+'REKAPAN CHAMP OTAK-OTAK'!J20+'REKAPAN FIESTA'!J20</f>
        <v>2.9499999999999997</v>
      </c>
      <c r="K22" s="8">
        <f>+'REKAPAN CHAMP AYAM'!K20+'REKAPAN OKEY AYAM'!K20+'REKAPAN CHAMP SAPI'!K20+'REKAPAN CHAMP OTAK-OTAK'!K20+'REKAPAN FIESTA'!K20</f>
        <v>0</v>
      </c>
      <c r="L22" s="8">
        <f>+'REKAPAN CHAMP AYAM'!L20+'REKAPAN OKEY AYAM'!L20+'REKAPAN CHAMP SAPI'!L20+'REKAPAN CHAMP OTAK-OTAK'!L20+'REKAPAN FIESTA'!L20</f>
        <v>6.48</v>
      </c>
      <c r="M22" s="8">
        <f>+'REKAPAN CHAMP AYAM'!M20+'REKAPAN OKEY AYAM'!M20+'REKAPAN CHAMP SAPI'!M20+'REKAPAN CHAMP OTAK-OTAK'!M20+'REKAPAN FIESTA'!M20</f>
        <v>1.9500000000000002</v>
      </c>
      <c r="N22" s="8">
        <f>+'REKAPAN CHAMP AYAM'!N20+'REKAPAN OKEY AYAM'!N20+'REKAPAN CHAMP SAPI'!N20+'REKAPAN CHAMP OTAK-OTAK'!N20+'REKAPAN FIESTA'!N20</f>
        <v>11.95</v>
      </c>
      <c r="O22" s="8">
        <f>+'REKAPAN CHAMP AYAM'!O20+'REKAPAN OKEY AYAM'!O20+'REKAPAN CHAMP SAPI'!O20+'REKAPAN CHAMP OTAK-OTAK'!O20+'REKAPAN FIESTA'!O20</f>
        <v>0</v>
      </c>
      <c r="P22" s="8">
        <f>+'REKAPAN CHAMP AYAM'!P20+'REKAPAN OKEY AYAM'!P20+'REKAPAN CHAMP SAPI'!P20+'REKAPAN CHAMP OTAK-OTAK'!P20+'REKAPAN FIESTA'!P20</f>
        <v>0.4</v>
      </c>
      <c r="Q22" s="8">
        <f>+'REKAPAN CHAMP AYAM'!Q20+'REKAPAN OKEY AYAM'!Q20+'REKAPAN CHAMP SAPI'!Q20+'REKAPAN CHAMP OTAK-OTAK'!Q20+'REKAPAN FIESTA'!Q20</f>
        <v>0</v>
      </c>
      <c r="R22" s="8">
        <f>+'REKAPAN CHAMP AYAM'!R20+'REKAPAN OKEY AYAM'!R20+'REKAPAN CHAMP SAPI'!R20+'REKAPAN CHAMP OTAK-OTAK'!R20+'REKAPAN FIESTA'!R20</f>
        <v>0</v>
      </c>
      <c r="S22" s="8">
        <f>+'REKAPAN CHAMP AYAM'!S20+'REKAPAN OKEY AYAM'!S20+'REKAPAN CHAMP SAPI'!S20+'REKAPAN CHAMP OTAK-OTAK'!S20+'REKAPAN FIESTA'!S20</f>
        <v>0</v>
      </c>
      <c r="T22" s="8">
        <f>+'REKAPAN CHAMP AYAM'!T20+'REKAPAN OKEY AYAM'!T20+'REKAPAN CHAMP SAPI'!T20+'REKAPAN CHAMP OTAK-OTAK'!T20+'REKAPAN FIESTA'!T20</f>
        <v>0</v>
      </c>
      <c r="U22" s="8">
        <f>+'REKAPAN CHAMP AYAM'!U20+'REKAPAN OKEY AYAM'!U20+'REKAPAN CHAMP SAPI'!U20+'REKAPAN CHAMP OTAK-OTAK'!U20+'REKAPAN FIESTA'!U20</f>
        <v>0</v>
      </c>
      <c r="V22" s="8">
        <f>+'REKAPAN CHAMP AYAM'!V20+'REKAPAN OKEY AYAM'!V20+'REKAPAN CHAMP SAPI'!V20+'REKAPAN CHAMP OTAK-OTAK'!V20+'REKAPAN FIESTA'!V20</f>
        <v>0</v>
      </c>
      <c r="W22" s="59">
        <f t="shared" si="0"/>
        <v>115.18</v>
      </c>
      <c r="X22" s="60">
        <f t="shared" ca="1" si="1"/>
        <v>328.89200000000011</v>
      </c>
      <c r="Y22" s="287">
        <f t="shared" ca="1" si="2"/>
        <v>9.5923684788675589E-3</v>
      </c>
    </row>
    <row r="23" spans="1:25">
      <c r="A23" s="7">
        <f t="shared" si="3"/>
        <v>46221</v>
      </c>
      <c r="B23" s="8">
        <f ca="1">+'REKAPAN CHAMP AYAM'!B21+'REKAPAN OKEY AYAM'!B21+'REKAPAN CHAMP SAPI'!B21+'REKAPAN CHAMP OTAK-OTAK'!B21+'REKAPAN FIESTA'!B21</f>
        <v>0</v>
      </c>
      <c r="C23" s="8">
        <f>+'REKAPAN CHAMP AYAM'!C21+'REKAPAN OKEY AYAM'!C21+'REKAPAN CHAMP SAPI'!C21+'REKAPAN CHAMP OTAK-OTAK'!C21+'REKAPAN FIESTA'!C21</f>
        <v>0</v>
      </c>
      <c r="D23" s="8">
        <f>+'REKAPAN CHAMP AYAM'!D21+'REKAPAN OKEY AYAM'!D21+'REKAPAN CHAMP SAPI'!D21+'REKAPAN CHAMP OTAK-OTAK'!D21+'REKAPAN FIESTA'!D21</f>
        <v>0</v>
      </c>
      <c r="E23" s="8">
        <f>+'REKAPAN CHAMP AYAM'!E21+'REKAPAN OKEY AYAM'!E21+'REKAPAN CHAMP SAPI'!E21+'REKAPAN CHAMP OTAK-OTAK'!E21+'REKAPAN FIESTA'!E21</f>
        <v>0</v>
      </c>
      <c r="F23" s="8">
        <f>+'REKAPAN CHAMP AYAM'!F21+'REKAPAN OKEY AYAM'!F21+'REKAPAN CHAMP SAPI'!F21+'REKAPAN CHAMP OTAK-OTAK'!F21+'REKAPAN FIESTA'!F21</f>
        <v>0</v>
      </c>
      <c r="G23" s="8">
        <f>+'REKAPAN CHAMP AYAM'!G21+'REKAPAN OKEY AYAM'!G21+'REKAPAN CHAMP SAPI'!G21+'REKAPAN CHAMP OTAK-OTAK'!G21+'REKAPAN FIESTA'!G21</f>
        <v>0</v>
      </c>
      <c r="H23" s="8">
        <f>+'REKAPAN CHAMP AYAM'!H21+'REKAPAN OKEY AYAM'!H21+'REKAPAN CHAMP SAPI'!H21+'REKAPAN CHAMP OTAK-OTAK'!H21+'REKAPAN FIESTA'!H21</f>
        <v>0</v>
      </c>
      <c r="I23" s="8">
        <f>+'REKAPAN CHAMP AYAM'!I21+'REKAPAN OKEY AYAM'!I21+'REKAPAN CHAMP SAPI'!I21+'REKAPAN CHAMP OTAK-OTAK'!I21+'REKAPAN FIESTA'!I21</f>
        <v>0</v>
      </c>
      <c r="J23" s="8">
        <f>+'REKAPAN CHAMP AYAM'!J21+'REKAPAN OKEY AYAM'!J21+'REKAPAN CHAMP SAPI'!J21+'REKAPAN CHAMP OTAK-OTAK'!J21+'REKAPAN FIESTA'!J21</f>
        <v>0</v>
      </c>
      <c r="K23" s="8">
        <f>+'REKAPAN CHAMP AYAM'!K21+'REKAPAN OKEY AYAM'!K21+'REKAPAN CHAMP SAPI'!K21+'REKAPAN CHAMP OTAK-OTAK'!K21+'REKAPAN FIESTA'!K21</f>
        <v>0</v>
      </c>
      <c r="L23" s="8">
        <f>+'REKAPAN CHAMP AYAM'!L21+'REKAPAN OKEY AYAM'!L21+'REKAPAN CHAMP SAPI'!L21+'REKAPAN CHAMP OTAK-OTAK'!L21+'REKAPAN FIESTA'!L21</f>
        <v>0</v>
      </c>
      <c r="M23" s="8">
        <f>+'REKAPAN CHAMP AYAM'!M21+'REKAPAN OKEY AYAM'!M21+'REKAPAN CHAMP SAPI'!M21+'REKAPAN CHAMP OTAK-OTAK'!M21+'REKAPAN FIESTA'!M21</f>
        <v>0</v>
      </c>
      <c r="N23" s="8">
        <f>+'REKAPAN CHAMP AYAM'!N21+'REKAPAN OKEY AYAM'!N21+'REKAPAN CHAMP SAPI'!N21+'REKAPAN CHAMP OTAK-OTAK'!N21+'REKAPAN FIESTA'!N21</f>
        <v>0</v>
      </c>
      <c r="O23" s="8">
        <f>+'REKAPAN CHAMP AYAM'!O21+'REKAPAN OKEY AYAM'!O21+'REKAPAN CHAMP SAPI'!O21+'REKAPAN CHAMP OTAK-OTAK'!O21+'REKAPAN FIESTA'!O21</f>
        <v>0</v>
      </c>
      <c r="P23" s="8">
        <f>+'REKAPAN CHAMP AYAM'!P21+'REKAPAN OKEY AYAM'!P21+'REKAPAN CHAMP SAPI'!P21+'REKAPAN CHAMP OTAK-OTAK'!P21+'REKAPAN FIESTA'!P21</f>
        <v>0</v>
      </c>
      <c r="Q23" s="8">
        <f>+'REKAPAN CHAMP AYAM'!Q21+'REKAPAN OKEY AYAM'!Q21+'REKAPAN CHAMP SAPI'!Q21+'REKAPAN CHAMP OTAK-OTAK'!Q21+'REKAPAN FIESTA'!Q21</f>
        <v>0</v>
      </c>
      <c r="R23" s="8">
        <f>+'REKAPAN CHAMP AYAM'!R21+'REKAPAN OKEY AYAM'!R21+'REKAPAN CHAMP SAPI'!R21+'REKAPAN CHAMP OTAK-OTAK'!R21+'REKAPAN FIESTA'!R21</f>
        <v>0</v>
      </c>
      <c r="S23" s="8">
        <f>+'REKAPAN CHAMP AYAM'!S21+'REKAPAN OKEY AYAM'!S21+'REKAPAN CHAMP SAPI'!S21+'REKAPAN CHAMP OTAK-OTAK'!S21+'REKAPAN FIESTA'!S21</f>
        <v>0</v>
      </c>
      <c r="T23" s="8">
        <f>+'REKAPAN CHAMP AYAM'!T21+'REKAPAN OKEY AYAM'!T21+'REKAPAN CHAMP SAPI'!T21+'REKAPAN CHAMP OTAK-OTAK'!T21+'REKAPAN FIESTA'!T21</f>
        <v>0</v>
      </c>
      <c r="U23" s="8">
        <f>+'REKAPAN CHAMP AYAM'!U21+'REKAPAN OKEY AYAM'!U21+'REKAPAN CHAMP SAPI'!U21+'REKAPAN CHAMP OTAK-OTAK'!U21+'REKAPAN FIESTA'!U21</f>
        <v>0</v>
      </c>
      <c r="V23" s="8">
        <f>+'REKAPAN CHAMP AYAM'!V21+'REKAPAN OKEY AYAM'!V21+'REKAPAN CHAMP SAPI'!V21+'REKAPAN CHAMP OTAK-OTAK'!V21+'REKAPAN FIESTA'!V21</f>
        <v>0</v>
      </c>
      <c r="W23" s="59">
        <f t="shared" si="0"/>
        <v>0</v>
      </c>
      <c r="X23" s="60">
        <f t="shared" ca="1" si="1"/>
        <v>0</v>
      </c>
      <c r="Y23" s="287" t="e">
        <f t="shared" ca="1" si="2"/>
        <v>#DIV/0!</v>
      </c>
    </row>
    <row r="24" spans="1:25">
      <c r="A24" s="7">
        <f t="shared" si="3"/>
        <v>46222</v>
      </c>
      <c r="B24" s="8">
        <f ca="1">+'REKAPAN CHAMP AYAM'!B22+'REKAPAN OKEY AYAM'!B22+'REKAPAN CHAMP SAPI'!B22+'REKAPAN CHAMP OTAK-OTAK'!B22+'REKAPAN FIESTA'!B22</f>
        <v>0</v>
      </c>
      <c r="C24" s="8">
        <f>+'REKAPAN CHAMP AYAM'!C22+'REKAPAN OKEY AYAM'!C22+'REKAPAN CHAMP SAPI'!C22+'REKAPAN CHAMP OTAK-OTAK'!C22+'REKAPAN FIESTA'!C22</f>
        <v>0</v>
      </c>
      <c r="D24" s="8">
        <f>+'REKAPAN CHAMP AYAM'!D22+'REKAPAN OKEY AYAM'!D22+'REKAPAN CHAMP SAPI'!D22+'REKAPAN CHAMP OTAK-OTAK'!D22+'REKAPAN FIESTA'!D22</f>
        <v>0</v>
      </c>
      <c r="E24" s="8">
        <f>+'REKAPAN CHAMP AYAM'!E22+'REKAPAN OKEY AYAM'!E22+'REKAPAN CHAMP SAPI'!E22+'REKAPAN CHAMP OTAK-OTAK'!E22+'REKAPAN FIESTA'!E22</f>
        <v>0</v>
      </c>
      <c r="F24" s="8">
        <f>+'REKAPAN CHAMP AYAM'!F22+'REKAPAN OKEY AYAM'!F22+'REKAPAN CHAMP SAPI'!F22+'REKAPAN CHAMP OTAK-OTAK'!F22+'REKAPAN FIESTA'!F22</f>
        <v>0</v>
      </c>
      <c r="G24" s="8">
        <f>+'REKAPAN CHAMP AYAM'!G22+'REKAPAN OKEY AYAM'!G22+'REKAPAN CHAMP SAPI'!G22+'REKAPAN CHAMP OTAK-OTAK'!G22+'REKAPAN FIESTA'!G22</f>
        <v>0</v>
      </c>
      <c r="H24" s="8">
        <f>+'REKAPAN CHAMP AYAM'!H22+'REKAPAN OKEY AYAM'!H22+'REKAPAN CHAMP SAPI'!H22+'REKAPAN CHAMP OTAK-OTAK'!H22+'REKAPAN FIESTA'!H22</f>
        <v>0</v>
      </c>
      <c r="I24" s="8">
        <f>+'REKAPAN CHAMP AYAM'!I22+'REKAPAN OKEY AYAM'!I22+'REKAPAN CHAMP SAPI'!I22+'REKAPAN CHAMP OTAK-OTAK'!I22+'REKAPAN FIESTA'!I22</f>
        <v>0</v>
      </c>
      <c r="J24" s="8">
        <f>+'REKAPAN CHAMP AYAM'!J22+'REKAPAN OKEY AYAM'!J22+'REKAPAN CHAMP SAPI'!J22+'REKAPAN CHAMP OTAK-OTAK'!J22+'REKAPAN FIESTA'!J22</f>
        <v>0</v>
      </c>
      <c r="K24" s="8">
        <f>+'REKAPAN CHAMP AYAM'!K22+'REKAPAN OKEY AYAM'!K22+'REKAPAN CHAMP SAPI'!K22+'REKAPAN CHAMP OTAK-OTAK'!K22+'REKAPAN FIESTA'!K22</f>
        <v>0</v>
      </c>
      <c r="L24" s="8">
        <f>+'REKAPAN CHAMP AYAM'!L22+'REKAPAN OKEY AYAM'!L22+'REKAPAN CHAMP SAPI'!L22+'REKAPAN CHAMP OTAK-OTAK'!L22+'REKAPAN FIESTA'!L22</f>
        <v>0</v>
      </c>
      <c r="M24" s="8">
        <f>+'REKAPAN CHAMP AYAM'!M22+'REKAPAN OKEY AYAM'!M22+'REKAPAN CHAMP SAPI'!M22+'REKAPAN CHAMP OTAK-OTAK'!M22+'REKAPAN FIESTA'!M22</f>
        <v>0</v>
      </c>
      <c r="N24" s="8">
        <f>+'REKAPAN CHAMP AYAM'!N22+'REKAPAN OKEY AYAM'!N22+'REKAPAN CHAMP SAPI'!N22+'REKAPAN CHAMP OTAK-OTAK'!N22+'REKAPAN FIESTA'!N22</f>
        <v>0</v>
      </c>
      <c r="O24" s="8">
        <f>+'REKAPAN CHAMP AYAM'!O22+'REKAPAN OKEY AYAM'!O22+'REKAPAN CHAMP SAPI'!O22+'REKAPAN CHAMP OTAK-OTAK'!O22+'REKAPAN FIESTA'!O22</f>
        <v>0</v>
      </c>
      <c r="P24" s="8">
        <f>+'REKAPAN CHAMP AYAM'!P22+'REKAPAN OKEY AYAM'!P22+'REKAPAN CHAMP SAPI'!P22+'REKAPAN CHAMP OTAK-OTAK'!P22+'REKAPAN FIESTA'!P22</f>
        <v>0</v>
      </c>
      <c r="Q24" s="8">
        <f>+'REKAPAN CHAMP AYAM'!Q22+'REKAPAN OKEY AYAM'!Q22+'REKAPAN CHAMP SAPI'!Q22+'REKAPAN CHAMP OTAK-OTAK'!Q22+'REKAPAN FIESTA'!Q22</f>
        <v>0</v>
      </c>
      <c r="R24" s="8">
        <f>+'REKAPAN CHAMP AYAM'!R22+'REKAPAN OKEY AYAM'!R22+'REKAPAN CHAMP SAPI'!R22+'REKAPAN CHAMP OTAK-OTAK'!R22+'REKAPAN FIESTA'!R22</f>
        <v>0</v>
      </c>
      <c r="S24" s="8">
        <f>+'REKAPAN CHAMP AYAM'!S22+'REKAPAN OKEY AYAM'!S22+'REKAPAN CHAMP SAPI'!S22+'REKAPAN CHAMP OTAK-OTAK'!S22+'REKAPAN FIESTA'!S22</f>
        <v>0</v>
      </c>
      <c r="T24" s="8">
        <f>+'REKAPAN CHAMP AYAM'!T22+'REKAPAN OKEY AYAM'!T22+'REKAPAN CHAMP SAPI'!T22+'REKAPAN CHAMP OTAK-OTAK'!T22+'REKAPAN FIESTA'!T22</f>
        <v>0</v>
      </c>
      <c r="U24" s="8">
        <f>+'REKAPAN CHAMP AYAM'!U22+'REKAPAN OKEY AYAM'!U22+'REKAPAN CHAMP SAPI'!U22+'REKAPAN CHAMP OTAK-OTAK'!U22+'REKAPAN FIESTA'!U22</f>
        <v>0</v>
      </c>
      <c r="V24" s="8">
        <f>+'REKAPAN CHAMP AYAM'!V22+'REKAPAN OKEY AYAM'!V22+'REKAPAN CHAMP SAPI'!V22+'REKAPAN CHAMP OTAK-OTAK'!V22+'REKAPAN FIESTA'!V22</f>
        <v>0</v>
      </c>
      <c r="W24" s="59">
        <f t="shared" si="0"/>
        <v>0</v>
      </c>
      <c r="X24" s="60">
        <f t="shared" ca="1" si="1"/>
        <v>0</v>
      </c>
      <c r="Y24" s="287" t="e">
        <f t="shared" ca="1" si="2"/>
        <v>#DIV/0!</v>
      </c>
    </row>
    <row r="25" spans="1:25">
      <c r="A25" s="7">
        <f t="shared" si="3"/>
        <v>46223</v>
      </c>
      <c r="B25" s="8">
        <f ca="1">+'REKAPAN CHAMP AYAM'!B23+'REKAPAN OKEY AYAM'!B23+'REKAPAN CHAMP SAPI'!B23+'REKAPAN CHAMP OTAK-OTAK'!B23+'REKAPAN FIESTA'!B23</f>
        <v>1553.875</v>
      </c>
      <c r="C25" s="8">
        <f>+'REKAPAN CHAMP AYAM'!C23+'REKAPAN OKEY AYAM'!C23+'REKAPAN CHAMP SAPI'!C23+'REKAPAN CHAMP OTAK-OTAK'!C23+'REKAPAN FIESTA'!C23</f>
        <v>1488</v>
      </c>
      <c r="D25" s="8">
        <f>+'REKAPAN CHAMP AYAM'!D23+'REKAPAN OKEY AYAM'!D23+'REKAPAN CHAMP SAPI'!D23+'REKAPAN CHAMP OTAK-OTAK'!D23+'REKAPAN FIESTA'!D23</f>
        <v>0</v>
      </c>
      <c r="E25" s="8">
        <f>+'REKAPAN CHAMP AYAM'!E23+'REKAPAN OKEY AYAM'!E23+'REKAPAN CHAMP SAPI'!E23+'REKAPAN CHAMP OTAK-OTAK'!E23+'REKAPAN FIESTA'!E23</f>
        <v>1.5</v>
      </c>
      <c r="F25" s="8">
        <f>+'REKAPAN CHAMP AYAM'!F23+'REKAPAN OKEY AYAM'!F23+'REKAPAN CHAMP SAPI'!F23+'REKAPAN CHAMP OTAK-OTAK'!F23+'REKAPAN FIESTA'!F23</f>
        <v>1.4</v>
      </c>
      <c r="G25" s="8">
        <f>+'REKAPAN CHAMP AYAM'!G23+'REKAPAN OKEY AYAM'!G23+'REKAPAN CHAMP SAPI'!G23+'REKAPAN CHAMP OTAK-OTAK'!G23+'REKAPAN FIESTA'!G23</f>
        <v>2.2000000000000002</v>
      </c>
      <c r="H25" s="8">
        <f>+'REKAPAN CHAMP AYAM'!H23+'REKAPAN OKEY AYAM'!H23+'REKAPAN CHAMP SAPI'!H23+'REKAPAN CHAMP OTAK-OTAK'!H23+'REKAPAN FIESTA'!H23</f>
        <v>0</v>
      </c>
      <c r="I25" s="8">
        <f>+'REKAPAN CHAMP AYAM'!I23+'REKAPAN OKEY AYAM'!I23+'REKAPAN CHAMP SAPI'!I23+'REKAPAN CHAMP OTAK-OTAK'!I23+'REKAPAN FIESTA'!I23</f>
        <v>3</v>
      </c>
      <c r="J25" s="8">
        <f>+'REKAPAN CHAMP AYAM'!J23+'REKAPAN OKEY AYAM'!J23+'REKAPAN CHAMP SAPI'!J23+'REKAPAN CHAMP OTAK-OTAK'!J23+'REKAPAN FIESTA'!J23</f>
        <v>0.37</v>
      </c>
      <c r="K25" s="8">
        <f>+'REKAPAN CHAMP AYAM'!K23+'REKAPAN OKEY AYAM'!K23+'REKAPAN CHAMP SAPI'!K23+'REKAPAN CHAMP OTAK-OTAK'!K23+'REKAPAN FIESTA'!K23</f>
        <v>0</v>
      </c>
      <c r="L25" s="8">
        <f>+'REKAPAN CHAMP AYAM'!L23+'REKAPAN OKEY AYAM'!L23+'REKAPAN CHAMP SAPI'!L23+'REKAPAN CHAMP OTAK-OTAK'!L23+'REKAPAN FIESTA'!L23</f>
        <v>0.68</v>
      </c>
      <c r="M25" s="8">
        <f>+'REKAPAN CHAMP AYAM'!M23+'REKAPAN OKEY AYAM'!M23+'REKAPAN CHAMP SAPI'!M23+'REKAPAN CHAMP OTAK-OTAK'!M23+'REKAPAN FIESTA'!M23</f>
        <v>2.2999999999999998</v>
      </c>
      <c r="N25" s="8">
        <f>+'REKAPAN CHAMP AYAM'!N23+'REKAPAN OKEY AYAM'!N23+'REKAPAN CHAMP SAPI'!N23+'REKAPAN CHAMP OTAK-OTAK'!N23+'REKAPAN FIESTA'!N23</f>
        <v>0.9</v>
      </c>
      <c r="O25" s="8">
        <f>+'REKAPAN CHAMP AYAM'!O23+'REKAPAN OKEY AYAM'!O23+'REKAPAN CHAMP SAPI'!O23+'REKAPAN CHAMP OTAK-OTAK'!O23+'REKAPAN FIESTA'!O23</f>
        <v>0</v>
      </c>
      <c r="P25" s="8">
        <f>+'REKAPAN CHAMP AYAM'!P23+'REKAPAN OKEY AYAM'!P23+'REKAPAN CHAMP SAPI'!P23+'REKAPAN CHAMP OTAK-OTAK'!P23+'REKAPAN FIESTA'!P23</f>
        <v>0</v>
      </c>
      <c r="Q25" s="8">
        <f>+'REKAPAN CHAMP AYAM'!Q23+'REKAPAN OKEY AYAM'!Q23+'REKAPAN CHAMP SAPI'!Q23+'REKAPAN CHAMP OTAK-OTAK'!Q23+'REKAPAN FIESTA'!Q23</f>
        <v>0</v>
      </c>
      <c r="R25" s="8">
        <f>+'REKAPAN CHAMP AYAM'!R23+'REKAPAN OKEY AYAM'!R23+'REKAPAN CHAMP SAPI'!R23+'REKAPAN CHAMP OTAK-OTAK'!R23+'REKAPAN FIESTA'!R23</f>
        <v>0</v>
      </c>
      <c r="S25" s="8">
        <f>+'REKAPAN CHAMP AYAM'!S23+'REKAPAN OKEY AYAM'!S23+'REKAPAN CHAMP SAPI'!S23+'REKAPAN CHAMP OTAK-OTAK'!S23+'REKAPAN FIESTA'!S23</f>
        <v>0</v>
      </c>
      <c r="T25" s="8">
        <f>+'REKAPAN CHAMP AYAM'!T23+'REKAPAN OKEY AYAM'!T23+'REKAPAN CHAMP SAPI'!T23+'REKAPAN CHAMP OTAK-OTAK'!T23+'REKAPAN FIESTA'!T23</f>
        <v>0</v>
      </c>
      <c r="U25" s="8">
        <f>+'REKAPAN CHAMP AYAM'!U23+'REKAPAN OKEY AYAM'!U23+'REKAPAN CHAMP SAPI'!U23+'REKAPAN CHAMP OTAK-OTAK'!U23+'REKAPAN FIESTA'!U23</f>
        <v>0</v>
      </c>
      <c r="V25" s="8">
        <f>+'REKAPAN CHAMP AYAM'!V23+'REKAPAN OKEY AYAM'!V23+'REKAPAN CHAMP SAPI'!V23+'REKAPAN CHAMP OTAK-OTAK'!V23+'REKAPAN FIESTA'!V23</f>
        <v>0</v>
      </c>
      <c r="W25" s="59">
        <f t="shared" si="0"/>
        <v>12.35</v>
      </c>
      <c r="X25" s="60">
        <f t="shared" ca="1" si="1"/>
        <v>53.524999999999999</v>
      </c>
      <c r="Y25" s="287">
        <f t="shared" ca="1" si="2"/>
        <v>7.947872254846753E-3</v>
      </c>
    </row>
    <row r="26" spans="1:25">
      <c r="A26" s="7">
        <f t="shared" si="3"/>
        <v>46224</v>
      </c>
      <c r="B26" s="8">
        <f ca="1">+'REKAPAN CHAMP AYAM'!B24+'REKAPAN OKEY AYAM'!B24+'REKAPAN CHAMP SAPI'!B24+'REKAPAN CHAMP OTAK-OTAK'!B24+'REKAPAN FIESTA'!B24</f>
        <v>14666.875</v>
      </c>
      <c r="C26" s="8">
        <f>+'REKAPAN CHAMP AYAM'!C24+'REKAPAN OKEY AYAM'!C24+'REKAPAN CHAMP SAPI'!C24+'REKAPAN CHAMP OTAK-OTAK'!C24+'REKAPAN FIESTA'!C24</f>
        <v>14147.625</v>
      </c>
      <c r="D26" s="8">
        <f>+'REKAPAN CHAMP AYAM'!D24+'REKAPAN OKEY AYAM'!D24+'REKAPAN CHAMP SAPI'!D24+'REKAPAN CHAMP OTAK-OTAK'!D24+'REKAPAN FIESTA'!D24</f>
        <v>193.75</v>
      </c>
      <c r="E26" s="8">
        <f>+'REKAPAN CHAMP AYAM'!E24+'REKAPAN OKEY AYAM'!E24+'REKAPAN CHAMP SAPI'!E24+'REKAPAN CHAMP OTAK-OTAK'!E24+'REKAPAN FIESTA'!E24</f>
        <v>11.38</v>
      </c>
      <c r="F26" s="8">
        <f>+'REKAPAN CHAMP AYAM'!F24+'REKAPAN OKEY AYAM'!F24+'REKAPAN CHAMP SAPI'!F24+'REKAPAN CHAMP OTAK-OTAK'!F24+'REKAPAN FIESTA'!F24</f>
        <v>34.89</v>
      </c>
      <c r="G26" s="8">
        <f>+'REKAPAN CHAMP AYAM'!G24+'REKAPAN OKEY AYAM'!G24+'REKAPAN CHAMP SAPI'!G24+'REKAPAN CHAMP OTAK-OTAK'!G24+'REKAPAN FIESTA'!G24</f>
        <v>2.4500000000000002</v>
      </c>
      <c r="H26" s="8">
        <f>+'REKAPAN CHAMP AYAM'!H24+'REKAPAN OKEY AYAM'!H24+'REKAPAN CHAMP SAPI'!H24+'REKAPAN CHAMP OTAK-OTAK'!H24+'REKAPAN FIESTA'!H24</f>
        <v>0</v>
      </c>
      <c r="I26" s="8">
        <f>+'REKAPAN CHAMP AYAM'!I24+'REKAPAN OKEY AYAM'!I24+'REKAPAN CHAMP SAPI'!I24+'REKAPAN CHAMP OTAK-OTAK'!I24+'REKAPAN FIESTA'!I24</f>
        <v>94.440000000000012</v>
      </c>
      <c r="J26" s="8">
        <f>+'REKAPAN CHAMP AYAM'!J24+'REKAPAN OKEY AYAM'!J24+'REKAPAN CHAMP SAPI'!J24+'REKAPAN CHAMP OTAK-OTAK'!J24+'REKAPAN FIESTA'!J24</f>
        <v>3</v>
      </c>
      <c r="K26" s="8">
        <f>+'REKAPAN CHAMP AYAM'!K24+'REKAPAN OKEY AYAM'!K24+'REKAPAN CHAMP SAPI'!K24+'REKAPAN CHAMP OTAK-OTAK'!K24+'REKAPAN FIESTA'!K24</f>
        <v>0</v>
      </c>
      <c r="L26" s="8">
        <f>+'REKAPAN CHAMP AYAM'!L24+'REKAPAN OKEY AYAM'!L24+'REKAPAN CHAMP SAPI'!L24+'REKAPAN CHAMP OTAK-OTAK'!L24+'REKAPAN FIESTA'!L24</f>
        <v>4.3500000000000005</v>
      </c>
      <c r="M26" s="8">
        <f>+'REKAPAN CHAMP AYAM'!M24+'REKAPAN OKEY AYAM'!M24+'REKAPAN CHAMP SAPI'!M24+'REKAPAN CHAMP OTAK-OTAK'!M24+'REKAPAN FIESTA'!M24</f>
        <v>1.96</v>
      </c>
      <c r="N26" s="8">
        <f>+'REKAPAN CHAMP AYAM'!N24+'REKAPAN OKEY AYAM'!N24+'REKAPAN CHAMP SAPI'!N24+'REKAPAN CHAMP OTAK-OTAK'!N24+'REKAPAN FIESTA'!N24</f>
        <v>17.05</v>
      </c>
      <c r="O26" s="8">
        <f>+'REKAPAN CHAMP AYAM'!O24+'REKAPAN OKEY AYAM'!O24+'REKAPAN CHAMP SAPI'!O24+'REKAPAN CHAMP OTAK-OTAK'!O24+'REKAPAN FIESTA'!O24</f>
        <v>0</v>
      </c>
      <c r="P26" s="8">
        <f>+'REKAPAN CHAMP AYAM'!P24+'REKAPAN OKEY AYAM'!P24+'REKAPAN CHAMP SAPI'!P24+'REKAPAN CHAMP OTAK-OTAK'!P24+'REKAPAN FIESTA'!P24</f>
        <v>0</v>
      </c>
      <c r="Q26" s="8">
        <f>+'REKAPAN CHAMP AYAM'!Q24+'REKAPAN OKEY AYAM'!Q24+'REKAPAN CHAMP SAPI'!Q24+'REKAPAN CHAMP OTAK-OTAK'!Q24+'REKAPAN FIESTA'!Q24</f>
        <v>0</v>
      </c>
      <c r="R26" s="8">
        <f>+'REKAPAN CHAMP AYAM'!R24+'REKAPAN OKEY AYAM'!R24+'REKAPAN CHAMP SAPI'!R24+'REKAPAN CHAMP OTAK-OTAK'!R24+'REKAPAN FIESTA'!R24</f>
        <v>0</v>
      </c>
      <c r="S26" s="8">
        <f>+'REKAPAN CHAMP AYAM'!S24+'REKAPAN OKEY AYAM'!S24+'REKAPAN CHAMP SAPI'!S24+'REKAPAN CHAMP OTAK-OTAK'!S24+'REKAPAN FIESTA'!S24</f>
        <v>0</v>
      </c>
      <c r="T26" s="8">
        <f>+'REKAPAN CHAMP AYAM'!T24+'REKAPAN OKEY AYAM'!T24+'REKAPAN CHAMP SAPI'!T24+'REKAPAN CHAMP OTAK-OTAK'!T24+'REKAPAN FIESTA'!T24</f>
        <v>0</v>
      </c>
      <c r="U26" s="8">
        <f>+'REKAPAN CHAMP AYAM'!U24+'REKAPAN OKEY AYAM'!U24+'REKAPAN CHAMP SAPI'!U24+'REKAPAN CHAMP OTAK-OTAK'!U24+'REKAPAN FIESTA'!U24</f>
        <v>0</v>
      </c>
      <c r="V26" s="8">
        <f>+'REKAPAN CHAMP AYAM'!V24+'REKAPAN OKEY AYAM'!V24+'REKAPAN CHAMP SAPI'!V24+'REKAPAN CHAMP OTAK-OTAK'!V24+'REKAPAN FIESTA'!V24</f>
        <v>0</v>
      </c>
      <c r="W26" s="59">
        <f t="shared" si="0"/>
        <v>169.52000000000004</v>
      </c>
      <c r="X26" s="60">
        <f t="shared" ca="1" si="1"/>
        <v>155.97999999999996</v>
      </c>
      <c r="Y26" s="287">
        <f t="shared" ca="1" si="2"/>
        <v>1.1558017641794864E-2</v>
      </c>
    </row>
    <row r="27" spans="1:25">
      <c r="A27" s="7">
        <f t="shared" si="3"/>
        <v>46225</v>
      </c>
      <c r="B27" s="8">
        <f ca="1">+'REKAPAN CHAMP AYAM'!B25+'REKAPAN OKEY AYAM'!B25+'REKAPAN CHAMP SAPI'!B25+'REKAPAN CHAMP OTAK-OTAK'!B25+'REKAPAN FIESTA'!B25</f>
        <v>13674.875</v>
      </c>
      <c r="C27" s="8">
        <f>+'REKAPAN CHAMP AYAM'!C25+'REKAPAN OKEY AYAM'!C25+'REKAPAN CHAMP SAPI'!C25+'REKAPAN CHAMP OTAK-OTAK'!C25+'REKAPAN FIESTA'!C25</f>
        <v>13229.25</v>
      </c>
      <c r="D27" s="8">
        <f>+'REKAPAN CHAMP AYAM'!D25+'REKAPAN OKEY AYAM'!D25+'REKAPAN CHAMP SAPI'!D25+'REKAPAN CHAMP OTAK-OTAK'!D25+'REKAPAN FIESTA'!D25</f>
        <v>135.625</v>
      </c>
      <c r="E27" s="8">
        <f>+'REKAPAN CHAMP AYAM'!E25+'REKAPAN OKEY AYAM'!E25+'REKAPAN CHAMP SAPI'!E25+'REKAPAN CHAMP OTAK-OTAK'!E25+'REKAPAN FIESTA'!E25</f>
        <v>15.649999999999999</v>
      </c>
      <c r="F27" s="8">
        <f>+'REKAPAN CHAMP AYAM'!F25+'REKAPAN OKEY AYAM'!F25+'REKAPAN CHAMP SAPI'!F25+'REKAPAN CHAMP OTAK-OTAK'!F25+'REKAPAN FIESTA'!F25</f>
        <v>26.099999999999998</v>
      </c>
      <c r="G27" s="8">
        <f>+'REKAPAN CHAMP AYAM'!G25+'REKAPAN OKEY AYAM'!G25+'REKAPAN CHAMP SAPI'!G25+'REKAPAN CHAMP OTAK-OTAK'!G25+'REKAPAN FIESTA'!G25</f>
        <v>0</v>
      </c>
      <c r="H27" s="8">
        <f>+'REKAPAN CHAMP AYAM'!H25+'REKAPAN OKEY AYAM'!H25+'REKAPAN CHAMP SAPI'!H25+'REKAPAN CHAMP OTAK-OTAK'!H25+'REKAPAN FIESTA'!H25</f>
        <v>0</v>
      </c>
      <c r="I27" s="8">
        <f>+'REKAPAN CHAMP AYAM'!I25+'REKAPAN OKEY AYAM'!I25+'REKAPAN CHAMP SAPI'!I25+'REKAPAN CHAMP OTAK-OTAK'!I25+'REKAPAN FIESTA'!I25</f>
        <v>42.470000000000006</v>
      </c>
      <c r="J27" s="8">
        <f>+'REKAPAN CHAMP AYAM'!J25+'REKAPAN OKEY AYAM'!J25+'REKAPAN CHAMP SAPI'!J25+'REKAPAN CHAMP OTAK-OTAK'!J25+'REKAPAN FIESTA'!J25</f>
        <v>1.83</v>
      </c>
      <c r="K27" s="8">
        <f>+'REKAPAN CHAMP AYAM'!K25+'REKAPAN OKEY AYAM'!K25+'REKAPAN CHAMP SAPI'!K25+'REKAPAN CHAMP OTAK-OTAK'!K25+'REKAPAN FIESTA'!K25</f>
        <v>0</v>
      </c>
      <c r="L27" s="8">
        <f>+'REKAPAN CHAMP AYAM'!L25+'REKAPAN OKEY AYAM'!L25+'REKAPAN CHAMP SAPI'!L25+'REKAPAN CHAMP OTAK-OTAK'!L25+'REKAPAN FIESTA'!L25</f>
        <v>6.66</v>
      </c>
      <c r="M27" s="8">
        <f>+'REKAPAN CHAMP AYAM'!M25+'REKAPAN OKEY AYAM'!M25+'REKAPAN CHAMP SAPI'!M25+'REKAPAN CHAMP OTAK-OTAK'!M25+'REKAPAN FIESTA'!M25</f>
        <v>0</v>
      </c>
      <c r="N27" s="8">
        <f>+'REKAPAN CHAMP AYAM'!N25+'REKAPAN OKEY AYAM'!N25+'REKAPAN CHAMP SAPI'!N25+'REKAPAN CHAMP OTAK-OTAK'!N25+'REKAPAN FIESTA'!N25</f>
        <v>9.6</v>
      </c>
      <c r="O27" s="8">
        <f>+'REKAPAN CHAMP AYAM'!O25+'REKAPAN OKEY AYAM'!O25+'REKAPAN CHAMP SAPI'!O25+'REKAPAN CHAMP OTAK-OTAK'!O25+'REKAPAN FIESTA'!O25</f>
        <v>0</v>
      </c>
      <c r="P27" s="8">
        <f>+'REKAPAN CHAMP AYAM'!P25+'REKAPAN OKEY AYAM'!P25+'REKAPAN CHAMP SAPI'!P25+'REKAPAN CHAMP OTAK-OTAK'!P25+'REKAPAN FIESTA'!P25</f>
        <v>0</v>
      </c>
      <c r="Q27" s="8">
        <f>+'REKAPAN CHAMP AYAM'!Q25+'REKAPAN OKEY AYAM'!Q25+'REKAPAN CHAMP SAPI'!Q25+'REKAPAN CHAMP OTAK-OTAK'!Q25+'REKAPAN FIESTA'!Q25</f>
        <v>0</v>
      </c>
      <c r="R27" s="8">
        <f>+'REKAPAN CHAMP AYAM'!R25+'REKAPAN OKEY AYAM'!R25+'REKAPAN CHAMP SAPI'!R25+'REKAPAN CHAMP OTAK-OTAK'!R25+'REKAPAN FIESTA'!R25</f>
        <v>0</v>
      </c>
      <c r="S27" s="8">
        <f>+'REKAPAN CHAMP AYAM'!S25+'REKAPAN OKEY AYAM'!S25+'REKAPAN CHAMP SAPI'!S25+'REKAPAN CHAMP OTAK-OTAK'!S25+'REKAPAN FIESTA'!S25</f>
        <v>0</v>
      </c>
      <c r="T27" s="8">
        <f>+'REKAPAN CHAMP AYAM'!T25+'REKAPAN OKEY AYAM'!T25+'REKAPAN CHAMP SAPI'!T25+'REKAPAN CHAMP OTAK-OTAK'!T25+'REKAPAN FIESTA'!T25</f>
        <v>0</v>
      </c>
      <c r="U27" s="8">
        <f>+'REKAPAN CHAMP AYAM'!U25+'REKAPAN OKEY AYAM'!U25+'REKAPAN CHAMP SAPI'!U25+'REKAPAN CHAMP OTAK-OTAK'!U25+'REKAPAN FIESTA'!U25</f>
        <v>0</v>
      </c>
      <c r="V27" s="8">
        <f>+'REKAPAN CHAMP AYAM'!V25+'REKAPAN OKEY AYAM'!V25+'REKAPAN CHAMP SAPI'!V25+'REKAPAN CHAMP OTAK-OTAK'!V25+'REKAPAN FIESTA'!V25</f>
        <v>0</v>
      </c>
      <c r="W27" s="59">
        <f t="shared" si="0"/>
        <v>102.30999999999999</v>
      </c>
      <c r="X27" s="60">
        <f t="shared" ca="1" si="1"/>
        <v>207.69</v>
      </c>
      <c r="Y27" s="287">
        <f t="shared" ca="1" si="2"/>
        <v>7.4816040365999681E-3</v>
      </c>
    </row>
    <row r="28" spans="1:25">
      <c r="A28" s="7">
        <f t="shared" si="3"/>
        <v>46226</v>
      </c>
      <c r="B28" s="8">
        <f ca="1">+'REKAPAN CHAMP AYAM'!B26+'REKAPAN OKEY AYAM'!B26+'REKAPAN CHAMP SAPI'!B26+'REKAPAN CHAMP OTAK-OTAK'!B26+'REKAPAN FIESTA'!B26</f>
        <v>16278.875</v>
      </c>
      <c r="C28" s="8">
        <f>+'REKAPAN CHAMP AYAM'!C26+'REKAPAN OKEY AYAM'!C26+'REKAPAN CHAMP SAPI'!C26+'REKAPAN CHAMP OTAK-OTAK'!C26+'REKAPAN FIESTA'!C26</f>
        <v>15399.25</v>
      </c>
      <c r="D28" s="8">
        <f>+'REKAPAN CHAMP AYAM'!D26+'REKAPAN OKEY AYAM'!D26+'REKAPAN CHAMP SAPI'!D26+'REKAPAN CHAMP OTAK-OTAK'!D26+'REKAPAN FIESTA'!D26</f>
        <v>151.125</v>
      </c>
      <c r="E28" s="8">
        <f>+'REKAPAN CHAMP AYAM'!E26+'REKAPAN OKEY AYAM'!E26+'REKAPAN CHAMP SAPI'!E26+'REKAPAN CHAMP OTAK-OTAK'!E26+'REKAPAN FIESTA'!E26</f>
        <v>22.34</v>
      </c>
      <c r="F28" s="8">
        <f>+'REKAPAN CHAMP AYAM'!F26+'REKAPAN OKEY AYAM'!F26+'REKAPAN CHAMP SAPI'!F26+'REKAPAN CHAMP OTAK-OTAK'!F26+'REKAPAN FIESTA'!F26</f>
        <v>30.5</v>
      </c>
      <c r="G28" s="8">
        <f>+'REKAPAN CHAMP AYAM'!G26+'REKAPAN OKEY AYAM'!G26+'REKAPAN CHAMP SAPI'!G26+'REKAPAN CHAMP OTAK-OTAK'!G26+'REKAPAN FIESTA'!G26</f>
        <v>0</v>
      </c>
      <c r="H28" s="8">
        <f>+'REKAPAN CHAMP AYAM'!H26+'REKAPAN OKEY AYAM'!H26+'REKAPAN CHAMP SAPI'!H26+'REKAPAN CHAMP OTAK-OTAK'!H26+'REKAPAN FIESTA'!H26</f>
        <v>0</v>
      </c>
      <c r="I28" s="8">
        <f>+'REKAPAN CHAMP AYAM'!I26+'REKAPAN OKEY AYAM'!I26+'REKAPAN CHAMP SAPI'!I26+'REKAPAN CHAMP OTAK-OTAK'!I26+'REKAPAN FIESTA'!I26</f>
        <v>60.379999999999995</v>
      </c>
      <c r="J28" s="8">
        <f>+'REKAPAN CHAMP AYAM'!J26+'REKAPAN OKEY AYAM'!J26+'REKAPAN CHAMP SAPI'!J26+'REKAPAN CHAMP OTAK-OTAK'!J26+'REKAPAN FIESTA'!J26</f>
        <v>1.9000000000000001</v>
      </c>
      <c r="K28" s="8">
        <f>+'REKAPAN CHAMP AYAM'!K26+'REKAPAN OKEY AYAM'!K26+'REKAPAN CHAMP SAPI'!K26+'REKAPAN CHAMP OTAK-OTAK'!K26+'REKAPAN FIESTA'!K26</f>
        <v>0</v>
      </c>
      <c r="L28" s="8">
        <f>+'REKAPAN CHAMP AYAM'!L26+'REKAPAN OKEY AYAM'!L26+'REKAPAN CHAMP SAPI'!L26+'REKAPAN CHAMP OTAK-OTAK'!L26+'REKAPAN FIESTA'!L26</f>
        <v>3.8000000000000003</v>
      </c>
      <c r="M28" s="8">
        <f>+'REKAPAN CHAMP AYAM'!M26+'REKAPAN OKEY AYAM'!M26+'REKAPAN CHAMP SAPI'!M26+'REKAPAN CHAMP OTAK-OTAK'!M26+'REKAPAN FIESTA'!M26</f>
        <v>0.84</v>
      </c>
      <c r="N28" s="8">
        <f>+'REKAPAN CHAMP AYAM'!N26+'REKAPAN OKEY AYAM'!N26+'REKAPAN CHAMP SAPI'!N26+'REKAPAN CHAMP OTAK-OTAK'!N26+'REKAPAN FIESTA'!N26</f>
        <v>19.350000000000001</v>
      </c>
      <c r="O28" s="8">
        <f>+'REKAPAN CHAMP AYAM'!O26+'REKAPAN OKEY AYAM'!O26+'REKAPAN CHAMP SAPI'!O26+'REKAPAN CHAMP OTAK-OTAK'!O26+'REKAPAN FIESTA'!O26</f>
        <v>1</v>
      </c>
      <c r="P28" s="8">
        <f>+'REKAPAN CHAMP AYAM'!P26+'REKAPAN OKEY AYAM'!P26+'REKAPAN CHAMP SAPI'!P26+'REKAPAN CHAMP OTAK-OTAK'!P26+'REKAPAN FIESTA'!P26</f>
        <v>0</v>
      </c>
      <c r="Q28" s="8">
        <f>+'REKAPAN CHAMP AYAM'!Q26+'REKAPAN OKEY AYAM'!Q26+'REKAPAN CHAMP SAPI'!Q26+'REKAPAN CHAMP OTAK-OTAK'!Q26+'REKAPAN FIESTA'!Q26</f>
        <v>0</v>
      </c>
      <c r="R28" s="8">
        <f>+'REKAPAN CHAMP AYAM'!R26+'REKAPAN OKEY AYAM'!R26+'REKAPAN CHAMP SAPI'!R26+'REKAPAN CHAMP OTAK-OTAK'!R26+'REKAPAN FIESTA'!R26</f>
        <v>0</v>
      </c>
      <c r="S28" s="8">
        <f>+'REKAPAN CHAMP AYAM'!S26+'REKAPAN OKEY AYAM'!S26+'REKAPAN CHAMP SAPI'!S26+'REKAPAN CHAMP OTAK-OTAK'!S26+'REKAPAN FIESTA'!S26</f>
        <v>0</v>
      </c>
      <c r="T28" s="8">
        <f>+'REKAPAN CHAMP AYAM'!T26+'REKAPAN OKEY AYAM'!T26+'REKAPAN CHAMP SAPI'!T26+'REKAPAN CHAMP OTAK-OTAK'!T26+'REKAPAN FIESTA'!T26</f>
        <v>0</v>
      </c>
      <c r="U28" s="8">
        <f>+'REKAPAN CHAMP AYAM'!U26+'REKAPAN OKEY AYAM'!U26+'REKAPAN CHAMP SAPI'!U26+'REKAPAN CHAMP OTAK-OTAK'!U26+'REKAPAN FIESTA'!U26</f>
        <v>0</v>
      </c>
      <c r="V28" s="8">
        <f>+'REKAPAN CHAMP AYAM'!V26+'REKAPAN OKEY AYAM'!V26+'REKAPAN CHAMP SAPI'!V26+'REKAPAN CHAMP OTAK-OTAK'!V26+'REKAPAN FIESTA'!V26</f>
        <v>0</v>
      </c>
      <c r="W28" s="59">
        <f t="shared" si="0"/>
        <v>140.11000000000001</v>
      </c>
      <c r="X28" s="60">
        <f t="shared" ca="1" si="1"/>
        <v>588.39</v>
      </c>
      <c r="Y28" s="287">
        <f t="shared" ca="1" si="2"/>
        <v>8.6068601177906965E-3</v>
      </c>
    </row>
    <row r="29" spans="1:25">
      <c r="A29" s="7">
        <f t="shared" si="3"/>
        <v>46227</v>
      </c>
      <c r="B29" s="8">
        <f ca="1">+'REKAPAN CHAMP AYAM'!B27+'REKAPAN OKEY AYAM'!B27+'REKAPAN CHAMP SAPI'!B27+'REKAPAN CHAMP OTAK-OTAK'!B27+'REKAPAN FIESTA'!B27</f>
        <v>14705.625</v>
      </c>
      <c r="C29" s="8">
        <f>+'REKAPAN CHAMP AYAM'!C27+'REKAPAN OKEY AYAM'!C27+'REKAPAN CHAMP SAPI'!C27+'REKAPAN CHAMP OTAK-OTAK'!C27+'REKAPAN FIESTA'!C27</f>
        <v>5335.875</v>
      </c>
      <c r="D29" s="8">
        <f>+'REKAPAN CHAMP AYAM'!D27+'REKAPAN OKEY AYAM'!D27+'REKAPAN CHAMP SAPI'!D27+'REKAPAN CHAMP OTAK-OTAK'!D27+'REKAPAN FIESTA'!D27</f>
        <v>81.375</v>
      </c>
      <c r="E29" s="8">
        <f>+'REKAPAN CHAMP AYAM'!E27+'REKAPAN OKEY AYAM'!E27+'REKAPAN CHAMP SAPI'!E27+'REKAPAN CHAMP OTAK-OTAK'!E27+'REKAPAN FIESTA'!E27</f>
        <v>24.789999999999996</v>
      </c>
      <c r="F29" s="8">
        <f>+'REKAPAN CHAMP AYAM'!F27+'REKAPAN OKEY AYAM'!F27+'REKAPAN CHAMP SAPI'!F27+'REKAPAN CHAMP OTAK-OTAK'!F27+'REKAPAN FIESTA'!F27</f>
        <v>34.910000000000004</v>
      </c>
      <c r="G29" s="8">
        <f>+'REKAPAN CHAMP AYAM'!G27+'REKAPAN OKEY AYAM'!G27+'REKAPAN CHAMP SAPI'!G27+'REKAPAN CHAMP OTAK-OTAK'!G27+'REKAPAN FIESTA'!G27</f>
        <v>0.1</v>
      </c>
      <c r="H29" s="8">
        <f>+'REKAPAN CHAMP AYAM'!H27+'REKAPAN OKEY AYAM'!H27+'REKAPAN CHAMP SAPI'!H27+'REKAPAN CHAMP OTAK-OTAK'!H27+'REKAPAN FIESTA'!H27</f>
        <v>0</v>
      </c>
      <c r="I29" s="8">
        <f>+'REKAPAN CHAMP AYAM'!I27+'REKAPAN OKEY AYAM'!I27+'REKAPAN CHAMP SAPI'!I27+'REKAPAN CHAMP OTAK-OTAK'!I27+'REKAPAN FIESTA'!I27</f>
        <v>59.16</v>
      </c>
      <c r="J29" s="8">
        <f>+'REKAPAN CHAMP AYAM'!J27+'REKAPAN OKEY AYAM'!J27+'REKAPAN CHAMP SAPI'!J27+'REKAPAN CHAMP OTAK-OTAK'!J27+'REKAPAN FIESTA'!J27</f>
        <v>0</v>
      </c>
      <c r="K29" s="8">
        <f>+'REKAPAN CHAMP AYAM'!K27+'REKAPAN OKEY AYAM'!K27+'REKAPAN CHAMP SAPI'!K27+'REKAPAN CHAMP OTAK-OTAK'!K27+'REKAPAN FIESTA'!K27</f>
        <v>0</v>
      </c>
      <c r="L29" s="8">
        <f>+'REKAPAN CHAMP AYAM'!L27+'REKAPAN OKEY AYAM'!L27+'REKAPAN CHAMP SAPI'!L27+'REKAPAN CHAMP OTAK-OTAK'!L27+'REKAPAN FIESTA'!L27</f>
        <v>5.74</v>
      </c>
      <c r="M29" s="8">
        <f>+'REKAPAN CHAMP AYAM'!M27+'REKAPAN OKEY AYAM'!M27+'REKAPAN CHAMP SAPI'!M27+'REKAPAN CHAMP OTAK-OTAK'!M27+'REKAPAN FIESTA'!M27</f>
        <v>20.900000000000002</v>
      </c>
      <c r="N29" s="8">
        <f>+'REKAPAN CHAMP AYAM'!N27+'REKAPAN OKEY AYAM'!N27+'REKAPAN CHAMP SAPI'!N27+'REKAPAN CHAMP OTAK-OTAK'!N27+'REKAPAN FIESTA'!N27</f>
        <v>19</v>
      </c>
      <c r="O29" s="8">
        <f>+'REKAPAN CHAMP AYAM'!O27+'REKAPAN OKEY AYAM'!O27+'REKAPAN CHAMP SAPI'!O27+'REKAPAN CHAMP OTAK-OTAK'!O27+'REKAPAN FIESTA'!O27</f>
        <v>0</v>
      </c>
      <c r="P29" s="8">
        <f>+'REKAPAN CHAMP AYAM'!P27+'REKAPAN OKEY AYAM'!P27+'REKAPAN CHAMP SAPI'!P27+'REKAPAN CHAMP OTAK-OTAK'!P27+'REKAPAN FIESTA'!P27</f>
        <v>0</v>
      </c>
      <c r="Q29" s="8">
        <f>+'REKAPAN CHAMP AYAM'!Q27+'REKAPAN OKEY AYAM'!Q27+'REKAPAN CHAMP SAPI'!Q27+'REKAPAN CHAMP OTAK-OTAK'!Q27+'REKAPAN FIESTA'!Q27</f>
        <v>0</v>
      </c>
      <c r="R29" s="8">
        <f>+'REKAPAN CHAMP AYAM'!R27+'REKAPAN OKEY AYAM'!R27+'REKAPAN CHAMP SAPI'!R27+'REKAPAN CHAMP OTAK-OTAK'!R27+'REKAPAN FIESTA'!R27</f>
        <v>0</v>
      </c>
      <c r="S29" s="8">
        <f>+'REKAPAN CHAMP AYAM'!S27+'REKAPAN OKEY AYAM'!S27+'REKAPAN CHAMP SAPI'!S27+'REKAPAN CHAMP OTAK-OTAK'!S27+'REKAPAN FIESTA'!S27</f>
        <v>0</v>
      </c>
      <c r="T29" s="8">
        <f>+'REKAPAN CHAMP AYAM'!T27+'REKAPAN OKEY AYAM'!T27+'REKAPAN CHAMP SAPI'!T27+'REKAPAN CHAMP OTAK-OTAK'!T27+'REKAPAN FIESTA'!T27</f>
        <v>0</v>
      </c>
      <c r="U29" s="8">
        <f>+'REKAPAN CHAMP AYAM'!U27+'REKAPAN OKEY AYAM'!U27+'REKAPAN CHAMP SAPI'!U27+'REKAPAN CHAMP OTAK-OTAK'!U27+'REKAPAN FIESTA'!U27</f>
        <v>0</v>
      </c>
      <c r="V29" s="8">
        <f>+'REKAPAN CHAMP AYAM'!V27+'REKAPAN OKEY AYAM'!V27+'REKAPAN CHAMP SAPI'!V27+'REKAPAN CHAMP OTAK-OTAK'!V27+'REKAPAN FIESTA'!V27</f>
        <v>0</v>
      </c>
      <c r="W29" s="59">
        <f>SUM(E29:V29)</f>
        <v>164.6</v>
      </c>
      <c r="X29" s="60">
        <f t="shared" ca="1" si="1"/>
        <v>9123.7749999999996</v>
      </c>
      <c r="Y29" s="287">
        <f t="shared" ca="1" si="2"/>
        <v>1.1192995877427855E-2</v>
      </c>
    </row>
    <row r="30" spans="1:25">
      <c r="A30" s="7">
        <f t="shared" si="3"/>
        <v>46228</v>
      </c>
      <c r="B30" s="8">
        <f ca="1">+'REKAPAN CHAMP AYAM'!B28+'REKAPAN OKEY AYAM'!B28+'REKAPAN CHAMP SAPI'!B28+'REKAPAN CHAMP OTAK-OTAK'!B28+'REKAPAN FIESTA'!B28</f>
        <v>12741</v>
      </c>
      <c r="C30" s="8">
        <f>+'REKAPAN CHAMP AYAM'!C28+'REKAPAN OKEY AYAM'!C28+'REKAPAN CHAMP SAPI'!C28+'REKAPAN CHAMP OTAK-OTAK'!C28+'REKAPAN FIESTA'!C28</f>
        <v>2557.5</v>
      </c>
      <c r="D30" s="8">
        <f>+'REKAPAN CHAMP AYAM'!D28+'REKAPAN OKEY AYAM'!D28+'REKAPAN CHAMP SAPI'!D28+'REKAPAN CHAMP OTAK-OTAK'!D28+'REKAPAN FIESTA'!D28</f>
        <v>0</v>
      </c>
      <c r="E30" s="8">
        <f>+'REKAPAN CHAMP AYAM'!E28+'REKAPAN OKEY AYAM'!E28+'REKAPAN CHAMP SAPI'!E28+'REKAPAN CHAMP OTAK-OTAK'!E28+'REKAPAN FIESTA'!E28</f>
        <v>0.82</v>
      </c>
      <c r="F30" s="8">
        <f>+'REKAPAN CHAMP AYAM'!F28+'REKAPAN OKEY AYAM'!F28+'REKAPAN CHAMP SAPI'!F28+'REKAPAN CHAMP OTAK-OTAK'!F28+'REKAPAN FIESTA'!F28</f>
        <v>8.0599999999999987</v>
      </c>
      <c r="G30" s="8">
        <f>+'REKAPAN CHAMP AYAM'!G28+'REKAPAN OKEY AYAM'!G28+'REKAPAN CHAMP SAPI'!G28+'REKAPAN CHAMP OTAK-OTAK'!G28+'REKAPAN FIESTA'!G28</f>
        <v>0</v>
      </c>
      <c r="H30" s="8">
        <f>+'REKAPAN CHAMP AYAM'!H28+'REKAPAN OKEY AYAM'!H28+'REKAPAN CHAMP SAPI'!H28+'REKAPAN CHAMP OTAK-OTAK'!H28+'REKAPAN FIESTA'!H28</f>
        <v>0</v>
      </c>
      <c r="I30" s="8">
        <f>+'REKAPAN CHAMP AYAM'!I28+'REKAPAN OKEY AYAM'!I28+'REKAPAN CHAMP SAPI'!I28+'REKAPAN CHAMP OTAK-OTAK'!I28+'REKAPAN FIESTA'!I28</f>
        <v>14.36</v>
      </c>
      <c r="J30" s="8">
        <f>+'REKAPAN CHAMP AYAM'!J28+'REKAPAN OKEY AYAM'!J28+'REKAPAN CHAMP SAPI'!J28+'REKAPAN CHAMP OTAK-OTAK'!J28+'REKAPAN FIESTA'!J28</f>
        <v>0</v>
      </c>
      <c r="K30" s="8">
        <f>+'REKAPAN CHAMP AYAM'!K28+'REKAPAN OKEY AYAM'!K28+'REKAPAN CHAMP SAPI'!K28+'REKAPAN CHAMP OTAK-OTAK'!K28+'REKAPAN FIESTA'!K28</f>
        <v>0</v>
      </c>
      <c r="L30" s="8">
        <f>+'REKAPAN CHAMP AYAM'!L28+'REKAPAN OKEY AYAM'!L28+'REKAPAN CHAMP SAPI'!L28+'REKAPAN CHAMP OTAK-OTAK'!L28+'REKAPAN FIESTA'!L28</f>
        <v>0.38</v>
      </c>
      <c r="M30" s="8">
        <f>+'REKAPAN CHAMP AYAM'!M28+'REKAPAN OKEY AYAM'!M28+'REKAPAN CHAMP SAPI'!M28+'REKAPAN CHAMP OTAK-OTAK'!M28+'REKAPAN FIESTA'!M28</f>
        <v>0.86</v>
      </c>
      <c r="N30" s="8">
        <f>+'REKAPAN CHAMP AYAM'!N28+'REKAPAN OKEY AYAM'!N28+'REKAPAN CHAMP SAPI'!N28+'REKAPAN CHAMP OTAK-OTAK'!N28+'REKAPAN FIESTA'!N28</f>
        <v>2.2999999999999998</v>
      </c>
      <c r="O30" s="8">
        <f>+'REKAPAN CHAMP AYAM'!O28+'REKAPAN OKEY AYAM'!O28+'REKAPAN CHAMP SAPI'!O28+'REKAPAN CHAMP OTAK-OTAK'!O28+'REKAPAN FIESTA'!O28</f>
        <v>0</v>
      </c>
      <c r="P30" s="8">
        <f>+'REKAPAN CHAMP AYAM'!P28+'REKAPAN OKEY AYAM'!P28+'REKAPAN CHAMP SAPI'!P28+'REKAPAN CHAMP OTAK-OTAK'!P28+'REKAPAN FIESTA'!P28</f>
        <v>0</v>
      </c>
      <c r="Q30" s="8">
        <f>+'REKAPAN CHAMP AYAM'!Q28+'REKAPAN OKEY AYAM'!Q28+'REKAPAN CHAMP SAPI'!Q28+'REKAPAN CHAMP OTAK-OTAK'!Q28+'REKAPAN FIESTA'!Q28</f>
        <v>0</v>
      </c>
      <c r="R30" s="8">
        <f>+'REKAPAN CHAMP AYAM'!R28+'REKAPAN OKEY AYAM'!R28+'REKAPAN CHAMP SAPI'!R28+'REKAPAN CHAMP OTAK-OTAK'!R28+'REKAPAN FIESTA'!R28</f>
        <v>4.8</v>
      </c>
      <c r="S30" s="8">
        <f>+'REKAPAN CHAMP AYAM'!S28+'REKAPAN OKEY AYAM'!S28+'REKAPAN CHAMP SAPI'!S28+'REKAPAN CHAMP OTAK-OTAK'!S28+'REKAPAN FIESTA'!S28</f>
        <v>0</v>
      </c>
      <c r="T30" s="8">
        <f>+'REKAPAN CHAMP AYAM'!T28+'REKAPAN OKEY AYAM'!T28+'REKAPAN CHAMP SAPI'!T28+'REKAPAN CHAMP OTAK-OTAK'!T28+'REKAPAN FIESTA'!T28</f>
        <v>0</v>
      </c>
      <c r="U30" s="8">
        <f>+'REKAPAN CHAMP AYAM'!U28+'REKAPAN OKEY AYAM'!U28+'REKAPAN CHAMP SAPI'!U28+'REKAPAN CHAMP OTAK-OTAK'!U28+'REKAPAN FIESTA'!U28</f>
        <v>0</v>
      </c>
      <c r="V30" s="8">
        <f>+'REKAPAN CHAMP AYAM'!V28+'REKAPAN OKEY AYAM'!V28+'REKAPAN CHAMP SAPI'!V28+'REKAPAN CHAMP OTAK-OTAK'!V28+'REKAPAN FIESTA'!V28</f>
        <v>0</v>
      </c>
      <c r="W30" s="59">
        <f t="shared" si="0"/>
        <v>31.58</v>
      </c>
      <c r="X30" s="60">
        <f t="shared" ca="1" si="1"/>
        <v>10151.92</v>
      </c>
      <c r="Y30" s="287">
        <f t="shared" ca="1" si="2"/>
        <v>2.4786123538183815E-3</v>
      </c>
    </row>
    <row r="31" spans="1:25">
      <c r="A31" s="7">
        <f t="shared" si="3"/>
        <v>46229</v>
      </c>
      <c r="B31" s="8">
        <f ca="1">+'REKAPAN CHAMP AYAM'!B29+'REKAPAN OKEY AYAM'!B29+'REKAPAN CHAMP SAPI'!B29+'REKAPAN CHAMP OTAK-OTAK'!B29+'REKAPAN FIESTA'!B29</f>
        <v>0</v>
      </c>
      <c r="C31" s="8">
        <f>+'REKAPAN CHAMP AYAM'!C29+'REKAPAN OKEY AYAM'!C29+'REKAPAN CHAMP SAPI'!C29+'REKAPAN CHAMP OTAK-OTAK'!C29+'REKAPAN FIESTA'!C29</f>
        <v>0</v>
      </c>
      <c r="D31" s="8">
        <f>+'REKAPAN CHAMP AYAM'!D29+'REKAPAN OKEY AYAM'!D29+'REKAPAN CHAMP SAPI'!D29+'REKAPAN CHAMP OTAK-OTAK'!D29+'REKAPAN FIESTA'!D29</f>
        <v>0</v>
      </c>
      <c r="E31" s="8">
        <f>+'REKAPAN CHAMP AYAM'!E29+'REKAPAN OKEY AYAM'!E29+'REKAPAN CHAMP SAPI'!E29+'REKAPAN CHAMP OTAK-OTAK'!E29+'REKAPAN FIESTA'!E29</f>
        <v>0</v>
      </c>
      <c r="F31" s="8">
        <f>+'REKAPAN CHAMP AYAM'!F29+'REKAPAN OKEY AYAM'!F29+'REKAPAN CHAMP SAPI'!F29+'REKAPAN CHAMP OTAK-OTAK'!F29+'REKAPAN FIESTA'!F29</f>
        <v>0</v>
      </c>
      <c r="G31" s="8">
        <f>+'REKAPAN CHAMP AYAM'!G29+'REKAPAN OKEY AYAM'!G29+'REKAPAN CHAMP SAPI'!G29+'REKAPAN CHAMP OTAK-OTAK'!G29+'REKAPAN FIESTA'!G29</f>
        <v>0</v>
      </c>
      <c r="H31" s="8">
        <f>+'REKAPAN CHAMP AYAM'!H29+'REKAPAN OKEY AYAM'!H29+'REKAPAN CHAMP SAPI'!H29+'REKAPAN CHAMP OTAK-OTAK'!H29+'REKAPAN FIESTA'!H29</f>
        <v>0</v>
      </c>
      <c r="I31" s="8">
        <f>+'REKAPAN CHAMP AYAM'!I29+'REKAPAN OKEY AYAM'!I29+'REKAPAN CHAMP SAPI'!I29+'REKAPAN CHAMP OTAK-OTAK'!I29+'REKAPAN FIESTA'!I29</f>
        <v>0</v>
      </c>
      <c r="J31" s="8">
        <f>+'REKAPAN CHAMP AYAM'!J29+'REKAPAN OKEY AYAM'!J29+'REKAPAN CHAMP SAPI'!J29+'REKAPAN CHAMP OTAK-OTAK'!J29+'REKAPAN FIESTA'!J29</f>
        <v>0</v>
      </c>
      <c r="K31" s="8">
        <f>+'REKAPAN CHAMP AYAM'!K29+'REKAPAN OKEY AYAM'!K29+'REKAPAN CHAMP SAPI'!K29+'REKAPAN CHAMP OTAK-OTAK'!K29+'REKAPAN FIESTA'!K29</f>
        <v>0</v>
      </c>
      <c r="L31" s="8">
        <f>+'REKAPAN CHAMP AYAM'!L29+'REKAPAN OKEY AYAM'!L29+'REKAPAN CHAMP SAPI'!L29+'REKAPAN CHAMP OTAK-OTAK'!L29+'REKAPAN FIESTA'!L29</f>
        <v>0</v>
      </c>
      <c r="M31" s="8">
        <f>+'REKAPAN CHAMP AYAM'!M29+'REKAPAN OKEY AYAM'!M29+'REKAPAN CHAMP SAPI'!M29+'REKAPAN CHAMP OTAK-OTAK'!M29+'REKAPAN FIESTA'!M29</f>
        <v>0</v>
      </c>
      <c r="N31" s="8">
        <f>+'REKAPAN CHAMP AYAM'!N29+'REKAPAN OKEY AYAM'!N29+'REKAPAN CHAMP SAPI'!N29+'REKAPAN CHAMP OTAK-OTAK'!N29+'REKAPAN FIESTA'!N29</f>
        <v>0</v>
      </c>
      <c r="O31" s="8">
        <f>+'REKAPAN CHAMP AYAM'!O29+'REKAPAN OKEY AYAM'!O29+'REKAPAN CHAMP SAPI'!O29+'REKAPAN CHAMP OTAK-OTAK'!O29+'REKAPAN FIESTA'!O29</f>
        <v>0</v>
      </c>
      <c r="P31" s="8">
        <f>+'REKAPAN CHAMP AYAM'!P29+'REKAPAN OKEY AYAM'!P29+'REKAPAN CHAMP SAPI'!P29+'REKAPAN CHAMP OTAK-OTAK'!P29+'REKAPAN FIESTA'!P29</f>
        <v>0</v>
      </c>
      <c r="Q31" s="8">
        <f>+'REKAPAN CHAMP AYAM'!Q29+'REKAPAN OKEY AYAM'!Q29+'REKAPAN CHAMP SAPI'!Q29+'REKAPAN CHAMP OTAK-OTAK'!Q29+'REKAPAN FIESTA'!Q29</f>
        <v>0</v>
      </c>
      <c r="R31" s="8">
        <f>+'REKAPAN CHAMP AYAM'!R29+'REKAPAN OKEY AYAM'!R29+'REKAPAN CHAMP SAPI'!R29+'REKAPAN CHAMP OTAK-OTAK'!R29+'REKAPAN FIESTA'!R29</f>
        <v>0</v>
      </c>
      <c r="S31" s="8">
        <f>+'REKAPAN CHAMP AYAM'!S29+'REKAPAN OKEY AYAM'!S29+'REKAPAN CHAMP SAPI'!S29+'REKAPAN CHAMP OTAK-OTAK'!S29+'REKAPAN FIESTA'!S29</f>
        <v>0</v>
      </c>
      <c r="T31" s="8">
        <f>+'REKAPAN CHAMP AYAM'!T29+'REKAPAN OKEY AYAM'!T29+'REKAPAN CHAMP SAPI'!T29+'REKAPAN CHAMP OTAK-OTAK'!T29+'REKAPAN FIESTA'!T29</f>
        <v>0</v>
      </c>
      <c r="U31" s="8">
        <f>+'REKAPAN CHAMP AYAM'!U29+'REKAPAN OKEY AYAM'!U29+'REKAPAN CHAMP SAPI'!U29+'REKAPAN CHAMP OTAK-OTAK'!U29+'REKAPAN FIESTA'!U29</f>
        <v>0</v>
      </c>
      <c r="V31" s="8">
        <f>+'REKAPAN CHAMP AYAM'!V29+'REKAPAN OKEY AYAM'!V29+'REKAPAN CHAMP SAPI'!V29+'REKAPAN CHAMP OTAK-OTAK'!V29+'REKAPAN FIESTA'!V29</f>
        <v>0</v>
      </c>
      <c r="W31" s="59">
        <f t="shared" si="0"/>
        <v>0</v>
      </c>
      <c r="X31" s="60">
        <f t="shared" ca="1" si="1"/>
        <v>0</v>
      </c>
      <c r="Y31" s="287" t="e">
        <f t="shared" ca="1" si="2"/>
        <v>#DIV/0!</v>
      </c>
    </row>
    <row r="32" spans="1:25">
      <c r="A32" s="7">
        <f t="shared" si="3"/>
        <v>46230</v>
      </c>
      <c r="B32" s="8">
        <f ca="1">+'REKAPAN CHAMP AYAM'!B30+'REKAPAN OKEY AYAM'!B30+'REKAPAN CHAMP SAPI'!B30+'REKAPAN CHAMP OTAK-OTAK'!B30+'REKAPAN FIESTA'!B30</f>
        <v>0</v>
      </c>
      <c r="C32" s="8">
        <f>+'REKAPAN CHAMP AYAM'!C30+'REKAPAN OKEY AYAM'!C30+'REKAPAN CHAMP SAPI'!C30+'REKAPAN CHAMP OTAK-OTAK'!C30+'REKAPAN FIESTA'!C30</f>
        <v>0</v>
      </c>
      <c r="D32" s="8">
        <f>+'REKAPAN CHAMP AYAM'!D30+'REKAPAN OKEY AYAM'!D30+'REKAPAN CHAMP SAPI'!D30+'REKAPAN CHAMP OTAK-OTAK'!D30+'REKAPAN FIESTA'!D30</f>
        <v>0</v>
      </c>
      <c r="E32" s="8">
        <f>+'REKAPAN CHAMP AYAM'!E30+'REKAPAN OKEY AYAM'!E30+'REKAPAN CHAMP SAPI'!E30+'REKAPAN CHAMP OTAK-OTAK'!E30+'REKAPAN FIESTA'!E30</f>
        <v>0</v>
      </c>
      <c r="F32" s="8">
        <f>+'REKAPAN CHAMP AYAM'!F30+'REKAPAN OKEY AYAM'!F30+'REKAPAN CHAMP SAPI'!F30+'REKAPAN CHAMP OTAK-OTAK'!F30+'REKAPAN FIESTA'!F30</f>
        <v>0</v>
      </c>
      <c r="G32" s="8">
        <f>+'REKAPAN CHAMP AYAM'!G30+'REKAPAN OKEY AYAM'!G30+'REKAPAN CHAMP SAPI'!G30+'REKAPAN CHAMP OTAK-OTAK'!G30+'REKAPAN FIESTA'!G30</f>
        <v>0</v>
      </c>
      <c r="H32" s="8">
        <f>+'REKAPAN CHAMP AYAM'!H30+'REKAPAN OKEY AYAM'!H30+'REKAPAN CHAMP SAPI'!H30+'REKAPAN CHAMP OTAK-OTAK'!H30+'REKAPAN FIESTA'!H30</f>
        <v>0</v>
      </c>
      <c r="I32" s="8">
        <f>+'REKAPAN CHAMP AYAM'!I30+'REKAPAN OKEY AYAM'!I30+'REKAPAN CHAMP SAPI'!I30+'REKAPAN CHAMP OTAK-OTAK'!I30+'REKAPAN FIESTA'!I30</f>
        <v>0</v>
      </c>
      <c r="J32" s="8">
        <f>+'REKAPAN CHAMP AYAM'!J30+'REKAPAN OKEY AYAM'!J30+'REKAPAN CHAMP SAPI'!J30+'REKAPAN CHAMP OTAK-OTAK'!J30+'REKAPAN FIESTA'!J30</f>
        <v>0</v>
      </c>
      <c r="K32" s="8">
        <f>+'REKAPAN CHAMP AYAM'!K30+'REKAPAN OKEY AYAM'!K30+'REKAPAN CHAMP SAPI'!K30+'REKAPAN CHAMP OTAK-OTAK'!K30+'REKAPAN FIESTA'!K30</f>
        <v>0</v>
      </c>
      <c r="L32" s="8">
        <f>+'REKAPAN CHAMP AYAM'!L30+'REKAPAN OKEY AYAM'!L30+'REKAPAN CHAMP SAPI'!L30+'REKAPAN CHAMP OTAK-OTAK'!L30+'REKAPAN FIESTA'!L30</f>
        <v>0</v>
      </c>
      <c r="M32" s="8">
        <f>+'REKAPAN CHAMP AYAM'!M30+'REKAPAN OKEY AYAM'!M30+'REKAPAN CHAMP SAPI'!M30+'REKAPAN CHAMP OTAK-OTAK'!M30+'REKAPAN FIESTA'!M30</f>
        <v>0</v>
      </c>
      <c r="N32" s="8">
        <f>+'REKAPAN CHAMP AYAM'!N30+'REKAPAN OKEY AYAM'!N30+'REKAPAN CHAMP SAPI'!N30+'REKAPAN CHAMP OTAK-OTAK'!N30+'REKAPAN FIESTA'!N30</f>
        <v>0</v>
      </c>
      <c r="O32" s="8">
        <f>+'REKAPAN CHAMP AYAM'!O30+'REKAPAN OKEY AYAM'!O30+'REKAPAN CHAMP SAPI'!O30+'REKAPAN CHAMP OTAK-OTAK'!O30+'REKAPAN FIESTA'!O30</f>
        <v>0</v>
      </c>
      <c r="P32" s="8">
        <f>+'REKAPAN CHAMP AYAM'!P30+'REKAPAN OKEY AYAM'!P30+'REKAPAN CHAMP SAPI'!P30+'REKAPAN CHAMP OTAK-OTAK'!P30+'REKAPAN FIESTA'!P30</f>
        <v>0</v>
      </c>
      <c r="Q32" s="8">
        <f>+'REKAPAN CHAMP AYAM'!Q30+'REKAPAN OKEY AYAM'!Q30+'REKAPAN CHAMP SAPI'!Q30+'REKAPAN CHAMP OTAK-OTAK'!Q30+'REKAPAN FIESTA'!Q30</f>
        <v>0</v>
      </c>
      <c r="R32" s="8">
        <f>+'REKAPAN CHAMP AYAM'!R30+'REKAPAN OKEY AYAM'!R30+'REKAPAN CHAMP SAPI'!R30+'REKAPAN CHAMP OTAK-OTAK'!R30+'REKAPAN FIESTA'!R30</f>
        <v>0</v>
      </c>
      <c r="S32" s="8">
        <f>+'REKAPAN CHAMP AYAM'!S30+'REKAPAN OKEY AYAM'!S30+'REKAPAN CHAMP SAPI'!S30+'REKAPAN CHAMP OTAK-OTAK'!S30+'REKAPAN FIESTA'!S30</f>
        <v>0</v>
      </c>
      <c r="T32" s="8">
        <f>+'REKAPAN CHAMP AYAM'!T30+'REKAPAN OKEY AYAM'!T30+'REKAPAN CHAMP SAPI'!T30+'REKAPAN CHAMP OTAK-OTAK'!T30+'REKAPAN FIESTA'!T30</f>
        <v>0</v>
      </c>
      <c r="U32" s="8">
        <f>+'REKAPAN CHAMP AYAM'!U30+'REKAPAN OKEY AYAM'!U30+'REKAPAN CHAMP SAPI'!U30+'REKAPAN CHAMP OTAK-OTAK'!U30+'REKAPAN FIESTA'!U30</f>
        <v>0</v>
      </c>
      <c r="V32" s="8">
        <f>+'REKAPAN CHAMP AYAM'!V30+'REKAPAN OKEY AYAM'!V30+'REKAPAN CHAMP SAPI'!V30+'REKAPAN CHAMP OTAK-OTAK'!V30+'REKAPAN FIESTA'!V30</f>
        <v>0</v>
      </c>
      <c r="W32" s="59">
        <f t="shared" si="0"/>
        <v>0</v>
      </c>
      <c r="X32" s="60">
        <f t="shared" ca="1" si="1"/>
        <v>0</v>
      </c>
      <c r="Y32" s="287" t="e">
        <f t="shared" ca="1" si="2"/>
        <v>#DIV/0!</v>
      </c>
    </row>
    <row r="33" spans="1:25">
      <c r="A33" s="7">
        <f t="shared" si="3"/>
        <v>46231</v>
      </c>
      <c r="B33" s="8">
        <f ca="1">+'REKAPAN CHAMP AYAM'!B31+'REKAPAN OKEY AYAM'!B31+'REKAPAN CHAMP SAPI'!B31+'REKAPAN CHAMP OTAK-OTAK'!B31+'REKAPAN FIESTA'!B31</f>
        <v>0</v>
      </c>
      <c r="C33" s="8">
        <f>+'REKAPAN CHAMP AYAM'!C31+'REKAPAN OKEY AYAM'!C31+'REKAPAN CHAMP SAPI'!C31+'REKAPAN CHAMP OTAK-OTAK'!C31+'REKAPAN FIESTA'!C31</f>
        <v>0</v>
      </c>
      <c r="D33" s="8">
        <f>+'REKAPAN CHAMP AYAM'!D31+'REKAPAN OKEY AYAM'!D31+'REKAPAN CHAMP SAPI'!D31+'REKAPAN CHAMP OTAK-OTAK'!D31+'REKAPAN FIESTA'!D31</f>
        <v>0</v>
      </c>
      <c r="E33" s="8">
        <f>+'REKAPAN CHAMP AYAM'!E31+'REKAPAN OKEY AYAM'!E31+'REKAPAN CHAMP SAPI'!E31+'REKAPAN CHAMP OTAK-OTAK'!E31+'REKAPAN FIESTA'!E31</f>
        <v>0</v>
      </c>
      <c r="F33" s="8">
        <f>+'REKAPAN CHAMP AYAM'!F31+'REKAPAN OKEY AYAM'!F31+'REKAPAN CHAMP SAPI'!F31+'REKAPAN CHAMP OTAK-OTAK'!F31+'REKAPAN FIESTA'!F31</f>
        <v>0</v>
      </c>
      <c r="G33" s="8">
        <f>+'REKAPAN CHAMP AYAM'!G31+'REKAPAN OKEY AYAM'!G31+'REKAPAN CHAMP SAPI'!G31+'REKAPAN CHAMP OTAK-OTAK'!G31+'REKAPAN FIESTA'!G31</f>
        <v>0</v>
      </c>
      <c r="H33" s="8">
        <f>+'REKAPAN CHAMP AYAM'!H31+'REKAPAN OKEY AYAM'!H31+'REKAPAN CHAMP SAPI'!H31+'REKAPAN CHAMP OTAK-OTAK'!H31+'REKAPAN FIESTA'!H31</f>
        <v>0</v>
      </c>
      <c r="I33" s="8">
        <f>+'REKAPAN CHAMP AYAM'!I31+'REKAPAN OKEY AYAM'!I31+'REKAPAN CHAMP SAPI'!I31+'REKAPAN CHAMP OTAK-OTAK'!I31+'REKAPAN FIESTA'!I31</f>
        <v>0</v>
      </c>
      <c r="J33" s="8">
        <f>+'REKAPAN CHAMP AYAM'!J31+'REKAPAN OKEY AYAM'!J31+'REKAPAN CHAMP SAPI'!J31+'REKAPAN CHAMP OTAK-OTAK'!J31+'REKAPAN FIESTA'!J31</f>
        <v>0</v>
      </c>
      <c r="K33" s="8">
        <f>+'REKAPAN CHAMP AYAM'!K31+'REKAPAN OKEY AYAM'!K31+'REKAPAN CHAMP SAPI'!K31+'REKAPAN CHAMP OTAK-OTAK'!K31+'REKAPAN FIESTA'!K31</f>
        <v>0</v>
      </c>
      <c r="L33" s="8">
        <f>+'REKAPAN CHAMP AYAM'!L31+'REKAPAN OKEY AYAM'!L31+'REKAPAN CHAMP SAPI'!L31+'REKAPAN CHAMP OTAK-OTAK'!L31+'REKAPAN FIESTA'!L31</f>
        <v>0</v>
      </c>
      <c r="M33" s="8">
        <f>+'REKAPAN CHAMP AYAM'!M31+'REKAPAN OKEY AYAM'!M31+'REKAPAN CHAMP SAPI'!M31+'REKAPAN CHAMP OTAK-OTAK'!M31+'REKAPAN FIESTA'!M31</f>
        <v>0</v>
      </c>
      <c r="N33" s="8">
        <f>+'REKAPAN CHAMP AYAM'!N31+'REKAPAN OKEY AYAM'!N31+'REKAPAN CHAMP SAPI'!N31+'REKAPAN CHAMP OTAK-OTAK'!N31+'REKAPAN FIESTA'!N31</f>
        <v>0</v>
      </c>
      <c r="O33" s="8">
        <f>+'REKAPAN CHAMP AYAM'!O31+'REKAPAN OKEY AYAM'!O31+'REKAPAN CHAMP SAPI'!O31+'REKAPAN CHAMP OTAK-OTAK'!O31+'REKAPAN FIESTA'!O31</f>
        <v>0</v>
      </c>
      <c r="P33" s="8">
        <f>+'REKAPAN CHAMP AYAM'!P31+'REKAPAN OKEY AYAM'!P31+'REKAPAN CHAMP SAPI'!P31+'REKAPAN CHAMP OTAK-OTAK'!P31+'REKAPAN FIESTA'!P31</f>
        <v>0</v>
      </c>
      <c r="Q33" s="8">
        <f>+'REKAPAN CHAMP AYAM'!Q31+'REKAPAN OKEY AYAM'!Q31+'REKAPAN CHAMP SAPI'!Q31+'REKAPAN CHAMP OTAK-OTAK'!Q31+'REKAPAN FIESTA'!Q31</f>
        <v>0</v>
      </c>
      <c r="R33" s="8">
        <f>+'REKAPAN CHAMP AYAM'!R31+'REKAPAN OKEY AYAM'!R31+'REKAPAN CHAMP SAPI'!R31+'REKAPAN CHAMP OTAK-OTAK'!R31+'REKAPAN FIESTA'!R31</f>
        <v>0</v>
      </c>
      <c r="S33" s="8">
        <f>+'REKAPAN CHAMP AYAM'!S31+'REKAPAN OKEY AYAM'!S31+'REKAPAN CHAMP SAPI'!S31+'REKAPAN CHAMP OTAK-OTAK'!S31+'REKAPAN FIESTA'!S31</f>
        <v>0</v>
      </c>
      <c r="T33" s="8">
        <f>+'REKAPAN CHAMP AYAM'!T31+'REKAPAN OKEY AYAM'!T31+'REKAPAN CHAMP SAPI'!T31+'REKAPAN CHAMP OTAK-OTAK'!T31+'REKAPAN FIESTA'!T31</f>
        <v>0</v>
      </c>
      <c r="U33" s="8">
        <f>+'REKAPAN CHAMP AYAM'!U31+'REKAPAN OKEY AYAM'!U31+'REKAPAN CHAMP SAPI'!U31+'REKAPAN CHAMP OTAK-OTAK'!U31+'REKAPAN FIESTA'!U31</f>
        <v>0</v>
      </c>
      <c r="V33" s="8">
        <f>+'REKAPAN CHAMP AYAM'!V31+'REKAPAN OKEY AYAM'!V31+'REKAPAN CHAMP SAPI'!V31+'REKAPAN CHAMP OTAK-OTAK'!V31+'REKAPAN FIESTA'!V31</f>
        <v>0</v>
      </c>
      <c r="W33" s="59">
        <f t="shared" si="0"/>
        <v>0</v>
      </c>
      <c r="X33" s="60">
        <f t="shared" ca="1" si="1"/>
        <v>0</v>
      </c>
      <c r="Y33" s="287" t="e">
        <f t="shared" ca="1" si="2"/>
        <v>#DIV/0!</v>
      </c>
    </row>
    <row r="34" spans="1:25">
      <c r="A34" s="7">
        <f t="shared" si="3"/>
        <v>46232</v>
      </c>
      <c r="B34" s="8">
        <f ca="1">+'REKAPAN CHAMP AYAM'!B32+'REKAPAN OKEY AYAM'!B32+'REKAPAN CHAMP SAPI'!B32+'REKAPAN CHAMP OTAK-OTAK'!B32+'REKAPAN FIESTA'!B32</f>
        <v>0</v>
      </c>
      <c r="C34" s="8">
        <f>+'REKAPAN CHAMP AYAM'!C32+'REKAPAN OKEY AYAM'!C32+'REKAPAN CHAMP SAPI'!C32+'REKAPAN CHAMP OTAK-OTAK'!C32+'REKAPAN FIESTA'!C32</f>
        <v>0</v>
      </c>
      <c r="D34" s="8">
        <f>+'REKAPAN CHAMP AYAM'!D32+'REKAPAN OKEY AYAM'!D32+'REKAPAN CHAMP SAPI'!D32+'REKAPAN CHAMP OTAK-OTAK'!D32+'REKAPAN FIESTA'!D32</f>
        <v>0</v>
      </c>
      <c r="E34" s="8">
        <f>+'REKAPAN CHAMP AYAM'!E32+'REKAPAN OKEY AYAM'!E32+'REKAPAN CHAMP SAPI'!E32+'REKAPAN CHAMP OTAK-OTAK'!E32+'REKAPAN FIESTA'!E32</f>
        <v>0</v>
      </c>
      <c r="F34" s="8">
        <f>+'REKAPAN CHAMP AYAM'!F32+'REKAPAN OKEY AYAM'!F32+'REKAPAN CHAMP SAPI'!F32+'REKAPAN CHAMP OTAK-OTAK'!F32+'REKAPAN FIESTA'!F32</f>
        <v>0</v>
      </c>
      <c r="G34" s="8">
        <f>+'REKAPAN CHAMP AYAM'!G32+'REKAPAN OKEY AYAM'!G32+'REKAPAN CHAMP SAPI'!G32+'REKAPAN CHAMP OTAK-OTAK'!G32+'REKAPAN FIESTA'!G32</f>
        <v>0</v>
      </c>
      <c r="H34" s="8">
        <f>+'REKAPAN CHAMP AYAM'!H32+'REKAPAN OKEY AYAM'!H32+'REKAPAN CHAMP SAPI'!H32+'REKAPAN CHAMP OTAK-OTAK'!H32+'REKAPAN FIESTA'!H32</f>
        <v>0</v>
      </c>
      <c r="I34" s="8">
        <f>+'REKAPAN CHAMP AYAM'!I32+'REKAPAN OKEY AYAM'!I32+'REKAPAN CHAMP SAPI'!I32+'REKAPAN CHAMP OTAK-OTAK'!I32+'REKAPAN FIESTA'!I32</f>
        <v>0</v>
      </c>
      <c r="J34" s="8">
        <f>+'REKAPAN CHAMP AYAM'!J32+'REKAPAN OKEY AYAM'!J32+'REKAPAN CHAMP SAPI'!J32+'REKAPAN CHAMP OTAK-OTAK'!J32+'REKAPAN FIESTA'!J32</f>
        <v>0</v>
      </c>
      <c r="K34" s="8">
        <f>+'REKAPAN CHAMP AYAM'!K32+'REKAPAN OKEY AYAM'!K32+'REKAPAN CHAMP SAPI'!K32+'REKAPAN CHAMP OTAK-OTAK'!K32+'REKAPAN FIESTA'!K32</f>
        <v>0</v>
      </c>
      <c r="L34" s="8">
        <f>+'REKAPAN CHAMP AYAM'!L32+'REKAPAN OKEY AYAM'!L32+'REKAPAN CHAMP SAPI'!L32+'REKAPAN CHAMP OTAK-OTAK'!L32+'REKAPAN FIESTA'!L32</f>
        <v>0</v>
      </c>
      <c r="M34" s="8">
        <f>+'REKAPAN CHAMP AYAM'!M32+'REKAPAN OKEY AYAM'!M32+'REKAPAN CHAMP SAPI'!M32+'REKAPAN CHAMP OTAK-OTAK'!M32+'REKAPAN FIESTA'!M32</f>
        <v>0</v>
      </c>
      <c r="N34" s="8">
        <f>+'REKAPAN CHAMP AYAM'!N32+'REKAPAN OKEY AYAM'!N32+'REKAPAN CHAMP SAPI'!N32+'REKAPAN CHAMP OTAK-OTAK'!N32+'REKAPAN FIESTA'!N32</f>
        <v>0</v>
      </c>
      <c r="O34" s="8">
        <f>+'REKAPAN CHAMP AYAM'!O32+'REKAPAN OKEY AYAM'!O32+'REKAPAN CHAMP SAPI'!O32+'REKAPAN CHAMP OTAK-OTAK'!O32+'REKAPAN FIESTA'!O32</f>
        <v>0</v>
      </c>
      <c r="P34" s="8">
        <f>+'REKAPAN CHAMP AYAM'!P32+'REKAPAN OKEY AYAM'!P32+'REKAPAN CHAMP SAPI'!P32+'REKAPAN CHAMP OTAK-OTAK'!P32+'REKAPAN FIESTA'!P32</f>
        <v>0</v>
      </c>
      <c r="Q34" s="8">
        <f>+'REKAPAN CHAMP AYAM'!Q32+'REKAPAN OKEY AYAM'!Q32+'REKAPAN CHAMP SAPI'!Q32+'REKAPAN CHAMP OTAK-OTAK'!Q32+'REKAPAN FIESTA'!Q32</f>
        <v>0</v>
      </c>
      <c r="R34" s="8">
        <f>+'REKAPAN CHAMP AYAM'!R32+'REKAPAN OKEY AYAM'!R32+'REKAPAN CHAMP SAPI'!R32+'REKAPAN CHAMP OTAK-OTAK'!R32+'REKAPAN FIESTA'!R32</f>
        <v>0</v>
      </c>
      <c r="S34" s="8">
        <f>+'REKAPAN CHAMP AYAM'!S32+'REKAPAN OKEY AYAM'!S32+'REKAPAN CHAMP SAPI'!S32+'REKAPAN CHAMP OTAK-OTAK'!S32+'REKAPAN FIESTA'!S32</f>
        <v>0</v>
      </c>
      <c r="T34" s="8">
        <f>+'REKAPAN CHAMP AYAM'!T32+'REKAPAN OKEY AYAM'!T32+'REKAPAN CHAMP SAPI'!T32+'REKAPAN CHAMP OTAK-OTAK'!T32+'REKAPAN FIESTA'!T32</f>
        <v>0</v>
      </c>
      <c r="U34" s="8">
        <f>+'REKAPAN CHAMP AYAM'!U32+'REKAPAN OKEY AYAM'!U32+'REKAPAN CHAMP SAPI'!U32+'REKAPAN CHAMP OTAK-OTAK'!U32+'REKAPAN FIESTA'!U32</f>
        <v>0</v>
      </c>
      <c r="V34" s="8">
        <f>+'REKAPAN CHAMP AYAM'!V32+'REKAPAN OKEY AYAM'!V32+'REKAPAN CHAMP SAPI'!V32+'REKAPAN CHAMP OTAK-OTAK'!V32+'REKAPAN FIESTA'!V32</f>
        <v>0</v>
      </c>
      <c r="W34" s="59">
        <f t="shared" si="0"/>
        <v>0</v>
      </c>
      <c r="X34" s="60">
        <f t="shared" ca="1" si="1"/>
        <v>0</v>
      </c>
      <c r="Y34" s="287" t="e">
        <f t="shared" ca="1" si="2"/>
        <v>#DIV/0!</v>
      </c>
    </row>
    <row r="35" spans="1:25">
      <c r="A35" s="7">
        <f t="shared" si="3"/>
        <v>46233</v>
      </c>
      <c r="B35" s="8">
        <f ca="1">+'REKAPAN CHAMP AYAM'!B33+'REKAPAN OKEY AYAM'!B33+'REKAPAN CHAMP SAPI'!B33+'REKAPAN CHAMP OTAK-OTAK'!B33+'REKAPAN FIESTA'!B33</f>
        <v>0</v>
      </c>
      <c r="C35" s="8">
        <f>+'REKAPAN CHAMP AYAM'!C33+'REKAPAN OKEY AYAM'!C33+'REKAPAN CHAMP SAPI'!C33+'REKAPAN CHAMP OTAK-OTAK'!C33+'REKAPAN FIESTA'!C33</f>
        <v>0</v>
      </c>
      <c r="D35" s="8">
        <f>+'REKAPAN CHAMP AYAM'!D33+'REKAPAN OKEY AYAM'!D33+'REKAPAN CHAMP SAPI'!D33+'REKAPAN CHAMP OTAK-OTAK'!D33+'REKAPAN FIESTA'!D33</f>
        <v>0</v>
      </c>
      <c r="E35" s="8">
        <f>+'REKAPAN CHAMP AYAM'!E33+'REKAPAN OKEY AYAM'!E33+'REKAPAN CHAMP SAPI'!E33+'REKAPAN CHAMP OTAK-OTAK'!E33+'REKAPAN FIESTA'!E33</f>
        <v>0</v>
      </c>
      <c r="F35" s="8">
        <f>+'REKAPAN CHAMP AYAM'!F33+'REKAPAN OKEY AYAM'!F33+'REKAPAN CHAMP SAPI'!F33+'REKAPAN CHAMP OTAK-OTAK'!F33+'REKAPAN FIESTA'!F33</f>
        <v>0</v>
      </c>
      <c r="G35" s="8">
        <f>+'REKAPAN CHAMP AYAM'!G33+'REKAPAN OKEY AYAM'!G33+'REKAPAN CHAMP SAPI'!G33+'REKAPAN CHAMP OTAK-OTAK'!G33+'REKAPAN FIESTA'!G33</f>
        <v>0</v>
      </c>
      <c r="H35" s="8">
        <f>+'REKAPAN CHAMP AYAM'!H33+'REKAPAN OKEY AYAM'!H33+'REKAPAN CHAMP SAPI'!H33+'REKAPAN CHAMP OTAK-OTAK'!H33+'REKAPAN FIESTA'!H33</f>
        <v>0</v>
      </c>
      <c r="I35" s="8">
        <f>+'REKAPAN CHAMP AYAM'!I33+'REKAPAN OKEY AYAM'!I33+'REKAPAN CHAMP SAPI'!I33+'REKAPAN CHAMP OTAK-OTAK'!I33+'REKAPAN FIESTA'!I33</f>
        <v>0</v>
      </c>
      <c r="J35" s="8">
        <f>+'REKAPAN CHAMP AYAM'!J33+'REKAPAN OKEY AYAM'!J33+'REKAPAN CHAMP SAPI'!J33+'REKAPAN CHAMP OTAK-OTAK'!J33+'REKAPAN FIESTA'!J33</f>
        <v>0</v>
      </c>
      <c r="K35" s="8">
        <f>+'REKAPAN CHAMP AYAM'!K33+'REKAPAN OKEY AYAM'!K33+'REKAPAN CHAMP SAPI'!K33+'REKAPAN CHAMP OTAK-OTAK'!K33+'REKAPAN FIESTA'!K33</f>
        <v>0</v>
      </c>
      <c r="L35" s="8">
        <f>+'REKAPAN CHAMP AYAM'!L33+'REKAPAN OKEY AYAM'!L33+'REKAPAN CHAMP SAPI'!L33+'REKAPAN CHAMP OTAK-OTAK'!L33+'REKAPAN FIESTA'!L33</f>
        <v>0</v>
      </c>
      <c r="M35" s="8">
        <f>+'REKAPAN CHAMP AYAM'!M33+'REKAPAN OKEY AYAM'!M33+'REKAPAN CHAMP SAPI'!M33+'REKAPAN CHAMP OTAK-OTAK'!M33+'REKAPAN FIESTA'!M33</f>
        <v>0</v>
      </c>
      <c r="N35" s="8">
        <f>+'REKAPAN CHAMP AYAM'!N33+'REKAPAN OKEY AYAM'!N33+'REKAPAN CHAMP SAPI'!N33+'REKAPAN CHAMP OTAK-OTAK'!N33+'REKAPAN FIESTA'!N33</f>
        <v>0</v>
      </c>
      <c r="O35" s="8">
        <f>+'REKAPAN CHAMP AYAM'!O33+'REKAPAN OKEY AYAM'!O33+'REKAPAN CHAMP SAPI'!O33+'REKAPAN CHAMP OTAK-OTAK'!O33+'REKAPAN FIESTA'!O33</f>
        <v>0</v>
      </c>
      <c r="P35" s="8">
        <f>+'REKAPAN CHAMP AYAM'!P33+'REKAPAN OKEY AYAM'!P33+'REKAPAN CHAMP SAPI'!P33+'REKAPAN CHAMP OTAK-OTAK'!P33+'REKAPAN FIESTA'!P33</f>
        <v>0</v>
      </c>
      <c r="Q35" s="8">
        <f>+'REKAPAN CHAMP AYAM'!Q33+'REKAPAN OKEY AYAM'!Q33+'REKAPAN CHAMP SAPI'!Q33+'REKAPAN CHAMP OTAK-OTAK'!Q33+'REKAPAN FIESTA'!Q33</f>
        <v>0</v>
      </c>
      <c r="R35" s="8">
        <f>+'REKAPAN CHAMP AYAM'!R33+'REKAPAN OKEY AYAM'!R33+'REKAPAN CHAMP SAPI'!R33+'REKAPAN CHAMP OTAK-OTAK'!R33+'REKAPAN FIESTA'!R33</f>
        <v>0</v>
      </c>
      <c r="S35" s="8">
        <f>+'REKAPAN CHAMP AYAM'!S33+'REKAPAN OKEY AYAM'!S33+'REKAPAN CHAMP SAPI'!S33+'REKAPAN CHAMP OTAK-OTAK'!S33+'REKAPAN FIESTA'!S33</f>
        <v>0</v>
      </c>
      <c r="T35" s="8">
        <f>+'REKAPAN CHAMP AYAM'!T33+'REKAPAN OKEY AYAM'!T33+'REKAPAN CHAMP SAPI'!T33+'REKAPAN CHAMP OTAK-OTAK'!T33+'REKAPAN FIESTA'!T33</f>
        <v>0</v>
      </c>
      <c r="U35" s="8">
        <f>+'REKAPAN CHAMP AYAM'!U33+'REKAPAN OKEY AYAM'!U33+'REKAPAN CHAMP SAPI'!U33+'REKAPAN CHAMP OTAK-OTAK'!U33+'REKAPAN FIESTA'!U33</f>
        <v>0</v>
      </c>
      <c r="V35" s="8">
        <f>+'REKAPAN CHAMP AYAM'!V33+'REKAPAN OKEY AYAM'!V33+'REKAPAN CHAMP SAPI'!V33+'REKAPAN CHAMP OTAK-OTAK'!V33+'REKAPAN FIESTA'!V33</f>
        <v>0</v>
      </c>
      <c r="W35" s="59">
        <f t="shared" si="0"/>
        <v>0</v>
      </c>
      <c r="X35" s="60">
        <f t="shared" ca="1" si="1"/>
        <v>0</v>
      </c>
      <c r="Y35" s="287" t="e">
        <f t="shared" ca="1" si="2"/>
        <v>#DIV/0!</v>
      </c>
    </row>
    <row r="36" spans="1:25">
      <c r="A36" s="7">
        <f t="shared" si="3"/>
        <v>46234</v>
      </c>
      <c r="B36" s="8">
        <f ca="1">+'REKAPAN CHAMP AYAM'!B34+'REKAPAN OKEY AYAM'!B34+'REKAPAN CHAMP SAPI'!B34+'REKAPAN CHAMP OTAK-OTAK'!B34+'REKAPAN FIESTA'!B34</f>
        <v>0</v>
      </c>
      <c r="C36" s="8">
        <f>+'REKAPAN CHAMP AYAM'!C34+'REKAPAN OKEY AYAM'!C34+'REKAPAN CHAMP SAPI'!C34+'REKAPAN CHAMP OTAK-OTAK'!C34+'REKAPAN FIESTA'!C34</f>
        <v>0</v>
      </c>
      <c r="D36" s="8">
        <f>+'REKAPAN CHAMP AYAM'!D34+'REKAPAN OKEY AYAM'!D34+'REKAPAN CHAMP SAPI'!D34+'REKAPAN CHAMP OTAK-OTAK'!D34+'REKAPAN FIESTA'!D34</f>
        <v>0</v>
      </c>
      <c r="E36" s="8">
        <f>+'REKAPAN CHAMP AYAM'!E34+'REKAPAN OKEY AYAM'!E34+'REKAPAN CHAMP SAPI'!E34+'REKAPAN CHAMP OTAK-OTAK'!E34+'REKAPAN FIESTA'!E34</f>
        <v>0</v>
      </c>
      <c r="F36" s="8">
        <f>+'REKAPAN CHAMP AYAM'!F34+'REKAPAN OKEY AYAM'!F34+'REKAPAN CHAMP SAPI'!F34+'REKAPAN CHAMP OTAK-OTAK'!F34+'REKAPAN FIESTA'!F34</f>
        <v>0</v>
      </c>
      <c r="G36" s="8">
        <f>+'REKAPAN CHAMP AYAM'!G34+'REKAPAN OKEY AYAM'!G34+'REKAPAN CHAMP SAPI'!G34+'REKAPAN CHAMP OTAK-OTAK'!G34+'REKAPAN FIESTA'!G34</f>
        <v>0</v>
      </c>
      <c r="H36" s="8">
        <f>+'REKAPAN CHAMP AYAM'!H34+'REKAPAN OKEY AYAM'!H34+'REKAPAN CHAMP SAPI'!H34+'REKAPAN CHAMP OTAK-OTAK'!H34+'REKAPAN FIESTA'!H34</f>
        <v>0</v>
      </c>
      <c r="I36" s="8">
        <f>+'REKAPAN CHAMP AYAM'!I34+'REKAPAN OKEY AYAM'!I34+'REKAPAN CHAMP SAPI'!I34+'REKAPAN CHAMP OTAK-OTAK'!I34+'REKAPAN FIESTA'!I34</f>
        <v>0</v>
      </c>
      <c r="J36" s="8">
        <f>+'REKAPAN CHAMP AYAM'!J34+'REKAPAN OKEY AYAM'!J34+'REKAPAN CHAMP SAPI'!J34+'REKAPAN CHAMP OTAK-OTAK'!J34+'REKAPAN FIESTA'!J34</f>
        <v>0</v>
      </c>
      <c r="K36" s="8">
        <f>+'REKAPAN CHAMP AYAM'!K34+'REKAPAN OKEY AYAM'!K34+'REKAPAN CHAMP SAPI'!K34+'REKAPAN CHAMP OTAK-OTAK'!K34+'REKAPAN FIESTA'!K34</f>
        <v>0</v>
      </c>
      <c r="L36" s="8">
        <f>+'REKAPAN CHAMP AYAM'!L34+'REKAPAN OKEY AYAM'!L34+'REKAPAN CHAMP SAPI'!L34+'REKAPAN CHAMP OTAK-OTAK'!L34+'REKAPAN FIESTA'!L34</f>
        <v>0</v>
      </c>
      <c r="M36" s="8">
        <f>+'REKAPAN CHAMP AYAM'!M34+'REKAPAN OKEY AYAM'!M34+'REKAPAN CHAMP SAPI'!M34+'REKAPAN CHAMP OTAK-OTAK'!M34+'REKAPAN FIESTA'!M34</f>
        <v>0</v>
      </c>
      <c r="N36" s="8">
        <f>+'REKAPAN CHAMP AYAM'!N34+'REKAPAN OKEY AYAM'!N34+'REKAPAN CHAMP SAPI'!N34+'REKAPAN CHAMP OTAK-OTAK'!N34+'REKAPAN FIESTA'!N34</f>
        <v>0</v>
      </c>
      <c r="O36" s="8">
        <f>+'REKAPAN CHAMP AYAM'!O34+'REKAPAN OKEY AYAM'!O34+'REKAPAN CHAMP SAPI'!O34+'REKAPAN CHAMP OTAK-OTAK'!O34+'REKAPAN FIESTA'!O34</f>
        <v>0</v>
      </c>
      <c r="P36" s="8">
        <f>+'REKAPAN CHAMP AYAM'!P34+'REKAPAN OKEY AYAM'!P34+'REKAPAN CHAMP SAPI'!P34+'REKAPAN CHAMP OTAK-OTAK'!P34+'REKAPAN FIESTA'!P34</f>
        <v>0</v>
      </c>
      <c r="Q36" s="8">
        <f>+'REKAPAN CHAMP AYAM'!Q34+'REKAPAN OKEY AYAM'!Q34+'REKAPAN CHAMP SAPI'!Q34+'REKAPAN CHAMP OTAK-OTAK'!Q34+'REKAPAN FIESTA'!Q34</f>
        <v>0</v>
      </c>
      <c r="R36" s="8">
        <f>+'REKAPAN CHAMP AYAM'!R34+'REKAPAN OKEY AYAM'!R34+'REKAPAN CHAMP SAPI'!R34+'REKAPAN CHAMP OTAK-OTAK'!R34+'REKAPAN FIESTA'!R34</f>
        <v>0</v>
      </c>
      <c r="S36" s="8">
        <f>+'REKAPAN CHAMP AYAM'!S34+'REKAPAN OKEY AYAM'!S34+'REKAPAN CHAMP SAPI'!S34+'REKAPAN CHAMP OTAK-OTAK'!S34+'REKAPAN FIESTA'!S34</f>
        <v>0</v>
      </c>
      <c r="T36" s="8">
        <f>+'REKAPAN CHAMP AYAM'!T34+'REKAPAN OKEY AYAM'!T34+'REKAPAN CHAMP SAPI'!T34+'REKAPAN CHAMP OTAK-OTAK'!T34+'REKAPAN FIESTA'!T34</f>
        <v>0</v>
      </c>
      <c r="U36" s="8">
        <f>+'REKAPAN CHAMP AYAM'!U34+'REKAPAN OKEY AYAM'!U34+'REKAPAN CHAMP SAPI'!U34+'REKAPAN CHAMP OTAK-OTAK'!U34+'REKAPAN FIESTA'!U34</f>
        <v>0</v>
      </c>
      <c r="V36" s="8">
        <f>+'REKAPAN CHAMP AYAM'!V34+'REKAPAN OKEY AYAM'!V34+'REKAPAN CHAMP SAPI'!V34+'REKAPAN CHAMP OTAK-OTAK'!V34+'REKAPAN FIESTA'!V34</f>
        <v>0</v>
      </c>
      <c r="W36" s="59">
        <f t="shared" si="0"/>
        <v>0</v>
      </c>
      <c r="X36" s="60">
        <f t="shared" ca="1" si="1"/>
        <v>0</v>
      </c>
      <c r="Y36" s="287" t="e">
        <f t="shared" ca="1" si="2"/>
        <v>#DIV/0!</v>
      </c>
    </row>
    <row r="37" spans="1:25">
      <c r="B37" s="59">
        <f t="shared" ref="B37:X37" ca="1" si="4">SUM(B6:B36)</f>
        <v>235502.24</v>
      </c>
      <c r="C37" s="59">
        <f t="shared" si="4"/>
        <v>207695.71499999997</v>
      </c>
      <c r="D37" s="59">
        <f t="shared" si="4"/>
        <v>1585.2369999999999</v>
      </c>
      <c r="E37" s="59">
        <f t="shared" si="4"/>
        <v>454.14999999999992</v>
      </c>
      <c r="F37" s="59">
        <f t="shared" si="4"/>
        <v>767.42</v>
      </c>
      <c r="G37" s="59">
        <f t="shared" si="4"/>
        <v>48.810000000000009</v>
      </c>
      <c r="H37" s="59">
        <f t="shared" si="4"/>
        <v>39.589999999999996</v>
      </c>
      <c r="I37" s="59">
        <f t="shared" si="4"/>
        <v>1175.6599999999999</v>
      </c>
      <c r="J37" s="59">
        <f t="shared" si="4"/>
        <v>58.381999999999991</v>
      </c>
      <c r="K37" s="59">
        <f t="shared" si="4"/>
        <v>0</v>
      </c>
      <c r="L37" s="59">
        <f t="shared" si="4"/>
        <v>111.86999999999999</v>
      </c>
      <c r="M37" s="59">
        <f t="shared" si="4"/>
        <v>78.570000000000007</v>
      </c>
      <c r="N37" s="59">
        <f t="shared" si="4"/>
        <v>237.29</v>
      </c>
      <c r="O37" s="59">
        <f t="shared" si="4"/>
        <v>2.2800000000000002</v>
      </c>
      <c r="P37" s="59">
        <f t="shared" si="4"/>
        <v>0.4</v>
      </c>
      <c r="Q37" s="59">
        <f t="shared" si="4"/>
        <v>0</v>
      </c>
      <c r="R37" s="59">
        <f t="shared" si="4"/>
        <v>4.8</v>
      </c>
      <c r="S37" s="59">
        <f t="shared" si="4"/>
        <v>0</v>
      </c>
      <c r="T37" s="59">
        <f t="shared" si="4"/>
        <v>0</v>
      </c>
      <c r="U37" s="59">
        <f t="shared" si="4"/>
        <v>0</v>
      </c>
      <c r="V37" s="59">
        <f t="shared" si="4"/>
        <v>0</v>
      </c>
      <c r="W37" s="59">
        <f>SUM(W6:W36)</f>
        <v>2979.2219999999993</v>
      </c>
      <c r="X37" s="59">
        <f t="shared" ca="1" si="4"/>
        <v>23242.066000000006</v>
      </c>
    </row>
    <row r="38" spans="1:25">
      <c r="C38" s="61">
        <f ca="1">+C37/$B$37</f>
        <v>0.88192670693917807</v>
      </c>
      <c r="D38" s="61">
        <f t="shared" ref="D38:V38" ca="1" si="5">+D37/$B$37</f>
        <v>6.7313032776248746E-3</v>
      </c>
      <c r="E38" s="61">
        <f t="shared" ca="1" si="5"/>
        <v>1.9284317635365163E-3</v>
      </c>
      <c r="F38" s="365">
        <f t="shared" ca="1" si="5"/>
        <v>3.2586526565522266E-3</v>
      </c>
      <c r="G38" s="61">
        <f t="shared" ca="1" si="5"/>
        <v>2.0725917511442784E-4</v>
      </c>
      <c r="H38" s="61">
        <f t="shared" ca="1" si="5"/>
        <v>1.6810880440033181E-4</v>
      </c>
      <c r="I38" s="61">
        <f t="shared" ca="1" si="5"/>
        <v>4.9921393528995729E-3</v>
      </c>
      <c r="J38" s="61">
        <f t="shared" ca="1" si="5"/>
        <v>2.4790422375600333E-4</v>
      </c>
      <c r="K38" s="61">
        <f t="shared" ca="1" si="5"/>
        <v>0</v>
      </c>
      <c r="L38" s="61">
        <f t="shared" ca="1" si="5"/>
        <v>4.7502732882710583E-4</v>
      </c>
      <c r="M38" s="61">
        <f t="shared" ca="1" si="5"/>
        <v>3.3362739989224738E-4</v>
      </c>
      <c r="N38" s="61">
        <f t="shared" ca="1" si="5"/>
        <v>1.0075912653739515E-3</v>
      </c>
      <c r="O38" s="61">
        <f t="shared" ca="1" si="5"/>
        <v>9.6814365757200462E-6</v>
      </c>
      <c r="P38" s="61">
        <f t="shared" ca="1" si="5"/>
        <v>1.6984976448631658E-6</v>
      </c>
      <c r="Q38" s="61">
        <f t="shared" ca="1" si="5"/>
        <v>0</v>
      </c>
      <c r="R38" s="61">
        <f t="shared" ca="1" si="5"/>
        <v>2.0381971738357986E-5</v>
      </c>
      <c r="S38" s="61">
        <f t="shared" ca="1" si="5"/>
        <v>0</v>
      </c>
      <c r="T38" s="61">
        <f t="shared" ca="1" si="5"/>
        <v>0</v>
      </c>
      <c r="U38" s="61">
        <f ca="1">+U37/$B$37</f>
        <v>0</v>
      </c>
      <c r="V38" s="61">
        <f t="shared" ca="1" si="5"/>
        <v>0</v>
      </c>
      <c r="W38" s="62">
        <f ca="1">+W37/$B$37</f>
        <v>1.2650503876311323E-2</v>
      </c>
      <c r="X38" s="61">
        <f ca="1">+X37/$B$37</f>
        <v>9.8691485906885673E-2</v>
      </c>
    </row>
    <row r="42" spans="1:25" ht="15">
      <c r="O42" s="723" t="s">
        <v>26</v>
      </c>
      <c r="P42" s="723"/>
      <c r="Q42" s="723"/>
      <c r="R42" s="723"/>
      <c r="S42" s="723"/>
      <c r="T42"/>
      <c r="U42"/>
    </row>
    <row r="43" spans="1:25" ht="15">
      <c r="O43" s="724" t="str">
        <f>+A2</f>
        <v>JULI'26</v>
      </c>
      <c r="P43" s="724"/>
      <c r="Q43" s="724"/>
      <c r="R43" s="724"/>
      <c r="S43" s="724"/>
      <c r="T43"/>
      <c r="U43"/>
    </row>
    <row r="44" spans="1:25" ht="15">
      <c r="O44" s="63"/>
      <c r="P44" s="64" t="s">
        <v>27</v>
      </c>
      <c r="Q44" s="64" t="s">
        <v>28</v>
      </c>
      <c r="R44" s="64" t="s">
        <v>27</v>
      </c>
      <c r="S44" s="64" t="s">
        <v>28</v>
      </c>
      <c r="T44"/>
      <c r="U44"/>
    </row>
    <row r="45" spans="1:25" ht="15">
      <c r="O45" s="63"/>
      <c r="P45" s="65" t="s">
        <v>46</v>
      </c>
      <c r="Q45" s="66">
        <f>+'REKAPAN CHAMP AYAM'!W37</f>
        <v>1.7569371218970595E-2</v>
      </c>
      <c r="R45" s="65" t="s">
        <v>162</v>
      </c>
      <c r="S45" s="66">
        <f>+'REKAPAN OKEY AYAM'!W37</f>
        <v>1.009129891190799E-2</v>
      </c>
      <c r="T45"/>
      <c r="U45"/>
    </row>
    <row r="46" spans="1:25" ht="15">
      <c r="O46" s="67"/>
      <c r="P46" s="65" t="s">
        <v>47</v>
      </c>
      <c r="Q46" s="66">
        <f ca="1">+'REKAPAN CHAMP SAPI'!W37</f>
        <v>1.5819058342682577E-2</v>
      </c>
      <c r="R46" s="65"/>
      <c r="S46" s="66"/>
      <c r="T46"/>
      <c r="U46"/>
    </row>
    <row r="47" spans="1:25">
      <c r="O47" s="67"/>
      <c r="P47" s="65" t="s">
        <v>48</v>
      </c>
      <c r="Q47" s="66" t="e">
        <f ca="1">+'REKAPAN CHAMP OTAK-OTAK'!W37</f>
        <v>#DIV/0!</v>
      </c>
      <c r="R47" s="65"/>
      <c r="S47" s="66"/>
    </row>
    <row r="48" spans="1:25" ht="15">
      <c r="O48" s="68" t="s">
        <v>29</v>
      </c>
      <c r="P48" s="69"/>
      <c r="Q48" s="70" t="e">
        <f ca="1">AVERAGE(Q45:Q47)</f>
        <v>#DIV/0!</v>
      </c>
      <c r="R48" s="71"/>
      <c r="S48" s="70">
        <f>AVERAGE(S45:S46)</f>
        <v>1.009129891190799E-2</v>
      </c>
      <c r="T48"/>
      <c r="U48"/>
    </row>
    <row r="49" spans="15:22" ht="15">
      <c r="O49" s="72"/>
      <c r="P49" s="72"/>
      <c r="Q49" s="72"/>
      <c r="R49" s="72"/>
      <c r="S49" s="72"/>
      <c r="T49"/>
      <c r="U49"/>
    </row>
    <row r="50" spans="15:22" ht="15">
      <c r="O50" s="114" t="s">
        <v>30</v>
      </c>
      <c r="P50" s="119">
        <f ca="1">+W38</f>
        <v>1.2650503876311323E-2</v>
      </c>
      <c r="Q50" s="91"/>
      <c r="R50" s="91"/>
      <c r="S50" s="92"/>
      <c r="T50"/>
      <c r="U50"/>
    </row>
    <row r="51" spans="15:22" ht="15">
      <c r="O51" s="72"/>
      <c r="P51" s="72"/>
      <c r="Q51" s="72"/>
      <c r="R51" s="72"/>
      <c r="S51" s="72"/>
      <c r="T51"/>
      <c r="U51"/>
    </row>
    <row r="52" spans="15:22" ht="15">
      <c r="O52" s="68" t="s">
        <v>31</v>
      </c>
      <c r="P52" s="93">
        <f>+W37</f>
        <v>2979.2219999999993</v>
      </c>
      <c r="Q52" s="97" t="s">
        <v>4</v>
      </c>
      <c r="R52" s="94"/>
      <c r="S52" s="98"/>
      <c r="T52"/>
      <c r="U52"/>
    </row>
    <row r="53" spans="15:22" ht="15">
      <c r="O53"/>
      <c r="P53"/>
      <c r="Q53"/>
      <c r="R53"/>
      <c r="S53"/>
      <c r="T53"/>
      <c r="U53"/>
    </row>
    <row r="54" spans="15:22">
      <c r="O54" s="73"/>
      <c r="P54" s="65" t="s">
        <v>46</v>
      </c>
      <c r="Q54" s="65" t="s">
        <v>47</v>
      </c>
      <c r="R54" s="65" t="s">
        <v>48</v>
      </c>
      <c r="S54" s="65" t="s">
        <v>162</v>
      </c>
      <c r="T54" s="74" t="s">
        <v>32</v>
      </c>
      <c r="U54" s="124"/>
    </row>
    <row r="55" spans="15:22">
      <c r="O55" s="75" t="s">
        <v>33</v>
      </c>
      <c r="P55" s="76">
        <f>+'REKAPAN CHAMP AYAM'!B36</f>
        <v>67053.168000000005</v>
      </c>
      <c r="Q55" s="76">
        <f ca="1">+'REKAPAN CHAMP SAPI'!B36</f>
        <v>17680.572</v>
      </c>
      <c r="R55" s="76">
        <f ca="1">+'REKAPAN CHAMP OTAK-OTAK'!B36</f>
        <v>0</v>
      </c>
      <c r="S55" s="76">
        <f>+'REKAPAN OKEY AYAM'!B36</f>
        <v>150768.5</v>
      </c>
      <c r="T55" s="77">
        <f ca="1">SUM(P55:S55)</f>
        <v>235502.24</v>
      </c>
      <c r="U55" s="125"/>
      <c r="V55" s="49">
        <f ca="1">+T55-B37</f>
        <v>0</v>
      </c>
    </row>
    <row r="56" spans="15:22">
      <c r="O56" s="75" t="s">
        <v>34</v>
      </c>
      <c r="P56" s="76">
        <f>+'REKAPAN CHAMP AYAM'!C36</f>
        <v>65018.771999999997</v>
      </c>
      <c r="Q56" s="76">
        <f>+'REKAPAN CHAMP SAPI'!C36</f>
        <v>16766.567999999999</v>
      </c>
      <c r="R56" s="76">
        <f>+'REKAPAN CHAMP OTAK-OTAK'!C36</f>
        <v>0</v>
      </c>
      <c r="S56" s="76">
        <f>+'REKAPAN OKEY AYAM'!C36</f>
        <v>125910.375</v>
      </c>
      <c r="T56" s="77">
        <f>SUM(P56:S56)</f>
        <v>207695.715</v>
      </c>
      <c r="U56" s="125"/>
      <c r="V56" s="49">
        <f>+T56-C37</f>
        <v>0</v>
      </c>
    </row>
    <row r="57" spans="15:22">
      <c r="O57" s="75" t="s">
        <v>70</v>
      </c>
      <c r="P57" s="323">
        <f>+'REKAPAN CHAMP AYAM'!AD36</f>
        <v>0.97132336917902318</v>
      </c>
      <c r="Q57" s="323">
        <f>+'REKAPAN CHAMP SAPI'!AD36</f>
        <v>0.95663698658241347</v>
      </c>
      <c r="R57" s="323" t="e">
        <f>+'REKAPAN CHAMP OTAK-OTAK'!AD36</f>
        <v>#DIV/0!</v>
      </c>
      <c r="S57" s="323">
        <f>+'REKAPAN OKEY AYAM'!AD36</f>
        <v>0.86889560145698186</v>
      </c>
      <c r="T57" s="323">
        <f ca="1">+T56/T55</f>
        <v>0.88192670693917818</v>
      </c>
      <c r="U57" s="125"/>
      <c r="V57" s="49">
        <f ca="1">+T57-C38</f>
        <v>0</v>
      </c>
    </row>
  </sheetData>
  <mergeCells count="12">
    <mergeCell ref="O42:S42"/>
    <mergeCell ref="O43:S43"/>
    <mergeCell ref="A1:X1"/>
    <mergeCell ref="A2:X2"/>
    <mergeCell ref="C3:D3"/>
    <mergeCell ref="A4:A5"/>
    <mergeCell ref="B4:B5"/>
    <mergeCell ref="C4:C5"/>
    <mergeCell ref="D4:D5"/>
    <mergeCell ref="E4:S4"/>
    <mergeCell ref="W4:W5"/>
    <mergeCell ref="X4:X5"/>
  </mergeCells>
  <pageMargins left="0.7" right="0.7" top="0.75" bottom="0.75" header="0.3" footer="0.3"/>
  <pageSetup paperSize="9" orientation="portrait" r:id="rId1"/>
  <drawing r:id="rId2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>
  <sheetPr codeName="Sheet27">
    <tabColor rgb="FFFFFF00"/>
  </sheetPr>
  <dimension ref="B1:AQ176"/>
  <sheetViews>
    <sheetView tabSelected="1" topLeftCell="B1" zoomScale="70" zoomScaleNormal="70" workbookViewId="0">
      <pane xSplit="2" ySplit="3" topLeftCell="J139" activePane="bottomRight" state="frozen"/>
      <selection activeCell="B1" sqref="B1"/>
      <selection pane="topRight" activeCell="D1" sqref="D1"/>
      <selection pane="bottomLeft" activeCell="B4" sqref="B4"/>
      <selection pane="bottomRight" activeCell="V155" sqref="V155"/>
    </sheetView>
  </sheetViews>
  <sheetFormatPr defaultRowHeight="15"/>
  <cols>
    <col min="1" max="1" width="11.42578125" customWidth="1"/>
    <col min="3" max="3" width="18.42578125" customWidth="1"/>
    <col min="4" max="4" width="9.140625" style="410"/>
    <col min="5" max="5" width="16.140625" style="411" customWidth="1"/>
    <col min="6" max="11" width="15.140625" customWidth="1"/>
    <col min="12" max="14" width="13.85546875" customWidth="1"/>
    <col min="15" max="17" width="15.140625" customWidth="1"/>
    <col min="18" max="18" width="10.28515625" customWidth="1"/>
    <col min="19" max="19" width="10.42578125" style="412" customWidth="1"/>
    <col min="20" max="20" width="2.28515625" style="329" customWidth="1"/>
    <col min="21" max="21" width="10" customWidth="1"/>
    <col min="22" max="22" width="10.28515625" style="412" customWidth="1"/>
    <col min="23" max="23" width="17.28515625" customWidth="1"/>
    <col min="24" max="27" width="10.42578125" style="529" customWidth="1"/>
    <col min="28" max="28" width="10.42578125" style="536" customWidth="1"/>
    <col min="29" max="36" width="12" style="529" customWidth="1"/>
    <col min="37" max="43" width="9.140625" style="529"/>
  </cols>
  <sheetData>
    <row r="1" spans="2:43" ht="23.25" customHeight="1" thickBot="1">
      <c r="B1" s="754" t="s">
        <v>165</v>
      </c>
      <c r="C1" s="755"/>
      <c r="D1" s="755"/>
      <c r="E1" s="755"/>
      <c r="F1" s="755"/>
      <c r="G1" s="755"/>
      <c r="H1" s="755"/>
      <c r="I1" s="755"/>
      <c r="J1" s="755"/>
      <c r="K1" s="755"/>
      <c r="L1" s="755"/>
      <c r="M1" s="755"/>
      <c r="N1" s="755"/>
      <c r="O1" s="755"/>
      <c r="P1" s="755"/>
      <c r="Q1" s="755"/>
      <c r="R1" s="755"/>
      <c r="S1" s="756"/>
      <c r="T1" s="366"/>
      <c r="U1" s="759" t="s">
        <v>166</v>
      </c>
      <c r="V1" s="760"/>
      <c r="W1" s="763" t="s">
        <v>342</v>
      </c>
      <c r="X1" s="759" t="s">
        <v>343</v>
      </c>
      <c r="Y1" s="767"/>
      <c r="Z1" s="767"/>
      <c r="AA1" s="760"/>
      <c r="AB1" s="534"/>
      <c r="AC1" s="773" t="s">
        <v>337</v>
      </c>
      <c r="AD1" s="774"/>
      <c r="AE1" s="774"/>
      <c r="AF1" s="774"/>
      <c r="AG1" s="774"/>
      <c r="AH1" s="774"/>
      <c r="AI1" s="774"/>
      <c r="AJ1" s="775"/>
    </row>
    <row r="2" spans="2:43" ht="17.25" customHeight="1" thickBot="1">
      <c r="B2" s="766" t="s">
        <v>167</v>
      </c>
      <c r="C2" s="766" t="s">
        <v>168</v>
      </c>
      <c r="D2" s="776" t="s">
        <v>157</v>
      </c>
      <c r="E2" s="777"/>
      <c r="F2" s="766" t="s">
        <v>169</v>
      </c>
      <c r="G2" s="766" t="s">
        <v>17</v>
      </c>
      <c r="H2" s="766" t="s">
        <v>170</v>
      </c>
      <c r="I2" s="763" t="s">
        <v>171</v>
      </c>
      <c r="J2" s="766" t="s">
        <v>60</v>
      </c>
      <c r="K2" s="766" t="s">
        <v>172</v>
      </c>
      <c r="L2" s="759" t="s">
        <v>173</v>
      </c>
      <c r="M2" s="767"/>
      <c r="N2" s="767"/>
      <c r="O2" s="766" t="s">
        <v>56</v>
      </c>
      <c r="P2" s="766" t="s">
        <v>20</v>
      </c>
      <c r="Q2" s="766" t="s">
        <v>218</v>
      </c>
      <c r="R2" s="766" t="s">
        <v>118</v>
      </c>
      <c r="S2" s="757" t="s">
        <v>174</v>
      </c>
      <c r="T2" s="367"/>
      <c r="U2" s="761"/>
      <c r="V2" s="762"/>
      <c r="W2" s="764"/>
      <c r="X2" s="769"/>
      <c r="Y2" s="770"/>
      <c r="Z2" s="770"/>
      <c r="AA2" s="771"/>
      <c r="AB2" s="534"/>
      <c r="AC2" s="593" t="s">
        <v>315</v>
      </c>
      <c r="AD2" s="593" t="s">
        <v>316</v>
      </c>
      <c r="AE2" s="593" t="s">
        <v>317</v>
      </c>
      <c r="AF2" s="593" t="s">
        <v>318</v>
      </c>
      <c r="AG2" s="593" t="s">
        <v>312</v>
      </c>
      <c r="AH2" s="593" t="s">
        <v>319</v>
      </c>
      <c r="AI2" s="593" t="s">
        <v>314</v>
      </c>
      <c r="AJ2" s="593" t="s">
        <v>313</v>
      </c>
    </row>
    <row r="3" spans="2:43" ht="17.25" thickBot="1">
      <c r="B3" s="766"/>
      <c r="C3" s="766"/>
      <c r="D3" s="368" t="s">
        <v>3</v>
      </c>
      <c r="E3" s="369" t="s">
        <v>4</v>
      </c>
      <c r="F3" s="766"/>
      <c r="G3" s="766"/>
      <c r="H3" s="766"/>
      <c r="I3" s="765"/>
      <c r="J3" s="766"/>
      <c r="K3" s="766"/>
      <c r="L3" s="421" t="s">
        <v>175</v>
      </c>
      <c r="M3" s="421" t="s">
        <v>176</v>
      </c>
      <c r="N3" s="421" t="s">
        <v>177</v>
      </c>
      <c r="O3" s="766"/>
      <c r="P3" s="766"/>
      <c r="Q3" s="766"/>
      <c r="R3" s="766"/>
      <c r="S3" s="757"/>
      <c r="T3" s="370"/>
      <c r="U3" s="491" t="s">
        <v>4</v>
      </c>
      <c r="V3" s="481" t="s">
        <v>114</v>
      </c>
      <c r="W3" s="765"/>
      <c r="X3" s="761"/>
      <c r="Y3" s="772"/>
      <c r="Z3" s="772"/>
      <c r="AA3" s="762"/>
      <c r="AB3" s="537"/>
      <c r="AC3" s="594">
        <f t="shared" ref="AC3:AJ3" ca="1" si="0">SUMPRODUCT(($V$4:$V$300&gt;1%)*($X$4:$AA$300=AC$2))</f>
        <v>5</v>
      </c>
      <c r="AD3" s="594">
        <f t="shared" ca="1" si="0"/>
        <v>3</v>
      </c>
      <c r="AE3" s="594">
        <f t="shared" ca="1" si="0"/>
        <v>3</v>
      </c>
      <c r="AF3" s="594">
        <f t="shared" ca="1" si="0"/>
        <v>5</v>
      </c>
      <c r="AG3" s="594">
        <f t="shared" ca="1" si="0"/>
        <v>10</v>
      </c>
      <c r="AH3" s="594">
        <f t="shared" ca="1" si="0"/>
        <v>8</v>
      </c>
      <c r="AI3" s="594">
        <f t="shared" ca="1" si="0"/>
        <v>6</v>
      </c>
      <c r="AJ3" s="594">
        <f t="shared" ca="1" si="0"/>
        <v>8</v>
      </c>
      <c r="AL3" s="533"/>
    </row>
    <row r="4" spans="2:43" ht="16.5" customHeight="1">
      <c r="B4" s="758" t="s">
        <v>178</v>
      </c>
      <c r="C4" s="474" t="str">
        <f>+'HASIL PROD'!B4</f>
        <v>QG01701</v>
      </c>
      <c r="D4" s="372">
        <f>SUMIF('HASIL PROD'!$B$4:$B$343,C4,'HASIL PROD'!$C$4:$C$343)</f>
        <v>435</v>
      </c>
      <c r="E4" s="373">
        <f t="shared" ref="E4:E13" si="1">+D4*3.875</f>
        <v>1685.625</v>
      </c>
      <c r="F4" s="374">
        <f ca="1">SUMIF('DAILY OKEY AYAM'!$C$9:$C$173,$C4,'DAILY OKEY AYAM'!$K$9:$K$172)</f>
        <v>2.4500000000000002</v>
      </c>
      <c r="G4" s="374">
        <f ca="1">SUMIF('DAILY OKEY AYAM'!$C$9:$C$173,$C4,'DAILY OKEY AYAM'!$L$9:$L$172)</f>
        <v>3.45</v>
      </c>
      <c r="H4" s="374">
        <f ca="1">SUMIF('DAILY OKEY AYAM'!$C$9:$C$173,$C4,'DAILY OKEY AYAM'!$M$9:$N$172)</f>
        <v>0.5</v>
      </c>
      <c r="I4" s="374">
        <f ca="1">SUMIF('DAILY OKEY AYAM'!$C$9:$C$173,$C4,'DAILY OKEY AYAM'!$O$9:$O$172)</f>
        <v>21</v>
      </c>
      <c r="J4" s="374">
        <f ca="1">SUMIF('DAILY OKEY AYAM'!$C$9:$C$173,$C4,'DAILY OKEY AYAM'!$P$9:$P$172)</f>
        <v>0.7</v>
      </c>
      <c r="K4" s="374">
        <f ca="1">SUMIF('DAILY OKEY AYAM'!$C$9:$C$173,$C4,'DAILY OKEY AYAM'!$R$9:$R$172)</f>
        <v>0.95</v>
      </c>
      <c r="L4" s="374">
        <f ca="1">SUMIF('DAILY OKEY AYAM'!$C$9:$C$173,$C4,'DAILY OKEY AYAM'!$S$9:$S$172)</f>
        <v>0</v>
      </c>
      <c r="M4" s="374">
        <f ca="1">SUMIF('DAILY OKEY AYAM'!$C$9:$C$173,$C4,'DAILY OKEY AYAM'!$T$9:$T$172)</f>
        <v>1.75</v>
      </c>
      <c r="N4" s="374">
        <f ca="1">SUMIF('DAILY OKEY AYAM'!$C$9:$C$173,$C4,'DAILY OKEY AYAM'!$U$9:$U$172)</f>
        <v>0</v>
      </c>
      <c r="O4" s="374">
        <f ca="1">SUMIF('DAILY OKEY AYAM'!$C$9:$C$173,$C4,'DAILY OKEY AYAM'!$V$9:$V$172)</f>
        <v>0</v>
      </c>
      <c r="P4" s="374">
        <f ca="1">SUMIF('DAILY OKEY AYAM'!$C$9:$C$173,$C4,'DAILY OKEY AYAM'!$W$9:$W$172)</f>
        <v>0</v>
      </c>
      <c r="Q4" s="374">
        <f ca="1">SUMIF('DAILY OKEY AYAM'!$C$9:$C$173,$C4,'DAILY OKEY AYAM'!$X$9:$X$172)</f>
        <v>0</v>
      </c>
      <c r="R4" s="375">
        <f t="shared" ref="R4:R10" ca="1" si="2">+SUM(F4:Q4)</f>
        <v>30.799999999999997</v>
      </c>
      <c r="S4" s="376">
        <f t="shared" ref="S4:S10" ca="1" si="3">+R4/E4</f>
        <v>1.8272154245457913E-2</v>
      </c>
      <c r="T4" s="377"/>
      <c r="U4" s="743">
        <f ca="1">SUM(R4:R6)</f>
        <v>60.5</v>
      </c>
      <c r="V4" s="749">
        <f ca="1">+U4/SUM(E4:E6)</f>
        <v>1.2056295927263668E-2</v>
      </c>
      <c r="W4" s="768" t="s">
        <v>338</v>
      </c>
      <c r="X4" s="728" t="s">
        <v>312</v>
      </c>
      <c r="Y4" s="728" t="s">
        <v>313</v>
      </c>
      <c r="Z4" s="728" t="s">
        <v>314</v>
      </c>
      <c r="AA4" s="542"/>
      <c r="AB4" s="535"/>
      <c r="AC4" s="535"/>
      <c r="AD4" s="535"/>
      <c r="AE4" s="535"/>
      <c r="AF4" s="535"/>
      <c r="AG4" s="535"/>
      <c r="AH4" s="535"/>
      <c r="AI4" s="535"/>
      <c r="AJ4" s="535"/>
      <c r="AK4" s="535"/>
      <c r="AL4" s="535"/>
    </row>
    <row r="5" spans="2:43" ht="16.5">
      <c r="B5" s="758"/>
      <c r="C5" s="474" t="str">
        <f>+'HASIL PROD'!B5</f>
        <v>QG01702</v>
      </c>
      <c r="D5" s="372">
        <f>SUMIF('HASIL PROD'!$B$4:$B$343,C5,'HASIL PROD'!$C$4:$C$343)</f>
        <v>413</v>
      </c>
      <c r="E5" s="373">
        <f t="shared" si="1"/>
        <v>1600.375</v>
      </c>
      <c r="F5" s="374">
        <f ca="1">SUMIF('DAILY OKEY AYAM'!$C$9:$C$173,$C5,'DAILY OKEY AYAM'!$K$9:$K$172)</f>
        <v>2.5</v>
      </c>
      <c r="G5" s="374">
        <f ca="1">SUMIF('DAILY OKEY AYAM'!$C$9:$C$173,$C5,'DAILY OKEY AYAM'!$L$9:$L$172)</f>
        <v>3.1</v>
      </c>
      <c r="H5" s="374">
        <f ca="1">SUMIF('DAILY OKEY AYAM'!$C$9:$C$173,$C5,'DAILY OKEY AYAM'!$M$9:$N$172)</f>
        <v>1.45</v>
      </c>
      <c r="I5" s="374">
        <f ca="1">SUMIF('DAILY OKEY AYAM'!$C$9:$C$173,$C5,'DAILY OKEY AYAM'!$O$9:$O$172)</f>
        <v>3.85</v>
      </c>
      <c r="J5" s="374">
        <f ca="1">SUMIF('DAILY OKEY AYAM'!$C$9:$C$173,$C5,'DAILY OKEY AYAM'!$P$9:$P$172)</f>
        <v>0.2</v>
      </c>
      <c r="K5" s="374">
        <f ca="1">SUMIF('DAILY OKEY AYAM'!$C$9:$C$173,$C5,'DAILY OKEY AYAM'!$R$9:$R$172)</f>
        <v>0.4</v>
      </c>
      <c r="L5" s="374">
        <f ca="1">SUMIF('DAILY OKEY AYAM'!$C$9:$C$173,$C5,'DAILY OKEY AYAM'!$S$9:$S$172)</f>
        <v>0</v>
      </c>
      <c r="M5" s="374">
        <f ca="1">SUMIF('DAILY OKEY AYAM'!$C$9:$C$173,$C5,'DAILY OKEY AYAM'!$T$9:$T$172)</f>
        <v>1.1000000000000001</v>
      </c>
      <c r="N5" s="374">
        <f ca="1">SUMIF('DAILY OKEY AYAM'!$C$9:$C$173,$C5,'DAILY OKEY AYAM'!$U$9:$U$172)</f>
        <v>0</v>
      </c>
      <c r="O5" s="374">
        <f ca="1">SUMIF('DAILY OKEY AYAM'!$C$9:$C$173,$C5,'DAILY OKEY AYAM'!$V$9:$V$172)</f>
        <v>0</v>
      </c>
      <c r="P5" s="374">
        <f ca="1">SUMIF('DAILY OKEY AYAM'!$C$9:$C$173,$C5,'DAILY OKEY AYAM'!$W$9:$W$172)</f>
        <v>0</v>
      </c>
      <c r="Q5" s="374">
        <f ca="1">SUMIF('DAILY OKEY AYAM'!$C$9:$C$173,$C5,'DAILY OKEY AYAM'!$X$9:$X$172)</f>
        <v>0</v>
      </c>
      <c r="R5" s="375">
        <f t="shared" ca="1" si="2"/>
        <v>12.6</v>
      </c>
      <c r="S5" s="376">
        <f t="shared" ca="1" si="3"/>
        <v>7.8731547293603068E-3</v>
      </c>
      <c r="T5" s="377"/>
      <c r="U5" s="738"/>
      <c r="V5" s="749"/>
      <c r="W5" s="736"/>
      <c r="X5" s="728"/>
      <c r="Y5" s="728"/>
      <c r="Z5" s="728"/>
      <c r="AA5" s="543"/>
      <c r="AB5" s="535"/>
    </row>
    <row r="6" spans="2:43" ht="16.5">
      <c r="B6" s="758"/>
      <c r="C6" s="474" t="str">
        <f>+'HASIL PROD'!B6</f>
        <v>QG01703</v>
      </c>
      <c r="D6" s="372">
        <f>SUMIF('HASIL PROD'!$B$4:$B$343,C6,'HASIL PROD'!$C$4:$C$343)</f>
        <v>447</v>
      </c>
      <c r="E6" s="373">
        <f t="shared" si="1"/>
        <v>1732.125</v>
      </c>
      <c r="F6" s="374">
        <f ca="1">SUMIF('DAILY OKEY AYAM'!$C$9:$C$173,$C6,'DAILY OKEY AYAM'!$K$9:$K$172)</f>
        <v>1.2</v>
      </c>
      <c r="G6" s="374">
        <f ca="1">SUMIF('DAILY OKEY AYAM'!$C$9:$C$173,$C6,'DAILY OKEY AYAM'!$L$9:$L$172)</f>
        <v>4.2</v>
      </c>
      <c r="H6" s="374">
        <f ca="1">SUMIF('DAILY OKEY AYAM'!$C$9:$C$173,$C6,'DAILY OKEY AYAM'!$M$9:$N$172)</f>
        <v>0.25</v>
      </c>
      <c r="I6" s="374">
        <f ca="1">SUMIF('DAILY OKEY AYAM'!$C$9:$C$173,$C6,'DAILY OKEY AYAM'!$O$9:$O$172)</f>
        <v>10.1</v>
      </c>
      <c r="J6" s="374">
        <f ca="1">SUMIF('DAILY OKEY AYAM'!$C$9:$C$173,$C6,'DAILY OKEY AYAM'!$P$9:$P$172)</f>
        <v>0</v>
      </c>
      <c r="K6" s="374">
        <f ca="1">SUMIF('DAILY OKEY AYAM'!$C$9:$C$173,$C6,'DAILY OKEY AYAM'!$R$9:$R$172)</f>
        <v>0.25</v>
      </c>
      <c r="L6" s="374">
        <f ca="1">SUMIF('DAILY OKEY AYAM'!$C$9:$C$173,$C6,'DAILY OKEY AYAM'!$S$9:$S$172)</f>
        <v>0</v>
      </c>
      <c r="M6" s="374">
        <f ca="1">SUMIF('DAILY OKEY AYAM'!$C$9:$C$173,$C6,'DAILY OKEY AYAM'!$T$9:$T$172)</f>
        <v>1.1000000000000001</v>
      </c>
      <c r="N6" s="374">
        <f ca="1">SUMIF('DAILY OKEY AYAM'!$C$9:$C$173,$C6,'DAILY OKEY AYAM'!$U$9:$U$172)</f>
        <v>0</v>
      </c>
      <c r="O6" s="374">
        <f ca="1">SUMIF('DAILY OKEY AYAM'!$C$9:$C$173,$C6,'DAILY OKEY AYAM'!$V$9:$V$172)</f>
        <v>0</v>
      </c>
      <c r="P6" s="374">
        <f ca="1">SUMIF('DAILY OKEY AYAM'!$C$9:$C$173,$C6,'DAILY OKEY AYAM'!$W$9:$W$172)</f>
        <v>0</v>
      </c>
      <c r="Q6" s="374">
        <f ca="1">SUMIF('DAILY OKEY AYAM'!$C$9:$C$173,$C6,'DAILY OKEY AYAM'!$X$9:$X$172)</f>
        <v>0</v>
      </c>
      <c r="R6" s="375">
        <f t="shared" ca="1" si="2"/>
        <v>17.100000000000001</v>
      </c>
      <c r="S6" s="376">
        <f t="shared" ca="1" si="3"/>
        <v>9.8722667243992222E-3</v>
      </c>
      <c r="T6" s="377"/>
      <c r="U6" s="738"/>
      <c r="V6" s="750"/>
      <c r="W6" s="737"/>
      <c r="X6" s="729"/>
      <c r="Y6" s="729"/>
      <c r="Z6" s="729"/>
      <c r="AA6" s="543"/>
      <c r="AB6" s="535"/>
      <c r="AL6"/>
    </row>
    <row r="7" spans="2:43" ht="15" customHeight="1">
      <c r="B7" s="758"/>
      <c r="C7" s="474" t="str">
        <f>+'HASIL PROD'!B7</f>
        <v>QG01704</v>
      </c>
      <c r="D7" s="372">
        <f>SUMIF('HASIL PROD'!$B$4:$B$343,C7,'HASIL PROD'!$C$4:$C$343)</f>
        <v>481</v>
      </c>
      <c r="E7" s="373">
        <f t="shared" si="1"/>
        <v>1863.875</v>
      </c>
      <c r="F7" s="374">
        <f ca="1">SUMIF('DAILY OKEY AYAM'!$C$9:$C$173,$C7,'DAILY OKEY AYAM'!$K$9:$K$172)</f>
        <v>1.75</v>
      </c>
      <c r="G7" s="374">
        <f ca="1">SUMIF('DAILY OKEY AYAM'!$C$9:$C$173,$C7,'DAILY OKEY AYAM'!$L$9:$L$172)</f>
        <v>3.5</v>
      </c>
      <c r="H7" s="374">
        <f ca="1">SUMIF('DAILY OKEY AYAM'!$C$9:$C$173,$C7,'DAILY OKEY AYAM'!$M$9:$N$172)</f>
        <v>0</v>
      </c>
      <c r="I7" s="374">
        <f ca="1">SUMIF('DAILY OKEY AYAM'!$C$9:$C$173,$C7,'DAILY OKEY AYAM'!$O$9:$O$172)</f>
        <v>7.85</v>
      </c>
      <c r="J7" s="374">
        <f ca="1">SUMIF('DAILY OKEY AYAM'!$C$9:$C$173,$C7,'DAILY OKEY AYAM'!$P$9:$P$172)</f>
        <v>0.85</v>
      </c>
      <c r="K7" s="374">
        <f ca="1">SUMIF('DAILY OKEY AYAM'!$C$9:$C$173,$C7,'DAILY OKEY AYAM'!$R$9:$R$172)</f>
        <v>0</v>
      </c>
      <c r="L7" s="374">
        <f ca="1">SUMIF('DAILY OKEY AYAM'!$C$9:$C$173,$C7,'DAILY OKEY AYAM'!$S$9:$S$172)</f>
        <v>0</v>
      </c>
      <c r="M7" s="374">
        <f ca="1">SUMIF('DAILY OKEY AYAM'!$C$9:$C$173,$C7,'DAILY OKEY AYAM'!$T$9:$T$172)</f>
        <v>1.8</v>
      </c>
      <c r="N7" s="374">
        <f ca="1">SUMIF('DAILY OKEY AYAM'!$C$9:$C$173,$C7,'DAILY OKEY AYAM'!$U$9:$U$172)</f>
        <v>0</v>
      </c>
      <c r="O7" s="374">
        <f ca="1">SUMIF('DAILY OKEY AYAM'!$C$9:$C$173,$C7,'DAILY OKEY AYAM'!$V$9:$V$172)</f>
        <v>0</v>
      </c>
      <c r="P7" s="374">
        <f ca="1">SUMIF('DAILY OKEY AYAM'!$C$9:$C$173,$C7,'DAILY OKEY AYAM'!$W$9:$W$172)</f>
        <v>0</v>
      </c>
      <c r="Q7" s="374">
        <f ca="1">SUMIF('DAILY OKEY AYAM'!$C$9:$C$173,$C7,'DAILY OKEY AYAM'!$X$9:$X$172)</f>
        <v>0</v>
      </c>
      <c r="R7" s="375">
        <f t="shared" ca="1" si="2"/>
        <v>15.75</v>
      </c>
      <c r="S7" s="376">
        <f t="shared" ca="1" si="3"/>
        <v>8.450137482395547E-3</v>
      </c>
      <c r="T7" s="377"/>
      <c r="U7" s="420">
        <f ca="1">SUM(R7:R7)</f>
        <v>15.75</v>
      </c>
      <c r="V7" s="415">
        <f ca="1">+U7/(SUM(E7:E7))</f>
        <v>8.450137482395547E-3</v>
      </c>
      <c r="W7" s="378" t="s">
        <v>338</v>
      </c>
      <c r="X7" s="530" t="s">
        <v>315</v>
      </c>
      <c r="Y7" s="530" t="s">
        <v>312</v>
      </c>
      <c r="Z7" s="530" t="s">
        <v>313</v>
      </c>
      <c r="AA7" s="530" t="s">
        <v>314</v>
      </c>
      <c r="AB7" s="535"/>
    </row>
    <row r="8" spans="2:43" ht="16.5" customHeight="1">
      <c r="B8" s="758"/>
      <c r="C8" s="474" t="str">
        <f>+'HASIL PROD'!B8</f>
        <v>QG01705</v>
      </c>
      <c r="D8" s="372">
        <f>SUMIF('HASIL PROD'!$B$4:$B$343,C8,'HASIL PROD'!$C$4:$C$343)</f>
        <v>467</v>
      </c>
      <c r="E8" s="373">
        <f t="shared" si="1"/>
        <v>1809.625</v>
      </c>
      <c r="F8" s="374">
        <f ca="1">SUMIF('DAILY OKEY AYAM'!$C$9:$C$173,$C8,'DAILY OKEY AYAM'!$K$9:$K$172)</f>
        <v>4.3499999999999996</v>
      </c>
      <c r="G8" s="374">
        <f ca="1">SUMIF('DAILY OKEY AYAM'!$C$9:$C$173,$C8,'DAILY OKEY AYAM'!$L$9:$L$172)</f>
        <v>6.75</v>
      </c>
      <c r="H8" s="374">
        <f ca="1">SUMIF('DAILY OKEY AYAM'!$C$9:$C$173,$C8,'DAILY OKEY AYAM'!$M$9:$N$172)</f>
        <v>0</v>
      </c>
      <c r="I8" s="374">
        <f ca="1">SUMIF('DAILY OKEY AYAM'!$C$9:$C$173,$C8,'DAILY OKEY AYAM'!$O$9:$O$172)</f>
        <v>19.25</v>
      </c>
      <c r="J8" s="374">
        <f ca="1">SUMIF('DAILY OKEY AYAM'!$C$9:$C$173,$C8,'DAILY OKEY AYAM'!$P$9:$P$172)</f>
        <v>0.9</v>
      </c>
      <c r="K8" s="374">
        <f ca="1">SUMIF('DAILY OKEY AYAM'!$C$9:$C$173,$C8,'DAILY OKEY AYAM'!$R$9:$R$172)</f>
        <v>2.75</v>
      </c>
      <c r="L8" s="374">
        <f ca="1">SUMIF('DAILY OKEY AYAM'!$C$9:$C$173,$C8,'DAILY OKEY AYAM'!$S$9:$S$172)</f>
        <v>0</v>
      </c>
      <c r="M8" s="374">
        <f ca="1">SUMIF('DAILY OKEY AYAM'!$C$9:$C$173,$C8,'DAILY OKEY AYAM'!$T$9:$T$172)</f>
        <v>0.8</v>
      </c>
      <c r="N8" s="374">
        <f ca="1">SUMIF('DAILY OKEY AYAM'!$C$9:$C$173,$C8,'DAILY OKEY AYAM'!$U$9:$U$172)</f>
        <v>0</v>
      </c>
      <c r="O8" s="374">
        <f ca="1">SUMIF('DAILY OKEY AYAM'!$C$9:$C$173,$C8,'DAILY OKEY AYAM'!$V$9:$V$172)</f>
        <v>0</v>
      </c>
      <c r="P8" s="374">
        <f ca="1">SUMIF('DAILY OKEY AYAM'!$C$9:$C$173,$C8,'DAILY OKEY AYAM'!$W$9:$W$172)</f>
        <v>0</v>
      </c>
      <c r="Q8" s="374">
        <f ca="1">SUMIF('DAILY OKEY AYAM'!$C$9:$C$173,$C8,'DAILY OKEY AYAM'!$X$9:$X$172)</f>
        <v>0</v>
      </c>
      <c r="R8" s="375">
        <f t="shared" ca="1" si="2"/>
        <v>34.799999999999997</v>
      </c>
      <c r="S8" s="376">
        <f t="shared" ca="1" si="3"/>
        <v>1.9230503557366857E-2</v>
      </c>
      <c r="T8" s="377"/>
      <c r="U8" s="741">
        <f ca="1">SUM(R8:R10)</f>
        <v>165.89000000000001</v>
      </c>
      <c r="V8" s="748">
        <f ca="1">+U8/SUM(E8:E10)</f>
        <v>4.9837395320890765E-2</v>
      </c>
      <c r="W8" s="740" t="s">
        <v>341</v>
      </c>
      <c r="X8" s="727" t="s">
        <v>315</v>
      </c>
      <c r="Y8" s="727" t="s">
        <v>316</v>
      </c>
      <c r="Z8" s="727" t="s">
        <v>317</v>
      </c>
      <c r="AA8" s="727" t="s">
        <v>318</v>
      </c>
      <c r="AB8" s="535"/>
    </row>
    <row r="9" spans="2:43" ht="16.5">
      <c r="B9" s="758"/>
      <c r="C9" s="474" t="str">
        <f>+'HASIL PROD'!B9</f>
        <v>QG01706</v>
      </c>
      <c r="D9" s="372">
        <f>SUMIF('HASIL PROD'!$B$4:$B$343,C9,'HASIL PROD'!$C$4:$C$343)</f>
        <v>290</v>
      </c>
      <c r="E9" s="373">
        <f t="shared" si="1"/>
        <v>1123.75</v>
      </c>
      <c r="F9" s="374">
        <f ca="1">SUMIF('DAILY OKEY AYAM'!$C$9:$C$173,$C9,'DAILY OKEY AYAM'!$K$9:$K$172)</f>
        <v>15.59</v>
      </c>
      <c r="G9" s="374">
        <f ca="1">SUMIF('DAILY OKEY AYAM'!$C$9:$C$173,$C9,'DAILY OKEY AYAM'!$L$9:$L$172)</f>
        <v>26.55</v>
      </c>
      <c r="H9" s="374">
        <f ca="1">SUMIF('DAILY OKEY AYAM'!$C$9:$C$173,$C9,'DAILY OKEY AYAM'!$M$9:$N$172)</f>
        <v>2.2000000000000002</v>
      </c>
      <c r="I9" s="374">
        <f ca="1">SUMIF('DAILY OKEY AYAM'!$C$9:$C$173,$C9,'DAILY OKEY AYAM'!$O$9:$O$172)</f>
        <v>66.399999999999991</v>
      </c>
      <c r="J9" s="374">
        <f ca="1">SUMIF('DAILY OKEY AYAM'!$C$9:$C$173,$C9,'DAILY OKEY AYAM'!$P$9:$P$172)</f>
        <v>3.5</v>
      </c>
      <c r="K9" s="374">
        <f ca="1">SUMIF('DAILY OKEY AYAM'!$C$9:$C$173,$C9,'DAILY OKEY AYAM'!$R$9:$R$172)</f>
        <v>5.55</v>
      </c>
      <c r="L9" s="374">
        <f ca="1">SUMIF('DAILY OKEY AYAM'!$C$9:$C$173,$C9,'DAILY OKEY AYAM'!$S$9:$S$172)</f>
        <v>0</v>
      </c>
      <c r="M9" s="374">
        <f ca="1">SUMIF('DAILY OKEY AYAM'!$C$9:$C$173,$C9,'DAILY OKEY AYAM'!$T$9:$T$172)</f>
        <v>7.1499999999999995</v>
      </c>
      <c r="N9" s="374">
        <f ca="1">SUMIF('DAILY OKEY AYAM'!$C$9:$C$173,$C9,'DAILY OKEY AYAM'!$U$9:$U$172)</f>
        <v>0</v>
      </c>
      <c r="O9" s="374">
        <f ca="1">SUMIF('DAILY OKEY AYAM'!$C$9:$C$173,$C9,'DAILY OKEY AYAM'!$V$9:$V$172)</f>
        <v>0</v>
      </c>
      <c r="P9" s="374">
        <f ca="1">SUMIF('DAILY OKEY AYAM'!$C$9:$C$173,$C9,'DAILY OKEY AYAM'!$W$9:$W$172)</f>
        <v>0</v>
      </c>
      <c r="Q9" s="374">
        <f ca="1">SUMIF('DAILY OKEY AYAM'!$C$9:$C$173,$C9,'DAILY OKEY AYAM'!$X$9:$X$172)</f>
        <v>0</v>
      </c>
      <c r="R9" s="375">
        <f t="shared" ca="1" si="2"/>
        <v>126.94</v>
      </c>
      <c r="S9" s="376">
        <f t="shared" ca="1" si="3"/>
        <v>0.11296106785317019</v>
      </c>
      <c r="T9" s="377"/>
      <c r="U9" s="742"/>
      <c r="V9" s="749"/>
      <c r="W9" s="740"/>
      <c r="X9" s="728"/>
      <c r="Y9" s="728"/>
      <c r="Z9" s="728"/>
      <c r="AA9" s="728"/>
      <c r="AB9" s="535"/>
    </row>
    <row r="10" spans="2:43" ht="16.5">
      <c r="B10" s="758"/>
      <c r="C10" s="474" t="str">
        <f>+'HASIL PROD'!B10</f>
        <v>QG01707</v>
      </c>
      <c r="D10" s="372">
        <f>SUMIF('HASIL PROD'!$B$4:$B$343,C10,'HASIL PROD'!$C$4:$C$343)</f>
        <v>102</v>
      </c>
      <c r="E10" s="373">
        <f t="shared" si="1"/>
        <v>395.25</v>
      </c>
      <c r="F10" s="374">
        <f ca="1">SUMIF('DAILY OKEY AYAM'!$C$9:$C$173,$C10,'DAILY OKEY AYAM'!$K$9:$K$172)</f>
        <v>0.75</v>
      </c>
      <c r="G10" s="374">
        <f ca="1">SUMIF('DAILY OKEY AYAM'!$C$9:$C$173,$C10,'DAILY OKEY AYAM'!$L$9:$L$172)</f>
        <v>1.25</v>
      </c>
      <c r="H10" s="374">
        <f ca="1">SUMIF('DAILY OKEY AYAM'!$C$9:$C$173,$C10,'DAILY OKEY AYAM'!$M$9:$N$172)</f>
        <v>0</v>
      </c>
      <c r="I10" s="374">
        <f ca="1">SUMIF('DAILY OKEY AYAM'!$C$9:$C$173,$C10,'DAILY OKEY AYAM'!$O$9:$O$172)</f>
        <v>0.9</v>
      </c>
      <c r="J10" s="374">
        <f ca="1">SUMIF('DAILY OKEY AYAM'!$C$9:$C$173,$C10,'DAILY OKEY AYAM'!$P$9:$P$172)</f>
        <v>0</v>
      </c>
      <c r="K10" s="374">
        <f ca="1">SUMIF('DAILY OKEY AYAM'!$C$9:$C$173,$C10,'DAILY OKEY AYAM'!$R$9:$R$172)</f>
        <v>0.75</v>
      </c>
      <c r="L10" s="374">
        <f ca="1">SUMIF('DAILY OKEY AYAM'!$C$9:$C$173,$C10,'DAILY OKEY AYAM'!$S$9:$S$172)</f>
        <v>0</v>
      </c>
      <c r="M10" s="374">
        <f ca="1">SUMIF('DAILY OKEY AYAM'!$C$9:$C$173,$C10,'DAILY OKEY AYAM'!$T$9:$T$172)</f>
        <v>0.5</v>
      </c>
      <c r="N10" s="374">
        <f ca="1">SUMIF('DAILY OKEY AYAM'!$C$9:$C$173,$C10,'DAILY OKEY AYAM'!$U$9:$U$172)</f>
        <v>0</v>
      </c>
      <c r="O10" s="374">
        <f ca="1">SUMIF('DAILY OKEY AYAM'!$C$9:$C$173,$C10,'DAILY OKEY AYAM'!$V$9:$V$172)</f>
        <v>0</v>
      </c>
      <c r="P10" s="374">
        <f ca="1">SUMIF('DAILY OKEY AYAM'!$C$9:$C$173,$C10,'DAILY OKEY AYAM'!$W$9:$W$172)</f>
        <v>0</v>
      </c>
      <c r="Q10" s="374">
        <f ca="1">SUMIF('DAILY OKEY AYAM'!$C$9:$C$173,$C10,'DAILY OKEY AYAM'!$X$9:$X$172)</f>
        <v>0</v>
      </c>
      <c r="R10" s="375">
        <f t="shared" ca="1" si="2"/>
        <v>4.1500000000000004</v>
      </c>
      <c r="S10" s="376">
        <f t="shared" ca="1" si="3"/>
        <v>1.0499683744465528E-2</v>
      </c>
      <c r="T10" s="377"/>
      <c r="U10" s="743"/>
      <c r="V10" s="750"/>
      <c r="W10" s="740"/>
      <c r="X10" s="729"/>
      <c r="Y10" s="729"/>
      <c r="Z10" s="729"/>
      <c r="AA10" s="729"/>
      <c r="AB10" s="535"/>
    </row>
    <row r="11" spans="2:43" ht="16.5" hidden="1" customHeight="1">
      <c r="B11" s="758"/>
      <c r="C11" s="474">
        <f>+'HASIL PROD'!B11</f>
        <v>0</v>
      </c>
      <c r="D11" s="372">
        <f>SUMIF('HASIL PROD'!$B$4:$B$343,C11,'HASIL PROD'!$C$4:$C$343)</f>
        <v>0</v>
      </c>
      <c r="E11" s="373">
        <f t="shared" si="1"/>
        <v>0</v>
      </c>
      <c r="F11" s="374">
        <f ca="1">SUMIF('DAILY OKEY AYAM'!$C$9:$C$173,$C11,'DAILY OKEY AYAM'!$K$9:$K$172)</f>
        <v>0</v>
      </c>
      <c r="G11" s="374">
        <f ca="1">SUMIF('DAILY OKEY AYAM'!$C$9:$C$173,$C11,'DAILY OKEY AYAM'!$L$9:$L$172)</f>
        <v>0</v>
      </c>
      <c r="H11" s="374">
        <f ca="1">SUMIF('DAILY OKEY AYAM'!$C$9:$C$173,$C11,'DAILY OKEY AYAM'!$M$9:$N$172)</f>
        <v>0</v>
      </c>
      <c r="I11" s="374">
        <f ca="1">SUMIF('DAILY OKEY AYAM'!$C$9:$C$173,$C11,'DAILY OKEY AYAM'!$O$9:$O$172)</f>
        <v>0</v>
      </c>
      <c r="J11" s="374">
        <f ca="1">SUMIF('DAILY OKEY AYAM'!$C$9:$C$173,$C11,'DAILY OKEY AYAM'!$P$9:$P$172)</f>
        <v>0</v>
      </c>
      <c r="K11" s="374">
        <f ca="1">SUMIF('DAILY OKEY AYAM'!$C$9:$C$173,$C11,'DAILY OKEY AYAM'!$R$9:$R$172)</f>
        <v>0</v>
      </c>
      <c r="L11" s="374">
        <f ca="1">SUMIF('DAILY OKEY AYAM'!$C$9:$C$173,$C11,'DAILY OKEY AYAM'!$S$9:$S$172)</f>
        <v>0</v>
      </c>
      <c r="M11" s="374">
        <f ca="1">SUMIF('DAILY OKEY AYAM'!$C$9:$C$173,$C11,'DAILY OKEY AYAM'!$T$9:$T$172)</f>
        <v>0</v>
      </c>
      <c r="N11" s="374">
        <f ca="1">SUMIF('DAILY OKEY AYAM'!$C$9:$C$173,$C11,'DAILY OKEY AYAM'!$U$9:$U$172)</f>
        <v>0</v>
      </c>
      <c r="O11" s="374">
        <f ca="1">SUMIF('DAILY OKEY AYAM'!$C$9:$C$173,$C11,'DAILY OKEY AYAM'!$V$9:$V$172)</f>
        <v>0</v>
      </c>
      <c r="P11" s="374">
        <f ca="1">SUMIF('DAILY OKEY AYAM'!$C$9:$C$173,$C11,'DAILY OKEY AYAM'!$W$9:$W$172)</f>
        <v>0</v>
      </c>
      <c r="Q11" s="374">
        <f ca="1">SUMIF('DAILY OKEY AYAM'!$C$9:$C$173,$C11,'DAILY OKEY AYAM'!$X$9:$X$172)</f>
        <v>0</v>
      </c>
      <c r="R11" s="375">
        <f t="shared" ref="R11:R13" ca="1" si="4">+SUM(F11:Q11)</f>
        <v>0</v>
      </c>
      <c r="S11" s="376" t="e">
        <f t="shared" ref="S11:S13" ca="1" si="5">+R11/E11</f>
        <v>#DIV/0!</v>
      </c>
      <c r="T11" s="377"/>
      <c r="U11" s="414"/>
      <c r="V11" s="417"/>
      <c r="W11" s="418"/>
      <c r="X11" s="530"/>
      <c r="Y11" s="530"/>
      <c r="Z11" s="530"/>
      <c r="AA11" s="530"/>
      <c r="AB11" s="535"/>
    </row>
    <row r="12" spans="2:43" ht="16.5" hidden="1" customHeight="1">
      <c r="B12" s="758"/>
      <c r="C12" s="474">
        <f>+'HASIL PROD'!B12</f>
        <v>0</v>
      </c>
      <c r="D12" s="372">
        <f>SUMIF('HASIL PROD'!$B$4:$B$343,C12,'HASIL PROD'!$C$4:$C$343)</f>
        <v>0</v>
      </c>
      <c r="E12" s="373">
        <f t="shared" si="1"/>
        <v>0</v>
      </c>
      <c r="F12" s="374">
        <f ca="1">SUMIF('DAILY OKEY AYAM'!$C$9:$C$173,$C12,'DAILY OKEY AYAM'!$K$9:$K$172)</f>
        <v>0</v>
      </c>
      <c r="G12" s="374">
        <f ca="1">SUMIF('DAILY OKEY AYAM'!$C$9:$C$173,$C12,'DAILY OKEY AYAM'!$L$9:$L$172)</f>
        <v>0</v>
      </c>
      <c r="H12" s="374">
        <f ca="1">SUMIF('DAILY OKEY AYAM'!$C$9:$C$173,$C12,'DAILY OKEY AYAM'!$M$9:$N$172)</f>
        <v>0</v>
      </c>
      <c r="I12" s="374">
        <f ca="1">SUMIF('DAILY OKEY AYAM'!$C$9:$C$173,$C12,'DAILY OKEY AYAM'!$O$9:$O$172)</f>
        <v>0</v>
      </c>
      <c r="J12" s="374">
        <f ca="1">SUMIF('DAILY OKEY AYAM'!$C$9:$C$173,$C12,'DAILY OKEY AYAM'!$P$9:$P$172)</f>
        <v>0</v>
      </c>
      <c r="K12" s="374">
        <f ca="1">SUMIF('DAILY OKEY AYAM'!$C$9:$C$173,$C12,'DAILY OKEY AYAM'!$R$9:$R$172)</f>
        <v>0</v>
      </c>
      <c r="L12" s="374">
        <f ca="1">SUMIF('DAILY OKEY AYAM'!$C$9:$C$173,$C12,'DAILY OKEY AYAM'!$S$9:$S$172)</f>
        <v>0</v>
      </c>
      <c r="M12" s="374">
        <f ca="1">SUMIF('DAILY OKEY AYAM'!$C$9:$C$173,$C12,'DAILY OKEY AYAM'!$T$9:$T$172)</f>
        <v>0</v>
      </c>
      <c r="N12" s="374">
        <f ca="1">SUMIF('DAILY OKEY AYAM'!$C$9:$C$173,$C12,'DAILY OKEY AYAM'!$U$9:$U$172)</f>
        <v>0</v>
      </c>
      <c r="O12" s="374">
        <f ca="1">SUMIF('DAILY OKEY AYAM'!$C$9:$C$173,$C12,'DAILY OKEY AYAM'!$V$9:$V$172)</f>
        <v>0</v>
      </c>
      <c r="P12" s="374">
        <f ca="1">SUMIF('DAILY OKEY AYAM'!$C$9:$C$173,$C12,'DAILY OKEY AYAM'!$W$9:$W$172)</f>
        <v>0</v>
      </c>
      <c r="Q12" s="374">
        <f ca="1">SUMIF('DAILY OKEY AYAM'!$C$9:$C$173,$C12,'DAILY OKEY AYAM'!$X$9:$X$172)</f>
        <v>0</v>
      </c>
      <c r="R12" s="375">
        <f t="shared" ca="1" si="4"/>
        <v>0</v>
      </c>
      <c r="S12" s="376" t="e">
        <f t="shared" ca="1" si="5"/>
        <v>#DIV/0!</v>
      </c>
      <c r="T12" s="377"/>
      <c r="U12" s="414"/>
      <c r="V12" s="417"/>
      <c r="W12" s="418"/>
      <c r="X12" s="530"/>
      <c r="Y12" s="530"/>
      <c r="Z12" s="530"/>
      <c r="AA12" s="530"/>
      <c r="AB12" s="535"/>
    </row>
    <row r="13" spans="2:43" ht="16.5" hidden="1" customHeight="1">
      <c r="B13" s="758"/>
      <c r="C13" s="474">
        <f>+'HASIL PROD'!B13</f>
        <v>0</v>
      </c>
      <c r="D13" s="372">
        <f>SUMIF('HASIL PROD'!$B$4:$B$343,C13,'HASIL PROD'!$C$4:$C$343)</f>
        <v>0</v>
      </c>
      <c r="E13" s="373">
        <f t="shared" si="1"/>
        <v>0</v>
      </c>
      <c r="F13" s="374">
        <f ca="1">SUMIF('DAILY OKEY AYAM'!$C$9:$C$173,$C13,'DAILY OKEY AYAM'!$K$9:$K$172)</f>
        <v>0</v>
      </c>
      <c r="G13" s="374">
        <f ca="1">SUMIF('DAILY OKEY AYAM'!$C$9:$C$173,$C13,'DAILY OKEY AYAM'!$L$9:$L$172)</f>
        <v>0</v>
      </c>
      <c r="H13" s="374">
        <f ca="1">SUMIF('DAILY OKEY AYAM'!$C$9:$C$173,$C13,'DAILY OKEY AYAM'!$M$9:$N$172)</f>
        <v>0</v>
      </c>
      <c r="I13" s="374">
        <f ca="1">SUMIF('DAILY OKEY AYAM'!$C$9:$C$173,$C13,'DAILY OKEY AYAM'!$O$9:$O$172)</f>
        <v>0</v>
      </c>
      <c r="J13" s="374">
        <f ca="1">SUMIF('DAILY OKEY AYAM'!$C$9:$C$173,$C13,'DAILY OKEY AYAM'!$P$9:$P$172)</f>
        <v>0</v>
      </c>
      <c r="K13" s="374">
        <f ca="1">SUMIF('DAILY OKEY AYAM'!$C$9:$C$173,$C13,'DAILY OKEY AYAM'!$R$9:$R$172)</f>
        <v>0</v>
      </c>
      <c r="L13" s="374">
        <f ca="1">SUMIF('DAILY OKEY AYAM'!$C$9:$C$173,$C13,'DAILY OKEY AYAM'!$S$9:$S$172)</f>
        <v>0</v>
      </c>
      <c r="M13" s="374">
        <f ca="1">SUMIF('DAILY OKEY AYAM'!$C$9:$C$173,$C13,'DAILY OKEY AYAM'!$T$9:$T$172)</f>
        <v>0</v>
      </c>
      <c r="N13" s="374">
        <f ca="1">SUMIF('DAILY OKEY AYAM'!$C$9:$C$173,$C13,'DAILY OKEY AYAM'!$U$9:$U$172)</f>
        <v>0</v>
      </c>
      <c r="O13" s="374">
        <f ca="1">SUMIF('DAILY OKEY AYAM'!$C$9:$C$173,$C13,'DAILY OKEY AYAM'!$V$9:$V$172)</f>
        <v>0</v>
      </c>
      <c r="P13" s="374">
        <f ca="1">SUMIF('DAILY OKEY AYAM'!$C$9:$C$173,$C13,'DAILY OKEY AYAM'!$W$9:$W$172)</f>
        <v>0</v>
      </c>
      <c r="Q13" s="374">
        <f ca="1">SUMIF('DAILY OKEY AYAM'!$C$9:$C$173,$C13,'DAILY OKEY AYAM'!$X$9:$X$172)</f>
        <v>0</v>
      </c>
      <c r="R13" s="375">
        <f t="shared" ca="1" si="4"/>
        <v>0</v>
      </c>
      <c r="S13" s="376" t="e">
        <f t="shared" ca="1" si="5"/>
        <v>#DIV/0!</v>
      </c>
      <c r="T13" s="377"/>
      <c r="U13" s="414"/>
      <c r="V13" s="417"/>
      <c r="W13" s="418"/>
      <c r="X13" s="530"/>
      <c r="Y13" s="530"/>
      <c r="Z13" s="530"/>
      <c r="AA13" s="530"/>
      <c r="AB13" s="535"/>
    </row>
    <row r="14" spans="2:43" ht="16.5">
      <c r="B14" s="758"/>
      <c r="C14" s="371"/>
      <c r="D14" s="372"/>
      <c r="E14" s="373"/>
      <c r="F14" s="379"/>
      <c r="G14" s="379"/>
      <c r="H14" s="379"/>
      <c r="I14" s="379"/>
      <c r="J14" s="379"/>
      <c r="K14" s="379"/>
      <c r="L14" s="379"/>
      <c r="M14" s="379"/>
      <c r="N14" s="379"/>
      <c r="O14" s="379"/>
      <c r="P14" s="379"/>
      <c r="Q14" s="379"/>
      <c r="R14" s="374"/>
      <c r="S14" s="380"/>
      <c r="T14" s="381"/>
      <c r="U14" s="382"/>
      <c r="V14" s="383"/>
      <c r="W14" s="384"/>
      <c r="X14" s="530"/>
      <c r="Y14" s="530"/>
      <c r="Z14" s="530"/>
      <c r="AA14" s="530"/>
      <c r="AB14" s="535"/>
    </row>
    <row r="15" spans="2:43" ht="16.5">
      <c r="B15" s="758"/>
      <c r="C15" s="385" t="s">
        <v>118</v>
      </c>
      <c r="D15" s="386">
        <f>SUM(D4:D14)</f>
        <v>2635</v>
      </c>
      <c r="E15" s="387">
        <f>SUM(E4:E14)</f>
        <v>10210.625</v>
      </c>
      <c r="F15" s="388">
        <f ca="1">SUM(F4:F14)</f>
        <v>28.59</v>
      </c>
      <c r="G15" s="388">
        <f t="shared" ref="G15:R15" ca="1" si="6">SUM(G4:G14)</f>
        <v>48.8</v>
      </c>
      <c r="H15" s="388">
        <f t="shared" ca="1" si="6"/>
        <v>4.4000000000000004</v>
      </c>
      <c r="I15" s="388">
        <f t="shared" ca="1" si="6"/>
        <v>129.35</v>
      </c>
      <c r="J15" s="388">
        <f t="shared" ca="1" si="6"/>
        <v>6.15</v>
      </c>
      <c r="K15" s="388">
        <f t="shared" ca="1" si="6"/>
        <v>10.649999999999999</v>
      </c>
      <c r="L15" s="388">
        <f t="shared" ca="1" si="6"/>
        <v>0</v>
      </c>
      <c r="M15" s="388">
        <f t="shared" ca="1" si="6"/>
        <v>14.2</v>
      </c>
      <c r="N15" s="388">
        <f t="shared" ca="1" si="6"/>
        <v>0</v>
      </c>
      <c r="O15" s="388">
        <f t="shared" ca="1" si="6"/>
        <v>0</v>
      </c>
      <c r="P15" s="388">
        <f t="shared" ca="1" si="6"/>
        <v>0</v>
      </c>
      <c r="Q15" s="388">
        <f t="shared" ca="1" si="6"/>
        <v>0</v>
      </c>
      <c r="R15" s="388">
        <f t="shared" ca="1" si="6"/>
        <v>242.14000000000001</v>
      </c>
      <c r="S15" s="389"/>
      <c r="T15" s="390"/>
      <c r="U15" s="388"/>
      <c r="V15" s="389"/>
      <c r="W15" s="391"/>
      <c r="X15" s="530"/>
      <c r="Y15" s="530"/>
      <c r="Z15" s="530"/>
      <c r="AA15" s="530"/>
      <c r="AB15" s="535"/>
    </row>
    <row r="16" spans="2:43" s="12" customFormat="1" ht="16.5">
      <c r="B16" s="392"/>
      <c r="C16" s="393" t="s">
        <v>114</v>
      </c>
      <c r="D16" s="394"/>
      <c r="E16" s="395"/>
      <c r="F16" s="396">
        <f ca="1">+F15/$E15</f>
        <v>2.8000244842994429E-3</v>
      </c>
      <c r="G16" s="396">
        <f t="shared" ref="G16:Q16" ca="1" si="7">+G15/$E15</f>
        <v>4.7793352512701228E-3</v>
      </c>
      <c r="H16" s="396">
        <f t="shared" ca="1" si="7"/>
        <v>4.3092367019648652E-4</v>
      </c>
      <c r="I16" s="396">
        <f t="shared" ca="1" si="7"/>
        <v>1.2668176531798983E-2</v>
      </c>
      <c r="J16" s="396">
        <f t="shared" ca="1" si="7"/>
        <v>6.0231376629736187E-4</v>
      </c>
      <c r="K16" s="396">
        <f t="shared" ca="1" si="7"/>
        <v>1.0430311562710411E-3</v>
      </c>
      <c r="L16" s="396">
        <f t="shared" ca="1" si="7"/>
        <v>0</v>
      </c>
      <c r="M16" s="396">
        <f t="shared" ca="1" si="7"/>
        <v>1.3907082083613881E-3</v>
      </c>
      <c r="N16" s="396">
        <f t="shared" ca="1" si="7"/>
        <v>0</v>
      </c>
      <c r="O16" s="396">
        <f t="shared" ca="1" si="7"/>
        <v>0</v>
      </c>
      <c r="P16" s="396">
        <f t="shared" ca="1" si="7"/>
        <v>0</v>
      </c>
      <c r="Q16" s="396">
        <f t="shared" ca="1" si="7"/>
        <v>0</v>
      </c>
      <c r="R16" s="482">
        <f ca="1">+R15/$E15</f>
        <v>2.3714513068494827E-2</v>
      </c>
      <c r="S16" s="396"/>
      <c r="T16" s="377"/>
      <c r="U16" s="397"/>
      <c r="V16" s="389"/>
      <c r="W16" s="391"/>
      <c r="X16" s="531"/>
      <c r="Y16" s="531"/>
      <c r="Z16" s="531"/>
      <c r="AA16" s="531"/>
      <c r="AB16" s="535"/>
      <c r="AC16" s="532"/>
      <c r="AD16" s="532"/>
      <c r="AE16" s="532"/>
      <c r="AF16" s="532"/>
      <c r="AG16" s="532"/>
      <c r="AH16" s="532"/>
      <c r="AI16" s="532"/>
      <c r="AJ16" s="532"/>
      <c r="AK16" s="532"/>
      <c r="AL16" s="532"/>
      <c r="AM16" s="532"/>
      <c r="AN16" s="532"/>
      <c r="AO16" s="532"/>
      <c r="AP16" s="532"/>
      <c r="AQ16" s="532"/>
    </row>
    <row r="17" spans="2:28" ht="17.25" customHeight="1">
      <c r="B17" s="751" t="s">
        <v>178</v>
      </c>
      <c r="C17" s="474" t="str">
        <f>+'HASIL PROD'!B59</f>
        <v>QG06701</v>
      </c>
      <c r="D17" s="372">
        <f>SUMIF('HASIL PROD'!$B$4:$B$343,C17,'HASIL PROD'!$C$4:$C$343)</f>
        <v>386</v>
      </c>
      <c r="E17" s="373">
        <f>+D17*3.875</f>
        <v>1495.75</v>
      </c>
      <c r="F17" s="374">
        <f ca="1">SUMIF('DAILY OKEY AYAM'!$C$9:$C$173,$C17,'DAILY OKEY AYAM'!$K$9:$K$172)</f>
        <v>0.32</v>
      </c>
      <c r="G17" s="374">
        <f ca="1">SUMIF('DAILY OKEY AYAM'!$C$9:$C$173,$C17,'DAILY OKEY AYAM'!$L$9:$L$172)</f>
        <v>0.5</v>
      </c>
      <c r="H17" s="374">
        <f ca="1">SUMIF('DAILY OKEY AYAM'!$C$9:$C$173,$C17,'DAILY OKEY AYAM'!$M$9:$N$172)</f>
        <v>0</v>
      </c>
      <c r="I17" s="374">
        <f ca="1">SUMIF('DAILY OKEY AYAM'!$C$9:$C$173,$C17,'DAILY OKEY AYAM'!$O$9:$O$172)</f>
        <v>1.2</v>
      </c>
      <c r="J17" s="374">
        <f ca="1">SUMIF('DAILY OKEY AYAM'!$C$9:$C$173,$C17,'DAILY OKEY AYAM'!$P$9:$P$172)</f>
        <v>0.5</v>
      </c>
      <c r="K17" s="374">
        <f ca="1">SUMIF('DAILY OKEY AYAM'!$C$9:$C$173,$C17,'DAILY OKEY AYAM'!$R$9:$R$172)</f>
        <v>4.95</v>
      </c>
      <c r="L17" s="374">
        <f ca="1">SUMIF('DAILY OKEY AYAM'!$C$9:$C$173,$C17,'DAILY OKEY AYAM'!$S$9:$S$172)</f>
        <v>0</v>
      </c>
      <c r="M17" s="374">
        <f ca="1">SUMIF('DAILY OKEY AYAM'!$C$9:$C$173,$C17,'DAILY OKEY AYAM'!$T$9:$T$172)</f>
        <v>1.5</v>
      </c>
      <c r="N17" s="374">
        <f ca="1">SUMIF('DAILY OKEY AYAM'!$C$9:$C$173,$C17,'DAILY OKEY AYAM'!$U$9:$U$172)</f>
        <v>0</v>
      </c>
      <c r="O17" s="374">
        <f ca="1">SUMIF('DAILY OKEY AYAM'!$C$9:$C$173,$C17,'DAILY OKEY AYAM'!$V$9:$V$172)</f>
        <v>0</v>
      </c>
      <c r="P17" s="374">
        <f ca="1">SUMIF('DAILY OKEY AYAM'!$C$9:$C$173,$C17,'DAILY OKEY AYAM'!$W$9:$W$172)</f>
        <v>0</v>
      </c>
      <c r="Q17" s="374">
        <f ca="1">SUMIF('DAILY OKEY AYAM'!$C$9:$C$173,$C17,'DAILY OKEY AYAM'!$X$9:$X$172)</f>
        <v>0</v>
      </c>
      <c r="R17" s="374">
        <f ca="1">+SUM(F17:Q17)</f>
        <v>8.9700000000000006</v>
      </c>
      <c r="S17" s="376">
        <f ca="1">+R17/E17</f>
        <v>5.9969914758482368E-3</v>
      </c>
      <c r="T17" s="381"/>
      <c r="U17" s="475">
        <f ca="1">SUM(R17:R17)</f>
        <v>8.9700000000000006</v>
      </c>
      <c r="V17" s="476">
        <f ca="1">+U17/(SUM(E17:E17))</f>
        <v>5.9969914758482368E-3</v>
      </c>
      <c r="W17" s="541" t="s">
        <v>338</v>
      </c>
      <c r="X17" s="530" t="s">
        <v>315</v>
      </c>
      <c r="Y17" s="530" t="s">
        <v>316</v>
      </c>
      <c r="Z17" s="530" t="s">
        <v>317</v>
      </c>
      <c r="AA17" s="530" t="s">
        <v>318</v>
      </c>
      <c r="AB17" s="535"/>
    </row>
    <row r="18" spans="2:28" ht="16.5" hidden="1" customHeight="1">
      <c r="B18" s="752"/>
      <c r="C18" s="474">
        <f>+'HASIL PROD'!B60</f>
        <v>0</v>
      </c>
      <c r="D18" s="372">
        <f>SUMIF('HASIL PROD'!$B$4:$B$343,C18,'HASIL PROD'!$C$4:$C$343)</f>
        <v>0</v>
      </c>
      <c r="E18" s="373">
        <f t="shared" ref="E18:E26" si="8">+D18*3.875</f>
        <v>0</v>
      </c>
      <c r="F18" s="374">
        <f ca="1">SUMIF('DAILY OKEY AYAM'!$C$9:$C$173,$C18,'DAILY OKEY AYAM'!$K$9:$K$172)</f>
        <v>0</v>
      </c>
      <c r="G18" s="374">
        <f ca="1">SUMIF('DAILY OKEY AYAM'!$C$9:$C$173,$C18,'DAILY OKEY AYAM'!$L$9:$L$172)</f>
        <v>0</v>
      </c>
      <c r="H18" s="374">
        <f ca="1">SUMIF('DAILY OKEY AYAM'!$C$9:$C$173,$C18,'DAILY OKEY AYAM'!$M$9:$N$172)</f>
        <v>0</v>
      </c>
      <c r="I18" s="374">
        <f ca="1">SUMIF('DAILY OKEY AYAM'!$C$9:$C$173,$C18,'DAILY OKEY AYAM'!$O$9:$O$172)</f>
        <v>0</v>
      </c>
      <c r="J18" s="374">
        <f ca="1">SUMIF('DAILY OKEY AYAM'!$C$9:$C$173,$C18,'DAILY OKEY AYAM'!$P$9:$P$172)</f>
        <v>0</v>
      </c>
      <c r="K18" s="374">
        <f ca="1">SUMIF('DAILY OKEY AYAM'!$C$9:$C$173,$C18,'DAILY OKEY AYAM'!$R$9:$R$172)</f>
        <v>0</v>
      </c>
      <c r="L18" s="374">
        <f ca="1">SUMIF('DAILY OKEY AYAM'!$C$9:$C$173,$C18,'DAILY OKEY AYAM'!$S$9:$S$172)</f>
        <v>0</v>
      </c>
      <c r="M18" s="374">
        <f ca="1">SUMIF('DAILY OKEY AYAM'!$C$9:$C$173,$C18,'DAILY OKEY AYAM'!$T$9:$T$172)</f>
        <v>0</v>
      </c>
      <c r="N18" s="374">
        <f ca="1">SUMIF('DAILY OKEY AYAM'!$C$9:$C$173,$C18,'DAILY OKEY AYAM'!$U$9:$U$172)</f>
        <v>0</v>
      </c>
      <c r="O18" s="374">
        <f ca="1">SUMIF('DAILY OKEY AYAM'!$C$9:$C$173,$C18,'DAILY OKEY AYAM'!$V$9:$V$172)</f>
        <v>0</v>
      </c>
      <c r="P18" s="374">
        <f ca="1">SUMIF('DAILY OKEY AYAM'!$C$9:$C$173,$C18,'DAILY OKEY AYAM'!$W$9:$W$172)</f>
        <v>0</v>
      </c>
      <c r="Q18" s="374">
        <f ca="1">SUMIF('DAILY OKEY AYAM'!$C$9:$C$173,$C18,'DAILY OKEY AYAM'!$X$9:$X$172)</f>
        <v>0</v>
      </c>
      <c r="R18" s="374">
        <f t="shared" ref="R18:R26" ca="1" si="9">+SUM(F18:Q18)</f>
        <v>0</v>
      </c>
      <c r="S18" s="376" t="e">
        <f t="shared" ref="S18:S26" ca="1" si="10">+R18/E18</f>
        <v>#DIV/0!</v>
      </c>
      <c r="T18" s="381"/>
      <c r="U18" s="413"/>
      <c r="V18" s="416"/>
      <c r="W18" s="418"/>
      <c r="X18" s="530"/>
      <c r="Y18" s="530"/>
      <c r="Z18" s="530"/>
      <c r="AA18" s="530"/>
      <c r="AB18" s="535"/>
    </row>
    <row r="19" spans="2:28" ht="16.5" hidden="1" customHeight="1">
      <c r="B19" s="752"/>
      <c r="C19" s="474">
        <f>+'HASIL PROD'!B61</f>
        <v>0</v>
      </c>
      <c r="D19" s="372">
        <f>SUMIF('HASIL PROD'!$B$4:$B$343,C19,'HASIL PROD'!$C$4:$C$343)</f>
        <v>0</v>
      </c>
      <c r="E19" s="373">
        <f t="shared" si="8"/>
        <v>0</v>
      </c>
      <c r="F19" s="374">
        <f ca="1">SUMIF('DAILY OKEY AYAM'!$C$9:$C$173,$C19,'DAILY OKEY AYAM'!$K$9:$K$172)</f>
        <v>0</v>
      </c>
      <c r="G19" s="374">
        <f ca="1">SUMIF('DAILY OKEY AYAM'!$C$9:$C$173,$C19,'DAILY OKEY AYAM'!$L$9:$L$172)</f>
        <v>0</v>
      </c>
      <c r="H19" s="374">
        <f ca="1">SUMIF('DAILY OKEY AYAM'!$C$9:$C$173,$C19,'DAILY OKEY AYAM'!$M$9:$N$172)</f>
        <v>0</v>
      </c>
      <c r="I19" s="374">
        <f ca="1">SUMIF('DAILY OKEY AYAM'!$C$9:$C$173,$C19,'DAILY OKEY AYAM'!$O$9:$O$172)</f>
        <v>0</v>
      </c>
      <c r="J19" s="374">
        <f ca="1">SUMIF('DAILY OKEY AYAM'!$C$9:$C$173,$C19,'DAILY OKEY AYAM'!$P$9:$P$172)</f>
        <v>0</v>
      </c>
      <c r="K19" s="374">
        <f ca="1">SUMIF('DAILY OKEY AYAM'!$C$9:$C$173,$C19,'DAILY OKEY AYAM'!$R$9:$R$172)</f>
        <v>0</v>
      </c>
      <c r="L19" s="374">
        <f ca="1">SUMIF('DAILY OKEY AYAM'!$C$9:$C$173,$C19,'DAILY OKEY AYAM'!$S$9:$S$172)</f>
        <v>0</v>
      </c>
      <c r="M19" s="374">
        <f ca="1">SUMIF('DAILY OKEY AYAM'!$C$9:$C$173,$C19,'DAILY OKEY AYAM'!$T$9:$T$172)</f>
        <v>0</v>
      </c>
      <c r="N19" s="374">
        <f ca="1">SUMIF('DAILY OKEY AYAM'!$C$9:$C$173,$C19,'DAILY OKEY AYAM'!$U$9:$U$172)</f>
        <v>0</v>
      </c>
      <c r="O19" s="374">
        <f ca="1">SUMIF('DAILY OKEY AYAM'!$C$9:$C$173,$C19,'DAILY OKEY AYAM'!$V$9:$V$172)</f>
        <v>0</v>
      </c>
      <c r="P19" s="374">
        <f ca="1">SUMIF('DAILY OKEY AYAM'!$C$9:$C$173,$C19,'DAILY OKEY AYAM'!$W$9:$W$172)</f>
        <v>0</v>
      </c>
      <c r="Q19" s="374">
        <f ca="1">SUMIF('DAILY OKEY AYAM'!$C$9:$C$173,$C19,'DAILY OKEY AYAM'!$X$9:$X$172)</f>
        <v>0</v>
      </c>
      <c r="R19" s="374">
        <f t="shared" ca="1" si="9"/>
        <v>0</v>
      </c>
      <c r="S19" s="376" t="e">
        <f t="shared" ca="1" si="10"/>
        <v>#DIV/0!</v>
      </c>
      <c r="T19" s="381"/>
      <c r="U19" s="413"/>
      <c r="V19" s="416"/>
      <c r="W19" s="418"/>
      <c r="X19" s="530"/>
      <c r="Y19" s="530"/>
      <c r="Z19" s="530"/>
      <c r="AA19" s="530"/>
      <c r="AB19" s="535"/>
    </row>
    <row r="20" spans="2:28" ht="16.5" hidden="1" customHeight="1">
      <c r="B20" s="752"/>
      <c r="C20" s="474">
        <f>+'HASIL PROD'!B62</f>
        <v>0</v>
      </c>
      <c r="D20" s="372">
        <f>SUMIF('HASIL PROD'!$B$4:$B$343,C20,'HASIL PROD'!$C$4:$C$343)</f>
        <v>0</v>
      </c>
      <c r="E20" s="373">
        <f t="shared" si="8"/>
        <v>0</v>
      </c>
      <c r="F20" s="374">
        <f ca="1">SUMIF('DAILY OKEY AYAM'!$C$9:$C$173,$C20,'DAILY OKEY AYAM'!$K$9:$K$172)</f>
        <v>0</v>
      </c>
      <c r="G20" s="374">
        <f ca="1">SUMIF('DAILY OKEY AYAM'!$C$9:$C$173,$C20,'DAILY OKEY AYAM'!$L$9:$L$172)</f>
        <v>0</v>
      </c>
      <c r="H20" s="374">
        <f ca="1">SUMIF('DAILY OKEY AYAM'!$C$9:$C$173,$C20,'DAILY OKEY AYAM'!$M$9:$N$172)</f>
        <v>0</v>
      </c>
      <c r="I20" s="374">
        <f ca="1">SUMIF('DAILY OKEY AYAM'!$C$9:$C$173,$C20,'DAILY OKEY AYAM'!$O$9:$O$172)</f>
        <v>0</v>
      </c>
      <c r="J20" s="374">
        <f ca="1">SUMIF('DAILY OKEY AYAM'!$C$9:$C$173,$C20,'DAILY OKEY AYAM'!$P$9:$P$172)</f>
        <v>0</v>
      </c>
      <c r="K20" s="374">
        <f ca="1">SUMIF('DAILY OKEY AYAM'!$C$9:$C$173,$C20,'DAILY OKEY AYAM'!$R$9:$R$172)</f>
        <v>0</v>
      </c>
      <c r="L20" s="374">
        <f ca="1">SUMIF('DAILY OKEY AYAM'!$C$9:$C$173,$C20,'DAILY OKEY AYAM'!$S$9:$S$172)</f>
        <v>0</v>
      </c>
      <c r="M20" s="374">
        <f ca="1">SUMIF('DAILY OKEY AYAM'!$C$9:$C$173,$C20,'DAILY OKEY AYAM'!$T$9:$T$172)</f>
        <v>0</v>
      </c>
      <c r="N20" s="374">
        <f ca="1">SUMIF('DAILY OKEY AYAM'!$C$9:$C$173,$C20,'DAILY OKEY AYAM'!$U$9:$U$172)</f>
        <v>0</v>
      </c>
      <c r="O20" s="374">
        <f ca="1">SUMIF('DAILY OKEY AYAM'!$C$9:$C$173,$C20,'DAILY OKEY AYAM'!$V$9:$V$172)</f>
        <v>0</v>
      </c>
      <c r="P20" s="374">
        <f ca="1">SUMIF('DAILY OKEY AYAM'!$C$9:$C$173,$C20,'DAILY OKEY AYAM'!$W$9:$W$172)</f>
        <v>0</v>
      </c>
      <c r="Q20" s="374">
        <f ca="1">SUMIF('DAILY OKEY AYAM'!$C$9:$C$173,$C20,'DAILY OKEY AYAM'!$X$9:$X$172)</f>
        <v>0</v>
      </c>
      <c r="R20" s="374">
        <f t="shared" ca="1" si="9"/>
        <v>0</v>
      </c>
      <c r="S20" s="376" t="e">
        <f t="shared" ca="1" si="10"/>
        <v>#DIV/0!</v>
      </c>
      <c r="T20" s="381"/>
      <c r="U20" s="413"/>
      <c r="V20" s="416"/>
      <c r="W20" s="418"/>
      <c r="X20" s="530"/>
      <c r="Y20" s="530"/>
      <c r="Z20" s="530"/>
      <c r="AA20" s="530"/>
      <c r="AB20" s="535"/>
    </row>
    <row r="21" spans="2:28" ht="16.5" hidden="1" customHeight="1">
      <c r="B21" s="752"/>
      <c r="C21" s="474">
        <f>+'HASIL PROD'!B63</f>
        <v>0</v>
      </c>
      <c r="D21" s="372">
        <f>SUMIF('HASIL PROD'!$B$4:$B$343,C21,'HASIL PROD'!$C$4:$C$343)</f>
        <v>0</v>
      </c>
      <c r="E21" s="373">
        <f t="shared" si="8"/>
        <v>0</v>
      </c>
      <c r="F21" s="374">
        <f ca="1">SUMIF('DAILY OKEY AYAM'!$C$9:$C$173,$C21,'DAILY OKEY AYAM'!$K$9:$K$172)</f>
        <v>0</v>
      </c>
      <c r="G21" s="374">
        <f ca="1">SUMIF('DAILY OKEY AYAM'!$C$9:$C$173,$C21,'DAILY OKEY AYAM'!$L$9:$L$172)</f>
        <v>0</v>
      </c>
      <c r="H21" s="374">
        <f ca="1">SUMIF('DAILY OKEY AYAM'!$C$9:$C$173,$C21,'DAILY OKEY AYAM'!$M$9:$N$172)</f>
        <v>0</v>
      </c>
      <c r="I21" s="374">
        <f ca="1">SUMIF('DAILY OKEY AYAM'!$C$9:$C$173,$C21,'DAILY OKEY AYAM'!$O$9:$O$172)</f>
        <v>0</v>
      </c>
      <c r="J21" s="374">
        <f ca="1">SUMIF('DAILY OKEY AYAM'!$C$9:$C$173,$C21,'DAILY OKEY AYAM'!$P$9:$P$172)</f>
        <v>0</v>
      </c>
      <c r="K21" s="374">
        <f ca="1">SUMIF('DAILY OKEY AYAM'!$C$9:$C$173,$C21,'DAILY OKEY AYAM'!$R$9:$R$172)</f>
        <v>0</v>
      </c>
      <c r="L21" s="374">
        <f ca="1">SUMIF('DAILY OKEY AYAM'!$C$9:$C$173,$C21,'DAILY OKEY AYAM'!$S$9:$S$172)</f>
        <v>0</v>
      </c>
      <c r="M21" s="374">
        <f ca="1">SUMIF('DAILY OKEY AYAM'!$C$9:$C$173,$C21,'DAILY OKEY AYAM'!$T$9:$T$172)</f>
        <v>0</v>
      </c>
      <c r="N21" s="374">
        <f ca="1">SUMIF('DAILY OKEY AYAM'!$C$9:$C$173,$C21,'DAILY OKEY AYAM'!$U$9:$U$172)</f>
        <v>0</v>
      </c>
      <c r="O21" s="374">
        <f ca="1">SUMIF('DAILY OKEY AYAM'!$C$9:$C$173,$C21,'DAILY OKEY AYAM'!$V$9:$V$172)</f>
        <v>0</v>
      </c>
      <c r="P21" s="374">
        <f ca="1">SUMIF('DAILY OKEY AYAM'!$C$9:$C$173,$C21,'DAILY OKEY AYAM'!$W$9:$W$172)</f>
        <v>0</v>
      </c>
      <c r="Q21" s="374">
        <f ca="1">SUMIF('DAILY OKEY AYAM'!$C$9:$C$173,$C21,'DAILY OKEY AYAM'!$X$9:$X$172)</f>
        <v>0</v>
      </c>
      <c r="R21" s="374">
        <f t="shared" ca="1" si="9"/>
        <v>0</v>
      </c>
      <c r="S21" s="376" t="e">
        <f t="shared" ca="1" si="10"/>
        <v>#DIV/0!</v>
      </c>
      <c r="T21" s="381"/>
      <c r="U21" s="413"/>
      <c r="V21" s="416"/>
      <c r="W21" s="418"/>
      <c r="X21" s="530"/>
      <c r="Y21" s="530"/>
      <c r="Z21" s="530"/>
      <c r="AA21" s="530"/>
      <c r="AB21" s="535"/>
    </row>
    <row r="22" spans="2:28" ht="16.5" hidden="1" customHeight="1">
      <c r="B22" s="752"/>
      <c r="C22" s="474">
        <f>+'HASIL PROD'!B64</f>
        <v>0</v>
      </c>
      <c r="D22" s="372">
        <f>SUMIF('HASIL PROD'!$B$4:$B$343,C22,'HASIL PROD'!$C$4:$C$343)</f>
        <v>0</v>
      </c>
      <c r="E22" s="373">
        <f t="shared" si="8"/>
        <v>0</v>
      </c>
      <c r="F22" s="374">
        <f ca="1">SUMIF('DAILY OKEY AYAM'!$C$9:$C$173,$C22,'DAILY OKEY AYAM'!$K$9:$K$172)</f>
        <v>0</v>
      </c>
      <c r="G22" s="374">
        <f ca="1">SUMIF('DAILY OKEY AYAM'!$C$9:$C$173,$C22,'DAILY OKEY AYAM'!$L$9:$L$172)</f>
        <v>0</v>
      </c>
      <c r="H22" s="374">
        <f ca="1">SUMIF('DAILY OKEY AYAM'!$C$9:$C$173,$C22,'DAILY OKEY AYAM'!$M$9:$N$172)</f>
        <v>0</v>
      </c>
      <c r="I22" s="374">
        <f ca="1">SUMIF('DAILY OKEY AYAM'!$C$9:$C$173,$C22,'DAILY OKEY AYAM'!$O$9:$O$172)</f>
        <v>0</v>
      </c>
      <c r="J22" s="374">
        <f ca="1">SUMIF('DAILY OKEY AYAM'!$C$9:$C$173,$C22,'DAILY OKEY AYAM'!$P$9:$P$172)</f>
        <v>0</v>
      </c>
      <c r="K22" s="374">
        <f ca="1">SUMIF('DAILY OKEY AYAM'!$C$9:$C$173,$C22,'DAILY OKEY AYAM'!$R$9:$R$172)</f>
        <v>0</v>
      </c>
      <c r="L22" s="374">
        <f ca="1">SUMIF('DAILY OKEY AYAM'!$C$9:$C$173,$C22,'DAILY OKEY AYAM'!$S$9:$S$172)</f>
        <v>0</v>
      </c>
      <c r="M22" s="374">
        <f ca="1">SUMIF('DAILY OKEY AYAM'!$C$9:$C$173,$C22,'DAILY OKEY AYAM'!$T$9:$T$172)</f>
        <v>0</v>
      </c>
      <c r="N22" s="374">
        <f ca="1">SUMIF('DAILY OKEY AYAM'!$C$9:$C$173,$C22,'DAILY OKEY AYAM'!$U$9:$U$172)</f>
        <v>0</v>
      </c>
      <c r="O22" s="374">
        <f ca="1">SUMIF('DAILY OKEY AYAM'!$C$9:$C$173,$C22,'DAILY OKEY AYAM'!$V$9:$V$172)</f>
        <v>0</v>
      </c>
      <c r="P22" s="374">
        <f ca="1">SUMIF('DAILY OKEY AYAM'!$C$9:$C$173,$C22,'DAILY OKEY AYAM'!$W$9:$W$172)</f>
        <v>0</v>
      </c>
      <c r="Q22" s="374">
        <f ca="1">SUMIF('DAILY OKEY AYAM'!$C$9:$C$173,$C22,'DAILY OKEY AYAM'!$X$9:$X$172)</f>
        <v>0</v>
      </c>
      <c r="R22" s="374">
        <f t="shared" ca="1" si="9"/>
        <v>0</v>
      </c>
      <c r="S22" s="376" t="e">
        <f t="shared" ca="1" si="10"/>
        <v>#DIV/0!</v>
      </c>
      <c r="T22" s="381"/>
      <c r="U22" s="413"/>
      <c r="V22" s="416"/>
      <c r="W22" s="418"/>
      <c r="X22" s="530"/>
      <c r="Y22" s="530"/>
      <c r="Z22" s="530"/>
      <c r="AA22" s="530"/>
      <c r="AB22" s="535"/>
    </row>
    <row r="23" spans="2:28" ht="16.5" hidden="1" customHeight="1">
      <c r="B23" s="752"/>
      <c r="C23" s="474">
        <f>+'HASIL PROD'!B65</f>
        <v>0</v>
      </c>
      <c r="D23" s="372">
        <f>SUMIF('HASIL PROD'!$B$4:$B$343,C23,'HASIL PROD'!$C$4:$C$343)</f>
        <v>0</v>
      </c>
      <c r="E23" s="373">
        <f t="shared" si="8"/>
        <v>0</v>
      </c>
      <c r="F23" s="374">
        <f ca="1">SUMIF('DAILY OKEY AYAM'!$C$9:$C$173,$C23,'DAILY OKEY AYAM'!$K$9:$K$172)</f>
        <v>0</v>
      </c>
      <c r="G23" s="374">
        <f ca="1">SUMIF('DAILY OKEY AYAM'!$C$9:$C$173,$C23,'DAILY OKEY AYAM'!$L$9:$L$172)</f>
        <v>0</v>
      </c>
      <c r="H23" s="374">
        <f ca="1">SUMIF('DAILY OKEY AYAM'!$C$9:$C$173,$C23,'DAILY OKEY AYAM'!$M$9:$N$172)</f>
        <v>0</v>
      </c>
      <c r="I23" s="374">
        <f ca="1">SUMIF('DAILY OKEY AYAM'!$C$9:$C$173,$C23,'DAILY OKEY AYAM'!$O$9:$O$172)</f>
        <v>0</v>
      </c>
      <c r="J23" s="374">
        <f ca="1">SUMIF('DAILY OKEY AYAM'!$C$9:$C$173,$C23,'DAILY OKEY AYAM'!$P$9:$P$172)</f>
        <v>0</v>
      </c>
      <c r="K23" s="374">
        <f ca="1">SUMIF('DAILY OKEY AYAM'!$C$9:$C$173,$C23,'DAILY OKEY AYAM'!$R$9:$R$172)</f>
        <v>0</v>
      </c>
      <c r="L23" s="374">
        <f ca="1">SUMIF('DAILY OKEY AYAM'!$C$9:$C$173,$C23,'DAILY OKEY AYAM'!$S$9:$S$172)</f>
        <v>0</v>
      </c>
      <c r="M23" s="374">
        <f ca="1">SUMIF('DAILY OKEY AYAM'!$C$9:$C$173,$C23,'DAILY OKEY AYAM'!$T$9:$T$172)</f>
        <v>0</v>
      </c>
      <c r="N23" s="374">
        <f ca="1">SUMIF('DAILY OKEY AYAM'!$C$9:$C$173,$C23,'DAILY OKEY AYAM'!$U$9:$U$172)</f>
        <v>0</v>
      </c>
      <c r="O23" s="374">
        <f ca="1">SUMIF('DAILY OKEY AYAM'!$C$9:$C$173,$C23,'DAILY OKEY AYAM'!$V$9:$V$172)</f>
        <v>0</v>
      </c>
      <c r="P23" s="374">
        <f ca="1">SUMIF('DAILY OKEY AYAM'!$C$9:$C$173,$C23,'DAILY OKEY AYAM'!$W$9:$W$172)</f>
        <v>0</v>
      </c>
      <c r="Q23" s="374">
        <f ca="1">SUMIF('DAILY OKEY AYAM'!$C$9:$C$173,$C23,'DAILY OKEY AYAM'!$X$9:$X$172)</f>
        <v>0</v>
      </c>
      <c r="R23" s="374">
        <f t="shared" ca="1" si="9"/>
        <v>0</v>
      </c>
      <c r="S23" s="376" t="e">
        <f t="shared" ca="1" si="10"/>
        <v>#DIV/0!</v>
      </c>
      <c r="T23" s="381"/>
      <c r="U23" s="413"/>
      <c r="V23" s="416"/>
      <c r="W23" s="418"/>
      <c r="X23" s="530"/>
      <c r="Y23" s="530"/>
      <c r="Z23" s="530"/>
      <c r="AA23" s="530"/>
      <c r="AB23" s="535"/>
    </row>
    <row r="24" spans="2:28" ht="16.5" hidden="1" customHeight="1">
      <c r="B24" s="752"/>
      <c r="C24" s="474">
        <f>+'HASIL PROD'!B66</f>
        <v>0</v>
      </c>
      <c r="D24" s="372">
        <f>SUMIF('HASIL PROD'!$B$4:$B$343,C24,'HASIL PROD'!$C$4:$C$343)</f>
        <v>0</v>
      </c>
      <c r="E24" s="373">
        <f t="shared" si="8"/>
        <v>0</v>
      </c>
      <c r="F24" s="374">
        <f ca="1">SUMIF('DAILY OKEY AYAM'!$C$9:$C$173,$C24,'DAILY OKEY AYAM'!$K$9:$K$172)</f>
        <v>0</v>
      </c>
      <c r="G24" s="374">
        <f ca="1">SUMIF('DAILY OKEY AYAM'!$C$9:$C$173,$C24,'DAILY OKEY AYAM'!$L$9:$L$172)</f>
        <v>0</v>
      </c>
      <c r="H24" s="374">
        <f ca="1">SUMIF('DAILY OKEY AYAM'!$C$9:$C$173,$C24,'DAILY OKEY AYAM'!$M$9:$N$172)</f>
        <v>0</v>
      </c>
      <c r="I24" s="374">
        <f ca="1">SUMIF('DAILY OKEY AYAM'!$C$9:$C$173,$C24,'DAILY OKEY AYAM'!$O$9:$O$172)</f>
        <v>0</v>
      </c>
      <c r="J24" s="374">
        <f ca="1">SUMIF('DAILY OKEY AYAM'!$C$9:$C$173,$C24,'DAILY OKEY AYAM'!$P$9:$P$172)</f>
        <v>0</v>
      </c>
      <c r="K24" s="374">
        <f ca="1">SUMIF('DAILY OKEY AYAM'!$C$9:$C$173,$C24,'DAILY OKEY AYAM'!$R$9:$R$172)</f>
        <v>0</v>
      </c>
      <c r="L24" s="374">
        <f ca="1">SUMIF('DAILY OKEY AYAM'!$C$9:$C$173,$C24,'DAILY OKEY AYAM'!$S$9:$S$172)</f>
        <v>0</v>
      </c>
      <c r="M24" s="374">
        <f ca="1">SUMIF('DAILY OKEY AYAM'!$C$9:$C$173,$C24,'DAILY OKEY AYAM'!$T$9:$T$172)</f>
        <v>0</v>
      </c>
      <c r="N24" s="374">
        <f ca="1">SUMIF('DAILY OKEY AYAM'!$C$9:$C$173,$C24,'DAILY OKEY AYAM'!$U$9:$U$172)</f>
        <v>0</v>
      </c>
      <c r="O24" s="374">
        <f ca="1">SUMIF('DAILY OKEY AYAM'!$C$9:$C$173,$C24,'DAILY OKEY AYAM'!$V$9:$V$172)</f>
        <v>0</v>
      </c>
      <c r="P24" s="374">
        <f ca="1">SUMIF('DAILY OKEY AYAM'!$C$9:$C$173,$C24,'DAILY OKEY AYAM'!$W$9:$W$172)</f>
        <v>0</v>
      </c>
      <c r="Q24" s="374">
        <f ca="1">SUMIF('DAILY OKEY AYAM'!$C$9:$C$173,$C24,'DAILY OKEY AYAM'!$X$9:$X$172)</f>
        <v>0</v>
      </c>
      <c r="R24" s="374">
        <f t="shared" ca="1" si="9"/>
        <v>0</v>
      </c>
      <c r="S24" s="376" t="e">
        <f t="shared" ca="1" si="10"/>
        <v>#DIV/0!</v>
      </c>
      <c r="T24" s="381"/>
      <c r="U24" s="413"/>
      <c r="V24" s="416"/>
      <c r="W24" s="418"/>
      <c r="X24" s="530"/>
      <c r="Y24" s="530"/>
      <c r="Z24" s="530"/>
      <c r="AA24" s="530"/>
      <c r="AB24" s="535"/>
    </row>
    <row r="25" spans="2:28" ht="16.5" hidden="1" customHeight="1">
      <c r="B25" s="752"/>
      <c r="C25" s="474">
        <f>+'HASIL PROD'!B67</f>
        <v>0</v>
      </c>
      <c r="D25" s="372">
        <f>SUMIF('HASIL PROD'!$B$4:$B$343,C25,'HASIL PROD'!$C$4:$C$343)</f>
        <v>0</v>
      </c>
      <c r="E25" s="373">
        <f t="shared" si="8"/>
        <v>0</v>
      </c>
      <c r="F25" s="374">
        <f ca="1">SUMIF('DAILY OKEY AYAM'!$C$9:$C$173,$C25,'DAILY OKEY AYAM'!$K$9:$K$172)</f>
        <v>0</v>
      </c>
      <c r="G25" s="374">
        <f ca="1">SUMIF('DAILY OKEY AYAM'!$C$9:$C$173,$C25,'DAILY OKEY AYAM'!$L$9:$L$172)</f>
        <v>0</v>
      </c>
      <c r="H25" s="374">
        <f ca="1">SUMIF('DAILY OKEY AYAM'!$C$9:$C$173,$C25,'DAILY OKEY AYAM'!$M$9:$N$172)</f>
        <v>0</v>
      </c>
      <c r="I25" s="374">
        <f ca="1">SUMIF('DAILY OKEY AYAM'!$C$9:$C$173,$C25,'DAILY OKEY AYAM'!$O$9:$O$172)</f>
        <v>0</v>
      </c>
      <c r="J25" s="374">
        <f ca="1">SUMIF('DAILY OKEY AYAM'!$C$9:$C$173,$C25,'DAILY OKEY AYAM'!$P$9:$P$172)</f>
        <v>0</v>
      </c>
      <c r="K25" s="374">
        <f ca="1">SUMIF('DAILY OKEY AYAM'!$C$9:$C$173,$C25,'DAILY OKEY AYAM'!$R$9:$R$172)</f>
        <v>0</v>
      </c>
      <c r="L25" s="374">
        <f ca="1">SUMIF('DAILY OKEY AYAM'!$C$9:$C$173,$C25,'DAILY OKEY AYAM'!$S$9:$S$172)</f>
        <v>0</v>
      </c>
      <c r="M25" s="374">
        <f ca="1">SUMIF('DAILY OKEY AYAM'!$C$9:$C$173,$C25,'DAILY OKEY AYAM'!$T$9:$T$172)</f>
        <v>0</v>
      </c>
      <c r="N25" s="374">
        <f ca="1">SUMIF('DAILY OKEY AYAM'!$C$9:$C$173,$C25,'DAILY OKEY AYAM'!$U$9:$U$172)</f>
        <v>0</v>
      </c>
      <c r="O25" s="374">
        <f ca="1">SUMIF('DAILY OKEY AYAM'!$C$9:$C$173,$C25,'DAILY OKEY AYAM'!$V$9:$V$172)</f>
        <v>0</v>
      </c>
      <c r="P25" s="374">
        <f ca="1">SUMIF('DAILY OKEY AYAM'!$C$9:$C$173,$C25,'DAILY OKEY AYAM'!$W$9:$W$172)</f>
        <v>0</v>
      </c>
      <c r="Q25" s="374">
        <f ca="1">SUMIF('DAILY OKEY AYAM'!$C$9:$C$173,$C25,'DAILY OKEY AYAM'!$X$9:$X$172)</f>
        <v>0</v>
      </c>
      <c r="R25" s="374">
        <f t="shared" ca="1" si="9"/>
        <v>0</v>
      </c>
      <c r="S25" s="376" t="e">
        <f t="shared" ca="1" si="10"/>
        <v>#DIV/0!</v>
      </c>
      <c r="T25" s="381"/>
      <c r="U25" s="413"/>
      <c r="V25" s="416"/>
      <c r="W25" s="418"/>
      <c r="X25" s="530"/>
      <c r="Y25" s="530"/>
      <c r="Z25" s="530"/>
      <c r="AA25" s="530"/>
      <c r="AB25" s="535"/>
    </row>
    <row r="26" spans="2:28" ht="16.5" hidden="1" customHeight="1">
      <c r="B26" s="752"/>
      <c r="C26" s="474">
        <f>+'HASIL PROD'!B68</f>
        <v>0</v>
      </c>
      <c r="D26" s="372">
        <f>SUMIF('HASIL PROD'!$B$4:$B$343,C26,'HASIL PROD'!$C$4:$C$343)</f>
        <v>0</v>
      </c>
      <c r="E26" s="373">
        <f t="shared" si="8"/>
        <v>0</v>
      </c>
      <c r="F26" s="374">
        <f ca="1">SUMIF('DAILY OKEY AYAM'!$C$9:$C$173,$C26,'DAILY OKEY AYAM'!$K$9:$K$172)</f>
        <v>0</v>
      </c>
      <c r="G26" s="374">
        <f ca="1">SUMIF('DAILY OKEY AYAM'!$C$9:$C$173,$C26,'DAILY OKEY AYAM'!$L$9:$L$172)</f>
        <v>0</v>
      </c>
      <c r="H26" s="374">
        <f ca="1">SUMIF('DAILY OKEY AYAM'!$C$9:$C$173,$C26,'DAILY OKEY AYAM'!$M$9:$N$172)</f>
        <v>0</v>
      </c>
      <c r="I26" s="374">
        <f ca="1">SUMIF('DAILY OKEY AYAM'!$C$9:$C$173,$C26,'DAILY OKEY AYAM'!$O$9:$O$172)</f>
        <v>0</v>
      </c>
      <c r="J26" s="374">
        <f ca="1">SUMIF('DAILY OKEY AYAM'!$C$9:$C$173,$C26,'DAILY OKEY AYAM'!$P$9:$P$172)</f>
        <v>0</v>
      </c>
      <c r="K26" s="374">
        <f ca="1">SUMIF('DAILY OKEY AYAM'!$C$9:$C$173,$C26,'DAILY OKEY AYAM'!$R$9:$R$172)</f>
        <v>0</v>
      </c>
      <c r="L26" s="374">
        <f ca="1">SUMIF('DAILY OKEY AYAM'!$C$9:$C$173,$C26,'DAILY OKEY AYAM'!$S$9:$S$172)</f>
        <v>0</v>
      </c>
      <c r="M26" s="374">
        <f ca="1">SUMIF('DAILY OKEY AYAM'!$C$9:$C$173,$C26,'DAILY OKEY AYAM'!$T$9:$T$172)</f>
        <v>0</v>
      </c>
      <c r="N26" s="374">
        <f ca="1">SUMIF('DAILY OKEY AYAM'!$C$9:$C$173,$C26,'DAILY OKEY AYAM'!$U$9:$U$172)</f>
        <v>0</v>
      </c>
      <c r="O26" s="374">
        <f ca="1">SUMIF('DAILY OKEY AYAM'!$C$9:$C$173,$C26,'DAILY OKEY AYAM'!$V$9:$V$172)</f>
        <v>0</v>
      </c>
      <c r="P26" s="374">
        <f ca="1">SUMIF('DAILY OKEY AYAM'!$C$9:$C$173,$C26,'DAILY OKEY AYAM'!$W$9:$W$172)</f>
        <v>0</v>
      </c>
      <c r="Q26" s="374">
        <f ca="1">SUMIF('DAILY OKEY AYAM'!$C$9:$C$173,$C26,'DAILY OKEY AYAM'!$X$9:$X$172)</f>
        <v>0</v>
      </c>
      <c r="R26" s="374">
        <f t="shared" ca="1" si="9"/>
        <v>0</v>
      </c>
      <c r="S26" s="376" t="e">
        <f t="shared" ca="1" si="10"/>
        <v>#DIV/0!</v>
      </c>
      <c r="T26" s="381"/>
      <c r="U26" s="413"/>
      <c r="V26" s="416"/>
      <c r="W26" s="418"/>
      <c r="X26" s="530"/>
      <c r="Y26" s="530"/>
      <c r="Z26" s="530"/>
      <c r="AA26" s="530"/>
      <c r="AB26" s="535"/>
    </row>
    <row r="27" spans="2:28" ht="16.5">
      <c r="B27" s="752"/>
      <c r="C27" s="409"/>
      <c r="D27" s="372"/>
      <c r="E27" s="373"/>
      <c r="F27" s="374"/>
      <c r="G27" s="374"/>
      <c r="H27" s="374"/>
      <c r="I27" s="374"/>
      <c r="J27" s="374"/>
      <c r="K27" s="374"/>
      <c r="L27" s="374"/>
      <c r="M27" s="374"/>
      <c r="N27" s="374"/>
      <c r="O27" s="374"/>
      <c r="P27" s="374"/>
      <c r="Q27" s="374"/>
      <c r="R27" s="374"/>
      <c r="S27" s="376"/>
      <c r="T27" s="381"/>
      <c r="U27" s="413"/>
      <c r="V27" s="416"/>
      <c r="W27" s="418"/>
      <c r="X27" s="530"/>
      <c r="Y27" s="530"/>
      <c r="Z27" s="530"/>
      <c r="AA27" s="530"/>
      <c r="AB27" s="535"/>
    </row>
    <row r="28" spans="2:28" ht="16.5">
      <c r="B28" s="753"/>
      <c r="C28" s="385" t="s">
        <v>118</v>
      </c>
      <c r="D28" s="386">
        <f>SUM(D17:D27)</f>
        <v>386</v>
      </c>
      <c r="E28" s="387">
        <f>SUM(E17:E27)</f>
        <v>1495.75</v>
      </c>
      <c r="F28" s="388">
        <f ca="1">SUM(F17:F27)</f>
        <v>0.32</v>
      </c>
      <c r="G28" s="388">
        <f t="shared" ref="G28:R28" ca="1" si="11">SUM(G17:G27)</f>
        <v>0.5</v>
      </c>
      <c r="H28" s="388">
        <f t="shared" ca="1" si="11"/>
        <v>0</v>
      </c>
      <c r="I28" s="388">
        <f t="shared" ca="1" si="11"/>
        <v>1.2</v>
      </c>
      <c r="J28" s="388">
        <f t="shared" ca="1" si="11"/>
        <v>0.5</v>
      </c>
      <c r="K28" s="388">
        <f t="shared" ca="1" si="11"/>
        <v>4.95</v>
      </c>
      <c r="L28" s="388">
        <f t="shared" ca="1" si="11"/>
        <v>0</v>
      </c>
      <c r="M28" s="388">
        <f t="shared" ca="1" si="11"/>
        <v>1.5</v>
      </c>
      <c r="N28" s="388">
        <f t="shared" ca="1" si="11"/>
        <v>0</v>
      </c>
      <c r="O28" s="388">
        <f t="shared" ca="1" si="11"/>
        <v>0</v>
      </c>
      <c r="P28" s="388">
        <f t="shared" ca="1" si="11"/>
        <v>0</v>
      </c>
      <c r="Q28" s="388">
        <f t="shared" ca="1" si="11"/>
        <v>0</v>
      </c>
      <c r="R28" s="388">
        <f t="shared" ca="1" si="11"/>
        <v>8.9700000000000006</v>
      </c>
      <c r="S28" s="389"/>
      <c r="T28" s="402"/>
      <c r="U28" s="388"/>
      <c r="V28" s="389"/>
      <c r="W28" s="389"/>
      <c r="X28" s="530"/>
      <c r="Y28" s="530"/>
      <c r="Z28" s="530"/>
      <c r="AA28" s="530"/>
      <c r="AB28" s="535"/>
    </row>
    <row r="29" spans="2:28" ht="16.5">
      <c r="B29" s="406"/>
      <c r="C29" s="393" t="s">
        <v>114</v>
      </c>
      <c r="D29" s="394"/>
      <c r="E29" s="395"/>
      <c r="F29" s="396">
        <f ca="1">+F28/$E28</f>
        <v>2.1393949523650343E-4</v>
      </c>
      <c r="G29" s="396">
        <f t="shared" ref="G29" ca="1" si="12">+G28/$E28</f>
        <v>3.3428046130703663E-4</v>
      </c>
      <c r="H29" s="396">
        <f t="shared" ref="H29" ca="1" si="13">+H28/$E28</f>
        <v>0</v>
      </c>
      <c r="I29" s="396">
        <f t="shared" ref="I29" ca="1" si="14">+I28/$E28</f>
        <v>8.0227310713688784E-4</v>
      </c>
      <c r="J29" s="396">
        <f t="shared" ref="J29" ca="1" si="15">+J28/$E28</f>
        <v>3.3428046130703663E-4</v>
      </c>
      <c r="K29" s="396">
        <f t="shared" ref="K29" ca="1" si="16">+K28/$E28</f>
        <v>3.3093765669396625E-3</v>
      </c>
      <c r="L29" s="396">
        <f t="shared" ref="L29" ca="1" si="17">+L28/$E28</f>
        <v>0</v>
      </c>
      <c r="M29" s="396">
        <f t="shared" ref="M29" ca="1" si="18">+M28/$E28</f>
        <v>1.0028413839211097E-3</v>
      </c>
      <c r="N29" s="396">
        <f t="shared" ref="N29" ca="1" si="19">+N28/$E28</f>
        <v>0</v>
      </c>
      <c r="O29" s="396">
        <f t="shared" ref="O29" ca="1" si="20">+O28/$E28</f>
        <v>0</v>
      </c>
      <c r="P29" s="396">
        <f t="shared" ref="P29" ca="1" si="21">+P28/$E28</f>
        <v>0</v>
      </c>
      <c r="Q29" s="396">
        <f t="shared" ref="Q29" ca="1" si="22">+Q28/$E28</f>
        <v>0</v>
      </c>
      <c r="R29" s="482">
        <f ca="1">+R28/$E28</f>
        <v>5.9969914758482368E-3</v>
      </c>
      <c r="S29" s="399"/>
      <c r="T29" s="402"/>
      <c r="U29" s="400"/>
      <c r="V29" s="389"/>
      <c r="W29" s="389"/>
      <c r="X29" s="530"/>
      <c r="Y29" s="530"/>
      <c r="Z29" s="530"/>
      <c r="AA29" s="530"/>
      <c r="AB29" s="535"/>
    </row>
    <row r="30" spans="2:28" ht="16.5">
      <c r="B30" s="732" t="s">
        <v>178</v>
      </c>
      <c r="C30" s="474" t="str">
        <f>+'HASIL PROD'!B70</f>
        <v>QG07701</v>
      </c>
      <c r="D30" s="372">
        <f>SUMIF('HASIL PROD'!$B$4:$B$343,C30,'HASIL PROD'!$C$4:$C$343)</f>
        <v>466</v>
      </c>
      <c r="E30" s="373">
        <f t="shared" ref="E30:E34" si="23">+D30*3.875</f>
        <v>1805.75</v>
      </c>
      <c r="F30" s="374">
        <f ca="1">SUMIF('DAILY OKEY AYAM'!$C$9:$C$173,$C30,'DAILY OKEY AYAM'!$K$9:$K$172)</f>
        <v>0.42</v>
      </c>
      <c r="G30" s="374">
        <f ca="1">SUMIF('DAILY OKEY AYAM'!$C$9:$C$173,$C30,'DAILY OKEY AYAM'!$L$9:$L$172)</f>
        <v>0.84</v>
      </c>
      <c r="H30" s="374">
        <f ca="1">SUMIF('DAILY OKEY AYAM'!$C$9:$C$173,$C30,'DAILY OKEY AYAM'!$M$9:$N$172)</f>
        <v>0</v>
      </c>
      <c r="I30" s="374">
        <f ca="1">SUMIF('DAILY OKEY AYAM'!$C$9:$C$173,$C30,'DAILY OKEY AYAM'!$O$9:$O$172)</f>
        <v>15.45</v>
      </c>
      <c r="J30" s="374">
        <f ca="1">SUMIF('DAILY OKEY AYAM'!$C$9:$C$173,$C30,'DAILY OKEY AYAM'!$P$9:$P$172)</f>
        <v>0.75</v>
      </c>
      <c r="K30" s="374">
        <f ca="1">SUMIF('DAILY OKEY AYAM'!$C$9:$C$173,$C30,'DAILY OKEY AYAM'!$R$9:$R$172)</f>
        <v>1.1000000000000001</v>
      </c>
      <c r="L30" s="374">
        <f ca="1">SUMIF('DAILY OKEY AYAM'!$C$9:$C$173,$C30,'DAILY OKEY AYAM'!$S$9:$S$172)</f>
        <v>0</v>
      </c>
      <c r="M30" s="374">
        <f ca="1">SUMIF('DAILY OKEY AYAM'!$C$9:$C$173,$C30,'DAILY OKEY AYAM'!$T$9:$T$172)</f>
        <v>1.7</v>
      </c>
      <c r="N30" s="374">
        <f ca="1">SUMIF('DAILY OKEY AYAM'!$C$9:$C$173,$C30,'DAILY OKEY AYAM'!$U$9:$U$172)</f>
        <v>0</v>
      </c>
      <c r="O30" s="374">
        <f ca="1">SUMIF('DAILY OKEY AYAM'!$C$9:$C$173,$C30,'DAILY OKEY AYAM'!$V$9:$V$172)</f>
        <v>0</v>
      </c>
      <c r="P30" s="374">
        <f ca="1">SUMIF('DAILY OKEY AYAM'!$C$9:$C$173,$C30,'DAILY OKEY AYAM'!$W$9:$W$172)</f>
        <v>0</v>
      </c>
      <c r="Q30" s="374">
        <f ca="1">SUMIF('DAILY OKEY AYAM'!$C$9:$C$173,$C30,'DAILY OKEY AYAM'!$X$9:$X$172)</f>
        <v>0</v>
      </c>
      <c r="R30" s="374">
        <f t="shared" ref="R30:R37" ca="1" si="24">+SUM(F30:Q30)</f>
        <v>20.260000000000002</v>
      </c>
      <c r="S30" s="376">
        <f t="shared" ref="S30:S37" ca="1" si="25">+R30/E30</f>
        <v>1.1219714799944621E-2</v>
      </c>
      <c r="T30" s="381"/>
      <c r="U30" s="738">
        <f ca="1">SUM(R30:R32)</f>
        <v>43.37</v>
      </c>
      <c r="V30" s="739">
        <f ca="1">+U30/(SUM(E30:E32))</f>
        <v>8.4342562656489293E-3</v>
      </c>
      <c r="W30" s="735" t="s">
        <v>338</v>
      </c>
      <c r="X30" s="727" t="s">
        <v>315</v>
      </c>
      <c r="Y30" s="727" t="s">
        <v>316</v>
      </c>
      <c r="Z30" s="727" t="s">
        <v>317</v>
      </c>
      <c r="AA30" s="727" t="s">
        <v>318</v>
      </c>
      <c r="AB30" s="535"/>
    </row>
    <row r="31" spans="2:28" ht="16.5">
      <c r="B31" s="733"/>
      <c r="C31" s="474" t="str">
        <f>+'HASIL PROD'!B71</f>
        <v>QG07702</v>
      </c>
      <c r="D31" s="372">
        <f>SUMIF('HASIL PROD'!$B$4:$B$343,C31,'HASIL PROD'!$C$4:$C$343)</f>
        <v>426</v>
      </c>
      <c r="E31" s="373">
        <f t="shared" si="23"/>
        <v>1650.75</v>
      </c>
      <c r="F31" s="374">
        <f ca="1">SUMIF('DAILY OKEY AYAM'!$C$9:$C$173,$C31,'DAILY OKEY AYAM'!$K$9:$K$172)</f>
        <v>0.9</v>
      </c>
      <c r="G31" s="374">
        <f ca="1">SUMIF('DAILY OKEY AYAM'!$C$9:$C$173,$C31,'DAILY OKEY AYAM'!$L$9:$L$172)</f>
        <v>0.9</v>
      </c>
      <c r="H31" s="374">
        <f ca="1">SUMIF('DAILY OKEY AYAM'!$C$9:$C$173,$C31,'DAILY OKEY AYAM'!$M$9:$N$172)</f>
        <v>0</v>
      </c>
      <c r="I31" s="374">
        <f ca="1">SUMIF('DAILY OKEY AYAM'!$C$9:$C$173,$C31,'DAILY OKEY AYAM'!$O$9:$O$172)</f>
        <v>5.0999999999999996</v>
      </c>
      <c r="J31" s="374">
        <f ca="1">SUMIF('DAILY OKEY AYAM'!$C$9:$C$173,$C31,'DAILY OKEY AYAM'!$P$9:$P$172)</f>
        <v>0</v>
      </c>
      <c r="K31" s="374">
        <f ca="1">SUMIF('DAILY OKEY AYAM'!$C$9:$C$173,$C31,'DAILY OKEY AYAM'!$R$9:$R$172)</f>
        <v>0.47</v>
      </c>
      <c r="L31" s="374">
        <f ca="1">SUMIF('DAILY OKEY AYAM'!$C$9:$C$173,$C31,'DAILY OKEY AYAM'!$S$9:$S$172)</f>
        <v>0.11</v>
      </c>
      <c r="M31" s="374">
        <f ca="1">SUMIF('DAILY OKEY AYAM'!$C$9:$C$173,$C31,'DAILY OKEY AYAM'!$T$9:$T$172)</f>
        <v>0.98</v>
      </c>
      <c r="N31" s="374">
        <f ca="1">SUMIF('DAILY OKEY AYAM'!$C$9:$C$173,$C31,'DAILY OKEY AYAM'!$U$9:$U$172)</f>
        <v>0</v>
      </c>
      <c r="O31" s="374">
        <f ca="1">SUMIF('DAILY OKEY AYAM'!$C$9:$C$173,$C31,'DAILY OKEY AYAM'!$V$9:$V$172)</f>
        <v>0</v>
      </c>
      <c r="P31" s="374">
        <f ca="1">SUMIF('DAILY OKEY AYAM'!$C$9:$C$173,$C31,'DAILY OKEY AYAM'!$W$9:$W$172)</f>
        <v>0</v>
      </c>
      <c r="Q31" s="374">
        <f ca="1">SUMIF('DAILY OKEY AYAM'!$C$9:$C$173,$C31,'DAILY OKEY AYAM'!$X$9:$X$172)</f>
        <v>0</v>
      </c>
      <c r="R31" s="374">
        <f t="shared" ca="1" si="24"/>
        <v>8.4599999999999991</v>
      </c>
      <c r="S31" s="376">
        <f t="shared" ca="1" si="25"/>
        <v>5.1249432076328934E-3</v>
      </c>
      <c r="T31" s="381"/>
      <c r="U31" s="738"/>
      <c r="V31" s="739"/>
      <c r="W31" s="736"/>
      <c r="X31" s="728"/>
      <c r="Y31" s="728"/>
      <c r="Z31" s="728"/>
      <c r="AA31" s="728"/>
      <c r="AB31" s="535"/>
    </row>
    <row r="32" spans="2:28" ht="16.5">
      <c r="B32" s="733"/>
      <c r="C32" s="474" t="str">
        <f>+'HASIL PROD'!B72</f>
        <v>QG07703</v>
      </c>
      <c r="D32" s="372">
        <f>SUMIF('HASIL PROD'!$B$4:$B$343,C32,'HASIL PROD'!$C$4:$C$343)</f>
        <v>435</v>
      </c>
      <c r="E32" s="373">
        <f t="shared" si="23"/>
        <v>1685.625</v>
      </c>
      <c r="F32" s="374">
        <f ca="1">SUMIF('DAILY OKEY AYAM'!$C$9:$C$173,$C32,'DAILY OKEY AYAM'!$K$9:$K$172)</f>
        <v>0.8</v>
      </c>
      <c r="G32" s="374">
        <f ca="1">SUMIF('DAILY OKEY AYAM'!$C$9:$C$173,$C32,'DAILY OKEY AYAM'!$L$9:$L$172)</f>
        <v>1.25</v>
      </c>
      <c r="H32" s="374">
        <f ca="1">SUMIF('DAILY OKEY AYAM'!$C$9:$C$173,$C32,'DAILY OKEY AYAM'!$M$9:$N$172)</f>
        <v>0</v>
      </c>
      <c r="I32" s="374">
        <f ca="1">SUMIF('DAILY OKEY AYAM'!$C$9:$C$173,$C32,'DAILY OKEY AYAM'!$O$9:$O$172)</f>
        <v>8.75</v>
      </c>
      <c r="J32" s="374">
        <f ca="1">SUMIF('DAILY OKEY AYAM'!$C$9:$C$173,$C32,'DAILY OKEY AYAM'!$P$9:$P$172)</f>
        <v>1.75</v>
      </c>
      <c r="K32" s="374">
        <f ca="1">SUMIF('DAILY OKEY AYAM'!$C$9:$C$173,$C32,'DAILY OKEY AYAM'!$R$9:$R$172)</f>
        <v>0.7</v>
      </c>
      <c r="L32" s="374">
        <f ca="1">SUMIF('DAILY OKEY AYAM'!$C$9:$C$173,$C32,'DAILY OKEY AYAM'!$S$9:$S$172)</f>
        <v>0</v>
      </c>
      <c r="M32" s="374">
        <f ca="1">SUMIF('DAILY OKEY AYAM'!$C$9:$C$173,$C32,'DAILY OKEY AYAM'!$T$9:$T$172)</f>
        <v>1.4</v>
      </c>
      <c r="N32" s="374">
        <f ca="1">SUMIF('DAILY OKEY AYAM'!$C$9:$C$173,$C32,'DAILY OKEY AYAM'!$U$9:$U$172)</f>
        <v>0</v>
      </c>
      <c r="O32" s="374">
        <f ca="1">SUMIF('DAILY OKEY AYAM'!$C$9:$C$173,$C32,'DAILY OKEY AYAM'!$V$9:$V$172)</f>
        <v>0</v>
      </c>
      <c r="P32" s="374">
        <f ca="1">SUMIF('DAILY OKEY AYAM'!$C$9:$C$173,$C32,'DAILY OKEY AYAM'!$W$9:$W$172)</f>
        <v>0</v>
      </c>
      <c r="Q32" s="374">
        <f ca="1">SUMIF('DAILY OKEY AYAM'!$C$9:$C$173,$C32,'DAILY OKEY AYAM'!$X$9:$X$172)</f>
        <v>0</v>
      </c>
      <c r="R32" s="374">
        <f t="shared" ca="1" si="24"/>
        <v>14.65</v>
      </c>
      <c r="S32" s="376">
        <f t="shared" ca="1" si="25"/>
        <v>8.691138301816833E-3</v>
      </c>
      <c r="T32" s="381"/>
      <c r="U32" s="738"/>
      <c r="V32" s="739"/>
      <c r="W32" s="737"/>
      <c r="X32" s="729"/>
      <c r="Y32" s="729"/>
      <c r="Z32" s="729"/>
      <c r="AA32" s="729"/>
      <c r="AB32" s="535"/>
    </row>
    <row r="33" spans="2:28" ht="16.5">
      <c r="B33" s="733"/>
      <c r="C33" s="474" t="str">
        <f>+'HASIL PROD'!B73</f>
        <v>QG07704</v>
      </c>
      <c r="D33" s="372">
        <f>SUMIF('HASIL PROD'!$B$4:$B$343,C33,'HASIL PROD'!$C$4:$C$343)</f>
        <v>436</v>
      </c>
      <c r="E33" s="373">
        <f t="shared" si="23"/>
        <v>1689.5</v>
      </c>
      <c r="F33" s="374">
        <f ca="1">SUMIF('DAILY OKEY AYAM'!$C$9:$C$173,$C33,'DAILY OKEY AYAM'!$K$9:$K$172)</f>
        <v>3.6</v>
      </c>
      <c r="G33" s="374">
        <f ca="1">SUMIF('DAILY OKEY AYAM'!$C$9:$C$173,$C33,'DAILY OKEY AYAM'!$L$9:$L$172)</f>
        <v>2.8</v>
      </c>
      <c r="H33" s="374">
        <f ca="1">SUMIF('DAILY OKEY AYAM'!$C$9:$C$173,$C33,'DAILY OKEY AYAM'!$M$9:$N$172)</f>
        <v>0</v>
      </c>
      <c r="I33" s="374">
        <f ca="1">SUMIF('DAILY OKEY AYAM'!$C$9:$C$173,$C33,'DAILY OKEY AYAM'!$O$9:$O$172)</f>
        <v>9.8000000000000007</v>
      </c>
      <c r="J33" s="374">
        <f ca="1">SUMIF('DAILY OKEY AYAM'!$C$9:$C$173,$C33,'DAILY OKEY AYAM'!$P$9:$P$172)</f>
        <v>0</v>
      </c>
      <c r="K33" s="374">
        <f ca="1">SUMIF('DAILY OKEY AYAM'!$C$9:$C$173,$C33,'DAILY OKEY AYAM'!$R$9:$R$172)</f>
        <v>3.0700000000000003</v>
      </c>
      <c r="L33" s="374">
        <f ca="1">SUMIF('DAILY OKEY AYAM'!$C$9:$C$173,$C33,'DAILY OKEY AYAM'!$S$9:$S$172)</f>
        <v>0.06</v>
      </c>
      <c r="M33" s="374">
        <f ca="1">SUMIF('DAILY OKEY AYAM'!$C$9:$C$173,$C33,'DAILY OKEY AYAM'!$T$9:$T$172)</f>
        <v>1.4700000000000002</v>
      </c>
      <c r="N33" s="374">
        <f ca="1">SUMIF('DAILY OKEY AYAM'!$C$9:$C$173,$C33,'DAILY OKEY AYAM'!$U$9:$U$172)</f>
        <v>0</v>
      </c>
      <c r="O33" s="374">
        <f ca="1">SUMIF('DAILY OKEY AYAM'!$C$9:$C$173,$C33,'DAILY OKEY AYAM'!$V$9:$V$172)</f>
        <v>0</v>
      </c>
      <c r="P33" s="374">
        <f ca="1">SUMIF('DAILY OKEY AYAM'!$C$9:$C$173,$C33,'DAILY OKEY AYAM'!$W$9:$W$172)</f>
        <v>0</v>
      </c>
      <c r="Q33" s="374">
        <f ca="1">SUMIF('DAILY OKEY AYAM'!$C$9:$C$173,$C33,'DAILY OKEY AYAM'!$X$9:$X$172)</f>
        <v>0</v>
      </c>
      <c r="R33" s="374">
        <f t="shared" ca="1" si="24"/>
        <v>20.8</v>
      </c>
      <c r="S33" s="376">
        <f t="shared" ca="1" si="25"/>
        <v>1.2311334714412548E-2</v>
      </c>
      <c r="T33" s="381"/>
      <c r="U33" s="738">
        <f ca="1">SUM(R33:R35)</f>
        <v>63.24</v>
      </c>
      <c r="V33" s="747">
        <f ca="1">+U33/(SUM(E33:E35))</f>
        <v>1.2700389105058366E-2</v>
      </c>
      <c r="W33" s="735" t="s">
        <v>341</v>
      </c>
      <c r="X33" s="727" t="s">
        <v>312</v>
      </c>
      <c r="Y33" s="727" t="s">
        <v>319</v>
      </c>
      <c r="Z33" s="727" t="s">
        <v>314</v>
      </c>
      <c r="AA33" s="727" t="s">
        <v>313</v>
      </c>
      <c r="AB33" s="535"/>
    </row>
    <row r="34" spans="2:28" ht="16.5">
      <c r="B34" s="733"/>
      <c r="C34" s="474" t="str">
        <f>+'HASIL PROD'!B74</f>
        <v>QG07705</v>
      </c>
      <c r="D34" s="372">
        <f>SUMIF('HASIL PROD'!$B$4:$B$343,C34,'HASIL PROD'!$C$4:$C$343)</f>
        <v>448</v>
      </c>
      <c r="E34" s="373">
        <f t="shared" si="23"/>
        <v>1736</v>
      </c>
      <c r="F34" s="374">
        <f ca="1">SUMIF('DAILY OKEY AYAM'!$C$9:$C$173,$C34,'DAILY OKEY AYAM'!$K$9:$K$172)</f>
        <v>1.33</v>
      </c>
      <c r="G34" s="374">
        <f ca="1">SUMIF('DAILY OKEY AYAM'!$C$9:$C$173,$C34,'DAILY OKEY AYAM'!$L$9:$L$172)</f>
        <v>2.74</v>
      </c>
      <c r="H34" s="374">
        <f ca="1">SUMIF('DAILY OKEY AYAM'!$C$9:$C$173,$C34,'DAILY OKEY AYAM'!$M$9:$N$172)</f>
        <v>0</v>
      </c>
      <c r="I34" s="374">
        <f ca="1">SUMIF('DAILY OKEY AYAM'!$C$9:$C$173,$C34,'DAILY OKEY AYAM'!$O$9:$O$172)</f>
        <v>8.36</v>
      </c>
      <c r="J34" s="374">
        <f ca="1">SUMIF('DAILY OKEY AYAM'!$C$9:$C$173,$C34,'DAILY OKEY AYAM'!$P$9:$P$172)</f>
        <v>0.75</v>
      </c>
      <c r="K34" s="374">
        <f ca="1">SUMIF('DAILY OKEY AYAM'!$C$9:$C$173,$C34,'DAILY OKEY AYAM'!$R$9:$R$172)</f>
        <v>0.7</v>
      </c>
      <c r="L34" s="374">
        <f ca="1">SUMIF('DAILY OKEY AYAM'!$C$9:$C$173,$C34,'DAILY OKEY AYAM'!$S$9:$S$172)</f>
        <v>0.15</v>
      </c>
      <c r="M34" s="374">
        <f ca="1">SUMIF('DAILY OKEY AYAM'!$C$9:$C$173,$C34,'DAILY OKEY AYAM'!$T$9:$T$172)</f>
        <v>2.1</v>
      </c>
      <c r="N34" s="374">
        <f ca="1">SUMIF('DAILY OKEY AYAM'!$C$9:$C$173,$C34,'DAILY OKEY AYAM'!$U$9:$U$172)</f>
        <v>0</v>
      </c>
      <c r="O34" s="374">
        <f ca="1">SUMIF('DAILY OKEY AYAM'!$C$9:$C$173,$C34,'DAILY OKEY AYAM'!$V$9:$V$172)</f>
        <v>0</v>
      </c>
      <c r="P34" s="374">
        <f ca="1">SUMIF('DAILY OKEY AYAM'!$C$9:$C$173,$C34,'DAILY OKEY AYAM'!$W$9:$W$172)</f>
        <v>0</v>
      </c>
      <c r="Q34" s="374">
        <f ca="1">SUMIF('DAILY OKEY AYAM'!$C$9:$C$173,$C34,'DAILY OKEY AYAM'!$X$9:$X$172)</f>
        <v>0</v>
      </c>
      <c r="R34" s="374">
        <f t="shared" ca="1" si="24"/>
        <v>16.13</v>
      </c>
      <c r="S34" s="376">
        <f t="shared" ca="1" si="25"/>
        <v>9.2914746543778792E-3</v>
      </c>
      <c r="T34" s="381"/>
      <c r="U34" s="738"/>
      <c r="V34" s="747"/>
      <c r="W34" s="736"/>
      <c r="X34" s="728"/>
      <c r="Y34" s="728"/>
      <c r="Z34" s="728"/>
      <c r="AA34" s="728"/>
      <c r="AB34" s="535"/>
    </row>
    <row r="35" spans="2:28" ht="16.5">
      <c r="B35" s="733"/>
      <c r="C35" s="474" t="str">
        <f>+'HASIL PROD'!B75</f>
        <v>QG07706</v>
      </c>
      <c r="D35" s="372">
        <f>SUMIF('HASIL PROD'!$B$4:$B$343,C35,'HASIL PROD'!$C$4:$C$343)</f>
        <v>401</v>
      </c>
      <c r="E35" s="373">
        <f>+D35*3.875</f>
        <v>1553.875</v>
      </c>
      <c r="F35" s="374">
        <f ca="1">SUMIF('DAILY OKEY AYAM'!$C$9:$C$173,$C35,'DAILY OKEY AYAM'!$K$9:$K$172)</f>
        <v>1.04</v>
      </c>
      <c r="G35" s="374">
        <f ca="1">SUMIF('DAILY OKEY AYAM'!$C$9:$C$173,$C35,'DAILY OKEY AYAM'!$L$9:$L$172)</f>
        <v>2.8</v>
      </c>
      <c r="H35" s="374">
        <f ca="1">SUMIF('DAILY OKEY AYAM'!$C$9:$C$173,$C35,'DAILY OKEY AYAM'!$M$9:$N$172)</f>
        <v>0</v>
      </c>
      <c r="I35" s="374">
        <f ca="1">SUMIF('DAILY OKEY AYAM'!$C$9:$C$173,$C35,'DAILY OKEY AYAM'!$O$9:$O$172)</f>
        <v>19.920000000000002</v>
      </c>
      <c r="J35" s="374">
        <f ca="1">SUMIF('DAILY OKEY AYAM'!$C$9:$C$173,$C35,'DAILY OKEY AYAM'!$P$9:$P$172)</f>
        <v>0.85</v>
      </c>
      <c r="K35" s="374">
        <f ca="1">SUMIF('DAILY OKEY AYAM'!$C$9:$C$173,$C35,'DAILY OKEY AYAM'!$R$9:$R$172)</f>
        <v>0.8</v>
      </c>
      <c r="L35" s="374">
        <f ca="1">SUMIF('DAILY OKEY AYAM'!$C$9:$C$173,$C35,'DAILY OKEY AYAM'!$S$9:$S$172)</f>
        <v>0</v>
      </c>
      <c r="M35" s="374">
        <f ca="1">SUMIF('DAILY OKEY AYAM'!$C$9:$C$173,$C35,'DAILY OKEY AYAM'!$T$9:$T$172)</f>
        <v>0.9</v>
      </c>
      <c r="N35" s="374">
        <f ca="1">SUMIF('DAILY OKEY AYAM'!$C$9:$C$173,$C35,'DAILY OKEY AYAM'!$U$9:$U$172)</f>
        <v>0</v>
      </c>
      <c r="O35" s="374">
        <f ca="1">SUMIF('DAILY OKEY AYAM'!$C$9:$C$173,$C35,'DAILY OKEY AYAM'!$V$9:$V$172)</f>
        <v>0</v>
      </c>
      <c r="P35" s="374">
        <f ca="1">SUMIF('DAILY OKEY AYAM'!$C$9:$C$173,$C35,'DAILY OKEY AYAM'!$W$9:$W$172)</f>
        <v>0</v>
      </c>
      <c r="Q35" s="374">
        <f ca="1">SUMIF('DAILY OKEY AYAM'!$C$9:$C$173,$C35,'DAILY OKEY AYAM'!$X$9:$X$172)</f>
        <v>0</v>
      </c>
      <c r="R35" s="374">
        <f t="shared" ca="1" si="24"/>
        <v>26.310000000000002</v>
      </c>
      <c r="S35" s="376">
        <f t="shared" ca="1" si="25"/>
        <v>1.6931863888665435E-2</v>
      </c>
      <c r="T35" s="381"/>
      <c r="U35" s="738"/>
      <c r="V35" s="747"/>
      <c r="W35" s="737"/>
      <c r="X35" s="729"/>
      <c r="Y35" s="729"/>
      <c r="Z35" s="729"/>
      <c r="AA35" s="729"/>
      <c r="AB35" s="535"/>
    </row>
    <row r="36" spans="2:28" ht="16.5">
      <c r="B36" s="733"/>
      <c r="C36" s="474" t="str">
        <f>+'HASIL PROD'!B76</f>
        <v>QG07707</v>
      </c>
      <c r="D36" s="372">
        <f>SUMIF('HASIL PROD'!$B$4:$B$343,C36,'HASIL PROD'!$C$4:$C$343)</f>
        <v>226</v>
      </c>
      <c r="E36" s="373">
        <f>+D36*3.875</f>
        <v>875.75</v>
      </c>
      <c r="F36" s="374">
        <f ca="1">SUMIF('DAILY OKEY AYAM'!$C$9:$C$173,$C36,'DAILY OKEY AYAM'!$K$9:$K$172)</f>
        <v>1.66</v>
      </c>
      <c r="G36" s="374">
        <f ca="1">SUMIF('DAILY OKEY AYAM'!$C$9:$C$173,$C36,'DAILY OKEY AYAM'!$L$9:$L$172)</f>
        <v>2</v>
      </c>
      <c r="H36" s="374">
        <f ca="1">SUMIF('DAILY OKEY AYAM'!$C$9:$C$173,$C36,'DAILY OKEY AYAM'!$M$9:$N$172)</f>
        <v>0</v>
      </c>
      <c r="I36" s="374">
        <f ca="1">SUMIF('DAILY OKEY AYAM'!$C$9:$C$173,$C36,'DAILY OKEY AYAM'!$O$9:$O$172)</f>
        <v>4.24</v>
      </c>
      <c r="J36" s="374">
        <f ca="1">SUMIF('DAILY OKEY AYAM'!$C$9:$C$173,$C36,'DAILY OKEY AYAM'!$P$9:$P$172)</f>
        <v>0.62</v>
      </c>
      <c r="K36" s="374">
        <f ca="1">SUMIF('DAILY OKEY AYAM'!$C$9:$C$173,$C36,'DAILY OKEY AYAM'!$R$9:$R$172)</f>
        <v>2.2000000000000002</v>
      </c>
      <c r="L36" s="374">
        <f ca="1">SUMIF('DAILY OKEY AYAM'!$C$9:$C$173,$C36,'DAILY OKEY AYAM'!$S$9:$S$172)</f>
        <v>0</v>
      </c>
      <c r="M36" s="374">
        <f ca="1">SUMIF('DAILY OKEY AYAM'!$C$9:$C$173,$C36,'DAILY OKEY AYAM'!$T$9:$T$172)</f>
        <v>0.92</v>
      </c>
      <c r="N36" s="374">
        <f ca="1">SUMIF('DAILY OKEY AYAM'!$C$9:$C$173,$C36,'DAILY OKEY AYAM'!$U$9:$U$172)</f>
        <v>0</v>
      </c>
      <c r="O36" s="374">
        <f ca="1">SUMIF('DAILY OKEY AYAM'!$C$9:$C$173,$C36,'DAILY OKEY AYAM'!$V$9:$V$172)</f>
        <v>0</v>
      </c>
      <c r="P36" s="374">
        <f ca="1">SUMIF('DAILY OKEY AYAM'!$C$9:$C$173,$C36,'DAILY OKEY AYAM'!$W$9:$W$172)</f>
        <v>0</v>
      </c>
      <c r="Q36" s="374">
        <f ca="1">SUMIF('DAILY OKEY AYAM'!$C$9:$C$173,$C36,'DAILY OKEY AYAM'!$X$9:$X$172)</f>
        <v>0</v>
      </c>
      <c r="R36" s="374">
        <f t="shared" ca="1" si="24"/>
        <v>11.639999999999999</v>
      </c>
      <c r="S36" s="376">
        <f t="shared" ca="1" si="25"/>
        <v>1.3291464459035111E-2</v>
      </c>
      <c r="T36" s="381"/>
      <c r="U36" s="741">
        <f ca="1">SUM(R36:R39)</f>
        <v>42.5</v>
      </c>
      <c r="V36" s="748">
        <f ca="1">+U36/(SUM(E36:E39))</f>
        <v>1.6011302095596893E-2</v>
      </c>
      <c r="W36" s="735" t="s">
        <v>341</v>
      </c>
      <c r="X36" s="727" t="s">
        <v>312</v>
      </c>
      <c r="Y36" s="727" t="s">
        <v>313</v>
      </c>
      <c r="Z36" s="530"/>
      <c r="AA36" s="530"/>
      <c r="AB36" s="535"/>
    </row>
    <row r="37" spans="2:28" ht="16.5">
      <c r="B37" s="733"/>
      <c r="C37" s="474" t="str">
        <f>+'HASIL PROD'!B77</f>
        <v>QG07708</v>
      </c>
      <c r="D37" s="372">
        <f>SUMIF('HASIL PROD'!$B$4:$B$343,C37,'HASIL PROD'!$C$4:$C$343)</f>
        <v>459</v>
      </c>
      <c r="E37" s="373">
        <f t="shared" ref="E37:E39" si="26">+D37*3.875</f>
        <v>1778.625</v>
      </c>
      <c r="F37" s="374">
        <f ca="1">SUMIF('DAILY OKEY AYAM'!$C$9:$C$173,$C37,'DAILY OKEY AYAM'!$K$9:$K$172)</f>
        <v>3.2</v>
      </c>
      <c r="G37" s="374">
        <f ca="1">SUMIF('DAILY OKEY AYAM'!$C$9:$C$173,$C37,'DAILY OKEY AYAM'!$L$9:$L$172)</f>
        <v>7.45</v>
      </c>
      <c r="H37" s="374">
        <f ca="1">SUMIF('DAILY OKEY AYAM'!$C$9:$C$173,$C37,'DAILY OKEY AYAM'!$M$9:$N$172)</f>
        <v>0</v>
      </c>
      <c r="I37" s="374">
        <f ca="1">SUMIF('DAILY OKEY AYAM'!$C$9:$C$173,$C37,'DAILY OKEY AYAM'!$O$9:$O$172)</f>
        <v>4.45</v>
      </c>
      <c r="J37" s="374">
        <f ca="1">SUMIF('DAILY OKEY AYAM'!$C$9:$C$173,$C37,'DAILY OKEY AYAM'!$P$9:$P$172)</f>
        <v>1.4</v>
      </c>
      <c r="K37" s="374">
        <f ca="1">SUMIF('DAILY OKEY AYAM'!$C$9:$C$173,$C37,'DAILY OKEY AYAM'!$R$9:$R$172)</f>
        <v>12.46</v>
      </c>
      <c r="L37" s="374">
        <f ca="1">SUMIF('DAILY OKEY AYAM'!$C$9:$C$173,$C37,'DAILY OKEY AYAM'!$S$9:$S$172)</f>
        <v>0</v>
      </c>
      <c r="M37" s="374">
        <f ca="1">SUMIF('DAILY OKEY AYAM'!$C$9:$C$173,$C37,'DAILY OKEY AYAM'!$T$9:$T$172)</f>
        <v>1.9</v>
      </c>
      <c r="N37" s="374">
        <f ca="1">SUMIF('DAILY OKEY AYAM'!$C$9:$C$173,$C37,'DAILY OKEY AYAM'!$U$9:$U$172)</f>
        <v>0</v>
      </c>
      <c r="O37" s="374">
        <f ca="1">SUMIF('DAILY OKEY AYAM'!$C$9:$C$173,$C37,'DAILY OKEY AYAM'!$V$9:$V$172)</f>
        <v>0</v>
      </c>
      <c r="P37" s="374">
        <f ca="1">SUMIF('DAILY OKEY AYAM'!$C$9:$C$173,$C37,'DAILY OKEY AYAM'!$W$9:$W$172)</f>
        <v>0</v>
      </c>
      <c r="Q37" s="374">
        <f ca="1">SUMIF('DAILY OKEY AYAM'!$C$9:$C$173,$C37,'DAILY OKEY AYAM'!$X$9:$X$172)</f>
        <v>0</v>
      </c>
      <c r="R37" s="374">
        <f t="shared" ca="1" si="24"/>
        <v>30.86</v>
      </c>
      <c r="S37" s="376">
        <f t="shared" ca="1" si="25"/>
        <v>1.7350481411202472E-2</v>
      </c>
      <c r="T37" s="381"/>
      <c r="U37" s="743"/>
      <c r="V37" s="750"/>
      <c r="W37" s="737"/>
      <c r="X37" s="729"/>
      <c r="Y37" s="729"/>
      <c r="Z37" s="530"/>
      <c r="AA37" s="530"/>
      <c r="AB37" s="535"/>
    </row>
    <row r="38" spans="2:28" ht="16.5" hidden="1" customHeight="1">
      <c r="B38" s="733"/>
      <c r="C38" s="474">
        <f>+'HASIL PROD'!B78</f>
        <v>0</v>
      </c>
      <c r="D38" s="372">
        <f>SUMIF('HASIL PROD'!$B$4:$B$343,C38,'HASIL PROD'!$C$4:$C$343)</f>
        <v>0</v>
      </c>
      <c r="E38" s="373">
        <f t="shared" si="26"/>
        <v>0</v>
      </c>
      <c r="F38" s="374">
        <f ca="1">SUMIF('DAILY OKEY AYAM'!$C$9:$C$173,$C38,'DAILY OKEY AYAM'!$K$9:$K$172)</f>
        <v>0</v>
      </c>
      <c r="G38" s="374">
        <f ca="1">SUMIF('DAILY OKEY AYAM'!$C$9:$C$173,$C38,'DAILY OKEY AYAM'!$L$9:$L$172)</f>
        <v>0</v>
      </c>
      <c r="H38" s="374">
        <f ca="1">SUMIF('DAILY OKEY AYAM'!$C$9:$C$173,$C38,'DAILY OKEY AYAM'!$M$9:$N$172)</f>
        <v>0</v>
      </c>
      <c r="I38" s="374">
        <f ca="1">SUMIF('DAILY OKEY AYAM'!$C$9:$C$173,$C38,'DAILY OKEY AYAM'!$O$9:$O$172)</f>
        <v>0</v>
      </c>
      <c r="J38" s="374">
        <f ca="1">SUMIF('DAILY OKEY AYAM'!$C$9:$C$173,$C38,'DAILY OKEY AYAM'!$P$9:$P$172)</f>
        <v>0</v>
      </c>
      <c r="K38" s="374">
        <f ca="1">SUMIF('DAILY OKEY AYAM'!$C$9:$C$173,$C38,'DAILY OKEY AYAM'!$R$9:$R$172)</f>
        <v>0</v>
      </c>
      <c r="L38" s="374">
        <f ca="1">SUMIF('DAILY OKEY AYAM'!$C$9:$C$173,$C38,'DAILY OKEY AYAM'!$S$9:$S$172)</f>
        <v>0</v>
      </c>
      <c r="M38" s="374">
        <f ca="1">SUMIF('DAILY OKEY AYAM'!$C$9:$C$173,$C38,'DAILY OKEY AYAM'!$T$9:$T$172)</f>
        <v>0</v>
      </c>
      <c r="N38" s="374">
        <f ca="1">SUMIF('DAILY OKEY AYAM'!$C$9:$C$173,$C38,'DAILY OKEY AYAM'!$U$9:$U$172)</f>
        <v>0</v>
      </c>
      <c r="O38" s="374">
        <f ca="1">SUMIF('DAILY OKEY AYAM'!$C$9:$C$173,$C38,'DAILY OKEY AYAM'!$V$9:$V$172)</f>
        <v>0</v>
      </c>
      <c r="P38" s="374">
        <f ca="1">SUMIF('DAILY OKEY AYAM'!$C$9:$C$173,$C38,'DAILY OKEY AYAM'!$W$9:$W$172)</f>
        <v>0</v>
      </c>
      <c r="Q38" s="374">
        <f ca="1">SUMIF('DAILY OKEY AYAM'!$C$9:$C$173,$C38,'DAILY OKEY AYAM'!$X$9:$X$172)</f>
        <v>0</v>
      </c>
      <c r="R38" s="374">
        <f t="shared" ref="R38:R39" ca="1" si="27">+SUM(F38:Q38)</f>
        <v>0</v>
      </c>
      <c r="S38" s="376" t="e">
        <f t="shared" ref="S38:S39" ca="1" si="28">+R38/E38</f>
        <v>#DIV/0!</v>
      </c>
      <c r="T38" s="381"/>
      <c r="U38" s="414"/>
      <c r="V38" s="417"/>
      <c r="W38" s="419"/>
      <c r="X38" s="530"/>
      <c r="Y38" s="530"/>
      <c r="Z38" s="530"/>
      <c r="AA38" s="530"/>
      <c r="AB38" s="535"/>
    </row>
    <row r="39" spans="2:28" ht="16.5" hidden="1" customHeight="1">
      <c r="B39" s="733"/>
      <c r="C39" s="474">
        <f>+'HASIL PROD'!B79</f>
        <v>0</v>
      </c>
      <c r="D39" s="372">
        <f>SUMIF('HASIL PROD'!$B$4:$B$343,C39,'HASIL PROD'!$C$4:$C$343)</f>
        <v>0</v>
      </c>
      <c r="E39" s="373">
        <f t="shared" si="26"/>
        <v>0</v>
      </c>
      <c r="F39" s="374">
        <f ca="1">SUMIF('DAILY OKEY AYAM'!$C$9:$C$173,$C39,'DAILY OKEY AYAM'!$K$9:$K$172)</f>
        <v>0</v>
      </c>
      <c r="G39" s="374">
        <f ca="1">SUMIF('DAILY OKEY AYAM'!$C$9:$C$173,$C39,'DAILY OKEY AYAM'!$L$9:$L$172)</f>
        <v>0</v>
      </c>
      <c r="H39" s="374">
        <f ca="1">SUMIF('DAILY OKEY AYAM'!$C$9:$C$173,$C39,'DAILY OKEY AYAM'!$M$9:$N$172)</f>
        <v>0</v>
      </c>
      <c r="I39" s="374">
        <f ca="1">SUMIF('DAILY OKEY AYAM'!$C$9:$C$173,$C39,'DAILY OKEY AYAM'!$O$9:$O$172)</f>
        <v>0</v>
      </c>
      <c r="J39" s="374">
        <f ca="1">SUMIF('DAILY OKEY AYAM'!$C$9:$C$173,$C39,'DAILY OKEY AYAM'!$P$9:$P$172)</f>
        <v>0</v>
      </c>
      <c r="K39" s="374">
        <f ca="1">SUMIF('DAILY OKEY AYAM'!$C$9:$C$173,$C39,'DAILY OKEY AYAM'!$R$9:$R$172)</f>
        <v>0</v>
      </c>
      <c r="L39" s="374">
        <f ca="1">SUMIF('DAILY OKEY AYAM'!$C$9:$C$173,$C39,'DAILY OKEY AYAM'!$S$9:$S$172)</f>
        <v>0</v>
      </c>
      <c r="M39" s="374">
        <f ca="1">SUMIF('DAILY OKEY AYAM'!$C$9:$C$173,$C39,'DAILY OKEY AYAM'!$T$9:$T$172)</f>
        <v>0</v>
      </c>
      <c r="N39" s="374">
        <f ca="1">SUMIF('DAILY OKEY AYAM'!$C$9:$C$173,$C39,'DAILY OKEY AYAM'!$U$9:$U$172)</f>
        <v>0</v>
      </c>
      <c r="O39" s="374">
        <f ca="1">SUMIF('DAILY OKEY AYAM'!$C$9:$C$173,$C39,'DAILY OKEY AYAM'!$V$9:$V$172)</f>
        <v>0</v>
      </c>
      <c r="P39" s="374">
        <f ca="1">SUMIF('DAILY OKEY AYAM'!$C$9:$C$173,$C39,'DAILY OKEY AYAM'!$W$9:$W$172)</f>
        <v>0</v>
      </c>
      <c r="Q39" s="374">
        <f ca="1">SUMIF('DAILY OKEY AYAM'!$C$9:$C$173,$C39,'DAILY OKEY AYAM'!$X$9:$X$172)</f>
        <v>0</v>
      </c>
      <c r="R39" s="374">
        <f t="shared" ca="1" si="27"/>
        <v>0</v>
      </c>
      <c r="S39" s="376" t="e">
        <f t="shared" ca="1" si="28"/>
        <v>#DIV/0!</v>
      </c>
      <c r="T39" s="381"/>
      <c r="U39" s="382"/>
      <c r="V39" s="383"/>
      <c r="W39" s="401"/>
      <c r="X39" s="530"/>
      <c r="Y39" s="530"/>
      <c r="Z39" s="530"/>
      <c r="AA39" s="530"/>
      <c r="AB39" s="535"/>
    </row>
    <row r="40" spans="2:28" ht="16.5">
      <c r="B40" s="733"/>
      <c r="C40" s="371"/>
      <c r="D40" s="372"/>
      <c r="E40" s="373"/>
      <c r="F40" s="379"/>
      <c r="G40" s="379"/>
      <c r="H40" s="379"/>
      <c r="I40" s="379"/>
      <c r="J40" s="379"/>
      <c r="K40" s="379"/>
      <c r="L40" s="379"/>
      <c r="M40" s="379"/>
      <c r="N40" s="379"/>
      <c r="O40" s="379"/>
      <c r="P40" s="379"/>
      <c r="Q40" s="379"/>
      <c r="R40" s="374"/>
      <c r="S40" s="380"/>
      <c r="T40" s="381"/>
      <c r="U40" s="374"/>
      <c r="V40" s="407"/>
      <c r="W40" s="408"/>
      <c r="X40" s="530"/>
      <c r="Y40" s="530"/>
      <c r="Z40" s="530"/>
      <c r="AA40" s="530"/>
      <c r="AB40" s="535"/>
    </row>
    <row r="41" spans="2:28" ht="16.5">
      <c r="B41" s="734"/>
      <c r="C41" s="385" t="s">
        <v>118</v>
      </c>
      <c r="D41" s="386">
        <f>SUM(D30:D40)</f>
        <v>3297</v>
      </c>
      <c r="E41" s="387">
        <f>SUM(E30:E40)</f>
        <v>12775.875</v>
      </c>
      <c r="F41" s="388">
        <f ca="1">SUM(F30:F40)</f>
        <v>12.95</v>
      </c>
      <c r="G41" s="388">
        <f t="shared" ref="G41:R41" ca="1" si="29">SUM(G30:G40)</f>
        <v>20.78</v>
      </c>
      <c r="H41" s="388">
        <f t="shared" ca="1" si="29"/>
        <v>0</v>
      </c>
      <c r="I41" s="388">
        <f t="shared" ca="1" si="29"/>
        <v>76.069999999999993</v>
      </c>
      <c r="J41" s="388">
        <f t="shared" ca="1" si="29"/>
        <v>6.1199999999999992</v>
      </c>
      <c r="K41" s="388">
        <f t="shared" ca="1" si="29"/>
        <v>21.5</v>
      </c>
      <c r="L41" s="388">
        <f t="shared" ca="1" si="29"/>
        <v>0.31999999999999995</v>
      </c>
      <c r="M41" s="388">
        <f t="shared" ca="1" si="29"/>
        <v>11.370000000000001</v>
      </c>
      <c r="N41" s="388">
        <f t="shared" ca="1" si="29"/>
        <v>0</v>
      </c>
      <c r="O41" s="388">
        <f t="shared" ca="1" si="29"/>
        <v>0</v>
      </c>
      <c r="P41" s="388">
        <f t="shared" ca="1" si="29"/>
        <v>0</v>
      </c>
      <c r="Q41" s="388">
        <f t="shared" ca="1" si="29"/>
        <v>0</v>
      </c>
      <c r="R41" s="388">
        <f t="shared" ca="1" si="29"/>
        <v>149.11000000000001</v>
      </c>
      <c r="S41" s="389"/>
      <c r="T41" s="402"/>
      <c r="U41" s="388"/>
      <c r="V41" s="389"/>
      <c r="W41" s="389"/>
      <c r="X41" s="530"/>
      <c r="Y41" s="530"/>
      <c r="Z41" s="530"/>
      <c r="AA41" s="530"/>
      <c r="AB41" s="535"/>
    </row>
    <row r="42" spans="2:28" ht="16.5">
      <c r="B42" s="406"/>
      <c r="C42" s="393" t="s">
        <v>114</v>
      </c>
      <c r="D42" s="394"/>
      <c r="E42" s="395"/>
      <c r="F42" s="396">
        <f ca="1">+F41/$E41</f>
        <v>1.0136292034792138E-3</v>
      </c>
      <c r="G42" s="396">
        <f t="shared" ref="G42" ca="1" si="30">+G41/$E41</f>
        <v>1.6265030770886534E-3</v>
      </c>
      <c r="H42" s="396">
        <f t="shared" ref="H42" ca="1" si="31">+H41/$E41</f>
        <v>0</v>
      </c>
      <c r="I42" s="396">
        <f t="shared" ref="I42" ca="1" si="32">+I41/$E41</f>
        <v>5.9541910045300215E-3</v>
      </c>
      <c r="J42" s="396">
        <f t="shared" ref="J42" ca="1" si="33">+J41/$E41</f>
        <v>4.7902785523496426E-4</v>
      </c>
      <c r="K42" s="396">
        <f t="shared" ref="K42" ca="1" si="34">+K41/$E41</f>
        <v>1.6828592953515905E-3</v>
      </c>
      <c r="L42" s="396">
        <f t="shared" ref="L42" ca="1" si="35">+L41/$E41</f>
        <v>2.5047208116860875E-5</v>
      </c>
      <c r="M42" s="396">
        <f t="shared" ref="M42" ca="1" si="36">+M41/$E41</f>
        <v>8.8995861340221318E-4</v>
      </c>
      <c r="N42" s="396">
        <f t="shared" ref="N42" ca="1" si="37">+N41/$E41</f>
        <v>0</v>
      </c>
      <c r="O42" s="396">
        <f t="shared" ref="O42" ca="1" si="38">+O41/$E41</f>
        <v>0</v>
      </c>
      <c r="P42" s="396">
        <f t="shared" ref="P42" ca="1" si="39">+P41/$E41</f>
        <v>0</v>
      </c>
      <c r="Q42" s="396">
        <f t="shared" ref="Q42" ca="1" si="40">+Q41/$E41</f>
        <v>0</v>
      </c>
      <c r="R42" s="482">
        <f ca="1">+R41/$E41</f>
        <v>1.1671216257203519E-2</v>
      </c>
      <c r="S42" s="399"/>
      <c r="T42" s="402"/>
      <c r="U42" s="400"/>
      <c r="V42" s="389"/>
      <c r="W42" s="389"/>
      <c r="X42" s="530"/>
      <c r="Y42" s="530"/>
      <c r="Z42" s="530"/>
      <c r="AA42" s="530"/>
      <c r="AB42" s="535"/>
    </row>
    <row r="43" spans="2:28" ht="16.5">
      <c r="B43" s="732" t="s">
        <v>178</v>
      </c>
      <c r="C43" s="474" t="str">
        <f>+'HASIL PROD'!B81</f>
        <v>QG08701</v>
      </c>
      <c r="D43" s="372">
        <f>SUMIF('HASIL PROD'!$B$4:$B$343,C43,'HASIL PROD'!$C$4:$C$343)</f>
        <v>501</v>
      </c>
      <c r="E43" s="373">
        <f t="shared" ref="E43:E47" si="41">+D43*3.875</f>
        <v>1941.375</v>
      </c>
      <c r="F43" s="374">
        <f ca="1">SUMIF('DAILY OKEY AYAM'!$C$9:$C$173,$C43,'DAILY OKEY AYAM'!$K$9:$K$172)</f>
        <v>1.98</v>
      </c>
      <c r="G43" s="374">
        <f ca="1">SUMIF('DAILY OKEY AYAM'!$C$9:$C$173,$C43,'DAILY OKEY AYAM'!$L$9:$L$172)</f>
        <v>3.44</v>
      </c>
      <c r="H43" s="374">
        <f ca="1">SUMIF('DAILY OKEY AYAM'!$C$9:$C$173,$C43,'DAILY OKEY AYAM'!$M$9:$N$172)</f>
        <v>0</v>
      </c>
      <c r="I43" s="374">
        <f ca="1">SUMIF('DAILY OKEY AYAM'!$C$9:$C$173,$C43,'DAILY OKEY AYAM'!$O$9:$O$172)</f>
        <v>6.85</v>
      </c>
      <c r="J43" s="374">
        <f ca="1">SUMIF('DAILY OKEY AYAM'!$C$9:$C$173,$C43,'DAILY OKEY AYAM'!$P$9:$P$172)</f>
        <v>1.1000000000000001</v>
      </c>
      <c r="K43" s="374">
        <f ca="1">SUMIF('DAILY OKEY AYAM'!$C$9:$C$173,$C43,'DAILY OKEY AYAM'!$R$9:$R$172)</f>
        <v>3.04</v>
      </c>
      <c r="L43" s="374">
        <f ca="1">SUMIF('DAILY OKEY AYAM'!$C$9:$C$173,$C43,'DAILY OKEY AYAM'!$S$9:$S$172)</f>
        <v>0</v>
      </c>
      <c r="M43" s="374">
        <f ca="1">SUMIF('DAILY OKEY AYAM'!$C$9:$C$173,$C43,'DAILY OKEY AYAM'!$T$9:$T$172)</f>
        <v>1.84</v>
      </c>
      <c r="N43" s="374">
        <f ca="1">SUMIF('DAILY OKEY AYAM'!$C$9:$C$173,$C43,'DAILY OKEY AYAM'!$U$9:$U$172)</f>
        <v>0</v>
      </c>
      <c r="O43" s="374">
        <f ca="1">SUMIF('DAILY OKEY AYAM'!$C$9:$C$173,$C43,'DAILY OKEY AYAM'!$V$9:$V$172)</f>
        <v>0</v>
      </c>
      <c r="P43" s="374">
        <f ca="1">SUMIF('DAILY OKEY AYAM'!$C$9:$C$173,$C43,'DAILY OKEY AYAM'!$W$9:$W$172)</f>
        <v>0</v>
      </c>
      <c r="Q43" s="374">
        <f ca="1">SUMIF('DAILY OKEY AYAM'!$C$9:$C$173,$C43,'DAILY OKEY AYAM'!$X$9:$X$172)</f>
        <v>0</v>
      </c>
      <c r="R43" s="374">
        <f t="shared" ref="R43:R50" ca="1" si="42">+SUM(F43:Q43)</f>
        <v>18.25</v>
      </c>
      <c r="S43" s="376">
        <f t="shared" ref="S43:S52" ca="1" si="43">+R43/E43</f>
        <v>9.4005537312471833E-3</v>
      </c>
      <c r="T43" s="381"/>
      <c r="U43" s="738">
        <f ca="1">SUM(R43:R46)</f>
        <v>47.230000000000004</v>
      </c>
      <c r="V43" s="739">
        <f ca="1">+U43/(SUM(E43:E46))</f>
        <v>7.094521010927936E-3</v>
      </c>
      <c r="W43" s="735" t="s">
        <v>338</v>
      </c>
      <c r="X43" s="727" t="s">
        <v>315</v>
      </c>
      <c r="Y43" s="727" t="s">
        <v>316</v>
      </c>
      <c r="Z43" s="727" t="s">
        <v>317</v>
      </c>
      <c r="AA43" s="727" t="s">
        <v>318</v>
      </c>
      <c r="AB43" s="535"/>
    </row>
    <row r="44" spans="2:28" ht="16.5">
      <c r="B44" s="733"/>
      <c r="C44" s="474" t="str">
        <f>+'HASIL PROD'!B82</f>
        <v>QG08702</v>
      </c>
      <c r="D44" s="372">
        <f>SUMIF('HASIL PROD'!$B$4:$B$343,C44,'HASIL PROD'!$C$4:$C$343)</f>
        <v>483</v>
      </c>
      <c r="E44" s="373">
        <f t="shared" si="41"/>
        <v>1871.625</v>
      </c>
      <c r="F44" s="374">
        <f ca="1">SUMIF('DAILY OKEY AYAM'!$C$9:$C$173,$C44,'DAILY OKEY AYAM'!$K$9:$K$172)</f>
        <v>0.62</v>
      </c>
      <c r="G44" s="374">
        <f ca="1">SUMIF('DAILY OKEY AYAM'!$C$9:$C$173,$C44,'DAILY OKEY AYAM'!$L$9:$L$172)</f>
        <v>1.98</v>
      </c>
      <c r="H44" s="374">
        <f ca="1">SUMIF('DAILY OKEY AYAM'!$C$9:$C$173,$C44,'DAILY OKEY AYAM'!$M$9:$N$172)</f>
        <v>0</v>
      </c>
      <c r="I44" s="374">
        <f ca="1">SUMIF('DAILY OKEY AYAM'!$C$9:$C$173,$C44,'DAILY OKEY AYAM'!$O$9:$O$172)</f>
        <v>3.9</v>
      </c>
      <c r="J44" s="374">
        <f ca="1">SUMIF('DAILY OKEY AYAM'!$C$9:$C$173,$C44,'DAILY OKEY AYAM'!$P$9:$P$172)</f>
        <v>0.1</v>
      </c>
      <c r="K44" s="374">
        <f ca="1">SUMIF('DAILY OKEY AYAM'!$C$9:$C$173,$C44,'DAILY OKEY AYAM'!$R$9:$R$172)</f>
        <v>0</v>
      </c>
      <c r="L44" s="374">
        <f ca="1">SUMIF('DAILY OKEY AYAM'!$C$9:$C$173,$C44,'DAILY OKEY AYAM'!$S$9:$S$172)</f>
        <v>0</v>
      </c>
      <c r="M44" s="374">
        <f ca="1">SUMIF('DAILY OKEY AYAM'!$C$9:$C$173,$C44,'DAILY OKEY AYAM'!$T$9:$T$172)</f>
        <v>2.38</v>
      </c>
      <c r="N44" s="374">
        <f ca="1">SUMIF('DAILY OKEY AYAM'!$C$9:$C$173,$C44,'DAILY OKEY AYAM'!$U$9:$U$172)</f>
        <v>0</v>
      </c>
      <c r="O44" s="374">
        <f ca="1">SUMIF('DAILY OKEY AYAM'!$C$9:$C$173,$C44,'DAILY OKEY AYAM'!$V$9:$V$172)</f>
        <v>0</v>
      </c>
      <c r="P44" s="374">
        <f ca="1">SUMIF('DAILY OKEY AYAM'!$C$9:$C$173,$C44,'DAILY OKEY AYAM'!$W$9:$W$172)</f>
        <v>0</v>
      </c>
      <c r="Q44" s="374">
        <f ca="1">SUMIF('DAILY OKEY AYAM'!$C$9:$C$173,$C44,'DAILY OKEY AYAM'!$X$9:$X$172)</f>
        <v>0</v>
      </c>
      <c r="R44" s="374">
        <f t="shared" ca="1" si="42"/>
        <v>8.98</v>
      </c>
      <c r="S44" s="376">
        <f t="shared" ca="1" si="43"/>
        <v>4.7979696787550929E-3</v>
      </c>
      <c r="T44" s="381"/>
      <c r="U44" s="738"/>
      <c r="V44" s="739"/>
      <c r="W44" s="736"/>
      <c r="X44" s="728"/>
      <c r="Y44" s="728"/>
      <c r="Z44" s="728"/>
      <c r="AA44" s="728"/>
      <c r="AB44" s="535"/>
    </row>
    <row r="45" spans="2:28" ht="16.5">
      <c r="B45" s="733"/>
      <c r="C45" s="474" t="str">
        <f>+'HASIL PROD'!B83</f>
        <v>QG08703</v>
      </c>
      <c r="D45" s="372">
        <f>SUMIF('HASIL PROD'!$B$4:$B$343,C45,'HASIL PROD'!$C$4:$C$343)</f>
        <v>377</v>
      </c>
      <c r="E45" s="373">
        <f t="shared" si="41"/>
        <v>1460.875</v>
      </c>
      <c r="F45" s="374">
        <f ca="1">SUMIF('DAILY OKEY AYAM'!$C$9:$C$173,$C45,'DAILY OKEY AYAM'!$K$9:$K$172)</f>
        <v>1.4</v>
      </c>
      <c r="G45" s="374">
        <f ca="1">SUMIF('DAILY OKEY AYAM'!$C$9:$C$173,$C45,'DAILY OKEY AYAM'!$L$9:$L$172)</f>
        <v>2.06</v>
      </c>
      <c r="H45" s="374">
        <f ca="1">SUMIF('DAILY OKEY AYAM'!$C$9:$C$173,$C45,'DAILY OKEY AYAM'!$M$9:$N$172)</f>
        <v>0</v>
      </c>
      <c r="I45" s="374">
        <f ca="1">SUMIF('DAILY OKEY AYAM'!$C$9:$C$173,$C45,'DAILY OKEY AYAM'!$O$9:$O$172)</f>
        <v>6.68</v>
      </c>
      <c r="J45" s="374">
        <f ca="1">SUMIF('DAILY OKEY AYAM'!$C$9:$C$173,$C45,'DAILY OKEY AYAM'!$P$9:$P$172)</f>
        <v>2.44</v>
      </c>
      <c r="K45" s="374">
        <f ca="1">SUMIF('DAILY OKEY AYAM'!$C$9:$C$173,$C45,'DAILY OKEY AYAM'!$R$9:$R$172)</f>
        <v>0.76</v>
      </c>
      <c r="L45" s="374">
        <f ca="1">SUMIF('DAILY OKEY AYAM'!$C$9:$C$173,$C45,'DAILY OKEY AYAM'!$S$9:$S$172)</f>
        <v>0</v>
      </c>
      <c r="M45" s="374">
        <f ca="1">SUMIF('DAILY OKEY AYAM'!$C$9:$C$173,$C45,'DAILY OKEY AYAM'!$T$9:$T$172)</f>
        <v>1.74</v>
      </c>
      <c r="N45" s="374">
        <f ca="1">SUMIF('DAILY OKEY AYAM'!$C$9:$C$173,$C45,'DAILY OKEY AYAM'!$U$9:$U$172)</f>
        <v>0</v>
      </c>
      <c r="O45" s="374">
        <f ca="1">SUMIF('DAILY OKEY AYAM'!$C$9:$C$173,$C45,'DAILY OKEY AYAM'!$V$9:$V$172)</f>
        <v>0</v>
      </c>
      <c r="P45" s="374">
        <f ca="1">SUMIF('DAILY OKEY AYAM'!$C$9:$C$173,$C45,'DAILY OKEY AYAM'!$W$9:$W$172)</f>
        <v>0</v>
      </c>
      <c r="Q45" s="374">
        <f ca="1">SUMIF('DAILY OKEY AYAM'!$C$9:$C$173,$C45,'DAILY OKEY AYAM'!$X$9:$X$172)</f>
        <v>0</v>
      </c>
      <c r="R45" s="374">
        <f t="shared" ca="1" si="42"/>
        <v>15.08</v>
      </c>
      <c r="S45" s="376">
        <f t="shared" ca="1" si="43"/>
        <v>1.032258064516129E-2</v>
      </c>
      <c r="T45" s="381"/>
      <c r="U45" s="738"/>
      <c r="V45" s="739"/>
      <c r="W45" s="736"/>
      <c r="X45" s="728"/>
      <c r="Y45" s="728"/>
      <c r="Z45" s="728"/>
      <c r="AA45" s="728"/>
      <c r="AB45" s="535"/>
    </row>
    <row r="46" spans="2:28" ht="16.5">
      <c r="B46" s="733"/>
      <c r="C46" s="474" t="str">
        <f>+'HASIL PROD'!B84</f>
        <v>QG08704</v>
      </c>
      <c r="D46" s="372">
        <f>SUMIF('HASIL PROD'!$B$4:$B$343,C46,'HASIL PROD'!$C$4:$C$343)</f>
        <v>357</v>
      </c>
      <c r="E46" s="373">
        <f t="shared" si="41"/>
        <v>1383.375</v>
      </c>
      <c r="F46" s="374">
        <f ca="1">SUMIF('DAILY OKEY AYAM'!$C$9:$C$173,$C46,'DAILY OKEY AYAM'!$K$9:$K$172)</f>
        <v>0.84000000000000008</v>
      </c>
      <c r="G46" s="374">
        <f ca="1">SUMIF('DAILY OKEY AYAM'!$C$9:$C$173,$C46,'DAILY OKEY AYAM'!$L$9:$L$172)</f>
        <v>1.02</v>
      </c>
      <c r="H46" s="374">
        <f ca="1">SUMIF('DAILY OKEY AYAM'!$C$9:$C$173,$C46,'DAILY OKEY AYAM'!$M$9:$N$172)</f>
        <v>0</v>
      </c>
      <c r="I46" s="374">
        <f ca="1">SUMIF('DAILY OKEY AYAM'!$C$9:$C$173,$C46,'DAILY OKEY AYAM'!$O$9:$O$172)</f>
        <v>1.6600000000000001</v>
      </c>
      <c r="J46" s="374">
        <f ca="1">SUMIF('DAILY OKEY AYAM'!$C$9:$C$173,$C46,'DAILY OKEY AYAM'!$P$9:$P$172)</f>
        <v>0.02</v>
      </c>
      <c r="K46" s="374">
        <f ca="1">SUMIF('DAILY OKEY AYAM'!$C$9:$C$173,$C46,'DAILY OKEY AYAM'!$R$9:$R$172)</f>
        <v>0</v>
      </c>
      <c r="L46" s="374">
        <f ca="1">SUMIF('DAILY OKEY AYAM'!$C$9:$C$173,$C46,'DAILY OKEY AYAM'!$S$9:$S$172)</f>
        <v>0</v>
      </c>
      <c r="M46" s="374">
        <f ca="1">SUMIF('DAILY OKEY AYAM'!$C$9:$C$173,$C46,'DAILY OKEY AYAM'!$T$9:$T$172)</f>
        <v>1.3800000000000001</v>
      </c>
      <c r="N46" s="374">
        <f ca="1">SUMIF('DAILY OKEY AYAM'!$C$9:$C$173,$C46,'DAILY OKEY AYAM'!$U$9:$U$172)</f>
        <v>0</v>
      </c>
      <c r="O46" s="374">
        <f ca="1">SUMIF('DAILY OKEY AYAM'!$C$9:$C$173,$C46,'DAILY OKEY AYAM'!$V$9:$V$172)</f>
        <v>0</v>
      </c>
      <c r="P46" s="374">
        <f ca="1">SUMIF('DAILY OKEY AYAM'!$C$9:$C$173,$C46,'DAILY OKEY AYAM'!$W$9:$W$172)</f>
        <v>0</v>
      </c>
      <c r="Q46" s="374">
        <f ca="1">SUMIF('DAILY OKEY AYAM'!$C$9:$C$173,$C46,'DAILY OKEY AYAM'!$X$9:$X$172)</f>
        <v>0</v>
      </c>
      <c r="R46" s="374">
        <f t="shared" ca="1" si="42"/>
        <v>4.9200000000000008</v>
      </c>
      <c r="S46" s="376">
        <f t="shared" ca="1" si="43"/>
        <v>3.5565193819463276E-3</v>
      </c>
      <c r="T46" s="381"/>
      <c r="U46" s="738"/>
      <c r="V46" s="739"/>
      <c r="W46" s="737"/>
      <c r="X46" s="729"/>
      <c r="Y46" s="729"/>
      <c r="Z46" s="729"/>
      <c r="AA46" s="729"/>
      <c r="AB46" s="535"/>
    </row>
    <row r="47" spans="2:28" ht="16.5">
      <c r="B47" s="733"/>
      <c r="C47" s="474" t="str">
        <f>+'HASIL PROD'!B85</f>
        <v>QG08705</v>
      </c>
      <c r="D47" s="372">
        <f>SUMIF('HASIL PROD'!$B$4:$B$343,C47,'HASIL PROD'!$C$4:$C$343)</f>
        <v>528</v>
      </c>
      <c r="E47" s="373">
        <f t="shared" si="41"/>
        <v>2046</v>
      </c>
      <c r="F47" s="374">
        <f ca="1">SUMIF('DAILY OKEY AYAM'!$C$9:$C$173,$C47,'DAILY OKEY AYAM'!$K$9:$K$172)</f>
        <v>1.6</v>
      </c>
      <c r="G47" s="374">
        <f ca="1">SUMIF('DAILY OKEY AYAM'!$C$9:$C$173,$C47,'DAILY OKEY AYAM'!$L$9:$L$172)</f>
        <v>3.92</v>
      </c>
      <c r="H47" s="374">
        <f ca="1">SUMIF('DAILY OKEY AYAM'!$C$9:$C$173,$C47,'DAILY OKEY AYAM'!$M$9:$N$172)</f>
        <v>0</v>
      </c>
      <c r="I47" s="374">
        <f ca="1">SUMIF('DAILY OKEY AYAM'!$C$9:$C$173,$C47,'DAILY OKEY AYAM'!$O$9:$O$172)</f>
        <v>2.56</v>
      </c>
      <c r="J47" s="374">
        <f ca="1">SUMIF('DAILY OKEY AYAM'!$C$9:$C$173,$C47,'DAILY OKEY AYAM'!$P$9:$P$172)</f>
        <v>0.12</v>
      </c>
      <c r="K47" s="374">
        <f ca="1">SUMIF('DAILY OKEY AYAM'!$C$9:$C$173,$C47,'DAILY OKEY AYAM'!$R$9:$R$172)</f>
        <v>0.36</v>
      </c>
      <c r="L47" s="374">
        <f ca="1">SUMIF('DAILY OKEY AYAM'!$C$9:$C$173,$C47,'DAILY OKEY AYAM'!$S$9:$S$172)</f>
        <v>0</v>
      </c>
      <c r="M47" s="374">
        <f ca="1">SUMIF('DAILY OKEY AYAM'!$C$9:$C$173,$C47,'DAILY OKEY AYAM'!$T$9:$T$172)</f>
        <v>1.96</v>
      </c>
      <c r="N47" s="374">
        <f ca="1">SUMIF('DAILY OKEY AYAM'!$C$9:$C$173,$C47,'DAILY OKEY AYAM'!$U$9:$U$172)</f>
        <v>0</v>
      </c>
      <c r="O47" s="374">
        <f ca="1">SUMIF('DAILY OKEY AYAM'!$C$9:$C$173,$C47,'DAILY OKEY AYAM'!$V$9:$V$172)</f>
        <v>0</v>
      </c>
      <c r="P47" s="374">
        <f ca="1">SUMIF('DAILY OKEY AYAM'!$C$9:$C$173,$C47,'DAILY OKEY AYAM'!$W$9:$W$172)</f>
        <v>0</v>
      </c>
      <c r="Q47" s="374">
        <f ca="1">SUMIF('DAILY OKEY AYAM'!$C$9:$C$173,$C47,'DAILY OKEY AYAM'!$X$9:$X$172)</f>
        <v>0</v>
      </c>
      <c r="R47" s="374">
        <f t="shared" ca="1" si="42"/>
        <v>10.52</v>
      </c>
      <c r="S47" s="376">
        <f t="shared" ca="1" si="43"/>
        <v>5.1417399804496574E-3</v>
      </c>
      <c r="T47" s="381"/>
      <c r="U47" s="741">
        <f ca="1">SUM(R49:R52)</f>
        <v>39.119999999999997</v>
      </c>
      <c r="V47" s="748">
        <f ca="1">+U47/(SUM(E49:E52))</f>
        <v>1.00652880069469E-2</v>
      </c>
      <c r="W47" s="740" t="s">
        <v>341</v>
      </c>
      <c r="X47" s="727" t="s">
        <v>312</v>
      </c>
      <c r="Y47" s="727" t="s">
        <v>319</v>
      </c>
      <c r="Z47" s="727" t="s">
        <v>314</v>
      </c>
      <c r="AA47" s="727" t="s">
        <v>313</v>
      </c>
      <c r="AB47" s="535"/>
    </row>
    <row r="48" spans="2:28" ht="16.5">
      <c r="B48" s="733"/>
      <c r="C48" s="474" t="str">
        <f>+'HASIL PROD'!B86</f>
        <v>QG08706</v>
      </c>
      <c r="D48" s="372">
        <f>SUMIF('HASIL PROD'!$B$4:$B$343,C48,'HASIL PROD'!$C$4:$C$343)</f>
        <v>474</v>
      </c>
      <c r="E48" s="373">
        <f>+D48*3.875</f>
        <v>1836.75</v>
      </c>
      <c r="F48" s="374">
        <f ca="1">SUMIF('DAILY OKEY AYAM'!$C$9:$C$173,$C48,'DAILY OKEY AYAM'!$K$9:$K$172)</f>
        <v>2.2599999999999998</v>
      </c>
      <c r="G48" s="374">
        <f ca="1">SUMIF('DAILY OKEY AYAM'!$C$9:$C$173,$C48,'DAILY OKEY AYAM'!$L$9:$L$172)</f>
        <v>3.7</v>
      </c>
      <c r="H48" s="374">
        <f ca="1">SUMIF('DAILY OKEY AYAM'!$C$9:$C$173,$C48,'DAILY OKEY AYAM'!$M$9:$N$172)</f>
        <v>0</v>
      </c>
      <c r="I48" s="374">
        <f ca="1">SUMIF('DAILY OKEY AYAM'!$C$9:$C$173,$C48,'DAILY OKEY AYAM'!$O$9:$O$172)</f>
        <v>13.78</v>
      </c>
      <c r="J48" s="374">
        <f ca="1">SUMIF('DAILY OKEY AYAM'!$C$9:$C$173,$C48,'DAILY OKEY AYAM'!$P$9:$P$172)</f>
        <v>0.24</v>
      </c>
      <c r="K48" s="374">
        <f ca="1">SUMIF('DAILY OKEY AYAM'!$C$9:$C$173,$C48,'DAILY OKEY AYAM'!$R$9:$R$172)</f>
        <v>0.68</v>
      </c>
      <c r="L48" s="374">
        <f ca="1">SUMIF('DAILY OKEY AYAM'!$C$9:$C$173,$C48,'DAILY OKEY AYAM'!$S$9:$S$172)</f>
        <v>0</v>
      </c>
      <c r="M48" s="374">
        <f ca="1">SUMIF('DAILY OKEY AYAM'!$C$9:$C$173,$C48,'DAILY OKEY AYAM'!$T$9:$T$172)</f>
        <v>2.2599999999999998</v>
      </c>
      <c r="N48" s="374">
        <f ca="1">SUMIF('DAILY OKEY AYAM'!$C$9:$C$173,$C48,'DAILY OKEY AYAM'!$U$9:$U$172)</f>
        <v>0</v>
      </c>
      <c r="O48" s="374">
        <f ca="1">SUMIF('DAILY OKEY AYAM'!$C$9:$C$173,$C48,'DAILY OKEY AYAM'!$V$9:$V$172)</f>
        <v>0</v>
      </c>
      <c r="P48" s="374">
        <f ca="1">SUMIF('DAILY OKEY AYAM'!$C$9:$C$173,$C48,'DAILY OKEY AYAM'!$W$9:$W$172)</f>
        <v>0</v>
      </c>
      <c r="Q48" s="374">
        <f ca="1">SUMIF('DAILY OKEY AYAM'!$C$9:$C$173,$C48,'DAILY OKEY AYAM'!$X$9:$X$172)</f>
        <v>0</v>
      </c>
      <c r="R48" s="374">
        <f t="shared" ca="1" si="42"/>
        <v>22.919999999999995</v>
      </c>
      <c r="S48" s="376">
        <f t="shared" ca="1" si="43"/>
        <v>1.2478562678644342E-2</v>
      </c>
      <c r="T48" s="381"/>
      <c r="U48" s="742"/>
      <c r="V48" s="749"/>
      <c r="W48" s="740"/>
      <c r="X48" s="728"/>
      <c r="Y48" s="728"/>
      <c r="Z48" s="728"/>
      <c r="AA48" s="728"/>
      <c r="AB48" s="535"/>
    </row>
    <row r="49" spans="2:28" ht="16.5">
      <c r="B49" s="733"/>
      <c r="C49" s="474" t="str">
        <f>+'HASIL PROD'!B87</f>
        <v>QG08707</v>
      </c>
      <c r="D49" s="372">
        <f>SUMIF('HASIL PROD'!$B$4:$B$343,C49,'HASIL PROD'!$C$4:$C$343)</f>
        <v>365</v>
      </c>
      <c r="E49" s="373">
        <f>+D49*3.875</f>
        <v>1414.375</v>
      </c>
      <c r="F49" s="374">
        <f ca="1">SUMIF('DAILY OKEY AYAM'!$C$9:$C$173,$C49,'DAILY OKEY AYAM'!$K$9:$K$172)</f>
        <v>1.7</v>
      </c>
      <c r="G49" s="374">
        <f ca="1">SUMIF('DAILY OKEY AYAM'!$C$9:$C$173,$C49,'DAILY OKEY AYAM'!$L$9:$L$172)</f>
        <v>3.3</v>
      </c>
      <c r="H49" s="374">
        <f ca="1">SUMIF('DAILY OKEY AYAM'!$C$9:$C$173,$C49,'DAILY OKEY AYAM'!$M$9:$N$172)</f>
        <v>0</v>
      </c>
      <c r="I49" s="374">
        <f ca="1">SUMIF('DAILY OKEY AYAM'!$C$9:$C$173,$C49,'DAILY OKEY AYAM'!$O$9:$O$172)</f>
        <v>6.36</v>
      </c>
      <c r="J49" s="374">
        <f ca="1">SUMIF('DAILY OKEY AYAM'!$C$9:$C$173,$C49,'DAILY OKEY AYAM'!$P$9:$P$172)</f>
        <v>0.5</v>
      </c>
      <c r="K49" s="374">
        <f ca="1">SUMIF('DAILY OKEY AYAM'!$C$9:$C$173,$C49,'DAILY OKEY AYAM'!$R$9:$R$172)</f>
        <v>0.3</v>
      </c>
      <c r="L49" s="374">
        <f ca="1">SUMIF('DAILY OKEY AYAM'!$C$9:$C$173,$C49,'DAILY OKEY AYAM'!$S$9:$S$172)</f>
        <v>1.55</v>
      </c>
      <c r="M49" s="374">
        <f ca="1">SUMIF('DAILY OKEY AYAM'!$C$9:$C$173,$C49,'DAILY OKEY AYAM'!$T$9:$T$172)</f>
        <v>1.7</v>
      </c>
      <c r="N49" s="374">
        <f ca="1">SUMIF('DAILY OKEY AYAM'!$C$9:$C$173,$C49,'DAILY OKEY AYAM'!$U$9:$U$172)</f>
        <v>0</v>
      </c>
      <c r="O49" s="374">
        <f ca="1">SUMIF('DAILY OKEY AYAM'!$C$9:$C$173,$C49,'DAILY OKEY AYAM'!$V$9:$V$172)</f>
        <v>0</v>
      </c>
      <c r="P49" s="374">
        <f ca="1">SUMIF('DAILY OKEY AYAM'!$C$9:$C$173,$C49,'DAILY OKEY AYAM'!$W$9:$W$172)</f>
        <v>0</v>
      </c>
      <c r="Q49" s="374">
        <f ca="1">SUMIF('DAILY OKEY AYAM'!$C$9:$C$173,$C49,'DAILY OKEY AYAM'!$X$9:$X$172)</f>
        <v>0</v>
      </c>
      <c r="R49" s="374">
        <f t="shared" ca="1" si="42"/>
        <v>15.41</v>
      </c>
      <c r="S49" s="376">
        <f t="shared" ca="1" si="43"/>
        <v>1.0895271763146266E-2</v>
      </c>
      <c r="T49" s="381"/>
      <c r="U49" s="742"/>
      <c r="V49" s="749"/>
      <c r="W49" s="740"/>
      <c r="X49" s="728"/>
      <c r="Y49" s="728"/>
      <c r="Z49" s="728"/>
      <c r="AA49" s="728"/>
      <c r="AB49" s="535"/>
    </row>
    <row r="50" spans="2:28" ht="16.5">
      <c r="B50" s="733"/>
      <c r="C50" s="474" t="str">
        <f>+'HASIL PROD'!B88</f>
        <v>QG08708</v>
      </c>
      <c r="D50" s="372">
        <f>SUMIF('HASIL PROD'!$B$4:$B$343,C50,'HASIL PROD'!$C$4:$C$343)</f>
        <v>185</v>
      </c>
      <c r="E50" s="373">
        <f t="shared" ref="E50:E52" si="44">+D50*3.875</f>
        <v>716.875</v>
      </c>
      <c r="F50" s="374">
        <f ca="1">SUMIF('DAILY OKEY AYAM'!$C$9:$C$173,$C50,'DAILY OKEY AYAM'!$K$9:$K$172)</f>
        <v>1.06</v>
      </c>
      <c r="G50" s="374">
        <f ca="1">SUMIF('DAILY OKEY AYAM'!$C$9:$C$173,$C50,'DAILY OKEY AYAM'!$L$9:$L$172)</f>
        <v>2.75</v>
      </c>
      <c r="H50" s="374">
        <f ca="1">SUMIF('DAILY OKEY AYAM'!$C$9:$C$173,$C50,'DAILY OKEY AYAM'!$M$9:$N$172)</f>
        <v>0</v>
      </c>
      <c r="I50" s="374">
        <f ca="1">SUMIF('DAILY OKEY AYAM'!$C$9:$C$173,$C50,'DAILY OKEY AYAM'!$O$9:$O$172)</f>
        <v>3.42</v>
      </c>
      <c r="J50" s="374">
        <f ca="1">SUMIF('DAILY OKEY AYAM'!$C$9:$C$173,$C50,'DAILY OKEY AYAM'!$P$9:$P$172)</f>
        <v>0.3</v>
      </c>
      <c r="K50" s="374">
        <f ca="1">SUMIF('DAILY OKEY AYAM'!$C$9:$C$173,$C50,'DAILY OKEY AYAM'!$R$9:$R$172)</f>
        <v>2.44</v>
      </c>
      <c r="L50" s="374">
        <f ca="1">SUMIF('DAILY OKEY AYAM'!$C$9:$C$173,$C50,'DAILY OKEY AYAM'!$S$9:$S$172)</f>
        <v>0</v>
      </c>
      <c r="M50" s="374">
        <f ca="1">SUMIF('DAILY OKEY AYAM'!$C$9:$C$173,$C50,'DAILY OKEY AYAM'!$T$9:$T$172)</f>
        <v>0.2</v>
      </c>
      <c r="N50" s="374">
        <f ca="1">SUMIF('DAILY OKEY AYAM'!$C$9:$C$173,$C50,'DAILY OKEY AYAM'!$U$9:$U$172)</f>
        <v>0</v>
      </c>
      <c r="O50" s="374">
        <f ca="1">SUMIF('DAILY OKEY AYAM'!$C$9:$C$173,$C50,'DAILY OKEY AYAM'!$V$9:$V$172)</f>
        <v>0</v>
      </c>
      <c r="P50" s="374">
        <f ca="1">SUMIF('DAILY OKEY AYAM'!$C$9:$C$173,$C50,'DAILY OKEY AYAM'!$W$9:$W$172)</f>
        <v>0</v>
      </c>
      <c r="Q50" s="374">
        <f ca="1">SUMIF('DAILY OKEY AYAM'!$C$9:$C$173,$C50,'DAILY OKEY AYAM'!$X$9:$X$172)</f>
        <v>0</v>
      </c>
      <c r="R50" s="374">
        <f t="shared" ca="1" si="42"/>
        <v>10.17</v>
      </c>
      <c r="S50" s="376">
        <f t="shared" ca="1" si="43"/>
        <v>1.4186573670444638E-2</v>
      </c>
      <c r="T50" s="381"/>
      <c r="U50" s="742"/>
      <c r="V50" s="749"/>
      <c r="W50" s="740"/>
      <c r="X50" s="728"/>
      <c r="Y50" s="728"/>
      <c r="Z50" s="728"/>
      <c r="AA50" s="728"/>
      <c r="AB50" s="535"/>
    </row>
    <row r="51" spans="2:28" ht="16.5">
      <c r="B51" s="733"/>
      <c r="C51" s="474" t="str">
        <f>+'HASIL PROD'!B89</f>
        <v>QG08709</v>
      </c>
      <c r="D51" s="372">
        <f>SUMIF('HASIL PROD'!$B$4:$B$343,C51,'HASIL PROD'!$C$4:$C$343)</f>
        <v>453</v>
      </c>
      <c r="E51" s="373">
        <f t="shared" si="44"/>
        <v>1755.375</v>
      </c>
      <c r="F51" s="374">
        <f ca="1">SUMIF('DAILY OKEY AYAM'!$C$9:$C$173,$C51,'DAILY OKEY AYAM'!$K$9:$K$172)</f>
        <v>2</v>
      </c>
      <c r="G51" s="374">
        <f ca="1">SUMIF('DAILY OKEY AYAM'!$C$9:$C$173,$C51,'DAILY OKEY AYAM'!$L$9:$L$172)</f>
        <v>3.75</v>
      </c>
      <c r="H51" s="374">
        <f ca="1">SUMIF('DAILY OKEY AYAM'!$C$9:$C$173,$C51,'DAILY OKEY AYAM'!$M$9:$N$172)</f>
        <v>0</v>
      </c>
      <c r="I51" s="374">
        <f ca="1">SUMIF('DAILY OKEY AYAM'!$C$9:$C$173,$C51,'DAILY OKEY AYAM'!$O$9:$O$172)</f>
        <v>3.9</v>
      </c>
      <c r="J51" s="374">
        <f ca="1">SUMIF('DAILY OKEY AYAM'!$C$9:$C$173,$C51,'DAILY OKEY AYAM'!$P$9:$P$172)</f>
        <v>0.35</v>
      </c>
      <c r="K51" s="374">
        <f ca="1">SUMIF('DAILY OKEY AYAM'!$C$9:$C$173,$C51,'DAILY OKEY AYAM'!$R$9:$R$172)</f>
        <v>1.84</v>
      </c>
      <c r="L51" s="374">
        <f ca="1">SUMIF('DAILY OKEY AYAM'!$C$9:$C$173,$C51,'DAILY OKEY AYAM'!$S$9:$S$172)</f>
        <v>0</v>
      </c>
      <c r="M51" s="374">
        <f ca="1">SUMIF('DAILY OKEY AYAM'!$C$9:$C$173,$C51,'DAILY OKEY AYAM'!$T$9:$T$172)</f>
        <v>1.7</v>
      </c>
      <c r="N51" s="374">
        <f ca="1">SUMIF('DAILY OKEY AYAM'!$C$9:$C$173,$C51,'DAILY OKEY AYAM'!$U$9:$U$172)</f>
        <v>0</v>
      </c>
      <c r="O51" s="374">
        <f ca="1">SUMIF('DAILY OKEY AYAM'!$C$9:$C$173,$C51,'DAILY OKEY AYAM'!$V$9:$V$172)</f>
        <v>0</v>
      </c>
      <c r="P51" s="374">
        <f ca="1">SUMIF('DAILY OKEY AYAM'!$C$9:$C$173,$C51,'DAILY OKEY AYAM'!$W$9:$W$172)</f>
        <v>0</v>
      </c>
      <c r="Q51" s="374">
        <f ca="1">SUMIF('DAILY OKEY AYAM'!$C$9:$C$173,$C51,'DAILY OKEY AYAM'!$X$9:$X$172)</f>
        <v>0</v>
      </c>
      <c r="R51" s="374">
        <f t="shared" ref="R51:R52" ca="1" si="45">+SUM(F51:Q51)</f>
        <v>13.54</v>
      </c>
      <c r="S51" s="376">
        <f t="shared" ca="1" si="43"/>
        <v>7.7134515416933695E-3</v>
      </c>
      <c r="T51" s="381"/>
      <c r="U51" s="743"/>
      <c r="V51" s="750"/>
      <c r="W51" s="740"/>
      <c r="X51" s="729"/>
      <c r="Y51" s="729"/>
      <c r="Z51" s="729"/>
      <c r="AA51" s="729"/>
      <c r="AB51" s="535"/>
    </row>
    <row r="52" spans="2:28" ht="16.5">
      <c r="B52" s="733"/>
      <c r="C52" s="474">
        <f>+'HASIL PROD'!B90</f>
        <v>0</v>
      </c>
      <c r="D52" s="372">
        <f>SUMIF('HASIL PROD'!$B$4:$B$343,C52,'HASIL PROD'!$C$4:$C$343)</f>
        <v>0</v>
      </c>
      <c r="E52" s="373">
        <f t="shared" si="44"/>
        <v>0</v>
      </c>
      <c r="F52" s="374">
        <f ca="1">SUMIF('DAILY OKEY AYAM'!$C$9:$C$173,$C52,'DAILY OKEY AYAM'!$K$9:$K$172)</f>
        <v>0</v>
      </c>
      <c r="G52" s="374">
        <f ca="1">SUMIF('DAILY OKEY AYAM'!$C$9:$C$173,$C52,'DAILY OKEY AYAM'!$L$9:$L$172)</f>
        <v>0</v>
      </c>
      <c r="H52" s="374">
        <f ca="1">SUMIF('DAILY OKEY AYAM'!$C$9:$C$173,$C52,'DAILY OKEY AYAM'!$M$9:$N$172)</f>
        <v>0</v>
      </c>
      <c r="I52" s="374">
        <f ca="1">SUMIF('DAILY OKEY AYAM'!$C$9:$C$173,$C52,'DAILY OKEY AYAM'!$O$9:$O$172)</f>
        <v>0</v>
      </c>
      <c r="J52" s="374">
        <f ca="1">SUMIF('DAILY OKEY AYAM'!$C$9:$C$173,$C52,'DAILY OKEY AYAM'!$P$9:$P$172)</f>
        <v>0</v>
      </c>
      <c r="K52" s="374">
        <f ca="1">SUMIF('DAILY OKEY AYAM'!$C$9:$C$173,$C52,'DAILY OKEY AYAM'!$R$9:$R$172)</f>
        <v>0</v>
      </c>
      <c r="L52" s="374">
        <f ca="1">SUMIF('DAILY OKEY AYAM'!$C$9:$C$173,$C52,'DAILY OKEY AYAM'!$S$9:$S$172)</f>
        <v>0</v>
      </c>
      <c r="M52" s="374">
        <f ca="1">SUMIF('DAILY OKEY AYAM'!$C$9:$C$173,$C52,'DAILY OKEY AYAM'!$T$9:$T$172)</f>
        <v>0</v>
      </c>
      <c r="N52" s="374">
        <f ca="1">SUMIF('DAILY OKEY AYAM'!$C$9:$C$173,$C52,'DAILY OKEY AYAM'!$U$9:$U$172)</f>
        <v>0</v>
      </c>
      <c r="O52" s="374">
        <f ca="1">SUMIF('DAILY OKEY AYAM'!$C$9:$C$173,$C52,'DAILY OKEY AYAM'!$V$9:$V$172)</f>
        <v>0</v>
      </c>
      <c r="P52" s="374">
        <f ca="1">SUMIF('DAILY OKEY AYAM'!$C$9:$C$173,$C52,'DAILY OKEY AYAM'!$W$9:$W$172)</f>
        <v>0</v>
      </c>
      <c r="Q52" s="374">
        <f ca="1">SUMIF('DAILY OKEY AYAM'!$C$9:$C$173,$C52,'DAILY OKEY AYAM'!$X$9:$X$172)</f>
        <v>0</v>
      </c>
      <c r="R52" s="374">
        <f t="shared" ca="1" si="45"/>
        <v>0</v>
      </c>
      <c r="S52" s="376" t="e">
        <f t="shared" ca="1" si="43"/>
        <v>#DIV/0!</v>
      </c>
      <c r="T52" s="381"/>
      <c r="U52" s="382"/>
      <c r="V52" s="383"/>
      <c r="W52" s="401"/>
      <c r="X52" s="530"/>
      <c r="Y52" s="530"/>
      <c r="Z52" s="530"/>
      <c r="AA52" s="530"/>
      <c r="AB52" s="535"/>
    </row>
    <row r="53" spans="2:28" ht="16.5">
      <c r="B53" s="733"/>
      <c r="C53" s="371"/>
      <c r="D53" s="372"/>
      <c r="E53" s="373"/>
      <c r="F53" s="379"/>
      <c r="G53" s="379"/>
      <c r="H53" s="379"/>
      <c r="I53" s="379"/>
      <c r="J53" s="379"/>
      <c r="K53" s="379"/>
      <c r="L53" s="379"/>
      <c r="M53" s="379"/>
      <c r="N53" s="379"/>
      <c r="O53" s="379"/>
      <c r="P53" s="379"/>
      <c r="Q53" s="379"/>
      <c r="R53" s="374"/>
      <c r="S53" s="380"/>
      <c r="T53" s="381"/>
      <c r="U53" s="374"/>
      <c r="V53" s="407"/>
      <c r="W53" s="408"/>
      <c r="X53" s="530"/>
      <c r="Y53" s="530"/>
      <c r="Z53" s="530"/>
      <c r="AA53" s="530"/>
      <c r="AB53" s="535"/>
    </row>
    <row r="54" spans="2:28" ht="16.5">
      <c r="B54" s="734"/>
      <c r="C54" s="385" t="s">
        <v>118</v>
      </c>
      <c r="D54" s="386">
        <f>SUM(D43:D53)</f>
        <v>3723</v>
      </c>
      <c r="E54" s="387">
        <f>SUM(E43:E53)</f>
        <v>14426.625</v>
      </c>
      <c r="F54" s="388">
        <f ca="1">SUM(F43:F53)</f>
        <v>13.459999999999999</v>
      </c>
      <c r="G54" s="388">
        <f t="shared" ref="G54:R54" ca="1" si="46">SUM(G43:G53)</f>
        <v>25.92</v>
      </c>
      <c r="H54" s="388">
        <f t="shared" ca="1" si="46"/>
        <v>0</v>
      </c>
      <c r="I54" s="388">
        <f t="shared" ca="1" si="46"/>
        <v>49.11</v>
      </c>
      <c r="J54" s="388">
        <f t="shared" ca="1" si="46"/>
        <v>5.17</v>
      </c>
      <c r="K54" s="388">
        <f t="shared" ca="1" si="46"/>
        <v>9.42</v>
      </c>
      <c r="L54" s="388">
        <f t="shared" ca="1" si="46"/>
        <v>1.55</v>
      </c>
      <c r="M54" s="388">
        <f t="shared" ca="1" si="46"/>
        <v>15.159999999999998</v>
      </c>
      <c r="N54" s="388">
        <f t="shared" ca="1" si="46"/>
        <v>0</v>
      </c>
      <c r="O54" s="388">
        <f t="shared" ca="1" si="46"/>
        <v>0</v>
      </c>
      <c r="P54" s="388">
        <f t="shared" ca="1" si="46"/>
        <v>0</v>
      </c>
      <c r="Q54" s="388">
        <f t="shared" ca="1" si="46"/>
        <v>0</v>
      </c>
      <c r="R54" s="388">
        <f t="shared" ca="1" si="46"/>
        <v>119.78999999999999</v>
      </c>
      <c r="S54" s="389"/>
      <c r="T54" s="402"/>
      <c r="U54" s="388"/>
      <c r="V54" s="389"/>
      <c r="W54" s="389"/>
      <c r="X54" s="530"/>
      <c r="Y54" s="530"/>
      <c r="Z54" s="530"/>
      <c r="AA54" s="530"/>
      <c r="AB54" s="535"/>
    </row>
    <row r="55" spans="2:28" ht="16.5">
      <c r="B55" s="406"/>
      <c r="C55" s="393" t="s">
        <v>114</v>
      </c>
      <c r="D55" s="394"/>
      <c r="E55" s="395"/>
      <c r="F55" s="396">
        <f ca="1">+F54/$E54</f>
        <v>9.3299714936792208E-4</v>
      </c>
      <c r="G55" s="396">
        <f t="shared" ref="G55" ca="1" si="47">+G54/$E54</f>
        <v>1.796678017207767E-3</v>
      </c>
      <c r="H55" s="396">
        <f t="shared" ref="H55" ca="1" si="48">+H54/$E54</f>
        <v>0</v>
      </c>
      <c r="I55" s="396">
        <f t="shared" ref="I55" ca="1" si="49">+I54/$E54</f>
        <v>3.4041225858438824E-3</v>
      </c>
      <c r="J55" s="396">
        <f t="shared" ref="J55" ca="1" si="50">+J54/$E54</f>
        <v>3.5836517550016028E-4</v>
      </c>
      <c r="K55" s="396">
        <f t="shared" ref="K55" ca="1" si="51">+K54/$E54</f>
        <v>6.529593719944893E-4</v>
      </c>
      <c r="L55" s="396">
        <f t="shared" ref="L55" ca="1" si="52">+L54/$E54</f>
        <v>1.0744023636852001E-4</v>
      </c>
      <c r="M55" s="396">
        <f t="shared" ref="M55" ca="1" si="53">+M54/$E54</f>
        <v>1.0508348279656538E-3</v>
      </c>
      <c r="N55" s="396">
        <f t="shared" ref="N55" ca="1" si="54">+N54/$E54</f>
        <v>0</v>
      </c>
      <c r="O55" s="396">
        <f t="shared" ref="O55" ca="1" si="55">+O54/$E54</f>
        <v>0</v>
      </c>
      <c r="P55" s="396">
        <f t="shared" ref="P55" ca="1" si="56">+P54/$E54</f>
        <v>0</v>
      </c>
      <c r="Q55" s="396">
        <f t="shared" ref="Q55" ca="1" si="57">+Q54/$E54</f>
        <v>0</v>
      </c>
      <c r="R55" s="482">
        <f ca="1">+R54/$E54</f>
        <v>8.3033973642483942E-3</v>
      </c>
      <c r="S55" s="399"/>
      <c r="T55" s="402"/>
      <c r="U55" s="400"/>
      <c r="V55" s="389"/>
      <c r="W55" s="389"/>
      <c r="X55" s="530"/>
      <c r="Y55" s="530"/>
      <c r="Z55" s="530"/>
      <c r="AA55" s="530"/>
      <c r="AB55" s="535"/>
    </row>
    <row r="56" spans="2:28" ht="16.5">
      <c r="B56" s="732" t="s">
        <v>178</v>
      </c>
      <c r="C56" s="474" t="str">
        <f>+'HASIL PROD'!B92</f>
        <v>QG09701</v>
      </c>
      <c r="D56" s="372">
        <f>SUMIF('HASIL PROD'!$B$4:$B$343,C56,'HASIL PROD'!$C$4:$C$343)</f>
        <v>434</v>
      </c>
      <c r="E56" s="373">
        <f t="shared" ref="E56:E60" si="58">+D56*3.875</f>
        <v>1681.75</v>
      </c>
      <c r="F56" s="374">
        <f ca="1">SUMIF('DAILY OKEY AYAM'!$C$9:$C$173,$C56,'DAILY OKEY AYAM'!$K$9:$K$172)</f>
        <v>3.68</v>
      </c>
      <c r="G56" s="374">
        <f ca="1">SUMIF('DAILY OKEY AYAM'!$C$9:$C$173,$C56,'DAILY OKEY AYAM'!$L$9:$L$172)</f>
        <v>4.16</v>
      </c>
      <c r="H56" s="374">
        <f ca="1">SUMIF('DAILY OKEY AYAM'!$C$9:$C$173,$C56,'DAILY OKEY AYAM'!$M$9:$N$172)</f>
        <v>0</v>
      </c>
      <c r="I56" s="374">
        <f ca="1">SUMIF('DAILY OKEY AYAM'!$C$9:$C$173,$C56,'DAILY OKEY AYAM'!$O$9:$O$172)</f>
        <v>7.14</v>
      </c>
      <c r="J56" s="374">
        <f ca="1">SUMIF('DAILY OKEY AYAM'!$C$9:$C$173,$C56,'DAILY OKEY AYAM'!$P$9:$P$172)</f>
        <v>0.8</v>
      </c>
      <c r="K56" s="374">
        <f ca="1">SUMIF('DAILY OKEY AYAM'!$C$9:$C$173,$C56,'DAILY OKEY AYAM'!$R$9:$R$172)</f>
        <v>0.42</v>
      </c>
      <c r="L56" s="374">
        <f ca="1">SUMIF('DAILY OKEY AYAM'!$C$9:$C$173,$C56,'DAILY OKEY AYAM'!$S$9:$S$172)</f>
        <v>0</v>
      </c>
      <c r="M56" s="374">
        <f ca="1">SUMIF('DAILY OKEY AYAM'!$C$9:$C$173,$C56,'DAILY OKEY AYAM'!$T$9:$T$172)</f>
        <v>1.4</v>
      </c>
      <c r="N56" s="374">
        <f ca="1">SUMIF('DAILY OKEY AYAM'!$C$9:$C$173,$C56,'DAILY OKEY AYAM'!$U$9:$U$172)</f>
        <v>0</v>
      </c>
      <c r="O56" s="374">
        <f ca="1">SUMIF('DAILY OKEY AYAM'!$C$9:$C$173,$C56,'DAILY OKEY AYAM'!$V$9:$V$172)</f>
        <v>0</v>
      </c>
      <c r="P56" s="374">
        <f ca="1">SUMIF('DAILY OKEY AYAM'!$C$9:$C$173,$C56,'DAILY OKEY AYAM'!$W$9:$W$172)</f>
        <v>0</v>
      </c>
      <c r="Q56" s="374">
        <f ca="1">SUMIF('DAILY OKEY AYAM'!$C$9:$C$173,$C56,'DAILY OKEY AYAM'!$X$9:$X$172)</f>
        <v>0</v>
      </c>
      <c r="R56" s="374">
        <f t="shared" ref="R56:R63" ca="1" si="59">+SUM(F56:Q56)</f>
        <v>17.600000000000001</v>
      </c>
      <c r="S56" s="376">
        <f t="shared" ref="S56:S65" ca="1" si="60">+R56/E56</f>
        <v>1.0465289133343245E-2</v>
      </c>
      <c r="T56" s="381"/>
      <c r="U56" s="738">
        <f ca="1">SUM(R56:R59)</f>
        <v>63.61</v>
      </c>
      <c r="V56" s="739">
        <f ca="1">+U56/(SUM(E56:E59))</f>
        <v>9.1757875187075139E-3</v>
      </c>
      <c r="W56" s="735" t="s">
        <v>338</v>
      </c>
      <c r="X56" s="727" t="s">
        <v>315</v>
      </c>
      <c r="Y56" s="727" t="s">
        <v>316</v>
      </c>
      <c r="Z56" s="727" t="s">
        <v>317</v>
      </c>
      <c r="AA56" s="727" t="s">
        <v>318</v>
      </c>
      <c r="AB56" s="535"/>
    </row>
    <row r="57" spans="2:28" ht="16.5">
      <c r="B57" s="733"/>
      <c r="C57" s="474" t="str">
        <f>+'HASIL PROD'!B93</f>
        <v>QG09702</v>
      </c>
      <c r="D57" s="372">
        <f>SUMIF('HASIL PROD'!$B$4:$B$343,C57,'HASIL PROD'!$C$4:$C$343)</f>
        <v>450</v>
      </c>
      <c r="E57" s="373">
        <f t="shared" si="58"/>
        <v>1743.75</v>
      </c>
      <c r="F57" s="374">
        <f ca="1">SUMIF('DAILY OKEY AYAM'!$C$9:$C$173,$C57,'DAILY OKEY AYAM'!$K$9:$K$172)</f>
        <v>3</v>
      </c>
      <c r="G57" s="374">
        <f ca="1">SUMIF('DAILY OKEY AYAM'!$C$9:$C$173,$C57,'DAILY OKEY AYAM'!$L$9:$L$172)</f>
        <v>3.6</v>
      </c>
      <c r="H57" s="374">
        <f ca="1">SUMIF('DAILY OKEY AYAM'!$C$9:$C$173,$C57,'DAILY OKEY AYAM'!$M$9:$N$172)</f>
        <v>0</v>
      </c>
      <c r="I57" s="374">
        <f ca="1">SUMIF('DAILY OKEY AYAM'!$C$9:$C$173,$C57,'DAILY OKEY AYAM'!$O$9:$O$172)</f>
        <v>3.86</v>
      </c>
      <c r="J57" s="374">
        <f ca="1">SUMIF('DAILY OKEY AYAM'!$C$9:$C$173,$C57,'DAILY OKEY AYAM'!$P$9:$P$172)</f>
        <v>0.15</v>
      </c>
      <c r="K57" s="374">
        <f ca="1">SUMIF('DAILY OKEY AYAM'!$C$9:$C$173,$C57,'DAILY OKEY AYAM'!$R$9:$R$172)</f>
        <v>1.1000000000000001</v>
      </c>
      <c r="L57" s="374">
        <f ca="1">SUMIF('DAILY OKEY AYAM'!$C$9:$C$173,$C57,'DAILY OKEY AYAM'!$S$9:$S$172)</f>
        <v>0</v>
      </c>
      <c r="M57" s="374">
        <f ca="1">SUMIF('DAILY OKEY AYAM'!$C$9:$C$173,$C57,'DAILY OKEY AYAM'!$T$9:$T$172)</f>
        <v>1.7</v>
      </c>
      <c r="N57" s="374">
        <f ca="1">SUMIF('DAILY OKEY AYAM'!$C$9:$C$173,$C57,'DAILY OKEY AYAM'!$U$9:$U$172)</f>
        <v>0</v>
      </c>
      <c r="O57" s="374">
        <f ca="1">SUMIF('DAILY OKEY AYAM'!$C$9:$C$173,$C57,'DAILY OKEY AYAM'!$V$9:$V$172)</f>
        <v>0</v>
      </c>
      <c r="P57" s="374">
        <f ca="1">SUMIF('DAILY OKEY AYAM'!$C$9:$C$173,$C57,'DAILY OKEY AYAM'!$W$9:$W$172)</f>
        <v>0</v>
      </c>
      <c r="Q57" s="374">
        <f ca="1">SUMIF('DAILY OKEY AYAM'!$C$9:$C$173,$C57,'DAILY OKEY AYAM'!$X$9:$X$172)</f>
        <v>0</v>
      </c>
      <c r="R57" s="374">
        <f t="shared" ca="1" si="59"/>
        <v>13.409999999999998</v>
      </c>
      <c r="S57" s="376">
        <f t="shared" ca="1" si="60"/>
        <v>7.6903225806451607E-3</v>
      </c>
      <c r="T57" s="381"/>
      <c r="U57" s="738"/>
      <c r="V57" s="739"/>
      <c r="W57" s="736"/>
      <c r="X57" s="728"/>
      <c r="Y57" s="728"/>
      <c r="Z57" s="728"/>
      <c r="AA57" s="728"/>
      <c r="AB57" s="535"/>
    </row>
    <row r="58" spans="2:28" ht="16.5">
      <c r="B58" s="733"/>
      <c r="C58" s="474" t="str">
        <f>+'HASIL PROD'!B94</f>
        <v>QG09703</v>
      </c>
      <c r="D58" s="372">
        <f>SUMIF('HASIL PROD'!$B$4:$B$343,C58,'HASIL PROD'!$C$4:$C$343)</f>
        <v>469</v>
      </c>
      <c r="E58" s="373">
        <f t="shared" si="58"/>
        <v>1817.375</v>
      </c>
      <c r="F58" s="374">
        <f ca="1">SUMIF('DAILY OKEY AYAM'!$C$9:$C$173,$C58,'DAILY OKEY AYAM'!$K$9:$K$172)</f>
        <v>2.9</v>
      </c>
      <c r="G58" s="374">
        <f ca="1">SUMIF('DAILY OKEY AYAM'!$C$9:$C$173,$C58,'DAILY OKEY AYAM'!$L$9:$L$172)</f>
        <v>6.4</v>
      </c>
      <c r="H58" s="374">
        <f ca="1">SUMIF('DAILY OKEY AYAM'!$C$9:$C$173,$C58,'DAILY OKEY AYAM'!$M$9:$N$172)</f>
        <v>0</v>
      </c>
      <c r="I58" s="374">
        <f ca="1">SUMIF('DAILY OKEY AYAM'!$C$9:$C$173,$C58,'DAILY OKEY AYAM'!$O$9:$O$172)</f>
        <v>10.74</v>
      </c>
      <c r="J58" s="374">
        <f ca="1">SUMIF('DAILY OKEY AYAM'!$C$9:$C$173,$C58,'DAILY OKEY AYAM'!$P$9:$P$172)</f>
        <v>0.22</v>
      </c>
      <c r="K58" s="374">
        <f ca="1">SUMIF('DAILY OKEY AYAM'!$C$9:$C$173,$C58,'DAILY OKEY AYAM'!$R$9:$R$172)</f>
        <v>1.3</v>
      </c>
      <c r="L58" s="374">
        <f ca="1">SUMIF('DAILY OKEY AYAM'!$C$9:$C$173,$C58,'DAILY OKEY AYAM'!$S$9:$S$172)</f>
        <v>0</v>
      </c>
      <c r="M58" s="374">
        <f ca="1">SUMIF('DAILY OKEY AYAM'!$C$9:$C$173,$C58,'DAILY OKEY AYAM'!$T$9:$T$172)</f>
        <v>0.98</v>
      </c>
      <c r="N58" s="374">
        <f ca="1">SUMIF('DAILY OKEY AYAM'!$C$9:$C$173,$C58,'DAILY OKEY AYAM'!$U$9:$U$172)</f>
        <v>0</v>
      </c>
      <c r="O58" s="374">
        <f ca="1">SUMIF('DAILY OKEY AYAM'!$C$9:$C$173,$C58,'DAILY OKEY AYAM'!$V$9:$V$172)</f>
        <v>0</v>
      </c>
      <c r="P58" s="374">
        <f ca="1">SUMIF('DAILY OKEY AYAM'!$C$9:$C$173,$C58,'DAILY OKEY AYAM'!$W$9:$W$172)</f>
        <v>0</v>
      </c>
      <c r="Q58" s="374">
        <f ca="1">SUMIF('DAILY OKEY AYAM'!$C$9:$C$173,$C58,'DAILY OKEY AYAM'!$X$9:$X$172)</f>
        <v>0</v>
      </c>
      <c r="R58" s="374">
        <f t="shared" ca="1" si="59"/>
        <v>22.54</v>
      </c>
      <c r="S58" s="376">
        <f t="shared" ca="1" si="60"/>
        <v>1.240250361097737E-2</v>
      </c>
      <c r="T58" s="381"/>
      <c r="U58" s="738"/>
      <c r="V58" s="739"/>
      <c r="W58" s="736"/>
      <c r="X58" s="728"/>
      <c r="Y58" s="728"/>
      <c r="Z58" s="728"/>
      <c r="AA58" s="728"/>
      <c r="AB58" s="535"/>
    </row>
    <row r="59" spans="2:28" ht="16.5">
      <c r="B59" s="733"/>
      <c r="C59" s="474" t="str">
        <f>+'HASIL PROD'!B95</f>
        <v>QG09704</v>
      </c>
      <c r="D59" s="372">
        <f>SUMIF('HASIL PROD'!$B$4:$B$343,C59,'HASIL PROD'!$C$4:$C$343)</f>
        <v>436</v>
      </c>
      <c r="E59" s="373">
        <f t="shared" si="58"/>
        <v>1689.5</v>
      </c>
      <c r="F59" s="374">
        <f ca="1">SUMIF('DAILY OKEY AYAM'!$C$9:$C$173,$C59,'DAILY OKEY AYAM'!$K$9:$K$172)</f>
        <v>1.02</v>
      </c>
      <c r="G59" s="374">
        <f ca="1">SUMIF('DAILY OKEY AYAM'!$C$9:$C$173,$C59,'DAILY OKEY AYAM'!$L$9:$L$172)</f>
        <v>4</v>
      </c>
      <c r="H59" s="374">
        <f ca="1">SUMIF('DAILY OKEY AYAM'!$C$9:$C$173,$C59,'DAILY OKEY AYAM'!$M$9:$N$172)</f>
        <v>0</v>
      </c>
      <c r="I59" s="374">
        <f ca="1">SUMIF('DAILY OKEY AYAM'!$C$9:$C$173,$C59,'DAILY OKEY AYAM'!$O$9:$O$172)</f>
        <v>3.7</v>
      </c>
      <c r="J59" s="374">
        <f ca="1">SUMIF('DAILY OKEY AYAM'!$C$9:$C$173,$C59,'DAILY OKEY AYAM'!$P$9:$P$172)</f>
        <v>0.12</v>
      </c>
      <c r="K59" s="374">
        <f ca="1">SUMIF('DAILY OKEY AYAM'!$C$9:$C$173,$C59,'DAILY OKEY AYAM'!$R$9:$R$172)</f>
        <v>0.3</v>
      </c>
      <c r="L59" s="374">
        <f ca="1">SUMIF('DAILY OKEY AYAM'!$C$9:$C$173,$C59,'DAILY OKEY AYAM'!$S$9:$S$172)</f>
        <v>0</v>
      </c>
      <c r="M59" s="374">
        <f ca="1">SUMIF('DAILY OKEY AYAM'!$C$9:$C$173,$C59,'DAILY OKEY AYAM'!$T$9:$T$172)</f>
        <v>0.92</v>
      </c>
      <c r="N59" s="374">
        <f ca="1">SUMIF('DAILY OKEY AYAM'!$C$9:$C$173,$C59,'DAILY OKEY AYAM'!$U$9:$U$172)</f>
        <v>0</v>
      </c>
      <c r="O59" s="374">
        <f ca="1">SUMIF('DAILY OKEY AYAM'!$C$9:$C$173,$C59,'DAILY OKEY AYAM'!$V$9:$V$172)</f>
        <v>0</v>
      </c>
      <c r="P59" s="374">
        <f ca="1">SUMIF('DAILY OKEY AYAM'!$C$9:$C$173,$C59,'DAILY OKEY AYAM'!$W$9:$W$172)</f>
        <v>0</v>
      </c>
      <c r="Q59" s="374">
        <f ca="1">SUMIF('DAILY OKEY AYAM'!$C$9:$C$173,$C59,'DAILY OKEY AYAM'!$X$9:$X$172)</f>
        <v>0</v>
      </c>
      <c r="R59" s="374">
        <f t="shared" ca="1" si="59"/>
        <v>10.059999999999999</v>
      </c>
      <c r="S59" s="376">
        <f t="shared" ca="1" si="60"/>
        <v>5.9544243859129915E-3</v>
      </c>
      <c r="T59" s="381"/>
      <c r="U59" s="738"/>
      <c r="V59" s="739"/>
      <c r="W59" s="737"/>
      <c r="X59" s="729"/>
      <c r="Y59" s="729"/>
      <c r="Z59" s="729"/>
      <c r="AA59" s="729"/>
      <c r="AB59" s="535"/>
    </row>
    <row r="60" spans="2:28" ht="16.5">
      <c r="B60" s="733"/>
      <c r="C60" s="474" t="str">
        <f>+'HASIL PROD'!B96</f>
        <v>QG09705</v>
      </c>
      <c r="D60" s="372">
        <f>SUMIF('HASIL PROD'!$B$4:$B$343,C60,'HASIL PROD'!$C$4:$C$343)</f>
        <v>490</v>
      </c>
      <c r="E60" s="373">
        <f t="shared" si="58"/>
        <v>1898.75</v>
      </c>
      <c r="F60" s="374">
        <f ca="1">SUMIF('DAILY OKEY AYAM'!$C$9:$C$173,$C60,'DAILY OKEY AYAM'!$K$9:$K$172)</f>
        <v>2.74</v>
      </c>
      <c r="G60" s="374">
        <f ca="1">SUMIF('DAILY OKEY AYAM'!$C$9:$C$173,$C60,'DAILY OKEY AYAM'!$L$9:$L$172)</f>
        <v>5</v>
      </c>
      <c r="H60" s="374">
        <f ca="1">SUMIF('DAILY OKEY AYAM'!$C$9:$C$173,$C60,'DAILY OKEY AYAM'!$M$9:$N$172)</f>
        <v>0</v>
      </c>
      <c r="I60" s="374">
        <f ca="1">SUMIF('DAILY OKEY AYAM'!$C$9:$C$173,$C60,'DAILY OKEY AYAM'!$O$9:$O$172)</f>
        <v>9.75</v>
      </c>
      <c r="J60" s="374">
        <f ca="1">SUMIF('DAILY OKEY AYAM'!$C$9:$C$173,$C60,'DAILY OKEY AYAM'!$P$9:$P$172)</f>
        <v>0.65</v>
      </c>
      <c r="K60" s="374">
        <f ca="1">SUMIF('DAILY OKEY AYAM'!$C$9:$C$173,$C60,'DAILY OKEY AYAM'!$R$9:$R$172)</f>
        <v>0.5</v>
      </c>
      <c r="L60" s="374">
        <f ca="1">SUMIF('DAILY OKEY AYAM'!$C$9:$C$173,$C60,'DAILY OKEY AYAM'!$S$9:$S$172)</f>
        <v>0.4</v>
      </c>
      <c r="M60" s="374">
        <f ca="1">SUMIF('DAILY OKEY AYAM'!$C$9:$C$173,$C60,'DAILY OKEY AYAM'!$T$9:$T$172)</f>
        <v>2.4500000000000002</v>
      </c>
      <c r="N60" s="374">
        <f ca="1">SUMIF('DAILY OKEY AYAM'!$C$9:$C$173,$C60,'DAILY OKEY AYAM'!$U$9:$U$172)</f>
        <v>0</v>
      </c>
      <c r="O60" s="374">
        <f ca="1">SUMIF('DAILY OKEY AYAM'!$C$9:$C$173,$C60,'DAILY OKEY AYAM'!$V$9:$V$172)</f>
        <v>0</v>
      </c>
      <c r="P60" s="374">
        <f ca="1">SUMIF('DAILY OKEY AYAM'!$C$9:$C$173,$C60,'DAILY OKEY AYAM'!$W$9:$W$172)</f>
        <v>0</v>
      </c>
      <c r="Q60" s="374">
        <f ca="1">SUMIF('DAILY OKEY AYAM'!$C$9:$C$173,$C60,'DAILY OKEY AYAM'!$X$9:$X$172)</f>
        <v>0</v>
      </c>
      <c r="R60" s="374">
        <f t="shared" ca="1" si="59"/>
        <v>21.49</v>
      </c>
      <c r="S60" s="376">
        <f t="shared" ca="1" si="60"/>
        <v>1.1317972350230413E-2</v>
      </c>
      <c r="T60" s="381"/>
      <c r="U60" s="741">
        <f ca="1">SUM(R62:R65)</f>
        <v>74.86</v>
      </c>
      <c r="V60" s="748">
        <f ca="1">+U60/(SUM(E62:E65))</f>
        <v>1.6098924731182795E-2</v>
      </c>
      <c r="W60" s="740" t="s">
        <v>341</v>
      </c>
      <c r="X60" s="727" t="s">
        <v>312</v>
      </c>
      <c r="Y60" s="727" t="s">
        <v>319</v>
      </c>
      <c r="Z60" s="727" t="s">
        <v>314</v>
      </c>
      <c r="AA60" s="727" t="s">
        <v>313</v>
      </c>
      <c r="AB60" s="535"/>
    </row>
    <row r="61" spans="2:28" ht="16.5">
      <c r="B61" s="733"/>
      <c r="C61" s="474" t="str">
        <f>+'HASIL PROD'!B97</f>
        <v>QG09706</v>
      </c>
      <c r="D61" s="372">
        <f>SUMIF('HASIL PROD'!$B$4:$B$343,C61,'HASIL PROD'!$C$4:$C$343)</f>
        <v>446</v>
      </c>
      <c r="E61" s="373">
        <f>+D61*3.875</f>
        <v>1728.25</v>
      </c>
      <c r="F61" s="374">
        <f ca="1">SUMIF('DAILY OKEY AYAM'!$C$9:$C$173,$C61,'DAILY OKEY AYAM'!$K$9:$K$172)</f>
        <v>3.4</v>
      </c>
      <c r="G61" s="374">
        <f ca="1">SUMIF('DAILY OKEY AYAM'!$C$9:$C$173,$C61,'DAILY OKEY AYAM'!$L$9:$L$172)</f>
        <v>6.35</v>
      </c>
      <c r="H61" s="374">
        <f ca="1">SUMIF('DAILY OKEY AYAM'!$C$9:$C$173,$C61,'DAILY OKEY AYAM'!$M$9:$N$172)</f>
        <v>0</v>
      </c>
      <c r="I61" s="374">
        <f ca="1">SUMIF('DAILY OKEY AYAM'!$C$9:$C$173,$C61,'DAILY OKEY AYAM'!$O$9:$O$172)</f>
        <v>8.92</v>
      </c>
      <c r="J61" s="374">
        <f ca="1">SUMIF('DAILY OKEY AYAM'!$C$9:$C$173,$C61,'DAILY OKEY AYAM'!$P$9:$P$172)</f>
        <v>0.5</v>
      </c>
      <c r="K61" s="374">
        <f ca="1">SUMIF('DAILY OKEY AYAM'!$C$9:$C$173,$C61,'DAILY OKEY AYAM'!$R$9:$R$172)</f>
        <v>0.5</v>
      </c>
      <c r="L61" s="374">
        <f ca="1">SUMIF('DAILY OKEY AYAM'!$C$9:$C$173,$C61,'DAILY OKEY AYAM'!$S$9:$S$172)</f>
        <v>0</v>
      </c>
      <c r="M61" s="374">
        <f ca="1">SUMIF('DAILY OKEY AYAM'!$C$9:$C$173,$C61,'DAILY OKEY AYAM'!$T$9:$T$172)</f>
        <v>2.4</v>
      </c>
      <c r="N61" s="374">
        <f ca="1">SUMIF('DAILY OKEY AYAM'!$C$9:$C$173,$C61,'DAILY OKEY AYAM'!$U$9:$U$172)</f>
        <v>0</v>
      </c>
      <c r="O61" s="374">
        <f ca="1">SUMIF('DAILY OKEY AYAM'!$C$9:$C$173,$C61,'DAILY OKEY AYAM'!$V$9:$V$172)</f>
        <v>0</v>
      </c>
      <c r="P61" s="374">
        <f ca="1">SUMIF('DAILY OKEY AYAM'!$C$9:$C$173,$C61,'DAILY OKEY AYAM'!$W$9:$W$172)</f>
        <v>0</v>
      </c>
      <c r="Q61" s="374">
        <f ca="1">SUMIF('DAILY OKEY AYAM'!$C$9:$C$173,$C61,'DAILY OKEY AYAM'!$X$9:$X$172)</f>
        <v>0</v>
      </c>
      <c r="R61" s="374">
        <f t="shared" ca="1" si="59"/>
        <v>22.07</v>
      </c>
      <c r="S61" s="376">
        <f t="shared" ca="1" si="60"/>
        <v>1.2770143208447852E-2</v>
      </c>
      <c r="T61" s="381"/>
      <c r="U61" s="742"/>
      <c r="V61" s="749"/>
      <c r="W61" s="740"/>
      <c r="X61" s="728"/>
      <c r="Y61" s="728"/>
      <c r="Z61" s="728"/>
      <c r="AA61" s="728"/>
      <c r="AB61" s="535"/>
    </row>
    <row r="62" spans="2:28" ht="16.5">
      <c r="B62" s="733"/>
      <c r="C62" s="474" t="str">
        <f>+'HASIL PROD'!B98</f>
        <v>QG09707</v>
      </c>
      <c r="D62" s="372">
        <f>SUMIF('HASIL PROD'!$B$4:$B$343,C62,'HASIL PROD'!$C$4:$C$343)</f>
        <v>427</v>
      </c>
      <c r="E62" s="373">
        <f>+D62*3.875</f>
        <v>1654.625</v>
      </c>
      <c r="F62" s="374">
        <f ca="1">SUMIF('DAILY OKEY AYAM'!$C$9:$C$173,$C62,'DAILY OKEY AYAM'!$K$9:$K$172)</f>
        <v>5.4</v>
      </c>
      <c r="G62" s="374">
        <f ca="1">SUMIF('DAILY OKEY AYAM'!$C$9:$C$173,$C62,'DAILY OKEY AYAM'!$L$9:$L$172)</f>
        <v>7.95</v>
      </c>
      <c r="H62" s="374">
        <f ca="1">SUMIF('DAILY OKEY AYAM'!$C$9:$C$173,$C62,'DAILY OKEY AYAM'!$M$9:$N$172)</f>
        <v>1.2</v>
      </c>
      <c r="I62" s="374">
        <f ca="1">SUMIF('DAILY OKEY AYAM'!$C$9:$C$173,$C62,'DAILY OKEY AYAM'!$O$9:$O$172)</f>
        <v>9.5500000000000007</v>
      </c>
      <c r="J62" s="374">
        <f ca="1">SUMIF('DAILY OKEY AYAM'!$C$9:$C$173,$C62,'DAILY OKEY AYAM'!$P$9:$P$172)</f>
        <v>0.15</v>
      </c>
      <c r="K62" s="374">
        <f ca="1">SUMIF('DAILY OKEY AYAM'!$C$9:$C$173,$C62,'DAILY OKEY AYAM'!$R$9:$R$172)</f>
        <v>0.42000000000000004</v>
      </c>
      <c r="L62" s="374">
        <f ca="1">SUMIF('DAILY OKEY AYAM'!$C$9:$C$173,$C62,'DAILY OKEY AYAM'!$S$9:$S$172)</f>
        <v>0</v>
      </c>
      <c r="M62" s="374">
        <f ca="1">SUMIF('DAILY OKEY AYAM'!$C$9:$C$173,$C62,'DAILY OKEY AYAM'!$T$9:$T$172)</f>
        <v>2.8</v>
      </c>
      <c r="N62" s="374">
        <f ca="1">SUMIF('DAILY OKEY AYAM'!$C$9:$C$173,$C62,'DAILY OKEY AYAM'!$U$9:$U$172)</f>
        <v>0</v>
      </c>
      <c r="O62" s="374">
        <f ca="1">SUMIF('DAILY OKEY AYAM'!$C$9:$C$173,$C62,'DAILY OKEY AYAM'!$V$9:$V$172)</f>
        <v>0</v>
      </c>
      <c r="P62" s="374">
        <f ca="1">SUMIF('DAILY OKEY AYAM'!$C$9:$C$173,$C62,'DAILY OKEY AYAM'!$W$9:$W$172)</f>
        <v>0</v>
      </c>
      <c r="Q62" s="374">
        <f ca="1">SUMIF('DAILY OKEY AYAM'!$C$9:$C$173,$C62,'DAILY OKEY AYAM'!$X$9:$X$172)</f>
        <v>0</v>
      </c>
      <c r="R62" s="374">
        <f t="shared" ca="1" si="59"/>
        <v>27.470000000000002</v>
      </c>
      <c r="S62" s="376">
        <f t="shared" ca="1" si="60"/>
        <v>1.6601949082118306E-2</v>
      </c>
      <c r="T62" s="381"/>
      <c r="U62" s="742"/>
      <c r="V62" s="749"/>
      <c r="W62" s="740"/>
      <c r="X62" s="728"/>
      <c r="Y62" s="728"/>
      <c r="Z62" s="728"/>
      <c r="AA62" s="728"/>
      <c r="AB62" s="535"/>
    </row>
    <row r="63" spans="2:28" ht="16.5">
      <c r="B63" s="733"/>
      <c r="C63" s="474" t="str">
        <f>+'HASIL PROD'!B99</f>
        <v>QG09708</v>
      </c>
      <c r="D63" s="372">
        <f>SUMIF('HASIL PROD'!$B$4:$B$343,C63,'HASIL PROD'!$C$4:$C$343)</f>
        <v>310</v>
      </c>
      <c r="E63" s="373">
        <f t="shared" ref="E63:E64" si="61">+D63*3.875</f>
        <v>1201.25</v>
      </c>
      <c r="F63" s="374">
        <f ca="1">SUMIF('DAILY OKEY AYAM'!$C$9:$C$173,$C63,'DAILY OKEY AYAM'!$K$9:$K$172)</f>
        <v>2.3199999999999998</v>
      </c>
      <c r="G63" s="374">
        <f ca="1">SUMIF('DAILY OKEY AYAM'!$C$9:$C$173,$C63,'DAILY OKEY AYAM'!$L$9:$L$172)</f>
        <v>4.75</v>
      </c>
      <c r="H63" s="374">
        <f ca="1">SUMIF('DAILY OKEY AYAM'!$C$9:$C$173,$C63,'DAILY OKEY AYAM'!$M$9:$N$172)</f>
        <v>0.6</v>
      </c>
      <c r="I63" s="374">
        <f ca="1">SUMIF('DAILY OKEY AYAM'!$C$9:$C$173,$C63,'DAILY OKEY AYAM'!$O$9:$O$172)</f>
        <v>13.35</v>
      </c>
      <c r="J63" s="374">
        <f ca="1">SUMIF('DAILY OKEY AYAM'!$C$9:$C$173,$C63,'DAILY OKEY AYAM'!$P$9:$P$172)</f>
        <v>0.4</v>
      </c>
      <c r="K63" s="374">
        <f ca="1">SUMIF('DAILY OKEY AYAM'!$C$9:$C$173,$C63,'DAILY OKEY AYAM'!$R$9:$R$172)</f>
        <v>0.4</v>
      </c>
      <c r="L63" s="374">
        <f ca="1">SUMIF('DAILY OKEY AYAM'!$C$9:$C$173,$C63,'DAILY OKEY AYAM'!$S$9:$S$172)</f>
        <v>0</v>
      </c>
      <c r="M63" s="374">
        <f ca="1">SUMIF('DAILY OKEY AYAM'!$C$9:$C$173,$C63,'DAILY OKEY AYAM'!$T$9:$T$172)</f>
        <v>2.1</v>
      </c>
      <c r="N63" s="374">
        <f ca="1">SUMIF('DAILY OKEY AYAM'!$C$9:$C$173,$C63,'DAILY OKEY AYAM'!$U$9:$U$172)</f>
        <v>0</v>
      </c>
      <c r="O63" s="374">
        <f ca="1">SUMIF('DAILY OKEY AYAM'!$C$9:$C$173,$C63,'DAILY OKEY AYAM'!$V$9:$V$172)</f>
        <v>0</v>
      </c>
      <c r="P63" s="374">
        <f ca="1">SUMIF('DAILY OKEY AYAM'!$C$9:$C$173,$C63,'DAILY OKEY AYAM'!$W$9:$W$172)</f>
        <v>0</v>
      </c>
      <c r="Q63" s="374">
        <f ca="1">SUMIF('DAILY OKEY AYAM'!$C$9:$C$173,$C63,'DAILY OKEY AYAM'!$X$9:$X$172)</f>
        <v>0</v>
      </c>
      <c r="R63" s="374">
        <f t="shared" ca="1" si="59"/>
        <v>23.919999999999998</v>
      </c>
      <c r="S63" s="376">
        <f t="shared" ca="1" si="60"/>
        <v>1.9912591050988551E-2</v>
      </c>
      <c r="T63" s="381"/>
      <c r="U63" s="742"/>
      <c r="V63" s="749"/>
      <c r="W63" s="740"/>
      <c r="X63" s="728"/>
      <c r="Y63" s="728"/>
      <c r="Z63" s="728"/>
      <c r="AA63" s="728"/>
      <c r="AB63" s="535"/>
    </row>
    <row r="64" spans="2:28" ht="16.5">
      <c r="B64" s="733"/>
      <c r="C64" s="474" t="str">
        <f>+'HASIL PROD'!B100</f>
        <v>QG09709</v>
      </c>
      <c r="D64" s="372">
        <f>SUMIF('HASIL PROD'!$B$4:$B$343,C64,'HASIL PROD'!$C$4:$C$343)</f>
        <v>463</v>
      </c>
      <c r="E64" s="373">
        <f t="shared" si="61"/>
        <v>1794.125</v>
      </c>
      <c r="F64" s="374">
        <f ca="1">SUMIF('DAILY OKEY AYAM'!$C$9:$C$173,$C64,'DAILY OKEY AYAM'!$K$9:$K$172)</f>
        <v>2.4</v>
      </c>
      <c r="G64" s="374">
        <f ca="1">SUMIF('DAILY OKEY AYAM'!$C$9:$C$173,$C64,'DAILY OKEY AYAM'!$L$9:$L$172)</f>
        <v>7</v>
      </c>
      <c r="H64" s="374">
        <f ca="1">SUMIF('DAILY OKEY AYAM'!$C$9:$C$173,$C64,'DAILY OKEY AYAM'!$M$9:$N$172)</f>
        <v>0</v>
      </c>
      <c r="I64" s="374">
        <f ca="1">SUMIF('DAILY OKEY AYAM'!$C$9:$C$173,$C64,'DAILY OKEY AYAM'!$O$9:$O$172)</f>
        <v>10.8</v>
      </c>
      <c r="J64" s="374">
        <f ca="1">SUMIF('DAILY OKEY AYAM'!$C$9:$C$173,$C64,'DAILY OKEY AYAM'!$P$9:$P$172)</f>
        <v>1.7</v>
      </c>
      <c r="K64" s="374">
        <f ca="1">SUMIF('DAILY OKEY AYAM'!$C$9:$C$173,$C64,'DAILY OKEY AYAM'!$R$9:$R$172)</f>
        <v>0.65</v>
      </c>
      <c r="L64" s="374">
        <f ca="1">SUMIF('DAILY OKEY AYAM'!$C$9:$C$173,$C64,'DAILY OKEY AYAM'!$S$9:$S$172)</f>
        <v>0</v>
      </c>
      <c r="M64" s="374">
        <f ca="1">SUMIF('DAILY OKEY AYAM'!$C$9:$C$173,$C64,'DAILY OKEY AYAM'!$T$9:$T$172)</f>
        <v>0.92</v>
      </c>
      <c r="N64" s="374">
        <f ca="1">SUMIF('DAILY OKEY AYAM'!$C$9:$C$173,$C64,'DAILY OKEY AYAM'!$U$9:$U$172)</f>
        <v>0</v>
      </c>
      <c r="O64" s="374">
        <f ca="1">SUMIF('DAILY OKEY AYAM'!$C$9:$C$173,$C64,'DAILY OKEY AYAM'!$V$9:$V$172)</f>
        <v>0</v>
      </c>
      <c r="P64" s="374">
        <f ca="1">SUMIF('DAILY OKEY AYAM'!$C$9:$C$173,$C64,'DAILY OKEY AYAM'!$W$9:$W$172)</f>
        <v>0</v>
      </c>
      <c r="Q64" s="374">
        <f ca="1">SUMIF('DAILY OKEY AYAM'!$C$9:$C$173,$C64,'DAILY OKEY AYAM'!$X$9:$X$172)</f>
        <v>0</v>
      </c>
      <c r="R64" s="374">
        <f t="shared" ref="R64:R65" ca="1" si="62">+SUM(F64:Q64)</f>
        <v>23.470000000000002</v>
      </c>
      <c r="S64" s="376">
        <f t="shared" ca="1" si="60"/>
        <v>1.3081585731206021E-2</v>
      </c>
      <c r="T64" s="381"/>
      <c r="U64" s="743"/>
      <c r="V64" s="750"/>
      <c r="W64" s="740"/>
      <c r="X64" s="729"/>
      <c r="Y64" s="729"/>
      <c r="Z64" s="729"/>
      <c r="AA64" s="729"/>
      <c r="AB64" s="535"/>
    </row>
    <row r="65" spans="2:28" ht="16.5">
      <c r="B65" s="733"/>
      <c r="C65" s="474">
        <f>+'HASIL PROD'!B101</f>
        <v>0</v>
      </c>
      <c r="D65" s="372">
        <f>SUMIF('HASIL PROD'!$B$4:$B$343,C65,'HASIL PROD'!$C$4:$C$343)</f>
        <v>0</v>
      </c>
      <c r="E65" s="373">
        <f t="shared" ref="E65" si="63">+D65*3.875</f>
        <v>0</v>
      </c>
      <c r="F65" s="374">
        <f ca="1">SUMIF('DAILY OKEY AYAM'!$C$9:$C$173,$C65,'DAILY OKEY AYAM'!$K$9:$K$172)</f>
        <v>0</v>
      </c>
      <c r="G65" s="374">
        <f ca="1">SUMIF('DAILY OKEY AYAM'!$C$9:$C$173,$C65,'DAILY OKEY AYAM'!$L$9:$L$172)</f>
        <v>0</v>
      </c>
      <c r="H65" s="374">
        <f ca="1">SUMIF('DAILY OKEY AYAM'!$C$9:$C$173,$C65,'DAILY OKEY AYAM'!$M$9:$N$172)</f>
        <v>0</v>
      </c>
      <c r="I65" s="374">
        <f ca="1">SUMIF('DAILY OKEY AYAM'!$C$9:$C$173,$C65,'DAILY OKEY AYAM'!$O$9:$O$172)</f>
        <v>0</v>
      </c>
      <c r="J65" s="374">
        <f ca="1">SUMIF('DAILY OKEY AYAM'!$C$9:$C$173,$C65,'DAILY OKEY AYAM'!$P$9:$P$172)</f>
        <v>0</v>
      </c>
      <c r="K65" s="374">
        <f ca="1">SUMIF('DAILY OKEY AYAM'!$C$9:$C$173,$C65,'DAILY OKEY AYAM'!$R$9:$R$172)</f>
        <v>0</v>
      </c>
      <c r="L65" s="374">
        <f ca="1">SUMIF('DAILY OKEY AYAM'!$C$9:$C$173,$C65,'DAILY OKEY AYAM'!$S$9:$S$172)</f>
        <v>0</v>
      </c>
      <c r="M65" s="374">
        <f ca="1">SUMIF('DAILY OKEY AYAM'!$C$9:$C$173,$C65,'DAILY OKEY AYAM'!$T$9:$T$172)</f>
        <v>0</v>
      </c>
      <c r="N65" s="374">
        <f ca="1">SUMIF('DAILY OKEY AYAM'!$C$9:$C$173,$C65,'DAILY OKEY AYAM'!$U$9:$U$172)</f>
        <v>0</v>
      </c>
      <c r="O65" s="374">
        <f ca="1">SUMIF('DAILY OKEY AYAM'!$C$9:$C$173,$C65,'DAILY OKEY AYAM'!$V$9:$V$172)</f>
        <v>0</v>
      </c>
      <c r="P65" s="374">
        <f ca="1">SUMIF('DAILY OKEY AYAM'!$C$9:$C$173,$C65,'DAILY OKEY AYAM'!$W$9:$W$172)</f>
        <v>0</v>
      </c>
      <c r="Q65" s="374">
        <f ca="1">SUMIF('DAILY OKEY AYAM'!$C$9:$C$173,$C65,'DAILY OKEY AYAM'!$X$9:$X$172)</f>
        <v>0</v>
      </c>
      <c r="R65" s="374">
        <f t="shared" ca="1" si="62"/>
        <v>0</v>
      </c>
      <c r="S65" s="376" t="e">
        <f t="shared" ca="1" si="60"/>
        <v>#DIV/0!</v>
      </c>
      <c r="T65" s="381"/>
      <c r="U65" s="382"/>
      <c r="V65" s="383"/>
      <c r="W65" s="401"/>
      <c r="X65" s="530"/>
      <c r="Y65" s="530"/>
      <c r="Z65" s="530"/>
      <c r="AA65" s="530"/>
      <c r="AB65" s="535"/>
    </row>
    <row r="66" spans="2:28" ht="16.5">
      <c r="B66" s="733"/>
      <c r="C66" s="371"/>
      <c r="D66" s="372"/>
      <c r="E66" s="373"/>
      <c r="F66" s="379"/>
      <c r="G66" s="379"/>
      <c r="H66" s="379"/>
      <c r="I66" s="379"/>
      <c r="J66" s="379"/>
      <c r="K66" s="379"/>
      <c r="L66" s="379"/>
      <c r="M66" s="379"/>
      <c r="N66" s="379"/>
      <c r="O66" s="379"/>
      <c r="P66" s="379"/>
      <c r="Q66" s="379"/>
      <c r="R66" s="374"/>
      <c r="S66" s="380"/>
      <c r="T66" s="381"/>
      <c r="U66" s="374"/>
      <c r="V66" s="407"/>
      <c r="W66" s="408"/>
      <c r="X66" s="530"/>
      <c r="Y66" s="530"/>
      <c r="Z66" s="530"/>
      <c r="AA66" s="530"/>
      <c r="AB66" s="535"/>
    </row>
    <row r="67" spans="2:28" ht="16.5">
      <c r="B67" s="734"/>
      <c r="C67" s="385" t="s">
        <v>118</v>
      </c>
      <c r="D67" s="386">
        <f>SUM(D56:D66)</f>
        <v>3925</v>
      </c>
      <c r="E67" s="387">
        <f>SUM(E56:E66)</f>
        <v>15209.375</v>
      </c>
      <c r="F67" s="388">
        <f ca="1">SUM(F56:F66)</f>
        <v>26.86</v>
      </c>
      <c r="G67" s="388">
        <f t="shared" ref="G67:R67" ca="1" si="64">SUM(G56:G66)</f>
        <v>49.21</v>
      </c>
      <c r="H67" s="388">
        <f t="shared" ca="1" si="64"/>
        <v>1.7999999999999998</v>
      </c>
      <c r="I67" s="388">
        <f t="shared" ca="1" si="64"/>
        <v>77.809999999999988</v>
      </c>
      <c r="J67" s="388">
        <f t="shared" ca="1" si="64"/>
        <v>4.6899999999999995</v>
      </c>
      <c r="K67" s="388">
        <f t="shared" ca="1" si="64"/>
        <v>5.5900000000000007</v>
      </c>
      <c r="L67" s="388">
        <f t="shared" ca="1" si="64"/>
        <v>0.4</v>
      </c>
      <c r="M67" s="388">
        <f t="shared" ca="1" si="64"/>
        <v>15.669999999999998</v>
      </c>
      <c r="N67" s="388">
        <f t="shared" ca="1" si="64"/>
        <v>0</v>
      </c>
      <c r="O67" s="388">
        <f t="shared" ca="1" si="64"/>
        <v>0</v>
      </c>
      <c r="P67" s="388">
        <f t="shared" ca="1" si="64"/>
        <v>0</v>
      </c>
      <c r="Q67" s="388">
        <f t="shared" ca="1" si="64"/>
        <v>0</v>
      </c>
      <c r="R67" s="388">
        <f t="shared" ca="1" si="64"/>
        <v>182.02999999999997</v>
      </c>
      <c r="S67" s="389"/>
      <c r="T67" s="402"/>
      <c r="U67" s="388"/>
      <c r="V67" s="389"/>
      <c r="W67" s="389"/>
      <c r="X67" s="530"/>
      <c r="Y67" s="530"/>
      <c r="Z67" s="530"/>
      <c r="AA67" s="530"/>
      <c r="AB67" s="535"/>
    </row>
    <row r="68" spans="2:28" ht="16.5">
      <c r="B68" s="406"/>
      <c r="C68" s="393" t="s">
        <v>114</v>
      </c>
      <c r="D68" s="394"/>
      <c r="E68" s="395"/>
      <c r="F68" s="396">
        <f ca="1">+F67/$E67</f>
        <v>1.7660160262995685E-3</v>
      </c>
      <c r="G68" s="396">
        <f t="shared" ref="G68" ca="1" si="65">+G67/$E67</f>
        <v>3.2355044175056504E-3</v>
      </c>
      <c r="H68" s="396">
        <f t="shared" ref="H68" ca="1" si="66">+H67/$E67</f>
        <v>1.1834805835216765E-4</v>
      </c>
      <c r="I68" s="396">
        <f t="shared" ref="I68" ca="1" si="67">+I67/$E67</f>
        <v>5.11592356687898E-3</v>
      </c>
      <c r="J68" s="396">
        <f t="shared" ref="J68" ca="1" si="68">+J67/$E67</f>
        <v>3.083624409287035E-4</v>
      </c>
      <c r="K68" s="396">
        <f t="shared" ref="K68" ca="1" si="69">+K67/$E67</f>
        <v>3.6753647010478741E-4</v>
      </c>
      <c r="L68" s="396">
        <f t="shared" ref="L68" ca="1" si="70">+L67/$E67</f>
        <v>2.6299568522703927E-5</v>
      </c>
      <c r="M68" s="396">
        <f t="shared" ref="M68" ca="1" si="71">+M67/$E67</f>
        <v>1.0302855968769261E-3</v>
      </c>
      <c r="N68" s="396">
        <f t="shared" ref="N68" ca="1" si="72">+N67/$E67</f>
        <v>0</v>
      </c>
      <c r="O68" s="396">
        <f t="shared" ref="O68" ca="1" si="73">+O67/$E67</f>
        <v>0</v>
      </c>
      <c r="P68" s="396">
        <f t="shared" ref="P68" ca="1" si="74">+P67/$E67</f>
        <v>0</v>
      </c>
      <c r="Q68" s="396">
        <f t="shared" ref="Q68" ca="1" si="75">+Q67/$E67</f>
        <v>0</v>
      </c>
      <c r="R68" s="482">
        <f ca="1">+R67/$E67</f>
        <v>1.1968276145469487E-2</v>
      </c>
      <c r="S68" s="399"/>
      <c r="T68" s="402"/>
      <c r="U68" s="400"/>
      <c r="V68" s="389"/>
      <c r="W68" s="389"/>
      <c r="X68" s="530"/>
      <c r="Y68" s="530"/>
      <c r="Z68" s="530"/>
      <c r="AA68" s="530"/>
      <c r="AB68" s="535"/>
    </row>
    <row r="69" spans="2:28" ht="16.5">
      <c r="B69" s="732" t="s">
        <v>178</v>
      </c>
      <c r="C69" s="474" t="str">
        <f>+'HASIL PROD'!B103</f>
        <v>QG10701</v>
      </c>
      <c r="D69" s="372">
        <f>SUMIF('HASIL PROD'!$B$4:$B$343,C69,'HASIL PROD'!$C$4:$C$343)</f>
        <v>447</v>
      </c>
      <c r="E69" s="373">
        <f t="shared" ref="E69:E73" si="76">+D69*3.875</f>
        <v>1732.125</v>
      </c>
      <c r="F69" s="374">
        <f ca="1">SUMIF('DAILY OKEY AYAM'!$C$9:$C$173,$C69,'DAILY OKEY AYAM'!$K$9:$K$172)</f>
        <v>1.85</v>
      </c>
      <c r="G69" s="374">
        <f ca="1">SUMIF('DAILY OKEY AYAM'!$C$9:$C$173,$C69,'DAILY OKEY AYAM'!$L$9:$L$172)</f>
        <v>5.65</v>
      </c>
      <c r="H69" s="374">
        <f ca="1">SUMIF('DAILY OKEY AYAM'!$C$9:$C$173,$C69,'DAILY OKEY AYAM'!$M$9:$N$172)</f>
        <v>1.1000000000000001</v>
      </c>
      <c r="I69" s="374">
        <f ca="1">SUMIF('DAILY OKEY AYAM'!$C$9:$C$173,$C69,'DAILY OKEY AYAM'!$O$9:$O$172)</f>
        <v>2.15</v>
      </c>
      <c r="J69" s="374">
        <f ca="1">SUMIF('DAILY OKEY AYAM'!$C$9:$C$173,$C69,'DAILY OKEY AYAM'!$P$9:$P$172)</f>
        <v>0.4</v>
      </c>
      <c r="K69" s="374">
        <f ca="1">SUMIF('DAILY OKEY AYAM'!$C$9:$C$173,$C69,'DAILY OKEY AYAM'!$R$9:$R$172)</f>
        <v>0</v>
      </c>
      <c r="L69" s="374">
        <f ca="1">SUMIF('DAILY OKEY AYAM'!$C$9:$C$173,$C69,'DAILY OKEY AYAM'!$S$9:$S$172)</f>
        <v>0</v>
      </c>
      <c r="M69" s="374">
        <f ca="1">SUMIF('DAILY OKEY AYAM'!$C$9:$C$173,$C69,'DAILY OKEY AYAM'!$T$9:$T$172)</f>
        <v>0</v>
      </c>
      <c r="N69" s="374">
        <f ca="1">SUMIF('DAILY OKEY AYAM'!$C$9:$C$173,$C69,'DAILY OKEY AYAM'!$U$9:$U$172)</f>
        <v>0</v>
      </c>
      <c r="O69" s="374">
        <f ca="1">SUMIF('DAILY OKEY AYAM'!$C$9:$C$173,$C69,'DAILY OKEY AYAM'!$V$9:$V$172)</f>
        <v>0</v>
      </c>
      <c r="P69" s="374">
        <f ca="1">SUMIF('DAILY OKEY AYAM'!$C$9:$C$173,$C69,'DAILY OKEY AYAM'!$W$9:$W$172)</f>
        <v>0</v>
      </c>
      <c r="Q69" s="374">
        <f ca="1">SUMIF('DAILY OKEY AYAM'!$C$9:$C$173,$C69,'DAILY OKEY AYAM'!$X$9:$X$172)</f>
        <v>0</v>
      </c>
      <c r="R69" s="374">
        <f t="shared" ref="R69:R76" ca="1" si="77">+SUM(F69:Q69)</f>
        <v>11.15</v>
      </c>
      <c r="S69" s="376">
        <f t="shared" ref="S69:S78" ca="1" si="78">+R69/E69</f>
        <v>6.437179764739843E-3</v>
      </c>
      <c r="T69" s="381"/>
      <c r="U69" s="738">
        <f ca="1">SUM(R69:R72)</f>
        <v>47.16</v>
      </c>
      <c r="V69" s="739">
        <f ca="1">+U69/(SUM(E69:E72))</f>
        <v>6.8488028028391452E-3</v>
      </c>
      <c r="W69" s="735" t="s">
        <v>338</v>
      </c>
      <c r="X69" s="727" t="s">
        <v>315</v>
      </c>
      <c r="Y69" s="727" t="s">
        <v>316</v>
      </c>
      <c r="Z69" s="727" t="s">
        <v>317</v>
      </c>
      <c r="AA69" s="727" t="s">
        <v>318</v>
      </c>
      <c r="AB69" s="535"/>
    </row>
    <row r="70" spans="2:28" ht="16.5">
      <c r="B70" s="733"/>
      <c r="C70" s="474" t="str">
        <f>+'HASIL PROD'!B104</f>
        <v>QG10702</v>
      </c>
      <c r="D70" s="372">
        <f>SUMIF('HASIL PROD'!$B$4:$B$343,C70,'HASIL PROD'!$C$4:$C$343)</f>
        <v>425</v>
      </c>
      <c r="E70" s="373">
        <f t="shared" si="76"/>
        <v>1646.875</v>
      </c>
      <c r="F70" s="374">
        <f ca="1">SUMIF('DAILY OKEY AYAM'!$C$9:$C$173,$C70,'DAILY OKEY AYAM'!$K$9:$K$172)</f>
        <v>1.6</v>
      </c>
      <c r="G70" s="374">
        <f ca="1">SUMIF('DAILY OKEY AYAM'!$C$9:$C$173,$C70,'DAILY OKEY AYAM'!$L$9:$L$172)</f>
        <v>2.4</v>
      </c>
      <c r="H70" s="374">
        <f ca="1">SUMIF('DAILY OKEY AYAM'!$C$9:$C$173,$C70,'DAILY OKEY AYAM'!$M$9:$N$172)</f>
        <v>1.1499999999999999</v>
      </c>
      <c r="I70" s="374">
        <f ca="1">SUMIF('DAILY OKEY AYAM'!$C$9:$C$173,$C70,'DAILY OKEY AYAM'!$O$9:$O$172)</f>
        <v>7.1</v>
      </c>
      <c r="J70" s="374">
        <f ca="1">SUMIF('DAILY OKEY AYAM'!$C$9:$C$173,$C70,'DAILY OKEY AYAM'!$P$9:$P$172)</f>
        <v>0.55000000000000004</v>
      </c>
      <c r="K70" s="374">
        <f ca="1">SUMIF('DAILY OKEY AYAM'!$C$9:$C$173,$C70,'DAILY OKEY AYAM'!$R$9:$R$172)</f>
        <v>0</v>
      </c>
      <c r="L70" s="374">
        <f ca="1">SUMIF('DAILY OKEY AYAM'!$C$9:$C$173,$C70,'DAILY OKEY AYAM'!$S$9:$S$172)</f>
        <v>0</v>
      </c>
      <c r="M70" s="374">
        <f ca="1">SUMIF('DAILY OKEY AYAM'!$C$9:$C$173,$C70,'DAILY OKEY AYAM'!$T$9:$T$172)</f>
        <v>0</v>
      </c>
      <c r="N70" s="374">
        <f ca="1">SUMIF('DAILY OKEY AYAM'!$C$9:$C$173,$C70,'DAILY OKEY AYAM'!$U$9:$U$172)</f>
        <v>0</v>
      </c>
      <c r="O70" s="374">
        <f ca="1">SUMIF('DAILY OKEY AYAM'!$C$9:$C$173,$C70,'DAILY OKEY AYAM'!$V$9:$V$172)</f>
        <v>0</v>
      </c>
      <c r="P70" s="374">
        <f ca="1">SUMIF('DAILY OKEY AYAM'!$C$9:$C$173,$C70,'DAILY OKEY AYAM'!$W$9:$W$172)</f>
        <v>0</v>
      </c>
      <c r="Q70" s="374">
        <f ca="1">SUMIF('DAILY OKEY AYAM'!$C$9:$C$173,$C70,'DAILY OKEY AYAM'!$X$9:$X$172)</f>
        <v>0</v>
      </c>
      <c r="R70" s="374">
        <f t="shared" ca="1" si="77"/>
        <v>12.8</v>
      </c>
      <c r="S70" s="376">
        <f t="shared" ca="1" si="78"/>
        <v>7.7722960151802665E-3</v>
      </c>
      <c r="T70" s="381"/>
      <c r="U70" s="738"/>
      <c r="V70" s="739"/>
      <c r="W70" s="736"/>
      <c r="X70" s="728"/>
      <c r="Y70" s="728"/>
      <c r="Z70" s="728"/>
      <c r="AA70" s="728"/>
      <c r="AB70" s="535"/>
    </row>
    <row r="71" spans="2:28" ht="16.5">
      <c r="B71" s="733"/>
      <c r="C71" s="474" t="str">
        <f>+'HASIL PROD'!B105</f>
        <v>QG10703</v>
      </c>
      <c r="D71" s="372">
        <f>SUMIF('HASIL PROD'!$B$4:$B$343,C71,'HASIL PROD'!$C$4:$C$343)</f>
        <v>469</v>
      </c>
      <c r="E71" s="373">
        <f t="shared" si="76"/>
        <v>1817.375</v>
      </c>
      <c r="F71" s="374">
        <f ca="1">SUMIF('DAILY OKEY AYAM'!$C$9:$C$173,$C71,'DAILY OKEY AYAM'!$K$9:$K$172)</f>
        <v>2.64</v>
      </c>
      <c r="G71" s="374">
        <f ca="1">SUMIF('DAILY OKEY AYAM'!$C$9:$C$173,$C71,'DAILY OKEY AYAM'!$L$9:$L$172)</f>
        <v>6.92</v>
      </c>
      <c r="H71" s="374">
        <f ca="1">SUMIF('DAILY OKEY AYAM'!$C$9:$C$173,$C71,'DAILY OKEY AYAM'!$M$9:$N$172)</f>
        <v>0.44</v>
      </c>
      <c r="I71" s="374">
        <f ca="1">SUMIF('DAILY OKEY AYAM'!$C$9:$C$173,$C71,'DAILY OKEY AYAM'!$O$9:$O$172)</f>
        <v>2.35</v>
      </c>
      <c r="J71" s="374">
        <f ca="1">SUMIF('DAILY OKEY AYAM'!$C$9:$C$173,$C71,'DAILY OKEY AYAM'!$P$9:$P$172)</f>
        <v>0.60000000000000009</v>
      </c>
      <c r="K71" s="374">
        <f ca="1">SUMIF('DAILY OKEY AYAM'!$C$9:$C$173,$C71,'DAILY OKEY AYAM'!$R$9:$R$172)</f>
        <v>0</v>
      </c>
      <c r="L71" s="374">
        <f ca="1">SUMIF('DAILY OKEY AYAM'!$C$9:$C$173,$C71,'DAILY OKEY AYAM'!$S$9:$S$172)</f>
        <v>0</v>
      </c>
      <c r="M71" s="374">
        <f ca="1">SUMIF('DAILY OKEY AYAM'!$C$9:$C$173,$C71,'DAILY OKEY AYAM'!$T$9:$T$172)</f>
        <v>1.54</v>
      </c>
      <c r="N71" s="374">
        <f ca="1">SUMIF('DAILY OKEY AYAM'!$C$9:$C$173,$C71,'DAILY OKEY AYAM'!$U$9:$U$172)</f>
        <v>0</v>
      </c>
      <c r="O71" s="374">
        <f ca="1">SUMIF('DAILY OKEY AYAM'!$C$9:$C$173,$C71,'DAILY OKEY AYAM'!$V$9:$V$172)</f>
        <v>0</v>
      </c>
      <c r="P71" s="374">
        <f ca="1">SUMIF('DAILY OKEY AYAM'!$C$9:$C$173,$C71,'DAILY OKEY AYAM'!$W$9:$W$172)</f>
        <v>0</v>
      </c>
      <c r="Q71" s="374">
        <f ca="1">SUMIF('DAILY OKEY AYAM'!$C$9:$C$173,$C71,'DAILY OKEY AYAM'!$X$9:$X$172)</f>
        <v>0</v>
      </c>
      <c r="R71" s="374">
        <f t="shared" ca="1" si="77"/>
        <v>14.489999999999998</v>
      </c>
      <c r="S71" s="376">
        <f t="shared" ca="1" si="78"/>
        <v>7.9730380356283093E-3</v>
      </c>
      <c r="T71" s="381"/>
      <c r="U71" s="738"/>
      <c r="V71" s="739"/>
      <c r="W71" s="736"/>
      <c r="X71" s="728"/>
      <c r="Y71" s="728"/>
      <c r="Z71" s="728"/>
      <c r="AA71" s="728"/>
      <c r="AB71" s="535"/>
    </row>
    <row r="72" spans="2:28" ht="16.5">
      <c r="B72" s="733"/>
      <c r="C72" s="474" t="str">
        <f>+'HASIL PROD'!B106</f>
        <v>QG10704</v>
      </c>
      <c r="D72" s="372">
        <f>SUMIF('HASIL PROD'!$B$4:$B$343,C72,'HASIL PROD'!$C$4:$C$343)</f>
        <v>436</v>
      </c>
      <c r="E72" s="373">
        <f t="shared" si="76"/>
        <v>1689.5</v>
      </c>
      <c r="F72" s="374">
        <f ca="1">SUMIF('DAILY OKEY AYAM'!$C$9:$C$173,$C72,'DAILY OKEY AYAM'!$K$9:$K$172)</f>
        <v>1.8</v>
      </c>
      <c r="G72" s="374">
        <f ca="1">SUMIF('DAILY OKEY AYAM'!$C$9:$C$173,$C72,'DAILY OKEY AYAM'!$L$9:$L$172)</f>
        <v>2.2000000000000002</v>
      </c>
      <c r="H72" s="374">
        <f ca="1">SUMIF('DAILY OKEY AYAM'!$C$9:$C$173,$C72,'DAILY OKEY AYAM'!$M$9:$N$172)</f>
        <v>0</v>
      </c>
      <c r="I72" s="374">
        <f ca="1">SUMIF('DAILY OKEY AYAM'!$C$9:$C$173,$C72,'DAILY OKEY AYAM'!$O$9:$O$172)</f>
        <v>2.92</v>
      </c>
      <c r="J72" s="374">
        <f ca="1">SUMIF('DAILY OKEY AYAM'!$C$9:$C$173,$C72,'DAILY OKEY AYAM'!$P$9:$P$172)</f>
        <v>0.08</v>
      </c>
      <c r="K72" s="374">
        <f ca="1">SUMIF('DAILY OKEY AYAM'!$C$9:$C$173,$C72,'DAILY OKEY AYAM'!$R$9:$R$172)</f>
        <v>0</v>
      </c>
      <c r="L72" s="374">
        <f ca="1">SUMIF('DAILY OKEY AYAM'!$C$9:$C$173,$C72,'DAILY OKEY AYAM'!$S$9:$S$172)</f>
        <v>0</v>
      </c>
      <c r="M72" s="374">
        <f ca="1">SUMIF('DAILY OKEY AYAM'!$C$9:$C$173,$C72,'DAILY OKEY AYAM'!$T$9:$T$172)</f>
        <v>1.72</v>
      </c>
      <c r="N72" s="374">
        <f ca="1">SUMIF('DAILY OKEY AYAM'!$C$9:$C$173,$C72,'DAILY OKEY AYAM'!$U$9:$U$172)</f>
        <v>0</v>
      </c>
      <c r="O72" s="374">
        <f ca="1">SUMIF('DAILY OKEY AYAM'!$C$9:$C$173,$C72,'DAILY OKEY AYAM'!$V$9:$V$172)</f>
        <v>0</v>
      </c>
      <c r="P72" s="374">
        <f ca="1">SUMIF('DAILY OKEY AYAM'!$C$9:$C$173,$C72,'DAILY OKEY AYAM'!$W$9:$W$172)</f>
        <v>0</v>
      </c>
      <c r="Q72" s="374">
        <f ca="1">SUMIF('DAILY OKEY AYAM'!$C$9:$C$173,$C72,'DAILY OKEY AYAM'!$X$9:$X$172)</f>
        <v>0</v>
      </c>
      <c r="R72" s="374">
        <f t="shared" ca="1" si="77"/>
        <v>8.7200000000000006</v>
      </c>
      <c r="S72" s="376">
        <f t="shared" ca="1" si="78"/>
        <v>5.1612903225806452E-3</v>
      </c>
      <c r="T72" s="381"/>
      <c r="U72" s="738"/>
      <c r="V72" s="739"/>
      <c r="W72" s="737"/>
      <c r="X72" s="729"/>
      <c r="Y72" s="729"/>
      <c r="Z72" s="729"/>
      <c r="AA72" s="729"/>
      <c r="AB72" s="535"/>
    </row>
    <row r="73" spans="2:28" ht="16.5">
      <c r="B73" s="733"/>
      <c r="C73" s="474" t="str">
        <f>+'HASIL PROD'!B107</f>
        <v>QG10705</v>
      </c>
      <c r="D73" s="372">
        <f>SUMIF('HASIL PROD'!$B$4:$B$343,C73,'HASIL PROD'!$C$4:$C$343)</f>
        <v>469</v>
      </c>
      <c r="E73" s="373">
        <f t="shared" si="76"/>
        <v>1817.375</v>
      </c>
      <c r="F73" s="374">
        <f ca="1">SUMIF('DAILY OKEY AYAM'!$C$9:$C$173,$C73,'DAILY OKEY AYAM'!$K$9:$K$172)</f>
        <v>3.48</v>
      </c>
      <c r="G73" s="374">
        <f ca="1">SUMIF('DAILY OKEY AYAM'!$C$9:$C$173,$C73,'DAILY OKEY AYAM'!$L$9:$L$172)</f>
        <v>3.8400000000000003</v>
      </c>
      <c r="H73" s="374">
        <f ca="1">SUMIF('DAILY OKEY AYAM'!$C$9:$C$173,$C73,'DAILY OKEY AYAM'!$M$9:$N$172)</f>
        <v>0</v>
      </c>
      <c r="I73" s="374">
        <f ca="1">SUMIF('DAILY OKEY AYAM'!$C$9:$C$173,$C73,'DAILY OKEY AYAM'!$O$9:$O$172)</f>
        <v>3.88</v>
      </c>
      <c r="J73" s="374">
        <f ca="1">SUMIF('DAILY OKEY AYAM'!$C$9:$C$173,$C73,'DAILY OKEY AYAM'!$P$9:$P$172)</f>
        <v>2.16</v>
      </c>
      <c r="K73" s="374">
        <f ca="1">SUMIF('DAILY OKEY AYAM'!$C$9:$C$173,$C73,'DAILY OKEY AYAM'!$R$9:$R$172)</f>
        <v>0</v>
      </c>
      <c r="L73" s="374">
        <f ca="1">SUMIF('DAILY OKEY AYAM'!$C$9:$C$173,$C73,'DAILY OKEY AYAM'!$S$9:$S$172)</f>
        <v>0</v>
      </c>
      <c r="M73" s="374">
        <f ca="1">SUMIF('DAILY OKEY AYAM'!$C$9:$C$173,$C73,'DAILY OKEY AYAM'!$T$9:$T$172)</f>
        <v>1.48</v>
      </c>
      <c r="N73" s="374">
        <f ca="1">SUMIF('DAILY OKEY AYAM'!$C$9:$C$173,$C73,'DAILY OKEY AYAM'!$U$9:$U$172)</f>
        <v>0</v>
      </c>
      <c r="O73" s="374">
        <f ca="1">SUMIF('DAILY OKEY AYAM'!$C$9:$C$173,$C73,'DAILY OKEY AYAM'!$V$9:$V$172)</f>
        <v>0</v>
      </c>
      <c r="P73" s="374">
        <f ca="1">SUMIF('DAILY OKEY AYAM'!$C$9:$C$173,$C73,'DAILY OKEY AYAM'!$W$9:$W$172)</f>
        <v>0</v>
      </c>
      <c r="Q73" s="374">
        <f ca="1">SUMIF('DAILY OKEY AYAM'!$C$9:$C$173,$C73,'DAILY OKEY AYAM'!$X$9:$X$172)</f>
        <v>0</v>
      </c>
      <c r="R73" s="374">
        <f t="shared" ca="1" si="77"/>
        <v>14.84</v>
      </c>
      <c r="S73" s="376">
        <f t="shared" ca="1" si="78"/>
        <v>8.1656234954260946E-3</v>
      </c>
      <c r="T73" s="381"/>
      <c r="U73" s="741">
        <f ca="1">SUM(R75:R78)</f>
        <v>42.14</v>
      </c>
      <c r="V73" s="748">
        <f ca="1">+U73/(SUM(E75:E78))</f>
        <v>1.042649924226023E-2</v>
      </c>
      <c r="W73" s="740" t="s">
        <v>341</v>
      </c>
      <c r="X73" s="727" t="s">
        <v>312</v>
      </c>
      <c r="Y73" s="727" t="s">
        <v>319</v>
      </c>
      <c r="Z73" s="727" t="s">
        <v>314</v>
      </c>
      <c r="AA73" s="727" t="s">
        <v>313</v>
      </c>
      <c r="AB73" s="535"/>
    </row>
    <row r="74" spans="2:28" ht="16.5">
      <c r="B74" s="733"/>
      <c r="C74" s="474" t="str">
        <f>+'HASIL PROD'!B108</f>
        <v>QG10706</v>
      </c>
      <c r="D74" s="372">
        <f>SUMIF('HASIL PROD'!$B$4:$B$343,C74,'HASIL PROD'!$C$4:$C$343)</f>
        <v>432</v>
      </c>
      <c r="E74" s="373">
        <f>+D74*3.875</f>
        <v>1674</v>
      </c>
      <c r="F74" s="374">
        <f ca="1">SUMIF('DAILY OKEY AYAM'!$C$9:$C$173,$C74,'DAILY OKEY AYAM'!$K$9:$K$172)</f>
        <v>5.2</v>
      </c>
      <c r="G74" s="374">
        <f ca="1">SUMIF('DAILY OKEY AYAM'!$C$9:$C$173,$C74,'DAILY OKEY AYAM'!$L$9:$L$172)</f>
        <v>4.2</v>
      </c>
      <c r="H74" s="374">
        <f ca="1">SUMIF('DAILY OKEY AYAM'!$C$9:$C$173,$C74,'DAILY OKEY AYAM'!$M$9:$N$172)</f>
        <v>0</v>
      </c>
      <c r="I74" s="374">
        <f ca="1">SUMIF('DAILY OKEY AYAM'!$C$9:$C$173,$C74,'DAILY OKEY AYAM'!$O$9:$O$172)</f>
        <v>1.05</v>
      </c>
      <c r="J74" s="374">
        <f ca="1">SUMIF('DAILY OKEY AYAM'!$C$9:$C$173,$C74,'DAILY OKEY AYAM'!$P$9:$P$172)</f>
        <v>0</v>
      </c>
      <c r="K74" s="374">
        <f ca="1">SUMIF('DAILY OKEY AYAM'!$C$9:$C$173,$C74,'DAILY OKEY AYAM'!$R$9:$R$172)</f>
        <v>0</v>
      </c>
      <c r="L74" s="374">
        <f ca="1">SUMIF('DAILY OKEY AYAM'!$C$9:$C$173,$C74,'DAILY OKEY AYAM'!$S$9:$S$172)</f>
        <v>0</v>
      </c>
      <c r="M74" s="374">
        <f ca="1">SUMIF('DAILY OKEY AYAM'!$C$9:$C$173,$C74,'DAILY OKEY AYAM'!$T$9:$T$172)</f>
        <v>1.5</v>
      </c>
      <c r="N74" s="374">
        <f ca="1">SUMIF('DAILY OKEY AYAM'!$C$9:$C$173,$C74,'DAILY OKEY AYAM'!$U$9:$U$172)</f>
        <v>0</v>
      </c>
      <c r="O74" s="374">
        <f ca="1">SUMIF('DAILY OKEY AYAM'!$C$9:$C$173,$C74,'DAILY OKEY AYAM'!$V$9:$V$172)</f>
        <v>0</v>
      </c>
      <c r="P74" s="374">
        <f ca="1">SUMIF('DAILY OKEY AYAM'!$C$9:$C$173,$C74,'DAILY OKEY AYAM'!$W$9:$W$172)</f>
        <v>0</v>
      </c>
      <c r="Q74" s="374">
        <f ca="1">SUMIF('DAILY OKEY AYAM'!$C$9:$C$173,$C74,'DAILY OKEY AYAM'!$X$9:$X$172)</f>
        <v>0</v>
      </c>
      <c r="R74" s="374">
        <f t="shared" ca="1" si="77"/>
        <v>11.950000000000001</v>
      </c>
      <c r="S74" s="376">
        <f t="shared" ca="1" si="78"/>
        <v>7.1385902031063332E-3</v>
      </c>
      <c r="T74" s="381"/>
      <c r="U74" s="742"/>
      <c r="V74" s="749"/>
      <c r="W74" s="740"/>
      <c r="X74" s="728"/>
      <c r="Y74" s="728"/>
      <c r="Z74" s="728"/>
      <c r="AA74" s="728"/>
      <c r="AB74" s="535"/>
    </row>
    <row r="75" spans="2:28" ht="16.5">
      <c r="B75" s="733"/>
      <c r="C75" s="474" t="str">
        <f>+'HASIL PROD'!B109</f>
        <v>QG10707</v>
      </c>
      <c r="D75" s="372">
        <f>SUMIF('HASIL PROD'!$B$4:$B$343,C75,'HASIL PROD'!$C$4:$C$343)</f>
        <v>417</v>
      </c>
      <c r="E75" s="373">
        <f>+D75*3.875</f>
        <v>1615.875</v>
      </c>
      <c r="F75" s="374">
        <f ca="1">SUMIF('DAILY OKEY AYAM'!$C$9:$C$173,$C75,'DAILY OKEY AYAM'!$K$9:$K$172)</f>
        <v>1.6</v>
      </c>
      <c r="G75" s="374">
        <f ca="1">SUMIF('DAILY OKEY AYAM'!$C$9:$C$173,$C75,'DAILY OKEY AYAM'!$L$9:$L$172)</f>
        <v>7.5</v>
      </c>
      <c r="H75" s="374">
        <f ca="1">SUMIF('DAILY OKEY AYAM'!$C$9:$C$173,$C75,'DAILY OKEY AYAM'!$M$9:$N$172)</f>
        <v>0</v>
      </c>
      <c r="I75" s="374">
        <f ca="1">SUMIF('DAILY OKEY AYAM'!$C$9:$C$173,$C75,'DAILY OKEY AYAM'!$O$9:$O$172)</f>
        <v>2.65</v>
      </c>
      <c r="J75" s="374">
        <f ca="1">SUMIF('DAILY OKEY AYAM'!$C$9:$C$173,$C75,'DAILY OKEY AYAM'!$P$9:$P$172)</f>
        <v>0.3</v>
      </c>
      <c r="K75" s="374">
        <f ca="1">SUMIF('DAILY OKEY AYAM'!$C$9:$C$173,$C75,'DAILY OKEY AYAM'!$R$9:$R$172)</f>
        <v>0.8</v>
      </c>
      <c r="L75" s="374">
        <f ca="1">SUMIF('DAILY OKEY AYAM'!$C$9:$C$173,$C75,'DAILY OKEY AYAM'!$S$9:$S$172)</f>
        <v>0</v>
      </c>
      <c r="M75" s="374">
        <f ca="1">SUMIF('DAILY OKEY AYAM'!$C$9:$C$173,$C75,'DAILY OKEY AYAM'!$T$9:$T$172)</f>
        <v>2.04</v>
      </c>
      <c r="N75" s="374">
        <f ca="1">SUMIF('DAILY OKEY AYAM'!$C$9:$C$173,$C75,'DAILY OKEY AYAM'!$U$9:$U$172)</f>
        <v>0</v>
      </c>
      <c r="O75" s="374">
        <f ca="1">SUMIF('DAILY OKEY AYAM'!$C$9:$C$173,$C75,'DAILY OKEY AYAM'!$V$9:$V$172)</f>
        <v>0</v>
      </c>
      <c r="P75" s="374">
        <f ca="1">SUMIF('DAILY OKEY AYAM'!$C$9:$C$173,$C75,'DAILY OKEY AYAM'!$W$9:$W$172)</f>
        <v>0</v>
      </c>
      <c r="Q75" s="374">
        <f ca="1">SUMIF('DAILY OKEY AYAM'!$C$9:$C$173,$C75,'DAILY OKEY AYAM'!$X$9:$X$172)</f>
        <v>0</v>
      </c>
      <c r="R75" s="374">
        <f t="shared" ca="1" si="77"/>
        <v>14.89</v>
      </c>
      <c r="S75" s="376">
        <f t="shared" ca="1" si="78"/>
        <v>9.2148216910342695E-3</v>
      </c>
      <c r="T75" s="381"/>
      <c r="U75" s="742"/>
      <c r="V75" s="749"/>
      <c r="W75" s="740"/>
      <c r="X75" s="728"/>
      <c r="Y75" s="728"/>
      <c r="Z75" s="728"/>
      <c r="AA75" s="728"/>
      <c r="AB75" s="535"/>
    </row>
    <row r="76" spans="2:28" ht="16.5">
      <c r="B76" s="733"/>
      <c r="C76" s="474" t="str">
        <f>+'HASIL PROD'!B110</f>
        <v>QG10708</v>
      </c>
      <c r="D76" s="372">
        <f>SUMIF('HASIL PROD'!$B$4:$B$343,C76,'HASIL PROD'!$C$4:$C$343)</f>
        <v>383</v>
      </c>
      <c r="E76" s="373">
        <f t="shared" ref="E76:E78" si="79">+D76*3.875</f>
        <v>1484.125</v>
      </c>
      <c r="F76" s="374">
        <f ca="1">SUMIF('DAILY OKEY AYAM'!$C$9:$C$173,$C76,'DAILY OKEY AYAM'!$K$9:$K$172)</f>
        <v>0.9</v>
      </c>
      <c r="G76" s="374">
        <f ca="1">SUMIF('DAILY OKEY AYAM'!$C$9:$C$173,$C76,'DAILY OKEY AYAM'!$L$9:$L$172)</f>
        <v>5.5</v>
      </c>
      <c r="H76" s="374">
        <f ca="1">SUMIF('DAILY OKEY AYAM'!$C$9:$C$173,$C76,'DAILY OKEY AYAM'!$M$9:$N$172)</f>
        <v>0</v>
      </c>
      <c r="I76" s="374">
        <f ca="1">SUMIF('DAILY OKEY AYAM'!$C$9:$C$173,$C76,'DAILY OKEY AYAM'!$O$9:$O$172)</f>
        <v>3.8</v>
      </c>
      <c r="J76" s="374">
        <f ca="1">SUMIF('DAILY OKEY AYAM'!$C$9:$C$173,$C76,'DAILY OKEY AYAM'!$P$9:$P$172)</f>
        <v>0.8</v>
      </c>
      <c r="K76" s="374">
        <f ca="1">SUMIF('DAILY OKEY AYAM'!$C$9:$C$173,$C76,'DAILY OKEY AYAM'!$R$9:$R$172)</f>
        <v>0.8</v>
      </c>
      <c r="L76" s="374">
        <f ca="1">SUMIF('DAILY OKEY AYAM'!$C$9:$C$173,$C76,'DAILY OKEY AYAM'!$S$9:$S$172)</f>
        <v>0</v>
      </c>
      <c r="M76" s="374">
        <f ca="1">SUMIF('DAILY OKEY AYAM'!$C$9:$C$173,$C76,'DAILY OKEY AYAM'!$T$9:$T$172)</f>
        <v>1.7</v>
      </c>
      <c r="N76" s="374">
        <f ca="1">SUMIF('DAILY OKEY AYAM'!$C$9:$C$173,$C76,'DAILY OKEY AYAM'!$U$9:$U$172)</f>
        <v>0.5</v>
      </c>
      <c r="O76" s="374">
        <f ca="1">SUMIF('DAILY OKEY AYAM'!$C$9:$C$173,$C76,'DAILY OKEY AYAM'!$V$9:$V$172)</f>
        <v>0</v>
      </c>
      <c r="P76" s="374">
        <f ca="1">SUMIF('DAILY OKEY AYAM'!$C$9:$C$173,$C76,'DAILY OKEY AYAM'!$W$9:$W$172)</f>
        <v>0</v>
      </c>
      <c r="Q76" s="374">
        <f ca="1">SUMIF('DAILY OKEY AYAM'!$C$9:$C$173,$C76,'DAILY OKEY AYAM'!$X$9:$X$172)</f>
        <v>0</v>
      </c>
      <c r="R76" s="374">
        <f t="shared" ca="1" si="77"/>
        <v>14</v>
      </c>
      <c r="S76" s="376">
        <f t="shared" ca="1" si="78"/>
        <v>9.4331676914006565E-3</v>
      </c>
      <c r="T76" s="381"/>
      <c r="U76" s="742"/>
      <c r="V76" s="749"/>
      <c r="W76" s="740"/>
      <c r="X76" s="728"/>
      <c r="Y76" s="728"/>
      <c r="Z76" s="728"/>
      <c r="AA76" s="728"/>
      <c r="AB76" s="535"/>
    </row>
    <row r="77" spans="2:28" ht="16.5">
      <c r="B77" s="733"/>
      <c r="C77" s="474" t="str">
        <f>+'HASIL PROD'!B111</f>
        <v>QG10709</v>
      </c>
      <c r="D77" s="372">
        <f>SUMIF('HASIL PROD'!$B$4:$B$343,C77,'HASIL PROD'!$C$4:$C$343)</f>
        <v>243</v>
      </c>
      <c r="E77" s="373">
        <f t="shared" si="79"/>
        <v>941.625</v>
      </c>
      <c r="F77" s="374">
        <f ca="1">SUMIF('DAILY OKEY AYAM'!$C$9:$C$173,$C77,'DAILY OKEY AYAM'!$K$9:$K$172)</f>
        <v>1.92</v>
      </c>
      <c r="G77" s="374">
        <f ca="1">SUMIF('DAILY OKEY AYAM'!$C$9:$C$173,$C77,'DAILY OKEY AYAM'!$L$9:$L$172)</f>
        <v>4.3499999999999996</v>
      </c>
      <c r="H77" s="374">
        <f ca="1">SUMIF('DAILY OKEY AYAM'!$C$9:$C$173,$C77,'DAILY OKEY AYAM'!$M$9:$N$172)</f>
        <v>0</v>
      </c>
      <c r="I77" s="374">
        <f ca="1">SUMIF('DAILY OKEY AYAM'!$C$9:$C$173,$C77,'DAILY OKEY AYAM'!$O$9:$O$172)</f>
        <v>4.0999999999999996</v>
      </c>
      <c r="J77" s="374">
        <f ca="1">SUMIF('DAILY OKEY AYAM'!$C$9:$C$173,$C77,'DAILY OKEY AYAM'!$P$9:$P$172)</f>
        <v>0.68</v>
      </c>
      <c r="K77" s="374">
        <f ca="1">SUMIF('DAILY OKEY AYAM'!$C$9:$C$173,$C77,'DAILY OKEY AYAM'!$R$9:$R$172)</f>
        <v>1.1000000000000001</v>
      </c>
      <c r="L77" s="374">
        <f ca="1">SUMIF('DAILY OKEY AYAM'!$C$9:$C$173,$C77,'DAILY OKEY AYAM'!$S$9:$S$172)</f>
        <v>0</v>
      </c>
      <c r="M77" s="374">
        <f ca="1">SUMIF('DAILY OKEY AYAM'!$C$9:$C$173,$C77,'DAILY OKEY AYAM'!$T$9:$T$172)</f>
        <v>1.1000000000000001</v>
      </c>
      <c r="N77" s="374">
        <f ca="1">SUMIF('DAILY OKEY AYAM'!$C$9:$C$173,$C77,'DAILY OKEY AYAM'!$U$9:$U$172)</f>
        <v>0</v>
      </c>
      <c r="O77" s="374">
        <f ca="1">SUMIF('DAILY OKEY AYAM'!$C$9:$C$173,$C77,'DAILY OKEY AYAM'!$V$9:$V$172)</f>
        <v>0</v>
      </c>
      <c r="P77" s="374">
        <f ca="1">SUMIF('DAILY OKEY AYAM'!$C$9:$C$173,$C77,'DAILY OKEY AYAM'!$W$9:$W$172)</f>
        <v>0</v>
      </c>
      <c r="Q77" s="374">
        <f ca="1">SUMIF('DAILY OKEY AYAM'!$C$9:$C$173,$C77,'DAILY OKEY AYAM'!$X$9:$X$172)</f>
        <v>0</v>
      </c>
      <c r="R77" s="374">
        <f t="shared" ref="R77:R78" ca="1" si="80">+SUM(F77:Q77)</f>
        <v>13.249999999999998</v>
      </c>
      <c r="S77" s="376">
        <f t="shared" ca="1" si="78"/>
        <v>1.4071419089340235E-2</v>
      </c>
      <c r="T77" s="381"/>
      <c r="U77" s="743"/>
      <c r="V77" s="750"/>
      <c r="W77" s="740"/>
      <c r="X77" s="729"/>
      <c r="Y77" s="729"/>
      <c r="Z77" s="729"/>
      <c r="AA77" s="729"/>
      <c r="AB77" s="535"/>
    </row>
    <row r="78" spans="2:28" ht="16.5">
      <c r="B78" s="733"/>
      <c r="C78" s="474">
        <f>+'HASIL PROD'!B112</f>
        <v>0</v>
      </c>
      <c r="D78" s="372">
        <f>SUMIF('HASIL PROD'!$B$4:$B$343,C78,'HASIL PROD'!$C$4:$C$343)</f>
        <v>0</v>
      </c>
      <c r="E78" s="373">
        <f t="shared" si="79"/>
        <v>0</v>
      </c>
      <c r="F78" s="374">
        <f ca="1">SUMIF('DAILY OKEY AYAM'!$C$9:$C$173,$C78,'DAILY OKEY AYAM'!$K$9:$K$172)</f>
        <v>0</v>
      </c>
      <c r="G78" s="374">
        <f ca="1">SUMIF('DAILY OKEY AYAM'!$C$9:$C$173,$C78,'DAILY OKEY AYAM'!$L$9:$L$172)</f>
        <v>0</v>
      </c>
      <c r="H78" s="374">
        <f ca="1">SUMIF('DAILY OKEY AYAM'!$C$9:$C$173,$C78,'DAILY OKEY AYAM'!$M$9:$N$172)</f>
        <v>0</v>
      </c>
      <c r="I78" s="374">
        <f ca="1">SUMIF('DAILY OKEY AYAM'!$C$9:$C$173,$C78,'DAILY OKEY AYAM'!$O$9:$O$172)</f>
        <v>0</v>
      </c>
      <c r="J78" s="374">
        <f ca="1">SUMIF('DAILY OKEY AYAM'!$C$9:$C$173,$C78,'DAILY OKEY AYAM'!$P$9:$P$172)</f>
        <v>0</v>
      </c>
      <c r="K78" s="374">
        <f ca="1">SUMIF('DAILY OKEY AYAM'!$C$9:$C$173,$C78,'DAILY OKEY AYAM'!$R$9:$R$172)</f>
        <v>0</v>
      </c>
      <c r="L78" s="374">
        <f ca="1">SUMIF('DAILY OKEY AYAM'!$C$9:$C$173,$C78,'DAILY OKEY AYAM'!$S$9:$S$172)</f>
        <v>0</v>
      </c>
      <c r="M78" s="374">
        <f ca="1">SUMIF('DAILY OKEY AYAM'!$C$9:$C$173,$C78,'DAILY OKEY AYAM'!$T$9:$T$172)</f>
        <v>0</v>
      </c>
      <c r="N78" s="374">
        <f ca="1">SUMIF('DAILY OKEY AYAM'!$C$9:$C$173,$C78,'DAILY OKEY AYAM'!$U$9:$U$172)</f>
        <v>0</v>
      </c>
      <c r="O78" s="374">
        <f ca="1">SUMIF('DAILY OKEY AYAM'!$C$9:$C$173,$C78,'DAILY OKEY AYAM'!$V$9:$V$172)</f>
        <v>0</v>
      </c>
      <c r="P78" s="374">
        <f ca="1">SUMIF('DAILY OKEY AYAM'!$C$9:$C$173,$C78,'DAILY OKEY AYAM'!$W$9:$W$172)</f>
        <v>0</v>
      </c>
      <c r="Q78" s="374">
        <f ca="1">SUMIF('DAILY OKEY AYAM'!$C$9:$C$173,$C78,'DAILY OKEY AYAM'!$X$9:$X$172)</f>
        <v>0</v>
      </c>
      <c r="R78" s="374">
        <f t="shared" ca="1" si="80"/>
        <v>0</v>
      </c>
      <c r="S78" s="376" t="e">
        <f t="shared" ca="1" si="78"/>
        <v>#DIV/0!</v>
      </c>
      <c r="T78" s="381"/>
      <c r="U78" s="382"/>
      <c r="V78" s="383"/>
      <c r="W78" s="401"/>
      <c r="X78" s="530"/>
      <c r="Y78" s="530"/>
      <c r="Z78" s="530"/>
      <c r="AA78" s="530"/>
      <c r="AB78" s="535"/>
    </row>
    <row r="79" spans="2:28" ht="16.5">
      <c r="B79" s="733"/>
      <c r="C79" s="371"/>
      <c r="D79" s="372"/>
      <c r="E79" s="373"/>
      <c r="F79" s="379"/>
      <c r="G79" s="379"/>
      <c r="H79" s="379"/>
      <c r="I79" s="379"/>
      <c r="J79" s="379"/>
      <c r="K79" s="379"/>
      <c r="L79" s="379"/>
      <c r="M79" s="379"/>
      <c r="N79" s="379"/>
      <c r="O79" s="379"/>
      <c r="P79" s="379"/>
      <c r="Q79" s="379"/>
      <c r="R79" s="374"/>
      <c r="S79" s="380"/>
      <c r="T79" s="381"/>
      <c r="U79" s="374"/>
      <c r="V79" s="407"/>
      <c r="W79" s="408"/>
      <c r="X79" s="530"/>
      <c r="Y79" s="530"/>
      <c r="Z79" s="530"/>
      <c r="AA79" s="530"/>
      <c r="AB79" s="535"/>
    </row>
    <row r="80" spans="2:28" ht="16.5">
      <c r="B80" s="734"/>
      <c r="C80" s="385" t="s">
        <v>118</v>
      </c>
      <c r="D80" s="386">
        <f>SUM(D69:D79)</f>
        <v>3721</v>
      </c>
      <c r="E80" s="387">
        <f>SUM(E69:E79)</f>
        <v>14418.875</v>
      </c>
      <c r="F80" s="388">
        <f ca="1">SUM(F69:F79)</f>
        <v>20.990000000000002</v>
      </c>
      <c r="G80" s="388">
        <f t="shared" ref="G80:R80" ca="1" si="81">SUM(G69:G79)</f>
        <v>42.56</v>
      </c>
      <c r="H80" s="388">
        <f t="shared" ca="1" si="81"/>
        <v>2.69</v>
      </c>
      <c r="I80" s="388">
        <f t="shared" ca="1" si="81"/>
        <v>30</v>
      </c>
      <c r="J80" s="388">
        <f t="shared" ca="1" si="81"/>
        <v>5.57</v>
      </c>
      <c r="K80" s="388">
        <f t="shared" ca="1" si="81"/>
        <v>2.7</v>
      </c>
      <c r="L80" s="388">
        <f t="shared" ca="1" si="81"/>
        <v>0</v>
      </c>
      <c r="M80" s="388">
        <f t="shared" ca="1" si="81"/>
        <v>11.08</v>
      </c>
      <c r="N80" s="388">
        <f t="shared" ca="1" si="81"/>
        <v>0.5</v>
      </c>
      <c r="O80" s="388">
        <f t="shared" ca="1" si="81"/>
        <v>0</v>
      </c>
      <c r="P80" s="388">
        <f t="shared" ca="1" si="81"/>
        <v>0</v>
      </c>
      <c r="Q80" s="388">
        <f t="shared" ca="1" si="81"/>
        <v>0</v>
      </c>
      <c r="R80" s="388">
        <f t="shared" ca="1" si="81"/>
        <v>116.09</v>
      </c>
      <c r="S80" s="389"/>
      <c r="T80" s="402"/>
      <c r="U80" s="388"/>
      <c r="V80" s="389"/>
      <c r="W80" s="389"/>
      <c r="X80" s="530"/>
      <c r="Y80" s="530"/>
      <c r="Z80" s="530"/>
      <c r="AA80" s="530"/>
      <c r="AB80" s="535"/>
    </row>
    <row r="81" spans="2:28" ht="16.5">
      <c r="B81" s="406"/>
      <c r="C81" s="393" t="s">
        <v>114</v>
      </c>
      <c r="D81" s="394"/>
      <c r="E81" s="395"/>
      <c r="F81" s="396">
        <f ca="1">+F80/$E80</f>
        <v>1.4557307695641998E-3</v>
      </c>
      <c r="G81" s="396">
        <f t="shared" ref="G81" ca="1" si="82">+G80/$E80</f>
        <v>2.951686591360283E-3</v>
      </c>
      <c r="H81" s="396">
        <f t="shared" ref="H81" ca="1" si="83">+H80/$E80</f>
        <v>1.8656101810994268E-4</v>
      </c>
      <c r="I81" s="396">
        <f t="shared" ref="I81" ca="1" si="84">+I80/$E80</f>
        <v>2.0806061499250117E-3</v>
      </c>
      <c r="J81" s="396">
        <f t="shared" ref="J81" ca="1" si="85">+J80/$E80</f>
        <v>3.8629920850274382E-4</v>
      </c>
      <c r="K81" s="396">
        <f t="shared" ref="K81" ca="1" si="86">+K80/$E80</f>
        <v>1.8725455349325105E-4</v>
      </c>
      <c r="L81" s="396">
        <f t="shared" ref="L81" ca="1" si="87">+L80/$E80</f>
        <v>0</v>
      </c>
      <c r="M81" s="396">
        <f t="shared" ref="M81" ca="1" si="88">+M80/$E80</f>
        <v>7.684372047056376E-4</v>
      </c>
      <c r="N81" s="396">
        <f t="shared" ref="N81" ca="1" si="89">+N80/$E80</f>
        <v>3.4676769165416856E-5</v>
      </c>
      <c r="O81" s="396">
        <f t="shared" ref="O81" ca="1" si="90">+O80/$E80</f>
        <v>0</v>
      </c>
      <c r="P81" s="396">
        <f t="shared" ref="P81" ca="1" si="91">+P80/$E80</f>
        <v>0</v>
      </c>
      <c r="Q81" s="396">
        <f t="shared" ref="Q81" ca="1" si="92">+Q80/$E80</f>
        <v>0</v>
      </c>
      <c r="R81" s="482">
        <f ca="1">+R80/$E80</f>
        <v>8.0512522648264872E-3</v>
      </c>
      <c r="S81" s="399"/>
      <c r="T81" s="402"/>
      <c r="U81" s="400"/>
      <c r="V81" s="389"/>
      <c r="W81" s="389"/>
      <c r="X81" s="530"/>
      <c r="Y81" s="530"/>
      <c r="Z81" s="530"/>
      <c r="AA81" s="530"/>
      <c r="AB81" s="535"/>
    </row>
    <row r="82" spans="2:28" ht="14.25" customHeight="1">
      <c r="B82" s="732" t="s">
        <v>178</v>
      </c>
      <c r="C82" s="474" t="str">
        <f>+'HASIL PROD'!B180</f>
        <v>QG17701</v>
      </c>
      <c r="D82" s="372">
        <f>SUMIF('HASIL PROD'!$B$4:$B$343,C82,'HASIL PROD'!$C$4:$C$343)</f>
        <v>420</v>
      </c>
      <c r="E82" s="373">
        <f t="shared" ref="E82:E86" si="93">+D82*3.875</f>
        <v>1627.5</v>
      </c>
      <c r="F82" s="374">
        <f ca="1">SUMIF('DAILY OKEY AYAM'!$C$9:$C$173,$C82,'DAILY OKEY AYAM'!$K$9:$K$172)</f>
        <v>1.18</v>
      </c>
      <c r="G82" s="374">
        <f ca="1">SUMIF('DAILY OKEY AYAM'!$C$9:$C$173,$C82,'DAILY OKEY AYAM'!$L$9:$L$172)</f>
        <v>3.35</v>
      </c>
      <c r="H82" s="374">
        <f ca="1">SUMIF('DAILY OKEY AYAM'!$C$9:$C$173,$C82,'DAILY OKEY AYAM'!$M$9:$N$172)</f>
        <v>0</v>
      </c>
      <c r="I82" s="374">
        <f ca="1">SUMIF('DAILY OKEY AYAM'!$C$9:$C$173,$C82,'DAILY OKEY AYAM'!$O$9:$O$172)</f>
        <v>4.45</v>
      </c>
      <c r="J82" s="374">
        <f ca="1">SUMIF('DAILY OKEY AYAM'!$C$9:$C$173,$C82,'DAILY OKEY AYAM'!$P$9:$P$172)</f>
        <v>0.42</v>
      </c>
      <c r="K82" s="374">
        <f ca="1">SUMIF('DAILY OKEY AYAM'!$C$9:$C$173,$C82,'DAILY OKEY AYAM'!$R$9:$R$172)</f>
        <v>2.1</v>
      </c>
      <c r="L82" s="374">
        <f ca="1">SUMIF('DAILY OKEY AYAM'!$C$9:$C$173,$C82,'DAILY OKEY AYAM'!$S$9:$S$172)</f>
        <v>0</v>
      </c>
      <c r="M82" s="374">
        <f ca="1">SUMIF('DAILY OKEY AYAM'!$C$9:$C$173,$C82,'DAILY OKEY AYAM'!$T$9:$T$172)</f>
        <v>1.1000000000000001</v>
      </c>
      <c r="N82" s="374">
        <f ca="1">SUMIF('DAILY OKEY AYAM'!$C$9:$C$173,$C82,'DAILY OKEY AYAM'!$U$9:$U$172)</f>
        <v>0</v>
      </c>
      <c r="O82" s="374">
        <f ca="1">SUMIF('DAILY OKEY AYAM'!$C$9:$C$173,$C82,'DAILY OKEY AYAM'!$V$9:$V$172)</f>
        <v>0</v>
      </c>
      <c r="P82" s="374">
        <f ca="1">SUMIF('DAILY OKEY AYAM'!$C$9:$C$173,$C82,'DAILY OKEY AYAM'!$W$9:$W$172)</f>
        <v>0</v>
      </c>
      <c r="Q82" s="374">
        <f ca="1">SUMIF('DAILY OKEY AYAM'!$C$9:$C$173,$C82,'DAILY OKEY AYAM'!$X$9:$X$172)</f>
        <v>0</v>
      </c>
      <c r="R82" s="374">
        <f t="shared" ref="R82:R89" ca="1" si="94">+SUM(F82:Q82)</f>
        <v>12.6</v>
      </c>
      <c r="S82" s="376">
        <f t="shared" ref="S82:S91" ca="1" si="95">+R82/E82</f>
        <v>7.7419354838709677E-3</v>
      </c>
      <c r="T82" s="381"/>
      <c r="U82" s="507">
        <f ca="1">SUM(R82:R82)</f>
        <v>12.6</v>
      </c>
      <c r="V82" s="508">
        <f ca="1">+U82/(SUM(E82:E82))</f>
        <v>7.7419354838709677E-3</v>
      </c>
      <c r="W82" s="378" t="s">
        <v>338</v>
      </c>
      <c r="X82" s="530" t="s">
        <v>312</v>
      </c>
      <c r="Y82" s="530" t="s">
        <v>313</v>
      </c>
      <c r="Z82" s="530" t="s">
        <v>314</v>
      </c>
      <c r="AA82" s="530" t="s">
        <v>313</v>
      </c>
      <c r="AB82" s="535"/>
    </row>
    <row r="83" spans="2:28" ht="16.5">
      <c r="B83" s="733"/>
      <c r="C83" s="474" t="str">
        <f>+'HASIL PROD'!B181</f>
        <v>QG17702</v>
      </c>
      <c r="D83" s="372">
        <f>SUMIF('HASIL PROD'!$B$4:$B$343,C83,'HASIL PROD'!$C$4:$C$343)</f>
        <v>462</v>
      </c>
      <c r="E83" s="373">
        <f t="shared" si="93"/>
        <v>1790.25</v>
      </c>
      <c r="F83" s="374">
        <f ca="1">SUMIF('DAILY OKEY AYAM'!$C$9:$C$173,$C83,'DAILY OKEY AYAM'!$K$9:$K$172)</f>
        <v>1.05</v>
      </c>
      <c r="G83" s="374">
        <f ca="1">SUMIF('DAILY OKEY AYAM'!$C$9:$C$173,$C83,'DAILY OKEY AYAM'!$L$9:$L$172)</f>
        <v>4.3499999999999996</v>
      </c>
      <c r="H83" s="374">
        <f ca="1">SUMIF('DAILY OKEY AYAM'!$C$9:$C$173,$C83,'DAILY OKEY AYAM'!$M$9:$N$172)</f>
        <v>0</v>
      </c>
      <c r="I83" s="374">
        <f ca="1">SUMIF('DAILY OKEY AYAM'!$C$9:$C$173,$C83,'DAILY OKEY AYAM'!$O$9:$O$172)</f>
        <v>7.9</v>
      </c>
      <c r="J83" s="374">
        <f ca="1">SUMIF('DAILY OKEY AYAM'!$C$9:$C$173,$C83,'DAILY OKEY AYAM'!$P$9:$P$172)</f>
        <v>0.53</v>
      </c>
      <c r="K83" s="374">
        <f ca="1">SUMIF('DAILY OKEY AYAM'!$C$9:$C$173,$C83,'DAILY OKEY AYAM'!$R$9:$R$172)</f>
        <v>0.2</v>
      </c>
      <c r="L83" s="374">
        <f ca="1">SUMIF('DAILY OKEY AYAM'!$C$9:$C$173,$C83,'DAILY OKEY AYAM'!$S$9:$S$172)</f>
        <v>0</v>
      </c>
      <c r="M83" s="374">
        <f ca="1">SUMIF('DAILY OKEY AYAM'!$C$9:$C$173,$C83,'DAILY OKEY AYAM'!$T$9:$T$172)</f>
        <v>1.44</v>
      </c>
      <c r="N83" s="374">
        <f ca="1">SUMIF('DAILY OKEY AYAM'!$C$9:$C$173,$C83,'DAILY OKEY AYAM'!$U$9:$U$172)</f>
        <v>0</v>
      </c>
      <c r="O83" s="374">
        <f ca="1">SUMIF('DAILY OKEY AYAM'!$C$9:$C$173,$C83,'DAILY OKEY AYAM'!$V$9:$V$172)</f>
        <v>0</v>
      </c>
      <c r="P83" s="374">
        <f ca="1">SUMIF('DAILY OKEY AYAM'!$C$9:$C$173,$C83,'DAILY OKEY AYAM'!$W$9:$W$172)</f>
        <v>0</v>
      </c>
      <c r="Q83" s="374">
        <f ca="1">SUMIF('DAILY OKEY AYAM'!$C$9:$C$173,$C83,'DAILY OKEY AYAM'!$X$9:$X$172)</f>
        <v>0</v>
      </c>
      <c r="R83" s="374">
        <f t="shared" ca="1" si="94"/>
        <v>15.469999999999999</v>
      </c>
      <c r="S83" s="376">
        <f t="shared" ca="1" si="95"/>
        <v>8.6412512218963823E-3</v>
      </c>
      <c r="T83" s="381"/>
      <c r="U83" s="741">
        <f ca="1">SUM(R83:R86)</f>
        <v>61.36</v>
      </c>
      <c r="V83" s="744">
        <f ca="1">+U83/(SUM(E83:E86))</f>
        <v>8.7873688732949054E-3</v>
      </c>
      <c r="W83" s="735" t="s">
        <v>338</v>
      </c>
      <c r="X83" s="727" t="s">
        <v>315</v>
      </c>
      <c r="Y83" s="727" t="s">
        <v>316</v>
      </c>
      <c r="Z83" s="727" t="s">
        <v>317</v>
      </c>
      <c r="AA83" s="727" t="s">
        <v>318</v>
      </c>
      <c r="AB83" s="535"/>
    </row>
    <row r="84" spans="2:28" ht="16.5">
      <c r="B84" s="733"/>
      <c r="C84" s="474" t="str">
        <f>+'HASIL PROD'!B182</f>
        <v>QG17703</v>
      </c>
      <c r="D84" s="372">
        <f>SUMIF('HASIL PROD'!$B$4:$B$343,C84,'HASIL PROD'!$C$4:$C$343)</f>
        <v>484</v>
      </c>
      <c r="E84" s="373">
        <f t="shared" si="93"/>
        <v>1875.5</v>
      </c>
      <c r="F84" s="374">
        <f ca="1">SUMIF('DAILY OKEY AYAM'!$C$9:$C$173,$C84,'DAILY OKEY AYAM'!$K$9:$K$172)</f>
        <v>3</v>
      </c>
      <c r="G84" s="374">
        <f ca="1">SUMIF('DAILY OKEY AYAM'!$C$9:$C$173,$C84,'DAILY OKEY AYAM'!$L$9:$L$172)</f>
        <v>3.4</v>
      </c>
      <c r="H84" s="374">
        <f ca="1">SUMIF('DAILY OKEY AYAM'!$C$9:$C$173,$C84,'DAILY OKEY AYAM'!$M$9:$N$172)</f>
        <v>0</v>
      </c>
      <c r="I84" s="374">
        <f ca="1">SUMIF('DAILY OKEY AYAM'!$C$9:$C$173,$C84,'DAILY OKEY AYAM'!$O$9:$O$172)</f>
        <v>3.2</v>
      </c>
      <c r="J84" s="374">
        <f ca="1">SUMIF('DAILY OKEY AYAM'!$C$9:$C$173,$C84,'DAILY OKEY AYAM'!$P$9:$P$172)</f>
        <v>0.7</v>
      </c>
      <c r="K84" s="374">
        <f ca="1">SUMIF('DAILY OKEY AYAM'!$C$9:$C$173,$C84,'DAILY OKEY AYAM'!$R$9:$R$172)</f>
        <v>0</v>
      </c>
      <c r="L84" s="374">
        <f ca="1">SUMIF('DAILY OKEY AYAM'!$C$9:$C$173,$C84,'DAILY OKEY AYAM'!$S$9:$S$172)</f>
        <v>0</v>
      </c>
      <c r="M84" s="374">
        <f ca="1">SUMIF('DAILY OKEY AYAM'!$C$9:$C$173,$C84,'DAILY OKEY AYAM'!$T$9:$T$172)</f>
        <v>4.75</v>
      </c>
      <c r="N84" s="374">
        <f ca="1">SUMIF('DAILY OKEY AYAM'!$C$9:$C$173,$C84,'DAILY OKEY AYAM'!$U$9:$U$172)</f>
        <v>0</v>
      </c>
      <c r="O84" s="374">
        <f ca="1">SUMIF('DAILY OKEY AYAM'!$C$9:$C$173,$C84,'DAILY OKEY AYAM'!$V$9:$V$172)</f>
        <v>0</v>
      </c>
      <c r="P84" s="374">
        <f ca="1">SUMIF('DAILY OKEY AYAM'!$C$9:$C$173,$C84,'DAILY OKEY AYAM'!$W$9:$W$172)</f>
        <v>0</v>
      </c>
      <c r="Q84" s="374">
        <f ca="1">SUMIF('DAILY OKEY AYAM'!$C$9:$C$173,$C84,'DAILY OKEY AYAM'!$X$9:$X$172)</f>
        <v>0</v>
      </c>
      <c r="R84" s="374">
        <f t="shared" ca="1" si="94"/>
        <v>15.05</v>
      </c>
      <c r="S84" s="376">
        <f t="shared" ca="1" si="95"/>
        <v>8.0245267928552386E-3</v>
      </c>
      <c r="T84" s="381"/>
      <c r="U84" s="742"/>
      <c r="V84" s="745"/>
      <c r="W84" s="736"/>
      <c r="X84" s="730"/>
      <c r="Y84" s="730"/>
      <c r="Z84" s="730"/>
      <c r="AA84" s="730"/>
      <c r="AB84" s="535"/>
    </row>
    <row r="85" spans="2:28" ht="16.5">
      <c r="B85" s="733"/>
      <c r="C85" s="474" t="str">
        <f>+'HASIL PROD'!B183</f>
        <v>QG17704</v>
      </c>
      <c r="D85" s="372">
        <f>SUMIF('HASIL PROD'!$B$4:$B$343,C85,'HASIL PROD'!$C$4:$C$343)</f>
        <v>487</v>
      </c>
      <c r="E85" s="373">
        <f t="shared" si="93"/>
        <v>1887.125</v>
      </c>
      <c r="F85" s="374">
        <f ca="1">SUMIF('DAILY OKEY AYAM'!$C$9:$C$173,$C85,'DAILY OKEY AYAM'!$K$9:$K$172)</f>
        <v>3.7</v>
      </c>
      <c r="G85" s="374">
        <f ca="1">SUMIF('DAILY OKEY AYAM'!$C$9:$C$173,$C85,'DAILY OKEY AYAM'!$L$9:$L$172)</f>
        <v>5.4</v>
      </c>
      <c r="H85" s="374">
        <f ca="1">SUMIF('DAILY OKEY AYAM'!$C$9:$C$173,$C85,'DAILY OKEY AYAM'!$M$9:$N$172)</f>
        <v>0</v>
      </c>
      <c r="I85" s="374">
        <f ca="1">SUMIF('DAILY OKEY AYAM'!$C$9:$C$173,$C85,'DAILY OKEY AYAM'!$O$9:$O$172)</f>
        <v>7.54</v>
      </c>
      <c r="J85" s="374">
        <f ca="1">SUMIF('DAILY OKEY AYAM'!$C$9:$C$173,$C85,'DAILY OKEY AYAM'!$P$9:$P$172)</f>
        <v>0.7</v>
      </c>
      <c r="K85" s="374">
        <f ca="1">SUMIF('DAILY OKEY AYAM'!$C$9:$C$173,$C85,'DAILY OKEY AYAM'!$R$9:$R$172)</f>
        <v>0</v>
      </c>
      <c r="L85" s="374">
        <f ca="1">SUMIF('DAILY OKEY AYAM'!$C$9:$C$173,$C85,'DAILY OKEY AYAM'!$S$9:$S$172)</f>
        <v>0</v>
      </c>
      <c r="M85" s="374">
        <f ca="1">SUMIF('DAILY OKEY AYAM'!$C$9:$C$173,$C85,'DAILY OKEY AYAM'!$T$9:$T$172)</f>
        <v>0.9</v>
      </c>
      <c r="N85" s="374">
        <f ca="1">SUMIF('DAILY OKEY AYAM'!$C$9:$C$173,$C85,'DAILY OKEY AYAM'!$U$9:$U$172)</f>
        <v>0</v>
      </c>
      <c r="O85" s="374">
        <f ca="1">SUMIF('DAILY OKEY AYAM'!$C$9:$C$173,$C85,'DAILY OKEY AYAM'!$V$9:$V$172)</f>
        <v>0.4</v>
      </c>
      <c r="P85" s="374">
        <f ca="1">SUMIF('DAILY OKEY AYAM'!$C$9:$C$173,$C85,'DAILY OKEY AYAM'!$W$9:$W$172)</f>
        <v>0</v>
      </c>
      <c r="Q85" s="374">
        <f ca="1">SUMIF('DAILY OKEY AYAM'!$C$9:$C$173,$C85,'DAILY OKEY AYAM'!$X$9:$X$172)</f>
        <v>0</v>
      </c>
      <c r="R85" s="374">
        <f t="shared" ca="1" si="94"/>
        <v>18.639999999999997</v>
      </c>
      <c r="S85" s="376">
        <f t="shared" ca="1" si="95"/>
        <v>9.8774590978340047E-3</v>
      </c>
      <c r="T85" s="381"/>
      <c r="U85" s="742"/>
      <c r="V85" s="745"/>
      <c r="W85" s="736"/>
      <c r="X85" s="730"/>
      <c r="Y85" s="730"/>
      <c r="Z85" s="730"/>
      <c r="AA85" s="730"/>
      <c r="AB85" s="535"/>
    </row>
    <row r="86" spans="2:28" ht="16.5">
      <c r="B86" s="733"/>
      <c r="C86" s="474" t="str">
        <f>+'HASIL PROD'!B184</f>
        <v>QG17705</v>
      </c>
      <c r="D86" s="372">
        <f>SUMIF('HASIL PROD'!$B$4:$B$343,C86,'HASIL PROD'!$C$4:$C$343)</f>
        <v>369</v>
      </c>
      <c r="E86" s="373">
        <f t="shared" si="93"/>
        <v>1429.875</v>
      </c>
      <c r="F86" s="374">
        <f ca="1">SUMIF('DAILY OKEY AYAM'!$C$9:$C$173,$C86,'DAILY OKEY AYAM'!$K$9:$K$172)</f>
        <v>2.7</v>
      </c>
      <c r="G86" s="374">
        <f ca="1">SUMIF('DAILY OKEY AYAM'!$C$9:$C$173,$C86,'DAILY OKEY AYAM'!$L$9:$L$172)</f>
        <v>3.7</v>
      </c>
      <c r="H86" s="374">
        <f ca="1">SUMIF('DAILY OKEY AYAM'!$C$9:$C$173,$C86,'DAILY OKEY AYAM'!$M$9:$N$172)</f>
        <v>0</v>
      </c>
      <c r="I86" s="374">
        <f ca="1">SUMIF('DAILY OKEY AYAM'!$C$9:$C$173,$C86,'DAILY OKEY AYAM'!$O$9:$O$172)</f>
        <v>3</v>
      </c>
      <c r="J86" s="374">
        <f ca="1">SUMIF('DAILY OKEY AYAM'!$C$9:$C$173,$C86,'DAILY OKEY AYAM'!$P$9:$P$172)</f>
        <v>0</v>
      </c>
      <c r="K86" s="374">
        <f ca="1">SUMIF('DAILY OKEY AYAM'!$C$9:$C$173,$C86,'DAILY OKEY AYAM'!$R$9:$R$172)</f>
        <v>1</v>
      </c>
      <c r="L86" s="374">
        <f ca="1">SUMIF('DAILY OKEY AYAM'!$C$9:$C$173,$C86,'DAILY OKEY AYAM'!$S$9:$S$172)</f>
        <v>0</v>
      </c>
      <c r="M86" s="374">
        <f ca="1">SUMIF('DAILY OKEY AYAM'!$C$9:$C$173,$C86,'DAILY OKEY AYAM'!$T$9:$T$172)</f>
        <v>1.8</v>
      </c>
      <c r="N86" s="374">
        <f ca="1">SUMIF('DAILY OKEY AYAM'!$C$9:$C$173,$C86,'DAILY OKEY AYAM'!$U$9:$U$172)</f>
        <v>0</v>
      </c>
      <c r="O86" s="374">
        <f ca="1">SUMIF('DAILY OKEY AYAM'!$C$9:$C$173,$C86,'DAILY OKEY AYAM'!$V$9:$V$172)</f>
        <v>0</v>
      </c>
      <c r="P86" s="374">
        <f ca="1">SUMIF('DAILY OKEY AYAM'!$C$9:$C$173,$C86,'DAILY OKEY AYAM'!$W$9:$W$172)</f>
        <v>0</v>
      </c>
      <c r="Q86" s="374">
        <f ca="1">SUMIF('DAILY OKEY AYAM'!$C$9:$C$173,$C86,'DAILY OKEY AYAM'!$X$9:$X$172)</f>
        <v>0</v>
      </c>
      <c r="R86" s="374">
        <f t="shared" ca="1" si="94"/>
        <v>12.200000000000001</v>
      </c>
      <c r="S86" s="376">
        <f t="shared" ca="1" si="95"/>
        <v>8.5322143544016085E-3</v>
      </c>
      <c r="T86" s="381"/>
      <c r="U86" s="743"/>
      <c r="V86" s="746"/>
      <c r="W86" s="737"/>
      <c r="X86" s="731"/>
      <c r="Y86" s="731"/>
      <c r="Z86" s="731"/>
      <c r="AA86" s="731"/>
      <c r="AB86" s="535"/>
    </row>
    <row r="87" spans="2:28" ht="16.5">
      <c r="B87" s="733"/>
      <c r="C87" s="474">
        <f>+'HASIL PROD'!B185</f>
        <v>0</v>
      </c>
      <c r="D87" s="372">
        <f>SUMIF('HASIL PROD'!$B$4:$B$343,C87,'HASIL PROD'!$C$4:$C$343)</f>
        <v>0</v>
      </c>
      <c r="E87" s="373">
        <f>+D87*3.875</f>
        <v>0</v>
      </c>
      <c r="F87" s="374">
        <f ca="1">SUMIF('DAILY OKEY AYAM'!$C$9:$C$173,$C87,'DAILY OKEY AYAM'!$K$9:$K$172)</f>
        <v>0</v>
      </c>
      <c r="G87" s="374">
        <f ca="1">SUMIF('DAILY OKEY AYAM'!$C$9:$C$173,$C87,'DAILY OKEY AYAM'!$L$9:$L$172)</f>
        <v>0</v>
      </c>
      <c r="H87" s="374">
        <f ca="1">SUMIF('DAILY OKEY AYAM'!$C$9:$C$173,$C87,'DAILY OKEY AYAM'!$M$9:$N$172)</f>
        <v>0</v>
      </c>
      <c r="I87" s="374">
        <f ca="1">SUMIF('DAILY OKEY AYAM'!$C$9:$C$173,$C87,'DAILY OKEY AYAM'!$O$9:$O$172)</f>
        <v>0</v>
      </c>
      <c r="J87" s="374">
        <f ca="1">SUMIF('DAILY OKEY AYAM'!$C$9:$C$173,$C87,'DAILY OKEY AYAM'!$P$9:$P$172)</f>
        <v>0</v>
      </c>
      <c r="K87" s="374">
        <f ca="1">SUMIF('DAILY OKEY AYAM'!$C$9:$C$173,$C87,'DAILY OKEY AYAM'!$R$9:$R$172)</f>
        <v>0</v>
      </c>
      <c r="L87" s="374">
        <f ca="1">SUMIF('DAILY OKEY AYAM'!$C$9:$C$173,$C87,'DAILY OKEY AYAM'!$S$9:$S$172)</f>
        <v>0</v>
      </c>
      <c r="M87" s="374">
        <f ca="1">SUMIF('DAILY OKEY AYAM'!$C$9:$C$173,$C87,'DAILY OKEY AYAM'!$T$9:$T$172)</f>
        <v>0</v>
      </c>
      <c r="N87" s="374">
        <f ca="1">SUMIF('DAILY OKEY AYAM'!$C$9:$C$173,$C87,'DAILY OKEY AYAM'!$U$9:$U$172)</f>
        <v>0</v>
      </c>
      <c r="O87" s="374">
        <f ca="1">SUMIF('DAILY OKEY AYAM'!$C$9:$C$173,$C87,'DAILY OKEY AYAM'!$V$9:$V$172)</f>
        <v>0</v>
      </c>
      <c r="P87" s="374">
        <f ca="1">SUMIF('DAILY OKEY AYAM'!$C$9:$C$173,$C87,'DAILY OKEY AYAM'!$W$9:$W$172)</f>
        <v>0</v>
      </c>
      <c r="Q87" s="374">
        <f ca="1">SUMIF('DAILY OKEY AYAM'!$C$9:$C$173,$C87,'DAILY OKEY AYAM'!$X$9:$X$172)</f>
        <v>0</v>
      </c>
      <c r="R87" s="374">
        <f t="shared" ca="1" si="94"/>
        <v>0</v>
      </c>
      <c r="S87" s="376" t="e">
        <f t="shared" ca="1" si="95"/>
        <v>#DIV/0!</v>
      </c>
      <c r="T87" s="381"/>
      <c r="U87" s="404"/>
      <c r="V87" s="405"/>
      <c r="W87" s="378"/>
      <c r="X87" s="530"/>
      <c r="Y87" s="530"/>
      <c r="Z87" s="530"/>
      <c r="AA87" s="530"/>
      <c r="AB87" s="535"/>
    </row>
    <row r="88" spans="2:28" ht="16.5">
      <c r="B88" s="733"/>
      <c r="C88" s="474">
        <f>+'HASIL PROD'!B186</f>
        <v>0</v>
      </c>
      <c r="D88" s="372">
        <f>SUMIF('HASIL PROD'!$B$4:$B$343,C88,'HASIL PROD'!$C$4:$C$343)</f>
        <v>0</v>
      </c>
      <c r="E88" s="373">
        <f>+D88*3.875</f>
        <v>0</v>
      </c>
      <c r="F88" s="374">
        <f ca="1">SUMIF('DAILY OKEY AYAM'!$C$9:$C$173,$C88,'DAILY OKEY AYAM'!$K$9:$K$172)</f>
        <v>0</v>
      </c>
      <c r="G88" s="374">
        <f ca="1">SUMIF('DAILY OKEY AYAM'!$C$9:$C$173,$C88,'DAILY OKEY AYAM'!$L$9:$L$172)</f>
        <v>0</v>
      </c>
      <c r="H88" s="374">
        <f ca="1">SUMIF('DAILY OKEY AYAM'!$C$9:$C$173,$C88,'DAILY OKEY AYAM'!$M$9:$N$172)</f>
        <v>0</v>
      </c>
      <c r="I88" s="374">
        <f ca="1">SUMIF('DAILY OKEY AYAM'!$C$9:$C$173,$C88,'DAILY OKEY AYAM'!$O$9:$O$172)</f>
        <v>0</v>
      </c>
      <c r="J88" s="374">
        <f ca="1">SUMIF('DAILY OKEY AYAM'!$C$9:$C$173,$C88,'DAILY OKEY AYAM'!$P$9:$P$172)</f>
        <v>0</v>
      </c>
      <c r="K88" s="374">
        <f ca="1">SUMIF('DAILY OKEY AYAM'!$C$9:$C$173,$C88,'DAILY OKEY AYAM'!$R$9:$R$172)</f>
        <v>0</v>
      </c>
      <c r="L88" s="374">
        <f ca="1">SUMIF('DAILY OKEY AYAM'!$C$9:$C$173,$C88,'DAILY OKEY AYAM'!$S$9:$S$172)</f>
        <v>0</v>
      </c>
      <c r="M88" s="374">
        <f ca="1">SUMIF('DAILY OKEY AYAM'!$C$9:$C$173,$C88,'DAILY OKEY AYAM'!$T$9:$T$172)</f>
        <v>0</v>
      </c>
      <c r="N88" s="374">
        <f ca="1">SUMIF('DAILY OKEY AYAM'!$C$9:$C$173,$C88,'DAILY OKEY AYAM'!$U$9:$U$172)</f>
        <v>0</v>
      </c>
      <c r="O88" s="374">
        <f ca="1">SUMIF('DAILY OKEY AYAM'!$C$9:$C$173,$C88,'DAILY OKEY AYAM'!$V$9:$V$172)</f>
        <v>0</v>
      </c>
      <c r="P88" s="374">
        <f ca="1">SUMIF('DAILY OKEY AYAM'!$C$9:$C$173,$C88,'DAILY OKEY AYAM'!$W$9:$W$172)</f>
        <v>0</v>
      </c>
      <c r="Q88" s="374">
        <f ca="1">SUMIF('DAILY OKEY AYAM'!$C$9:$C$173,$C88,'DAILY OKEY AYAM'!$X$9:$X$172)</f>
        <v>0</v>
      </c>
      <c r="R88" s="374">
        <f t="shared" ca="1" si="94"/>
        <v>0</v>
      </c>
      <c r="S88" s="376" t="e">
        <f t="shared" ca="1" si="95"/>
        <v>#DIV/0!</v>
      </c>
      <c r="T88" s="381"/>
      <c r="U88" s="404"/>
      <c r="V88" s="405"/>
      <c r="W88" s="378"/>
      <c r="X88" s="530"/>
      <c r="Y88" s="530"/>
      <c r="Z88" s="530"/>
      <c r="AA88" s="530"/>
      <c r="AB88" s="535"/>
    </row>
    <row r="89" spans="2:28" ht="16.5">
      <c r="B89" s="733"/>
      <c r="C89" s="474">
        <f>+'HASIL PROD'!B187</f>
        <v>0</v>
      </c>
      <c r="D89" s="372">
        <f>SUMIF('HASIL PROD'!$B$4:$B$343,C89,'HASIL PROD'!$C$4:$C$343)</f>
        <v>0</v>
      </c>
      <c r="E89" s="373">
        <f t="shared" ref="E89:E91" si="96">+D89*3.875</f>
        <v>0</v>
      </c>
      <c r="F89" s="374">
        <f ca="1">SUMIF('DAILY OKEY AYAM'!$C$9:$C$173,$C89,'DAILY OKEY AYAM'!$K$9:$K$172)</f>
        <v>0</v>
      </c>
      <c r="G89" s="374">
        <f ca="1">SUMIF('DAILY OKEY AYAM'!$C$9:$C$173,$C89,'DAILY OKEY AYAM'!$L$9:$L$172)</f>
        <v>0</v>
      </c>
      <c r="H89" s="374">
        <f ca="1">SUMIF('DAILY OKEY AYAM'!$C$9:$C$173,$C89,'DAILY OKEY AYAM'!$M$9:$N$172)</f>
        <v>0</v>
      </c>
      <c r="I89" s="374">
        <f ca="1">SUMIF('DAILY OKEY AYAM'!$C$9:$C$173,$C89,'DAILY OKEY AYAM'!$O$9:$O$172)</f>
        <v>0</v>
      </c>
      <c r="J89" s="374">
        <f ca="1">SUMIF('DAILY OKEY AYAM'!$C$9:$C$173,$C89,'DAILY OKEY AYAM'!$P$9:$P$172)</f>
        <v>0</v>
      </c>
      <c r="K89" s="374">
        <f ca="1">SUMIF('DAILY OKEY AYAM'!$C$9:$C$173,$C89,'DAILY OKEY AYAM'!$R$9:$R$172)</f>
        <v>0</v>
      </c>
      <c r="L89" s="374">
        <f ca="1">SUMIF('DAILY OKEY AYAM'!$C$9:$C$173,$C89,'DAILY OKEY AYAM'!$S$9:$S$172)</f>
        <v>0</v>
      </c>
      <c r="M89" s="374">
        <f ca="1">SUMIF('DAILY OKEY AYAM'!$C$9:$C$173,$C89,'DAILY OKEY AYAM'!$T$9:$T$172)</f>
        <v>0</v>
      </c>
      <c r="N89" s="374">
        <f ca="1">SUMIF('DAILY OKEY AYAM'!$C$9:$C$173,$C89,'DAILY OKEY AYAM'!$U$9:$U$172)</f>
        <v>0</v>
      </c>
      <c r="O89" s="374">
        <f ca="1">SUMIF('DAILY OKEY AYAM'!$C$9:$C$173,$C89,'DAILY OKEY AYAM'!$V$9:$V$172)</f>
        <v>0</v>
      </c>
      <c r="P89" s="374">
        <f ca="1">SUMIF('DAILY OKEY AYAM'!$C$9:$C$173,$C89,'DAILY OKEY AYAM'!$W$9:$W$172)</f>
        <v>0</v>
      </c>
      <c r="Q89" s="374">
        <f ca="1">SUMIF('DAILY OKEY AYAM'!$C$9:$C$173,$C89,'DAILY OKEY AYAM'!$X$9:$X$172)</f>
        <v>0</v>
      </c>
      <c r="R89" s="374">
        <f t="shared" ca="1" si="94"/>
        <v>0</v>
      </c>
      <c r="S89" s="376" t="e">
        <f t="shared" ca="1" si="95"/>
        <v>#DIV/0!</v>
      </c>
      <c r="T89" s="381"/>
      <c r="U89" s="404"/>
      <c r="V89" s="405"/>
      <c r="W89" s="378"/>
      <c r="X89" s="530"/>
      <c r="Y89" s="530"/>
      <c r="Z89" s="530"/>
      <c r="AA89" s="530"/>
      <c r="AB89" s="535"/>
    </row>
    <row r="90" spans="2:28" ht="16.5">
      <c r="B90" s="733"/>
      <c r="C90" s="474">
        <f>+'HASIL PROD'!B188</f>
        <v>0</v>
      </c>
      <c r="D90" s="372">
        <f>SUMIF('HASIL PROD'!$B$4:$B$343,C90,'HASIL PROD'!$C$4:$C$343)</f>
        <v>0</v>
      </c>
      <c r="E90" s="373">
        <f t="shared" si="96"/>
        <v>0</v>
      </c>
      <c r="F90" s="374">
        <f ca="1">SUMIF('DAILY OKEY AYAM'!$C$9:$C$173,$C90,'DAILY OKEY AYAM'!$K$9:$K$172)</f>
        <v>0</v>
      </c>
      <c r="G90" s="374">
        <f ca="1">SUMIF('DAILY OKEY AYAM'!$C$9:$C$173,$C90,'DAILY OKEY AYAM'!$L$9:$L$172)</f>
        <v>0</v>
      </c>
      <c r="H90" s="374">
        <f ca="1">SUMIF('DAILY OKEY AYAM'!$C$9:$C$173,$C90,'DAILY OKEY AYAM'!$M$9:$N$172)</f>
        <v>0</v>
      </c>
      <c r="I90" s="374">
        <f ca="1">SUMIF('DAILY OKEY AYAM'!$C$9:$C$173,$C90,'DAILY OKEY AYAM'!$O$9:$O$172)</f>
        <v>0</v>
      </c>
      <c r="J90" s="374">
        <f ca="1">SUMIF('DAILY OKEY AYAM'!$C$9:$C$173,$C90,'DAILY OKEY AYAM'!$P$9:$P$172)</f>
        <v>0</v>
      </c>
      <c r="K90" s="374">
        <f ca="1">SUMIF('DAILY OKEY AYAM'!$C$9:$C$173,$C90,'DAILY OKEY AYAM'!$R$9:$R$172)</f>
        <v>0</v>
      </c>
      <c r="L90" s="374">
        <f ca="1">SUMIF('DAILY OKEY AYAM'!$C$9:$C$173,$C90,'DAILY OKEY AYAM'!$S$9:$S$172)</f>
        <v>0</v>
      </c>
      <c r="M90" s="374">
        <f ca="1">SUMIF('DAILY OKEY AYAM'!$C$9:$C$173,$C90,'DAILY OKEY AYAM'!$T$9:$T$172)</f>
        <v>0</v>
      </c>
      <c r="N90" s="374">
        <f ca="1">SUMIF('DAILY OKEY AYAM'!$C$9:$C$173,$C90,'DAILY OKEY AYAM'!$U$9:$U$172)</f>
        <v>0</v>
      </c>
      <c r="O90" s="374">
        <f ca="1">SUMIF('DAILY OKEY AYAM'!$C$9:$C$173,$C90,'DAILY OKEY AYAM'!$V$9:$V$172)</f>
        <v>0</v>
      </c>
      <c r="P90" s="374">
        <f ca="1">SUMIF('DAILY OKEY AYAM'!$C$9:$C$173,$C90,'DAILY OKEY AYAM'!$W$9:$W$172)</f>
        <v>0</v>
      </c>
      <c r="Q90" s="374">
        <f ca="1">SUMIF('DAILY OKEY AYAM'!$C$9:$C$173,$C90,'DAILY OKEY AYAM'!$X$9:$X$172)</f>
        <v>0</v>
      </c>
      <c r="R90" s="374">
        <f t="shared" ref="R90:R91" ca="1" si="97">+SUM(F90:Q90)</f>
        <v>0</v>
      </c>
      <c r="S90" s="376" t="e">
        <f t="shared" ca="1" si="95"/>
        <v>#DIV/0!</v>
      </c>
      <c r="T90" s="381"/>
      <c r="U90" s="404"/>
      <c r="V90" s="405"/>
      <c r="W90" s="378"/>
      <c r="X90" s="530"/>
      <c r="Y90" s="530"/>
      <c r="Z90" s="530"/>
      <c r="AA90" s="530"/>
      <c r="AB90" s="535"/>
    </row>
    <row r="91" spans="2:28" ht="16.5">
      <c r="B91" s="733"/>
      <c r="C91" s="474">
        <f>+'HASIL PROD'!B189</f>
        <v>0</v>
      </c>
      <c r="D91" s="372">
        <f>SUMIF('HASIL PROD'!$B$4:$B$343,C91,'HASIL PROD'!$C$4:$C$343)</f>
        <v>0</v>
      </c>
      <c r="E91" s="373">
        <f t="shared" si="96"/>
        <v>0</v>
      </c>
      <c r="F91" s="374">
        <f ca="1">SUMIF('DAILY OKEY AYAM'!$C$9:$C$173,$C91,'DAILY OKEY AYAM'!$K$9:$K$172)</f>
        <v>0</v>
      </c>
      <c r="G91" s="374">
        <f ca="1">SUMIF('DAILY OKEY AYAM'!$C$9:$C$173,$C91,'DAILY OKEY AYAM'!$L$9:$L$172)</f>
        <v>0</v>
      </c>
      <c r="H91" s="374">
        <f ca="1">SUMIF('DAILY OKEY AYAM'!$C$9:$C$173,$C91,'DAILY OKEY AYAM'!$M$9:$N$172)</f>
        <v>0</v>
      </c>
      <c r="I91" s="374">
        <f ca="1">SUMIF('DAILY OKEY AYAM'!$C$9:$C$173,$C91,'DAILY OKEY AYAM'!$O$9:$O$172)</f>
        <v>0</v>
      </c>
      <c r="J91" s="374">
        <f ca="1">SUMIF('DAILY OKEY AYAM'!$C$9:$C$173,$C91,'DAILY OKEY AYAM'!$P$9:$P$172)</f>
        <v>0</v>
      </c>
      <c r="K91" s="374">
        <f ca="1">SUMIF('DAILY OKEY AYAM'!$C$9:$C$173,$C91,'DAILY OKEY AYAM'!$R$9:$R$172)</f>
        <v>0</v>
      </c>
      <c r="L91" s="374">
        <f ca="1">SUMIF('DAILY OKEY AYAM'!$C$9:$C$173,$C91,'DAILY OKEY AYAM'!$S$9:$S$172)</f>
        <v>0</v>
      </c>
      <c r="M91" s="374">
        <f ca="1">SUMIF('DAILY OKEY AYAM'!$C$9:$C$173,$C91,'DAILY OKEY AYAM'!$T$9:$T$172)</f>
        <v>0</v>
      </c>
      <c r="N91" s="374">
        <f ca="1">SUMIF('DAILY OKEY AYAM'!$C$9:$C$173,$C91,'DAILY OKEY AYAM'!$U$9:$U$172)</f>
        <v>0</v>
      </c>
      <c r="O91" s="374">
        <f ca="1">SUMIF('DAILY OKEY AYAM'!$C$9:$C$173,$C91,'DAILY OKEY AYAM'!$V$9:$V$172)</f>
        <v>0</v>
      </c>
      <c r="P91" s="374">
        <f ca="1">SUMIF('DAILY OKEY AYAM'!$C$9:$C$173,$C91,'DAILY OKEY AYAM'!$W$9:$W$172)</f>
        <v>0</v>
      </c>
      <c r="Q91" s="374">
        <f ca="1">SUMIF('DAILY OKEY AYAM'!$C$9:$C$173,$C91,'DAILY OKEY AYAM'!$X$9:$X$172)</f>
        <v>0</v>
      </c>
      <c r="R91" s="374">
        <f t="shared" ca="1" si="97"/>
        <v>0</v>
      </c>
      <c r="S91" s="376" t="e">
        <f t="shared" ca="1" si="95"/>
        <v>#DIV/0!</v>
      </c>
      <c r="T91" s="381"/>
      <c r="U91" s="382"/>
      <c r="V91" s="383"/>
      <c r="W91" s="401"/>
      <c r="X91" s="530"/>
      <c r="Y91" s="530"/>
      <c r="Z91" s="530"/>
      <c r="AA91" s="530"/>
      <c r="AB91" s="535"/>
    </row>
    <row r="92" spans="2:28" ht="16.5">
      <c r="B92" s="733"/>
      <c r="C92" s="371"/>
      <c r="D92" s="372"/>
      <c r="E92" s="373"/>
      <c r="F92" s="379"/>
      <c r="G92" s="379"/>
      <c r="H92" s="379"/>
      <c r="I92" s="379"/>
      <c r="J92" s="379"/>
      <c r="K92" s="379"/>
      <c r="L92" s="379"/>
      <c r="M92" s="379"/>
      <c r="N92" s="379"/>
      <c r="O92" s="379"/>
      <c r="P92" s="379"/>
      <c r="Q92" s="379"/>
      <c r="R92" s="374"/>
      <c r="S92" s="380"/>
      <c r="T92" s="381"/>
      <c r="U92" s="374"/>
      <c r="V92" s="407"/>
      <c r="W92" s="408"/>
      <c r="X92" s="530"/>
      <c r="Y92" s="530"/>
      <c r="Z92" s="530"/>
      <c r="AA92" s="530"/>
      <c r="AB92" s="535"/>
    </row>
    <row r="93" spans="2:28" ht="16.5">
      <c r="B93" s="734"/>
      <c r="C93" s="385" t="s">
        <v>118</v>
      </c>
      <c r="D93" s="386">
        <f>SUM(D82:D92)</f>
        <v>2222</v>
      </c>
      <c r="E93" s="387">
        <f>SUM(E82:E92)</f>
        <v>8610.25</v>
      </c>
      <c r="F93" s="388">
        <f ca="1">SUM(F82:F92)</f>
        <v>11.629999999999999</v>
      </c>
      <c r="G93" s="388">
        <f t="shared" ref="G93:R93" ca="1" si="98">SUM(G82:G92)</f>
        <v>20.2</v>
      </c>
      <c r="H93" s="388">
        <f t="shared" ca="1" si="98"/>
        <v>0</v>
      </c>
      <c r="I93" s="388">
        <f t="shared" ca="1" si="98"/>
        <v>26.09</v>
      </c>
      <c r="J93" s="388">
        <f t="shared" ca="1" si="98"/>
        <v>2.3499999999999996</v>
      </c>
      <c r="K93" s="388">
        <f t="shared" ca="1" si="98"/>
        <v>3.3000000000000003</v>
      </c>
      <c r="L93" s="388">
        <f t="shared" ca="1" si="98"/>
        <v>0</v>
      </c>
      <c r="M93" s="388">
        <f t="shared" ca="1" si="98"/>
        <v>9.99</v>
      </c>
      <c r="N93" s="388">
        <f t="shared" ca="1" si="98"/>
        <v>0</v>
      </c>
      <c r="O93" s="388">
        <f t="shared" ca="1" si="98"/>
        <v>0.4</v>
      </c>
      <c r="P93" s="388">
        <f t="shared" ca="1" si="98"/>
        <v>0</v>
      </c>
      <c r="Q93" s="388">
        <f t="shared" ca="1" si="98"/>
        <v>0</v>
      </c>
      <c r="R93" s="388">
        <f t="shared" ca="1" si="98"/>
        <v>73.960000000000008</v>
      </c>
      <c r="S93" s="389"/>
      <c r="T93" s="402"/>
      <c r="U93" s="388"/>
      <c r="V93" s="389"/>
      <c r="W93" s="389"/>
      <c r="X93" s="530"/>
      <c r="Y93" s="530"/>
      <c r="Z93" s="530"/>
      <c r="AA93" s="530"/>
      <c r="AB93" s="535"/>
    </row>
    <row r="94" spans="2:28" ht="16.5">
      <c r="B94" s="406"/>
      <c r="C94" s="393" t="s">
        <v>114</v>
      </c>
      <c r="D94" s="394"/>
      <c r="E94" s="395"/>
      <c r="F94" s="396">
        <f ca="1">+F93/$E93</f>
        <v>1.3507157167329635E-3</v>
      </c>
      <c r="G94" s="396">
        <f t="shared" ref="G94" ca="1" si="99">+G93/$E93</f>
        <v>2.3460410557184751E-3</v>
      </c>
      <c r="H94" s="396">
        <f t="shared" ref="H94" ca="1" si="100">+H93/$E93</f>
        <v>0</v>
      </c>
      <c r="I94" s="396">
        <f t="shared" ref="I94" ca="1" si="101">+I93/$E93</f>
        <v>3.030109462559159E-3</v>
      </c>
      <c r="J94" s="396">
        <f t="shared" ref="J94" ca="1" si="102">+J93/$E93</f>
        <v>2.7293051885833743E-4</v>
      </c>
      <c r="K94" s="396">
        <f t="shared" ref="K94" ca="1" si="103">+K93/$E93</f>
        <v>3.8326413286489944E-4</v>
      </c>
      <c r="L94" s="396">
        <f t="shared" ref="L94" ca="1" si="104">+L93/$E93</f>
        <v>0</v>
      </c>
      <c r="M94" s="396">
        <f t="shared" ref="M94" ca="1" si="105">+M93/$E93</f>
        <v>1.1602450567637409E-3</v>
      </c>
      <c r="N94" s="396">
        <f t="shared" ref="N94" ca="1" si="106">+N93/$E93</f>
        <v>0</v>
      </c>
      <c r="O94" s="396">
        <f t="shared" ref="O94" ca="1" si="107">+O93/$E93</f>
        <v>4.6456258529078716E-5</v>
      </c>
      <c r="P94" s="396">
        <f t="shared" ref="P94" ca="1" si="108">+P93/$E93</f>
        <v>0</v>
      </c>
      <c r="Q94" s="396">
        <f t="shared" ref="Q94" ca="1" si="109">+Q93/$E93</f>
        <v>0</v>
      </c>
      <c r="R94" s="482">
        <f ca="1">+R93/$E93</f>
        <v>8.5897622020266549E-3</v>
      </c>
      <c r="S94" s="399"/>
      <c r="T94" s="402"/>
      <c r="U94" s="400"/>
      <c r="V94" s="389"/>
      <c r="W94" s="389"/>
      <c r="X94" s="530"/>
      <c r="Y94" s="530"/>
      <c r="Z94" s="530"/>
      <c r="AA94" s="530"/>
      <c r="AB94" s="535"/>
    </row>
    <row r="95" spans="2:28" ht="30">
      <c r="B95" s="732" t="s">
        <v>178</v>
      </c>
      <c r="C95" s="474" t="str">
        <f>+'HASIL PROD'!B213</f>
        <v>QG20701</v>
      </c>
      <c r="D95" s="372">
        <f>SUMIF('HASIL PROD'!$B$4:$B$343,C95,'HASIL PROD'!$C$4:$C$343)</f>
        <v>401</v>
      </c>
      <c r="E95" s="373">
        <f t="shared" ref="E95:E99" si="110">+D95*3.875</f>
        <v>1553.875</v>
      </c>
      <c r="F95" s="374">
        <f ca="1">SUMIF('DAILY OKEY AYAM'!$C$9:$C$173,$C95,'DAILY OKEY AYAM'!$K$9:$K$172)</f>
        <v>1.5</v>
      </c>
      <c r="G95" s="374">
        <f ca="1">SUMIF('DAILY OKEY AYAM'!$C$9:$C$173,$C95,'DAILY OKEY AYAM'!$L$9:$L$172)</f>
        <v>1.4</v>
      </c>
      <c r="H95" s="374">
        <f ca="1">SUMIF('DAILY OKEY AYAM'!$C$9:$C$173,$C95,'DAILY OKEY AYAM'!$M$9:$N$172)</f>
        <v>2.2000000000000002</v>
      </c>
      <c r="I95" s="374">
        <f ca="1">SUMIF('DAILY OKEY AYAM'!$C$9:$C$173,$C95,'DAILY OKEY AYAM'!$O$9:$O$172)</f>
        <v>3</v>
      </c>
      <c r="J95" s="374">
        <f ca="1">SUMIF('DAILY OKEY AYAM'!$C$9:$C$173,$C95,'DAILY OKEY AYAM'!$P$9:$P$172)</f>
        <v>0.37</v>
      </c>
      <c r="K95" s="374">
        <f ca="1">SUMIF('DAILY OKEY AYAM'!$C$9:$C$173,$C95,'DAILY OKEY AYAM'!$R$9:$R$172)</f>
        <v>0.68</v>
      </c>
      <c r="L95" s="374">
        <f ca="1">SUMIF('DAILY OKEY AYAM'!$C$9:$C$173,$C95,'DAILY OKEY AYAM'!$S$9:$S$172)</f>
        <v>2.2999999999999998</v>
      </c>
      <c r="M95" s="374">
        <f ca="1">SUMIF('DAILY OKEY AYAM'!$C$9:$C$173,$C95,'DAILY OKEY AYAM'!$T$9:$T$172)</f>
        <v>0.9</v>
      </c>
      <c r="N95" s="374">
        <f ca="1">SUMIF('DAILY OKEY AYAM'!$C$9:$C$173,$C95,'DAILY OKEY AYAM'!$U$9:$U$172)</f>
        <v>0</v>
      </c>
      <c r="O95" s="374">
        <f ca="1">SUMIF('DAILY OKEY AYAM'!$C$9:$C$173,$C95,'DAILY OKEY AYAM'!$V$9:$V$172)</f>
        <v>0</v>
      </c>
      <c r="P95" s="374">
        <f ca="1">SUMIF('DAILY OKEY AYAM'!$C$9:$C$173,$C95,'DAILY OKEY AYAM'!$W$9:$W$172)</f>
        <v>0</v>
      </c>
      <c r="Q95" s="374">
        <f ca="1">SUMIF('DAILY OKEY AYAM'!$C$9:$C$173,$C95,'DAILY OKEY AYAM'!$X$9:$X$172)</f>
        <v>0</v>
      </c>
      <c r="R95" s="374">
        <f t="shared" ref="R95:R102" ca="1" si="111">+SUM(F95:Q95)</f>
        <v>12.35</v>
      </c>
      <c r="S95" s="376">
        <f t="shared" ref="S95:S104" ca="1" si="112">+R95/E95</f>
        <v>7.947872254846753E-3</v>
      </c>
      <c r="T95" s="381"/>
      <c r="U95" s="511">
        <f ca="1">SUM(R95:R95)</f>
        <v>12.35</v>
      </c>
      <c r="V95" s="512">
        <f ca="1">+U95/(SUM(E95:E95))</f>
        <v>7.947872254846753E-3</v>
      </c>
      <c r="W95" s="378" t="s">
        <v>338</v>
      </c>
      <c r="X95" s="530" t="s">
        <v>315</v>
      </c>
      <c r="Y95" s="530" t="s">
        <v>319</v>
      </c>
      <c r="Z95" s="530" t="s">
        <v>312</v>
      </c>
      <c r="AA95" s="530" t="s">
        <v>318</v>
      </c>
      <c r="AB95" s="535"/>
    </row>
    <row r="96" spans="2:28" ht="16.5">
      <c r="B96" s="733"/>
      <c r="C96" s="474">
        <f>+'HASIL PROD'!B214</f>
        <v>0</v>
      </c>
      <c r="D96" s="372">
        <f>SUMIF('HASIL PROD'!$B$4:$B$343,C96,'HASIL PROD'!$C$4:$C$343)</f>
        <v>0</v>
      </c>
      <c r="E96" s="373">
        <f t="shared" si="110"/>
        <v>0</v>
      </c>
      <c r="F96" s="374">
        <f ca="1">SUMIF('DAILY OKEY AYAM'!$C$9:$C$173,$C96,'DAILY OKEY AYAM'!$K$9:$K$172)</f>
        <v>0</v>
      </c>
      <c r="G96" s="374">
        <f ca="1">SUMIF('DAILY OKEY AYAM'!$C$9:$C$173,$C96,'DAILY OKEY AYAM'!$L$9:$L$172)</f>
        <v>0</v>
      </c>
      <c r="H96" s="374">
        <f ca="1">SUMIF('DAILY OKEY AYAM'!$C$9:$C$173,$C96,'DAILY OKEY AYAM'!$M$9:$N$172)</f>
        <v>0</v>
      </c>
      <c r="I96" s="374">
        <f ca="1">SUMIF('DAILY OKEY AYAM'!$C$9:$C$173,$C96,'DAILY OKEY AYAM'!$O$9:$O$172)</f>
        <v>0</v>
      </c>
      <c r="J96" s="374">
        <f ca="1">SUMIF('DAILY OKEY AYAM'!$C$9:$C$173,$C96,'DAILY OKEY AYAM'!$P$9:$P$172)</f>
        <v>0</v>
      </c>
      <c r="K96" s="374">
        <f ca="1">SUMIF('DAILY OKEY AYAM'!$C$9:$C$173,$C96,'DAILY OKEY AYAM'!$R$9:$R$172)</f>
        <v>0</v>
      </c>
      <c r="L96" s="374">
        <f ca="1">SUMIF('DAILY OKEY AYAM'!$C$9:$C$173,$C96,'DAILY OKEY AYAM'!$S$9:$S$172)</f>
        <v>0</v>
      </c>
      <c r="M96" s="374">
        <f ca="1">SUMIF('DAILY OKEY AYAM'!$C$9:$C$173,$C96,'DAILY OKEY AYAM'!$T$9:$T$172)</f>
        <v>0</v>
      </c>
      <c r="N96" s="374">
        <f ca="1">SUMIF('DAILY OKEY AYAM'!$C$9:$C$173,$C96,'DAILY OKEY AYAM'!$U$9:$U$172)</f>
        <v>0</v>
      </c>
      <c r="O96" s="374">
        <f ca="1">SUMIF('DAILY OKEY AYAM'!$C$9:$C$173,$C96,'DAILY OKEY AYAM'!$V$9:$V$172)</f>
        <v>0</v>
      </c>
      <c r="P96" s="374">
        <f ca="1">SUMIF('DAILY OKEY AYAM'!$C$9:$C$173,$C96,'DAILY OKEY AYAM'!$W$9:$W$172)</f>
        <v>0</v>
      </c>
      <c r="Q96" s="374">
        <f ca="1">SUMIF('DAILY OKEY AYAM'!$C$9:$C$173,$C96,'DAILY OKEY AYAM'!$X$9:$X$172)</f>
        <v>0</v>
      </c>
      <c r="R96" s="374">
        <f t="shared" ca="1" si="111"/>
        <v>0</v>
      </c>
      <c r="S96" s="376" t="e">
        <f t="shared" ca="1" si="112"/>
        <v>#DIV/0!</v>
      </c>
      <c r="T96" s="381"/>
      <c r="U96" s="404"/>
      <c r="V96" s="405"/>
      <c r="W96" s="378"/>
      <c r="X96" s="530"/>
      <c r="Y96" s="530"/>
      <c r="Z96" s="530"/>
      <c r="AA96" s="530"/>
      <c r="AB96" s="535"/>
    </row>
    <row r="97" spans="2:28" ht="16.5">
      <c r="B97" s="733"/>
      <c r="C97" s="474">
        <f>+'HASIL PROD'!B215</f>
        <v>0</v>
      </c>
      <c r="D97" s="372">
        <f>SUMIF('HASIL PROD'!$B$4:$B$343,C97,'HASIL PROD'!$C$4:$C$343)</f>
        <v>0</v>
      </c>
      <c r="E97" s="373">
        <f t="shared" si="110"/>
        <v>0</v>
      </c>
      <c r="F97" s="374">
        <f ca="1">SUMIF('DAILY OKEY AYAM'!$C$9:$C$173,$C97,'DAILY OKEY AYAM'!$K$9:$K$172)</f>
        <v>0</v>
      </c>
      <c r="G97" s="374">
        <f ca="1">SUMIF('DAILY OKEY AYAM'!$C$9:$C$173,$C97,'DAILY OKEY AYAM'!$L$9:$L$172)</f>
        <v>0</v>
      </c>
      <c r="H97" s="374">
        <f ca="1">SUMIF('DAILY OKEY AYAM'!$C$9:$C$173,$C97,'DAILY OKEY AYAM'!$M$9:$N$172)</f>
        <v>0</v>
      </c>
      <c r="I97" s="374">
        <f ca="1">SUMIF('DAILY OKEY AYAM'!$C$9:$C$173,$C97,'DAILY OKEY AYAM'!$O$9:$O$172)</f>
        <v>0</v>
      </c>
      <c r="J97" s="374">
        <f ca="1">SUMIF('DAILY OKEY AYAM'!$C$9:$C$173,$C97,'DAILY OKEY AYAM'!$P$9:$P$172)</f>
        <v>0</v>
      </c>
      <c r="K97" s="374">
        <f ca="1">SUMIF('DAILY OKEY AYAM'!$C$9:$C$173,$C97,'DAILY OKEY AYAM'!$R$9:$R$172)</f>
        <v>0</v>
      </c>
      <c r="L97" s="374">
        <f ca="1">SUMIF('DAILY OKEY AYAM'!$C$9:$C$173,$C97,'DAILY OKEY AYAM'!$S$9:$S$172)</f>
        <v>0</v>
      </c>
      <c r="M97" s="374">
        <f ca="1">SUMIF('DAILY OKEY AYAM'!$C$9:$C$173,$C97,'DAILY OKEY AYAM'!$T$9:$T$172)</f>
        <v>0</v>
      </c>
      <c r="N97" s="374">
        <f ca="1">SUMIF('DAILY OKEY AYAM'!$C$9:$C$173,$C97,'DAILY OKEY AYAM'!$U$9:$U$172)</f>
        <v>0</v>
      </c>
      <c r="O97" s="374">
        <f ca="1">SUMIF('DAILY OKEY AYAM'!$C$9:$C$173,$C97,'DAILY OKEY AYAM'!$V$9:$V$172)</f>
        <v>0</v>
      </c>
      <c r="P97" s="374">
        <f ca="1">SUMIF('DAILY OKEY AYAM'!$C$9:$C$173,$C97,'DAILY OKEY AYAM'!$W$9:$W$172)</f>
        <v>0</v>
      </c>
      <c r="Q97" s="374">
        <f ca="1">SUMIF('DAILY OKEY AYAM'!$C$9:$C$173,$C97,'DAILY OKEY AYAM'!$X$9:$X$172)</f>
        <v>0</v>
      </c>
      <c r="R97" s="374">
        <f t="shared" ca="1" si="111"/>
        <v>0</v>
      </c>
      <c r="S97" s="376" t="e">
        <f t="shared" ca="1" si="112"/>
        <v>#DIV/0!</v>
      </c>
      <c r="T97" s="381"/>
      <c r="U97" s="404"/>
      <c r="V97" s="405"/>
      <c r="W97" s="378"/>
      <c r="X97" s="530"/>
      <c r="Y97" s="530"/>
      <c r="Z97" s="530"/>
      <c r="AA97" s="530"/>
      <c r="AB97" s="535"/>
    </row>
    <row r="98" spans="2:28" ht="16.5">
      <c r="B98" s="733"/>
      <c r="C98" s="474">
        <f>+'HASIL PROD'!B216</f>
        <v>0</v>
      </c>
      <c r="D98" s="372">
        <f>SUMIF('HASIL PROD'!$B$4:$B$343,C98,'HASIL PROD'!$C$4:$C$343)</f>
        <v>0</v>
      </c>
      <c r="E98" s="373">
        <f t="shared" si="110"/>
        <v>0</v>
      </c>
      <c r="F98" s="374">
        <f ca="1">SUMIF('DAILY OKEY AYAM'!$C$9:$C$173,$C98,'DAILY OKEY AYAM'!$K$9:$K$172)</f>
        <v>0</v>
      </c>
      <c r="G98" s="374">
        <f ca="1">SUMIF('DAILY OKEY AYAM'!$C$9:$C$173,$C98,'DAILY OKEY AYAM'!$L$9:$L$172)</f>
        <v>0</v>
      </c>
      <c r="H98" s="374">
        <f ca="1">SUMIF('DAILY OKEY AYAM'!$C$9:$C$173,$C98,'DAILY OKEY AYAM'!$M$9:$N$172)</f>
        <v>0</v>
      </c>
      <c r="I98" s="374">
        <f ca="1">SUMIF('DAILY OKEY AYAM'!$C$9:$C$173,$C98,'DAILY OKEY AYAM'!$O$9:$O$172)</f>
        <v>0</v>
      </c>
      <c r="J98" s="374">
        <f ca="1">SUMIF('DAILY OKEY AYAM'!$C$9:$C$173,$C98,'DAILY OKEY AYAM'!$P$9:$P$172)</f>
        <v>0</v>
      </c>
      <c r="K98" s="374">
        <f ca="1">SUMIF('DAILY OKEY AYAM'!$C$9:$C$173,$C98,'DAILY OKEY AYAM'!$R$9:$R$172)</f>
        <v>0</v>
      </c>
      <c r="L98" s="374">
        <f ca="1">SUMIF('DAILY OKEY AYAM'!$C$9:$C$173,$C98,'DAILY OKEY AYAM'!$S$9:$S$172)</f>
        <v>0</v>
      </c>
      <c r="M98" s="374">
        <f ca="1">SUMIF('DAILY OKEY AYAM'!$C$9:$C$173,$C98,'DAILY OKEY AYAM'!$T$9:$T$172)</f>
        <v>0</v>
      </c>
      <c r="N98" s="374">
        <f ca="1">SUMIF('DAILY OKEY AYAM'!$C$9:$C$173,$C98,'DAILY OKEY AYAM'!$U$9:$U$172)</f>
        <v>0</v>
      </c>
      <c r="O98" s="374">
        <f ca="1">SUMIF('DAILY OKEY AYAM'!$C$9:$C$173,$C98,'DAILY OKEY AYAM'!$V$9:$V$172)</f>
        <v>0</v>
      </c>
      <c r="P98" s="374">
        <f ca="1">SUMIF('DAILY OKEY AYAM'!$C$9:$C$173,$C98,'DAILY OKEY AYAM'!$W$9:$W$172)</f>
        <v>0</v>
      </c>
      <c r="Q98" s="374">
        <f ca="1">SUMIF('DAILY OKEY AYAM'!$C$9:$C$173,$C98,'DAILY OKEY AYAM'!$X$9:$X$172)</f>
        <v>0</v>
      </c>
      <c r="R98" s="374">
        <f t="shared" ca="1" si="111"/>
        <v>0</v>
      </c>
      <c r="S98" s="376" t="e">
        <f t="shared" ca="1" si="112"/>
        <v>#DIV/0!</v>
      </c>
      <c r="T98" s="381"/>
      <c r="U98" s="404"/>
      <c r="V98" s="405"/>
      <c r="W98" s="378"/>
      <c r="X98" s="530"/>
      <c r="Y98" s="530"/>
      <c r="Z98" s="530"/>
      <c r="AA98" s="530"/>
      <c r="AB98" s="535"/>
    </row>
    <row r="99" spans="2:28" ht="16.5">
      <c r="B99" s="733"/>
      <c r="C99" s="474">
        <f>+'HASIL PROD'!B217</f>
        <v>0</v>
      </c>
      <c r="D99" s="372">
        <f>SUMIF('HASIL PROD'!$B$4:$B$343,C99,'HASIL PROD'!$C$4:$C$343)</f>
        <v>0</v>
      </c>
      <c r="E99" s="373">
        <f t="shared" si="110"/>
        <v>0</v>
      </c>
      <c r="F99" s="374">
        <f ca="1">SUMIF('DAILY OKEY AYAM'!$C$9:$C$173,$C99,'DAILY OKEY AYAM'!$K$9:$K$172)</f>
        <v>0</v>
      </c>
      <c r="G99" s="374">
        <f ca="1">SUMIF('DAILY OKEY AYAM'!$C$9:$C$173,$C99,'DAILY OKEY AYAM'!$L$9:$L$172)</f>
        <v>0</v>
      </c>
      <c r="H99" s="374">
        <f ca="1">SUMIF('DAILY OKEY AYAM'!$C$9:$C$173,$C99,'DAILY OKEY AYAM'!$M$9:$N$172)</f>
        <v>0</v>
      </c>
      <c r="I99" s="374">
        <f ca="1">SUMIF('DAILY OKEY AYAM'!$C$9:$C$173,$C99,'DAILY OKEY AYAM'!$O$9:$O$172)</f>
        <v>0</v>
      </c>
      <c r="J99" s="374">
        <f ca="1">SUMIF('DAILY OKEY AYAM'!$C$9:$C$173,$C99,'DAILY OKEY AYAM'!$P$9:$P$172)</f>
        <v>0</v>
      </c>
      <c r="K99" s="374">
        <f ca="1">SUMIF('DAILY OKEY AYAM'!$C$9:$C$173,$C99,'DAILY OKEY AYAM'!$R$9:$R$172)</f>
        <v>0</v>
      </c>
      <c r="L99" s="374">
        <f ca="1">SUMIF('DAILY OKEY AYAM'!$C$9:$C$173,$C99,'DAILY OKEY AYAM'!$S$9:$S$172)</f>
        <v>0</v>
      </c>
      <c r="M99" s="374">
        <f ca="1">SUMIF('DAILY OKEY AYAM'!$C$9:$C$173,$C99,'DAILY OKEY AYAM'!$T$9:$T$172)</f>
        <v>0</v>
      </c>
      <c r="N99" s="374">
        <f ca="1">SUMIF('DAILY OKEY AYAM'!$C$9:$C$173,$C99,'DAILY OKEY AYAM'!$U$9:$U$172)</f>
        <v>0</v>
      </c>
      <c r="O99" s="374">
        <f ca="1">SUMIF('DAILY OKEY AYAM'!$C$9:$C$173,$C99,'DAILY OKEY AYAM'!$V$9:$V$172)</f>
        <v>0</v>
      </c>
      <c r="P99" s="374">
        <f ca="1">SUMIF('DAILY OKEY AYAM'!$C$9:$C$173,$C99,'DAILY OKEY AYAM'!$W$9:$W$172)</f>
        <v>0</v>
      </c>
      <c r="Q99" s="374">
        <f ca="1">SUMIF('DAILY OKEY AYAM'!$C$9:$C$173,$C99,'DAILY OKEY AYAM'!$X$9:$X$172)</f>
        <v>0</v>
      </c>
      <c r="R99" s="374">
        <f t="shared" ca="1" si="111"/>
        <v>0</v>
      </c>
      <c r="S99" s="376" t="e">
        <f t="shared" ca="1" si="112"/>
        <v>#DIV/0!</v>
      </c>
      <c r="T99" s="381"/>
      <c r="U99" s="404"/>
      <c r="V99" s="405"/>
      <c r="W99" s="378"/>
      <c r="X99" s="530"/>
      <c r="Y99" s="530"/>
      <c r="Z99" s="530"/>
      <c r="AA99" s="530"/>
      <c r="AB99" s="535"/>
    </row>
    <row r="100" spans="2:28" ht="16.5">
      <c r="B100" s="733"/>
      <c r="C100" s="474">
        <f>+'HASIL PROD'!B218</f>
        <v>0</v>
      </c>
      <c r="D100" s="372">
        <f>SUMIF('HASIL PROD'!$B$4:$B$343,C100,'HASIL PROD'!$C$4:$C$343)</f>
        <v>0</v>
      </c>
      <c r="E100" s="373">
        <f>+D100*3.875</f>
        <v>0</v>
      </c>
      <c r="F100" s="374">
        <f ca="1">SUMIF('DAILY OKEY AYAM'!$C$9:$C$173,$C100,'DAILY OKEY AYAM'!$K$9:$K$172)</f>
        <v>0</v>
      </c>
      <c r="G100" s="374">
        <f ca="1">SUMIF('DAILY OKEY AYAM'!$C$9:$C$173,$C100,'DAILY OKEY AYAM'!$L$9:$L$172)</f>
        <v>0</v>
      </c>
      <c r="H100" s="374">
        <f ca="1">SUMIF('DAILY OKEY AYAM'!$C$9:$C$173,$C100,'DAILY OKEY AYAM'!$M$9:$N$172)</f>
        <v>0</v>
      </c>
      <c r="I100" s="374">
        <f ca="1">SUMIF('DAILY OKEY AYAM'!$C$9:$C$173,$C100,'DAILY OKEY AYAM'!$O$9:$O$172)</f>
        <v>0</v>
      </c>
      <c r="J100" s="374">
        <f ca="1">SUMIF('DAILY OKEY AYAM'!$C$9:$C$173,$C100,'DAILY OKEY AYAM'!$P$9:$P$172)</f>
        <v>0</v>
      </c>
      <c r="K100" s="374">
        <f ca="1">SUMIF('DAILY OKEY AYAM'!$C$9:$C$173,$C100,'DAILY OKEY AYAM'!$R$9:$R$172)</f>
        <v>0</v>
      </c>
      <c r="L100" s="374">
        <f ca="1">SUMIF('DAILY OKEY AYAM'!$C$9:$C$173,$C100,'DAILY OKEY AYAM'!$S$9:$S$172)</f>
        <v>0</v>
      </c>
      <c r="M100" s="374">
        <f ca="1">SUMIF('DAILY OKEY AYAM'!$C$9:$C$173,$C100,'DAILY OKEY AYAM'!$T$9:$T$172)</f>
        <v>0</v>
      </c>
      <c r="N100" s="374">
        <f ca="1">SUMIF('DAILY OKEY AYAM'!$C$9:$C$173,$C100,'DAILY OKEY AYAM'!$U$9:$U$172)</f>
        <v>0</v>
      </c>
      <c r="O100" s="374">
        <f ca="1">SUMIF('DAILY OKEY AYAM'!$C$9:$C$173,$C100,'DAILY OKEY AYAM'!$V$9:$V$172)</f>
        <v>0</v>
      </c>
      <c r="P100" s="374">
        <f ca="1">SUMIF('DAILY OKEY AYAM'!$C$9:$C$173,$C100,'DAILY OKEY AYAM'!$W$9:$W$172)</f>
        <v>0</v>
      </c>
      <c r="Q100" s="374">
        <f ca="1">SUMIF('DAILY OKEY AYAM'!$C$9:$C$173,$C100,'DAILY OKEY AYAM'!$X$9:$X$172)</f>
        <v>0</v>
      </c>
      <c r="R100" s="374">
        <f t="shared" ca="1" si="111"/>
        <v>0</v>
      </c>
      <c r="S100" s="376" t="e">
        <f t="shared" ca="1" si="112"/>
        <v>#DIV/0!</v>
      </c>
      <c r="T100" s="381"/>
      <c r="U100" s="404"/>
      <c r="V100" s="405"/>
      <c r="W100" s="378"/>
      <c r="X100" s="530"/>
      <c r="Y100" s="530"/>
      <c r="Z100" s="530"/>
      <c r="AA100" s="530"/>
      <c r="AB100" s="535"/>
    </row>
    <row r="101" spans="2:28" ht="16.5">
      <c r="B101" s="733"/>
      <c r="C101" s="474">
        <f>+'HASIL PROD'!B219</f>
        <v>0</v>
      </c>
      <c r="D101" s="372">
        <f>SUMIF('HASIL PROD'!$B$4:$B$343,C101,'HASIL PROD'!$C$4:$C$343)</f>
        <v>0</v>
      </c>
      <c r="E101" s="373">
        <f>+D101*3.875</f>
        <v>0</v>
      </c>
      <c r="F101" s="374">
        <f ca="1">SUMIF('DAILY OKEY AYAM'!$C$9:$C$173,$C101,'DAILY OKEY AYAM'!$K$9:$K$172)</f>
        <v>0</v>
      </c>
      <c r="G101" s="374">
        <f ca="1">SUMIF('DAILY OKEY AYAM'!$C$9:$C$173,$C101,'DAILY OKEY AYAM'!$L$9:$L$172)</f>
        <v>0</v>
      </c>
      <c r="H101" s="374">
        <f ca="1">SUMIF('DAILY OKEY AYAM'!$C$9:$C$173,$C101,'DAILY OKEY AYAM'!$M$9:$N$172)</f>
        <v>0</v>
      </c>
      <c r="I101" s="374">
        <f ca="1">SUMIF('DAILY OKEY AYAM'!$C$9:$C$173,$C101,'DAILY OKEY AYAM'!$O$9:$O$172)</f>
        <v>0</v>
      </c>
      <c r="J101" s="374">
        <f ca="1">SUMIF('DAILY OKEY AYAM'!$C$9:$C$173,$C101,'DAILY OKEY AYAM'!$P$9:$P$172)</f>
        <v>0</v>
      </c>
      <c r="K101" s="374">
        <f ca="1">SUMIF('DAILY OKEY AYAM'!$C$9:$C$173,$C101,'DAILY OKEY AYAM'!$R$9:$R$172)</f>
        <v>0</v>
      </c>
      <c r="L101" s="374">
        <f ca="1">SUMIF('DAILY OKEY AYAM'!$C$9:$C$173,$C101,'DAILY OKEY AYAM'!$S$9:$S$172)</f>
        <v>0</v>
      </c>
      <c r="M101" s="374">
        <f ca="1">SUMIF('DAILY OKEY AYAM'!$C$9:$C$173,$C101,'DAILY OKEY AYAM'!$T$9:$T$172)</f>
        <v>0</v>
      </c>
      <c r="N101" s="374">
        <f ca="1">SUMIF('DAILY OKEY AYAM'!$C$9:$C$173,$C101,'DAILY OKEY AYAM'!$U$9:$U$172)</f>
        <v>0</v>
      </c>
      <c r="O101" s="374">
        <f ca="1">SUMIF('DAILY OKEY AYAM'!$C$9:$C$173,$C101,'DAILY OKEY AYAM'!$V$9:$V$172)</f>
        <v>0</v>
      </c>
      <c r="P101" s="374">
        <f ca="1">SUMIF('DAILY OKEY AYAM'!$C$9:$C$173,$C101,'DAILY OKEY AYAM'!$W$9:$W$172)</f>
        <v>0</v>
      </c>
      <c r="Q101" s="374">
        <f ca="1">SUMIF('DAILY OKEY AYAM'!$C$9:$C$173,$C101,'DAILY OKEY AYAM'!$X$9:$X$172)</f>
        <v>0</v>
      </c>
      <c r="R101" s="374">
        <f t="shared" ca="1" si="111"/>
        <v>0</v>
      </c>
      <c r="S101" s="376" t="e">
        <f t="shared" ca="1" si="112"/>
        <v>#DIV/0!</v>
      </c>
      <c r="T101" s="381"/>
      <c r="U101" s="404"/>
      <c r="V101" s="405"/>
      <c r="W101" s="378"/>
      <c r="X101" s="530"/>
      <c r="Y101" s="530"/>
      <c r="Z101" s="530"/>
      <c r="AA101" s="530"/>
      <c r="AB101" s="535"/>
    </row>
    <row r="102" spans="2:28" ht="16.5">
      <c r="B102" s="733"/>
      <c r="C102" s="474">
        <f>+'HASIL PROD'!B220</f>
        <v>0</v>
      </c>
      <c r="D102" s="372">
        <f>SUMIF('HASIL PROD'!$B$4:$B$343,C102,'HASIL PROD'!$C$4:$C$343)</f>
        <v>0</v>
      </c>
      <c r="E102" s="373">
        <f t="shared" ref="E102:E104" si="113">+D102*3.875</f>
        <v>0</v>
      </c>
      <c r="F102" s="374">
        <f ca="1">SUMIF('DAILY OKEY AYAM'!$C$9:$C$173,$C102,'DAILY OKEY AYAM'!$K$9:$K$172)</f>
        <v>0</v>
      </c>
      <c r="G102" s="374">
        <f ca="1">SUMIF('DAILY OKEY AYAM'!$C$9:$C$173,$C102,'DAILY OKEY AYAM'!$L$9:$L$172)</f>
        <v>0</v>
      </c>
      <c r="H102" s="374">
        <f ca="1">SUMIF('DAILY OKEY AYAM'!$C$9:$C$173,$C102,'DAILY OKEY AYAM'!$M$9:$N$172)</f>
        <v>0</v>
      </c>
      <c r="I102" s="374">
        <f ca="1">SUMIF('DAILY OKEY AYAM'!$C$9:$C$173,$C102,'DAILY OKEY AYAM'!$O$9:$O$172)</f>
        <v>0</v>
      </c>
      <c r="J102" s="374">
        <f ca="1">SUMIF('DAILY OKEY AYAM'!$C$9:$C$173,$C102,'DAILY OKEY AYAM'!$P$9:$P$172)</f>
        <v>0</v>
      </c>
      <c r="K102" s="374">
        <f ca="1">SUMIF('DAILY OKEY AYAM'!$C$9:$C$173,$C102,'DAILY OKEY AYAM'!$R$9:$R$172)</f>
        <v>0</v>
      </c>
      <c r="L102" s="374">
        <f ca="1">SUMIF('DAILY OKEY AYAM'!$C$9:$C$173,$C102,'DAILY OKEY AYAM'!$S$9:$S$172)</f>
        <v>0</v>
      </c>
      <c r="M102" s="374">
        <f ca="1">SUMIF('DAILY OKEY AYAM'!$C$9:$C$173,$C102,'DAILY OKEY AYAM'!$T$9:$T$172)</f>
        <v>0</v>
      </c>
      <c r="N102" s="374">
        <f ca="1">SUMIF('DAILY OKEY AYAM'!$C$9:$C$173,$C102,'DAILY OKEY AYAM'!$U$9:$U$172)</f>
        <v>0</v>
      </c>
      <c r="O102" s="374">
        <f ca="1">SUMIF('DAILY OKEY AYAM'!$C$9:$C$173,$C102,'DAILY OKEY AYAM'!$V$9:$V$172)</f>
        <v>0</v>
      </c>
      <c r="P102" s="374">
        <f ca="1">SUMIF('DAILY OKEY AYAM'!$C$9:$C$173,$C102,'DAILY OKEY AYAM'!$W$9:$W$172)</f>
        <v>0</v>
      </c>
      <c r="Q102" s="374">
        <f ca="1">SUMIF('DAILY OKEY AYAM'!$C$9:$C$173,$C102,'DAILY OKEY AYAM'!$X$9:$X$172)</f>
        <v>0</v>
      </c>
      <c r="R102" s="374">
        <f t="shared" ca="1" si="111"/>
        <v>0</v>
      </c>
      <c r="S102" s="376" t="e">
        <f t="shared" ca="1" si="112"/>
        <v>#DIV/0!</v>
      </c>
      <c r="T102" s="381"/>
      <c r="U102" s="404"/>
      <c r="V102" s="405"/>
      <c r="W102" s="378"/>
      <c r="X102" s="530"/>
      <c r="Y102" s="530"/>
      <c r="Z102" s="530"/>
      <c r="AA102" s="530"/>
      <c r="AB102" s="535"/>
    </row>
    <row r="103" spans="2:28" ht="16.5">
      <c r="B103" s="733"/>
      <c r="C103" s="474">
        <f>+'HASIL PROD'!B221</f>
        <v>0</v>
      </c>
      <c r="D103" s="372">
        <f>SUMIF('HASIL PROD'!$B$4:$B$343,C103,'HASIL PROD'!$C$4:$C$343)</f>
        <v>0</v>
      </c>
      <c r="E103" s="373">
        <f t="shared" si="113"/>
        <v>0</v>
      </c>
      <c r="F103" s="374">
        <f ca="1">SUMIF('DAILY OKEY AYAM'!$C$9:$C$173,$C103,'DAILY OKEY AYAM'!$K$9:$K$172)</f>
        <v>0</v>
      </c>
      <c r="G103" s="374">
        <f ca="1">SUMIF('DAILY OKEY AYAM'!$C$9:$C$173,$C103,'DAILY OKEY AYAM'!$L$9:$L$172)</f>
        <v>0</v>
      </c>
      <c r="H103" s="374">
        <f ca="1">SUMIF('DAILY OKEY AYAM'!$C$9:$C$173,$C103,'DAILY OKEY AYAM'!$M$9:$N$172)</f>
        <v>0</v>
      </c>
      <c r="I103" s="374">
        <f ca="1">SUMIF('DAILY OKEY AYAM'!$C$9:$C$173,$C103,'DAILY OKEY AYAM'!$O$9:$O$172)</f>
        <v>0</v>
      </c>
      <c r="J103" s="374">
        <f ca="1">SUMIF('DAILY OKEY AYAM'!$C$9:$C$173,$C103,'DAILY OKEY AYAM'!$P$9:$P$172)</f>
        <v>0</v>
      </c>
      <c r="K103" s="374">
        <f ca="1">SUMIF('DAILY OKEY AYAM'!$C$9:$C$173,$C103,'DAILY OKEY AYAM'!$R$9:$R$172)</f>
        <v>0</v>
      </c>
      <c r="L103" s="374">
        <f ca="1">SUMIF('DAILY OKEY AYAM'!$C$9:$C$173,$C103,'DAILY OKEY AYAM'!$S$9:$S$172)</f>
        <v>0</v>
      </c>
      <c r="M103" s="374">
        <f ca="1">SUMIF('DAILY OKEY AYAM'!$C$9:$C$173,$C103,'DAILY OKEY AYAM'!$T$9:$T$172)</f>
        <v>0</v>
      </c>
      <c r="N103" s="374">
        <f ca="1">SUMIF('DAILY OKEY AYAM'!$C$9:$C$173,$C103,'DAILY OKEY AYAM'!$U$9:$U$172)</f>
        <v>0</v>
      </c>
      <c r="O103" s="374">
        <f ca="1">SUMIF('DAILY OKEY AYAM'!$C$9:$C$173,$C103,'DAILY OKEY AYAM'!$V$9:$V$172)</f>
        <v>0</v>
      </c>
      <c r="P103" s="374">
        <f ca="1">SUMIF('DAILY OKEY AYAM'!$C$9:$C$173,$C103,'DAILY OKEY AYAM'!$W$9:$W$172)</f>
        <v>0</v>
      </c>
      <c r="Q103" s="374">
        <f ca="1">SUMIF('DAILY OKEY AYAM'!$C$9:$C$173,$C103,'DAILY OKEY AYAM'!$X$9:$X$172)</f>
        <v>0</v>
      </c>
      <c r="R103" s="374">
        <f t="shared" ref="R103:R104" ca="1" si="114">+SUM(F103:Q103)</f>
        <v>0</v>
      </c>
      <c r="S103" s="376" t="e">
        <f t="shared" ca="1" si="112"/>
        <v>#DIV/0!</v>
      </c>
      <c r="T103" s="381"/>
      <c r="U103" s="404"/>
      <c r="V103" s="405"/>
      <c r="W103" s="378"/>
      <c r="X103" s="530"/>
      <c r="Y103" s="530"/>
      <c r="Z103" s="530"/>
      <c r="AA103" s="530"/>
      <c r="AB103" s="535"/>
    </row>
    <row r="104" spans="2:28" ht="16.5">
      <c r="B104" s="733"/>
      <c r="C104" s="474">
        <f>+'HASIL PROD'!B222</f>
        <v>0</v>
      </c>
      <c r="D104" s="372">
        <f>SUMIF('HASIL PROD'!$B$4:$B$343,C104,'HASIL PROD'!$C$4:$C$343)</f>
        <v>0</v>
      </c>
      <c r="E104" s="373">
        <f t="shared" si="113"/>
        <v>0</v>
      </c>
      <c r="F104" s="374">
        <f ca="1">SUMIF('DAILY OKEY AYAM'!$C$9:$C$173,$C104,'DAILY OKEY AYAM'!$K$9:$K$172)</f>
        <v>0</v>
      </c>
      <c r="G104" s="374">
        <f ca="1">SUMIF('DAILY OKEY AYAM'!$C$9:$C$173,$C104,'DAILY OKEY AYAM'!$L$9:$L$172)</f>
        <v>0</v>
      </c>
      <c r="H104" s="374">
        <f ca="1">SUMIF('DAILY OKEY AYAM'!$C$9:$C$173,$C104,'DAILY OKEY AYAM'!$M$9:$N$172)</f>
        <v>0</v>
      </c>
      <c r="I104" s="374">
        <f ca="1">SUMIF('DAILY OKEY AYAM'!$C$9:$C$173,$C104,'DAILY OKEY AYAM'!$O$9:$O$172)</f>
        <v>0</v>
      </c>
      <c r="J104" s="374">
        <f ca="1">SUMIF('DAILY OKEY AYAM'!$C$9:$C$173,$C104,'DAILY OKEY AYAM'!$P$9:$P$172)</f>
        <v>0</v>
      </c>
      <c r="K104" s="374">
        <f ca="1">SUMIF('DAILY OKEY AYAM'!$C$9:$C$173,$C104,'DAILY OKEY AYAM'!$R$9:$R$172)</f>
        <v>0</v>
      </c>
      <c r="L104" s="374">
        <f ca="1">SUMIF('DAILY OKEY AYAM'!$C$9:$C$173,$C104,'DAILY OKEY AYAM'!$S$9:$S$172)</f>
        <v>0</v>
      </c>
      <c r="M104" s="374">
        <f ca="1">SUMIF('DAILY OKEY AYAM'!$C$9:$C$173,$C104,'DAILY OKEY AYAM'!$T$9:$T$172)</f>
        <v>0</v>
      </c>
      <c r="N104" s="374">
        <f ca="1">SUMIF('DAILY OKEY AYAM'!$C$9:$C$173,$C104,'DAILY OKEY AYAM'!$U$9:$U$172)</f>
        <v>0</v>
      </c>
      <c r="O104" s="374">
        <f ca="1">SUMIF('DAILY OKEY AYAM'!$C$9:$C$173,$C104,'DAILY OKEY AYAM'!$V$9:$V$172)</f>
        <v>0</v>
      </c>
      <c r="P104" s="374">
        <f ca="1">SUMIF('DAILY OKEY AYAM'!$C$9:$C$173,$C104,'DAILY OKEY AYAM'!$W$9:$W$172)</f>
        <v>0</v>
      </c>
      <c r="Q104" s="374">
        <f ca="1">SUMIF('DAILY OKEY AYAM'!$C$9:$C$173,$C104,'DAILY OKEY AYAM'!$X$9:$X$172)</f>
        <v>0</v>
      </c>
      <c r="R104" s="374">
        <f t="shared" ca="1" si="114"/>
        <v>0</v>
      </c>
      <c r="S104" s="376" t="e">
        <f t="shared" ca="1" si="112"/>
        <v>#DIV/0!</v>
      </c>
      <c r="T104" s="381"/>
      <c r="U104" s="382"/>
      <c r="V104" s="383"/>
      <c r="W104" s="401"/>
      <c r="X104" s="530"/>
      <c r="Y104" s="530"/>
      <c r="Z104" s="530"/>
      <c r="AA104" s="530"/>
      <c r="AB104" s="535"/>
    </row>
    <row r="105" spans="2:28" ht="16.5">
      <c r="B105" s="733"/>
      <c r="C105" s="371"/>
      <c r="D105" s="372"/>
      <c r="E105" s="373"/>
      <c r="F105" s="379"/>
      <c r="G105" s="379"/>
      <c r="H105" s="379"/>
      <c r="I105" s="379"/>
      <c r="J105" s="379"/>
      <c r="K105" s="379"/>
      <c r="L105" s="379"/>
      <c r="M105" s="379"/>
      <c r="N105" s="379"/>
      <c r="O105" s="379"/>
      <c r="P105" s="379"/>
      <c r="Q105" s="379"/>
      <c r="R105" s="374"/>
      <c r="S105" s="380"/>
      <c r="T105" s="381"/>
      <c r="U105" s="374"/>
      <c r="V105" s="407"/>
      <c r="W105" s="408"/>
      <c r="X105" s="530"/>
      <c r="Y105" s="530"/>
      <c r="Z105" s="530"/>
      <c r="AA105" s="530"/>
      <c r="AB105" s="535"/>
    </row>
    <row r="106" spans="2:28" ht="16.5">
      <c r="B106" s="734"/>
      <c r="C106" s="385" t="s">
        <v>118</v>
      </c>
      <c r="D106" s="386">
        <f>SUM(D95:D105)</f>
        <v>401</v>
      </c>
      <c r="E106" s="387">
        <f>SUM(E95:E105)</f>
        <v>1553.875</v>
      </c>
      <c r="F106" s="388">
        <f ca="1">SUM(F95:F105)</f>
        <v>1.5</v>
      </c>
      <c r="G106" s="388">
        <f t="shared" ref="G106:R106" ca="1" si="115">SUM(G95:G105)</f>
        <v>1.4</v>
      </c>
      <c r="H106" s="388">
        <f t="shared" ca="1" si="115"/>
        <v>2.2000000000000002</v>
      </c>
      <c r="I106" s="388">
        <f t="shared" ca="1" si="115"/>
        <v>3</v>
      </c>
      <c r="J106" s="388">
        <f t="shared" ca="1" si="115"/>
        <v>0.37</v>
      </c>
      <c r="K106" s="388">
        <f t="shared" ca="1" si="115"/>
        <v>0.68</v>
      </c>
      <c r="L106" s="388">
        <f t="shared" ca="1" si="115"/>
        <v>2.2999999999999998</v>
      </c>
      <c r="M106" s="388">
        <f t="shared" ca="1" si="115"/>
        <v>0.9</v>
      </c>
      <c r="N106" s="388">
        <f t="shared" ca="1" si="115"/>
        <v>0</v>
      </c>
      <c r="O106" s="388">
        <f t="shared" ca="1" si="115"/>
        <v>0</v>
      </c>
      <c r="P106" s="388">
        <f t="shared" ca="1" si="115"/>
        <v>0</v>
      </c>
      <c r="Q106" s="388">
        <f t="shared" ca="1" si="115"/>
        <v>0</v>
      </c>
      <c r="R106" s="388">
        <f t="shared" ca="1" si="115"/>
        <v>12.35</v>
      </c>
      <c r="S106" s="389"/>
      <c r="T106" s="402"/>
      <c r="U106" s="388"/>
      <c r="V106" s="389"/>
      <c r="W106" s="389"/>
      <c r="X106" s="530"/>
      <c r="Y106" s="530"/>
      <c r="Z106" s="530"/>
      <c r="AA106" s="530"/>
      <c r="AB106" s="535"/>
    </row>
    <row r="107" spans="2:28" ht="16.5">
      <c r="B107" s="406"/>
      <c r="C107" s="393" t="s">
        <v>114</v>
      </c>
      <c r="D107" s="394"/>
      <c r="E107" s="395"/>
      <c r="F107" s="396">
        <f ca="1">+F106/$E106</f>
        <v>9.6532861394899852E-4</v>
      </c>
      <c r="G107" s="396">
        <f t="shared" ref="G107" ca="1" si="116">+G106/$E106</f>
        <v>9.0097337301906519E-4</v>
      </c>
      <c r="H107" s="396">
        <f t="shared" ref="H107" ca="1" si="117">+H106/$E106</f>
        <v>1.4158153004585313E-3</v>
      </c>
      <c r="I107" s="396">
        <f t="shared" ref="I107" ca="1" si="118">+I106/$E106</f>
        <v>1.930657227897997E-3</v>
      </c>
      <c r="J107" s="396">
        <f t="shared" ref="J107" ca="1" si="119">+J106/$E106</f>
        <v>2.3811439144075296E-4</v>
      </c>
      <c r="K107" s="396">
        <f t="shared" ref="K107" ca="1" si="120">+K106/$E106</f>
        <v>4.3761563832354602E-4</v>
      </c>
      <c r="L107" s="396">
        <f t="shared" ref="L107" ca="1" si="121">+L106/$E106</f>
        <v>1.4801705413884643E-3</v>
      </c>
      <c r="M107" s="396">
        <f t="shared" ref="M107" ca="1" si="122">+M106/$E106</f>
        <v>5.7919716836939909E-4</v>
      </c>
      <c r="N107" s="396">
        <f t="shared" ref="N107" ca="1" si="123">+N106/$E106</f>
        <v>0</v>
      </c>
      <c r="O107" s="396">
        <f t="shared" ref="O107" ca="1" si="124">+O106/$E106</f>
        <v>0</v>
      </c>
      <c r="P107" s="396">
        <f t="shared" ref="P107" ca="1" si="125">+P106/$E106</f>
        <v>0</v>
      </c>
      <c r="Q107" s="396">
        <f t="shared" ref="Q107" ca="1" si="126">+Q106/$E106</f>
        <v>0</v>
      </c>
      <c r="R107" s="482">
        <f ca="1">+R106/$E106</f>
        <v>7.947872254846753E-3</v>
      </c>
      <c r="S107" s="399"/>
      <c r="T107" s="402"/>
      <c r="U107" s="400"/>
      <c r="V107" s="389"/>
      <c r="W107" s="389"/>
      <c r="X107" s="530"/>
      <c r="Y107" s="530"/>
      <c r="Z107" s="530"/>
      <c r="AA107" s="530"/>
      <c r="AB107" s="535"/>
    </row>
    <row r="108" spans="2:28" ht="16.5">
      <c r="B108" s="732" t="s">
        <v>178</v>
      </c>
      <c r="C108" s="474" t="str">
        <f>+'HASIL PROD'!B224</f>
        <v>QG21701</v>
      </c>
      <c r="D108" s="372">
        <f>SUMIF('HASIL PROD'!$B$4:$B$343,C108,'HASIL PROD'!$C$4:$C$343)</f>
        <v>458</v>
      </c>
      <c r="E108" s="373">
        <f t="shared" ref="E108:E112" si="127">+D108*3.875</f>
        <v>1774.75</v>
      </c>
      <c r="F108" s="374">
        <f ca="1">SUMIF('DAILY OKEY AYAM'!$C$9:$C$173,$C108,'DAILY OKEY AYAM'!$K$9:$K$172)</f>
        <v>0.8</v>
      </c>
      <c r="G108" s="374">
        <f ca="1">SUMIF('DAILY OKEY AYAM'!$C$9:$C$173,$C108,'DAILY OKEY AYAM'!$L$9:$L$172)</f>
        <v>3.2</v>
      </c>
      <c r="H108" s="374">
        <f ca="1">SUMIF('DAILY OKEY AYAM'!$C$9:$C$173,$C108,'DAILY OKEY AYAM'!$M$9:$N$172)</f>
        <v>0</v>
      </c>
      <c r="I108" s="374">
        <f ca="1">SUMIF('DAILY OKEY AYAM'!$C$9:$C$173,$C108,'DAILY OKEY AYAM'!$O$9:$O$172)</f>
        <v>22</v>
      </c>
      <c r="J108" s="374">
        <f ca="1">SUMIF('DAILY OKEY AYAM'!$C$9:$C$173,$C108,'DAILY OKEY AYAM'!$P$9:$P$172)</f>
        <v>0</v>
      </c>
      <c r="K108" s="374">
        <f ca="1">SUMIF('DAILY OKEY AYAM'!$C$9:$C$173,$C108,'DAILY OKEY AYAM'!$R$9:$R$172)</f>
        <v>0.3</v>
      </c>
      <c r="L108" s="374">
        <f ca="1">SUMIF('DAILY OKEY AYAM'!$C$9:$C$173,$C108,'DAILY OKEY AYAM'!$S$9:$S$172)</f>
        <v>1.6</v>
      </c>
      <c r="M108" s="374">
        <f ca="1">SUMIF('DAILY OKEY AYAM'!$C$9:$C$173,$C108,'DAILY OKEY AYAM'!$T$9:$T$172)</f>
        <v>2.7</v>
      </c>
      <c r="N108" s="374">
        <f ca="1">SUMIF('DAILY OKEY AYAM'!$C$9:$C$173,$C108,'DAILY OKEY AYAM'!$U$9:$U$172)</f>
        <v>0</v>
      </c>
      <c r="O108" s="374">
        <f ca="1">SUMIF('DAILY OKEY AYAM'!$C$9:$C$173,$C108,'DAILY OKEY AYAM'!$V$9:$V$172)</f>
        <v>0</v>
      </c>
      <c r="P108" s="374">
        <f ca="1">SUMIF('DAILY OKEY AYAM'!$C$9:$C$173,$C108,'DAILY OKEY AYAM'!$W$9:$W$172)</f>
        <v>0</v>
      </c>
      <c r="Q108" s="374">
        <f ca="1">SUMIF('DAILY OKEY AYAM'!$C$9:$C$173,$C108,'DAILY OKEY AYAM'!$X$9:$X$172)</f>
        <v>0</v>
      </c>
      <c r="R108" s="374">
        <f t="shared" ref="R108:R115" ca="1" si="128">+SUM(F108:Q108)</f>
        <v>30.6</v>
      </c>
      <c r="S108" s="376">
        <f t="shared" ref="S108:S117" ca="1" si="129">+R108/E108</f>
        <v>1.7241865051415693E-2</v>
      </c>
      <c r="T108" s="381"/>
      <c r="U108" s="741">
        <f ca="1">SUM(R108:R110)</f>
        <v>64.37</v>
      </c>
      <c r="V108" s="748">
        <f ca="1">+U108/(SUM(E108:E110))</f>
        <v>1.2575028692828016E-2</v>
      </c>
      <c r="W108" s="735" t="s">
        <v>338</v>
      </c>
      <c r="X108" s="727" t="s">
        <v>315</v>
      </c>
      <c r="Y108" s="727" t="s">
        <v>319</v>
      </c>
      <c r="Z108" s="727" t="s">
        <v>312</v>
      </c>
      <c r="AA108" s="727" t="s">
        <v>318</v>
      </c>
      <c r="AB108" s="535"/>
    </row>
    <row r="109" spans="2:28" ht="16.5">
      <c r="B109" s="733"/>
      <c r="C109" s="474" t="str">
        <f>+'HASIL PROD'!B225</f>
        <v>QG21702</v>
      </c>
      <c r="D109" s="372">
        <f>SUMIF('HASIL PROD'!$B$4:$B$343,C109,'HASIL PROD'!$C$4:$C$343)</f>
        <v>405</v>
      </c>
      <c r="E109" s="373">
        <f t="shared" si="127"/>
        <v>1569.375</v>
      </c>
      <c r="F109" s="374">
        <f ca="1">SUMIF('DAILY OKEY AYAM'!$C$9:$C$173,$C109,'DAILY OKEY AYAM'!$K$9:$K$172)</f>
        <v>0.7</v>
      </c>
      <c r="G109" s="374">
        <f ca="1">SUMIF('DAILY OKEY AYAM'!$C$9:$C$173,$C109,'DAILY OKEY AYAM'!$L$9:$L$172)</f>
        <v>3.75</v>
      </c>
      <c r="H109" s="374">
        <f ca="1">SUMIF('DAILY OKEY AYAM'!$C$9:$C$173,$C109,'DAILY OKEY AYAM'!$M$9:$N$172)</f>
        <v>2.4500000000000002</v>
      </c>
      <c r="I109" s="374">
        <f ca="1">SUMIF('DAILY OKEY AYAM'!$C$9:$C$173,$C109,'DAILY OKEY AYAM'!$O$9:$O$172)</f>
        <v>10.45</v>
      </c>
      <c r="J109" s="374">
        <f ca="1">SUMIF('DAILY OKEY AYAM'!$C$9:$C$173,$C109,'DAILY OKEY AYAM'!$P$9:$P$172)</f>
        <v>0.2</v>
      </c>
      <c r="K109" s="374">
        <f ca="1">SUMIF('DAILY OKEY AYAM'!$C$9:$C$173,$C109,'DAILY OKEY AYAM'!$R$9:$R$172)</f>
        <v>0.34</v>
      </c>
      <c r="L109" s="374">
        <f ca="1">SUMIF('DAILY OKEY AYAM'!$C$9:$C$173,$C109,'DAILY OKEY AYAM'!$S$9:$S$172)</f>
        <v>0</v>
      </c>
      <c r="M109" s="374">
        <f ca="1">SUMIF('DAILY OKEY AYAM'!$C$9:$C$173,$C109,'DAILY OKEY AYAM'!$T$9:$T$172)</f>
        <v>1.7</v>
      </c>
      <c r="N109" s="374">
        <f ca="1">SUMIF('DAILY OKEY AYAM'!$C$9:$C$173,$C109,'DAILY OKEY AYAM'!$U$9:$U$172)</f>
        <v>0</v>
      </c>
      <c r="O109" s="374">
        <f ca="1">SUMIF('DAILY OKEY AYAM'!$C$9:$C$173,$C109,'DAILY OKEY AYAM'!$V$9:$V$172)</f>
        <v>0</v>
      </c>
      <c r="P109" s="374">
        <f ca="1">SUMIF('DAILY OKEY AYAM'!$C$9:$C$173,$C109,'DAILY OKEY AYAM'!$W$9:$W$172)</f>
        <v>0</v>
      </c>
      <c r="Q109" s="374">
        <f ca="1">SUMIF('DAILY OKEY AYAM'!$C$9:$C$173,$C109,'DAILY OKEY AYAM'!$X$9:$X$172)</f>
        <v>0</v>
      </c>
      <c r="R109" s="374">
        <f t="shared" ca="1" si="128"/>
        <v>19.59</v>
      </c>
      <c r="S109" s="376">
        <f t="shared" ca="1" si="129"/>
        <v>1.2482676224611708E-2</v>
      </c>
      <c r="T109" s="381"/>
      <c r="U109" s="742"/>
      <c r="V109" s="749"/>
      <c r="W109" s="736"/>
      <c r="X109" s="728"/>
      <c r="Y109" s="728"/>
      <c r="Z109" s="728"/>
      <c r="AA109" s="728"/>
      <c r="AB109" s="535"/>
    </row>
    <row r="110" spans="2:28" ht="16.5">
      <c r="B110" s="733"/>
      <c r="C110" s="474" t="str">
        <f>+'HASIL PROD'!B226</f>
        <v>QG21703</v>
      </c>
      <c r="D110" s="372">
        <f>SUMIF('HASIL PROD'!$B$4:$B$343,C110,'HASIL PROD'!$C$4:$C$343)</f>
        <v>458</v>
      </c>
      <c r="E110" s="373">
        <f t="shared" si="127"/>
        <v>1774.75</v>
      </c>
      <c r="F110" s="374">
        <f ca="1">SUMIF('DAILY OKEY AYAM'!$C$9:$C$173,$C110,'DAILY OKEY AYAM'!$K$9:$K$172)</f>
        <v>0.9</v>
      </c>
      <c r="G110" s="374">
        <f ca="1">SUMIF('DAILY OKEY AYAM'!$C$9:$C$173,$C110,'DAILY OKEY AYAM'!$L$9:$L$172)</f>
        <v>4</v>
      </c>
      <c r="H110" s="374">
        <f ca="1">SUMIF('DAILY OKEY AYAM'!$C$9:$C$173,$C110,'DAILY OKEY AYAM'!$M$9:$N$172)</f>
        <v>0</v>
      </c>
      <c r="I110" s="374">
        <f ca="1">SUMIF('DAILY OKEY AYAM'!$C$9:$C$173,$C110,'DAILY OKEY AYAM'!$O$9:$O$172)</f>
        <v>7.4</v>
      </c>
      <c r="J110" s="374">
        <f ca="1">SUMIF('DAILY OKEY AYAM'!$C$9:$C$173,$C110,'DAILY OKEY AYAM'!$P$9:$P$172)</f>
        <v>0.18</v>
      </c>
      <c r="K110" s="374">
        <f ca="1">SUMIF('DAILY OKEY AYAM'!$C$9:$C$173,$C110,'DAILY OKEY AYAM'!$R$9:$R$172)</f>
        <v>0.4</v>
      </c>
      <c r="L110" s="374">
        <f ca="1">SUMIF('DAILY OKEY AYAM'!$C$9:$C$173,$C110,'DAILY OKEY AYAM'!$S$9:$S$172)</f>
        <v>0</v>
      </c>
      <c r="M110" s="374">
        <f ca="1">SUMIF('DAILY OKEY AYAM'!$C$9:$C$173,$C110,'DAILY OKEY AYAM'!$T$9:$T$172)</f>
        <v>1.3</v>
      </c>
      <c r="N110" s="374">
        <f ca="1">SUMIF('DAILY OKEY AYAM'!$C$9:$C$173,$C110,'DAILY OKEY AYAM'!$U$9:$U$172)</f>
        <v>0</v>
      </c>
      <c r="O110" s="374">
        <f ca="1">SUMIF('DAILY OKEY AYAM'!$C$9:$C$173,$C110,'DAILY OKEY AYAM'!$V$9:$V$172)</f>
        <v>0</v>
      </c>
      <c r="P110" s="374">
        <f ca="1">SUMIF('DAILY OKEY AYAM'!$C$9:$C$173,$C110,'DAILY OKEY AYAM'!$W$9:$W$172)</f>
        <v>0</v>
      </c>
      <c r="Q110" s="374">
        <f ca="1">SUMIF('DAILY OKEY AYAM'!$C$9:$C$173,$C110,'DAILY OKEY AYAM'!$X$9:$X$172)</f>
        <v>0</v>
      </c>
      <c r="R110" s="374">
        <f t="shared" ca="1" si="128"/>
        <v>14.180000000000001</v>
      </c>
      <c r="S110" s="376">
        <f t="shared" ca="1" si="129"/>
        <v>7.9898577264403449E-3</v>
      </c>
      <c r="T110" s="381"/>
      <c r="U110" s="743"/>
      <c r="V110" s="750"/>
      <c r="W110" s="737"/>
      <c r="X110" s="729"/>
      <c r="Y110" s="729"/>
      <c r="Z110" s="729"/>
      <c r="AA110" s="729"/>
      <c r="AB110" s="535"/>
    </row>
    <row r="111" spans="2:28" ht="16.5">
      <c r="B111" s="733"/>
      <c r="C111" s="474" t="str">
        <f>+'HASIL PROD'!B227</f>
        <v>QG21704</v>
      </c>
      <c r="D111" s="372">
        <f>SUMIF('HASIL PROD'!$B$4:$B$343,C111,'HASIL PROD'!$C$4:$C$343)</f>
        <v>505</v>
      </c>
      <c r="E111" s="373">
        <f t="shared" si="127"/>
        <v>1956.875</v>
      </c>
      <c r="F111" s="374">
        <f ca="1">SUMIF('DAILY OKEY AYAM'!$C$9:$C$173,$C111,'DAILY OKEY AYAM'!$K$9:$K$172)</f>
        <v>1.5499999999999998</v>
      </c>
      <c r="G111" s="374">
        <f ca="1">SUMIF('DAILY OKEY AYAM'!$C$9:$C$173,$C111,'DAILY OKEY AYAM'!$L$9:$L$172)</f>
        <v>2.1</v>
      </c>
      <c r="H111" s="374">
        <f ca="1">SUMIF('DAILY OKEY AYAM'!$C$9:$C$173,$C111,'DAILY OKEY AYAM'!$M$9:$N$172)</f>
        <v>0</v>
      </c>
      <c r="I111" s="374">
        <f ca="1">SUMIF('DAILY OKEY AYAM'!$C$9:$C$173,$C111,'DAILY OKEY AYAM'!$O$9:$O$172)</f>
        <v>4.2</v>
      </c>
      <c r="J111" s="374">
        <f ca="1">SUMIF('DAILY OKEY AYAM'!$C$9:$C$173,$C111,'DAILY OKEY AYAM'!$P$9:$P$172)</f>
        <v>0.2</v>
      </c>
      <c r="K111" s="374">
        <f ca="1">SUMIF('DAILY OKEY AYAM'!$C$9:$C$173,$C111,'DAILY OKEY AYAM'!$R$9:$R$172)</f>
        <v>0.45</v>
      </c>
      <c r="L111" s="374">
        <f ca="1">SUMIF('DAILY OKEY AYAM'!$C$9:$C$173,$C111,'DAILY OKEY AYAM'!$S$9:$S$172)</f>
        <v>0.16</v>
      </c>
      <c r="M111" s="374">
        <f ca="1">SUMIF('DAILY OKEY AYAM'!$C$9:$C$173,$C111,'DAILY OKEY AYAM'!$T$9:$T$172)</f>
        <v>1.8</v>
      </c>
      <c r="N111" s="374">
        <f ca="1">SUMIF('DAILY OKEY AYAM'!$C$9:$C$173,$C111,'DAILY OKEY AYAM'!$U$9:$U$172)</f>
        <v>0</v>
      </c>
      <c r="O111" s="374">
        <f ca="1">SUMIF('DAILY OKEY AYAM'!$C$9:$C$173,$C111,'DAILY OKEY AYAM'!$V$9:$V$172)</f>
        <v>0</v>
      </c>
      <c r="P111" s="374">
        <f ca="1">SUMIF('DAILY OKEY AYAM'!$C$9:$C$173,$C111,'DAILY OKEY AYAM'!$W$9:$W$172)</f>
        <v>0</v>
      </c>
      <c r="Q111" s="374">
        <f ca="1">SUMIF('DAILY OKEY AYAM'!$C$9:$C$173,$C111,'DAILY OKEY AYAM'!$X$9:$X$172)</f>
        <v>0</v>
      </c>
      <c r="R111" s="374">
        <f t="shared" ca="1" si="128"/>
        <v>10.459999999999999</v>
      </c>
      <c r="S111" s="376">
        <f t="shared" ca="1" si="129"/>
        <v>5.3452571063557965E-3</v>
      </c>
      <c r="T111" s="381"/>
      <c r="U111" s="741">
        <f ca="1">SUM(R111:R116)</f>
        <v>105.14999999999999</v>
      </c>
      <c r="V111" s="748">
        <f ca="1">+U111/(SUM(E111:E116))</f>
        <v>1.1012777545035608E-2</v>
      </c>
      <c r="W111" s="740" t="s">
        <v>340</v>
      </c>
      <c r="X111" s="727" t="s">
        <v>316</v>
      </c>
      <c r="Y111" s="727" t="s">
        <v>317</v>
      </c>
      <c r="Z111" s="727" t="s">
        <v>313</v>
      </c>
      <c r="AA111" s="530"/>
      <c r="AB111" s="535"/>
    </row>
    <row r="112" spans="2:28" ht="16.5">
      <c r="B112" s="733"/>
      <c r="C112" s="474" t="str">
        <f>+'HASIL PROD'!B228</f>
        <v>QG21705</v>
      </c>
      <c r="D112" s="372">
        <f>SUMIF('HASIL PROD'!$B$4:$B$343,C112,'HASIL PROD'!$C$4:$C$343)</f>
        <v>434</v>
      </c>
      <c r="E112" s="373">
        <f t="shared" si="127"/>
        <v>1681.75</v>
      </c>
      <c r="F112" s="374">
        <f ca="1">SUMIF('DAILY OKEY AYAM'!$C$9:$C$173,$C112,'DAILY OKEY AYAM'!$K$9:$K$172)</f>
        <v>2.1</v>
      </c>
      <c r="G112" s="374">
        <f ca="1">SUMIF('DAILY OKEY AYAM'!$C$9:$C$173,$C112,'DAILY OKEY AYAM'!$L$9:$L$172)</f>
        <v>2</v>
      </c>
      <c r="H112" s="374">
        <f ca="1">SUMIF('DAILY OKEY AYAM'!$C$9:$C$173,$C112,'DAILY OKEY AYAM'!$M$9:$N$172)</f>
        <v>0</v>
      </c>
      <c r="I112" s="374">
        <f ca="1">SUMIF('DAILY OKEY AYAM'!$C$9:$C$173,$C112,'DAILY OKEY AYAM'!$O$9:$O$172)</f>
        <v>3.5</v>
      </c>
      <c r="J112" s="374">
        <f ca="1">SUMIF('DAILY OKEY AYAM'!$C$9:$C$173,$C112,'DAILY OKEY AYAM'!$P$9:$P$172)</f>
        <v>0</v>
      </c>
      <c r="K112" s="374">
        <f ca="1">SUMIF('DAILY OKEY AYAM'!$C$9:$C$173,$C112,'DAILY OKEY AYAM'!$R$9:$R$172)</f>
        <v>0</v>
      </c>
      <c r="L112" s="374">
        <f ca="1">SUMIF('DAILY OKEY AYAM'!$C$9:$C$173,$C112,'DAILY OKEY AYAM'!$S$9:$S$172)</f>
        <v>0.2</v>
      </c>
      <c r="M112" s="374">
        <f ca="1">SUMIF('DAILY OKEY AYAM'!$C$9:$C$173,$C112,'DAILY OKEY AYAM'!$T$9:$T$172)</f>
        <v>0.6</v>
      </c>
      <c r="N112" s="374">
        <f ca="1">SUMIF('DAILY OKEY AYAM'!$C$9:$C$173,$C112,'DAILY OKEY AYAM'!$U$9:$U$172)</f>
        <v>0</v>
      </c>
      <c r="O112" s="374">
        <f ca="1">SUMIF('DAILY OKEY AYAM'!$C$9:$C$173,$C112,'DAILY OKEY AYAM'!$V$9:$V$172)</f>
        <v>0</v>
      </c>
      <c r="P112" s="374">
        <f ca="1">SUMIF('DAILY OKEY AYAM'!$C$9:$C$173,$C112,'DAILY OKEY AYAM'!$W$9:$W$172)</f>
        <v>0</v>
      </c>
      <c r="Q112" s="374">
        <f ca="1">SUMIF('DAILY OKEY AYAM'!$C$9:$C$173,$C112,'DAILY OKEY AYAM'!$X$9:$X$172)</f>
        <v>0</v>
      </c>
      <c r="R112" s="374">
        <f t="shared" ca="1" si="128"/>
        <v>8.4</v>
      </c>
      <c r="S112" s="376">
        <f t="shared" ca="1" si="129"/>
        <v>4.9947970863683669E-3</v>
      </c>
      <c r="T112" s="381"/>
      <c r="U112" s="742"/>
      <c r="V112" s="749"/>
      <c r="W112" s="740"/>
      <c r="X112" s="728"/>
      <c r="Y112" s="728"/>
      <c r="Z112" s="728"/>
      <c r="AA112" s="530"/>
      <c r="AB112" s="535"/>
    </row>
    <row r="113" spans="2:28" ht="16.5">
      <c r="B113" s="733"/>
      <c r="C113" s="474" t="str">
        <f>+'HASIL PROD'!B229</f>
        <v>QG21706</v>
      </c>
      <c r="D113" s="372">
        <f>SUMIF('HASIL PROD'!$B$4:$B$343,C113,'HASIL PROD'!$C$4:$C$343)</f>
        <v>451</v>
      </c>
      <c r="E113" s="373">
        <f>+D113*3.875</f>
        <v>1747.625</v>
      </c>
      <c r="F113" s="374">
        <f ca="1">SUMIF('DAILY OKEY AYAM'!$C$9:$C$173,$C113,'DAILY OKEY AYAM'!$K$9:$K$172)</f>
        <v>1.4</v>
      </c>
      <c r="G113" s="374">
        <f ca="1">SUMIF('DAILY OKEY AYAM'!$C$9:$C$173,$C113,'DAILY OKEY AYAM'!$L$9:$L$172)</f>
        <v>5.4</v>
      </c>
      <c r="H113" s="374">
        <f ca="1">SUMIF('DAILY OKEY AYAM'!$C$9:$C$173,$C113,'DAILY OKEY AYAM'!$M$9:$N$172)</f>
        <v>0</v>
      </c>
      <c r="I113" s="374">
        <f ca="1">SUMIF('DAILY OKEY AYAM'!$C$9:$C$173,$C113,'DAILY OKEY AYAM'!$O$9:$O$172)</f>
        <v>19</v>
      </c>
      <c r="J113" s="374">
        <f ca="1">SUMIF('DAILY OKEY AYAM'!$C$9:$C$173,$C113,'DAILY OKEY AYAM'!$P$9:$P$172)</f>
        <v>0</v>
      </c>
      <c r="K113" s="374">
        <f ca="1">SUMIF('DAILY OKEY AYAM'!$C$9:$C$173,$C113,'DAILY OKEY AYAM'!$R$9:$R$172)</f>
        <v>1.63</v>
      </c>
      <c r="L113" s="374">
        <f ca="1">SUMIF('DAILY OKEY AYAM'!$C$9:$C$173,$C113,'DAILY OKEY AYAM'!$S$9:$S$172)</f>
        <v>0</v>
      </c>
      <c r="M113" s="374">
        <f ca="1">SUMIF('DAILY OKEY AYAM'!$C$9:$C$173,$C113,'DAILY OKEY AYAM'!$T$9:$T$172)</f>
        <v>1.01</v>
      </c>
      <c r="N113" s="374">
        <f ca="1">SUMIF('DAILY OKEY AYAM'!$C$9:$C$173,$C113,'DAILY OKEY AYAM'!$U$9:$U$172)</f>
        <v>0</v>
      </c>
      <c r="O113" s="374">
        <f ca="1">SUMIF('DAILY OKEY AYAM'!$C$9:$C$173,$C113,'DAILY OKEY AYAM'!$V$9:$V$172)</f>
        <v>0</v>
      </c>
      <c r="P113" s="374">
        <f ca="1">SUMIF('DAILY OKEY AYAM'!$C$9:$C$173,$C113,'DAILY OKEY AYAM'!$W$9:$W$172)</f>
        <v>0</v>
      </c>
      <c r="Q113" s="374">
        <f ca="1">SUMIF('DAILY OKEY AYAM'!$C$9:$C$173,$C113,'DAILY OKEY AYAM'!$X$9:$X$172)</f>
        <v>0</v>
      </c>
      <c r="R113" s="374">
        <f t="shared" ca="1" si="128"/>
        <v>28.44</v>
      </c>
      <c r="S113" s="376">
        <f t="shared" ca="1" si="129"/>
        <v>1.6273514054788642E-2</v>
      </c>
      <c r="T113" s="381"/>
      <c r="U113" s="742"/>
      <c r="V113" s="749"/>
      <c r="W113" s="740"/>
      <c r="X113" s="728"/>
      <c r="Y113" s="728"/>
      <c r="Z113" s="728"/>
      <c r="AA113" s="530"/>
      <c r="AB113" s="535"/>
    </row>
    <row r="114" spans="2:28" ht="16.5">
      <c r="B114" s="733"/>
      <c r="C114" s="474" t="str">
        <f>+'HASIL PROD'!B230</f>
        <v>QG21707</v>
      </c>
      <c r="D114" s="372">
        <f>SUMIF('HASIL PROD'!$B$4:$B$343,C114,'HASIL PROD'!$C$4:$C$343)</f>
        <v>448</v>
      </c>
      <c r="E114" s="373">
        <f>+D114*3.875</f>
        <v>1736</v>
      </c>
      <c r="F114" s="374">
        <f ca="1">SUMIF('DAILY OKEY AYAM'!$C$9:$C$173,$C114,'DAILY OKEY AYAM'!$K$9:$K$172)</f>
        <v>1.75</v>
      </c>
      <c r="G114" s="374">
        <f ca="1">SUMIF('DAILY OKEY AYAM'!$C$9:$C$173,$C114,'DAILY OKEY AYAM'!$L$9:$L$172)</f>
        <v>5.14</v>
      </c>
      <c r="H114" s="374">
        <f ca="1">SUMIF('DAILY OKEY AYAM'!$C$9:$C$173,$C114,'DAILY OKEY AYAM'!$M$9:$N$172)</f>
        <v>0</v>
      </c>
      <c r="I114" s="374">
        <f ca="1">SUMIF('DAILY OKEY AYAM'!$C$9:$C$173,$C114,'DAILY OKEY AYAM'!$O$9:$O$172)</f>
        <v>10.75</v>
      </c>
      <c r="J114" s="374">
        <f ca="1">SUMIF('DAILY OKEY AYAM'!$C$9:$C$173,$C114,'DAILY OKEY AYAM'!$P$9:$P$172)</f>
        <v>0.9</v>
      </c>
      <c r="K114" s="374">
        <f ca="1">SUMIF('DAILY OKEY AYAM'!$C$9:$C$173,$C114,'DAILY OKEY AYAM'!$R$9:$R$172)</f>
        <v>0.53</v>
      </c>
      <c r="L114" s="374">
        <f ca="1">SUMIF('DAILY OKEY AYAM'!$C$9:$C$173,$C114,'DAILY OKEY AYAM'!$S$9:$S$172)</f>
        <v>0</v>
      </c>
      <c r="M114" s="374">
        <f ca="1">SUMIF('DAILY OKEY AYAM'!$C$9:$C$173,$C114,'DAILY OKEY AYAM'!$T$9:$T$172)</f>
        <v>5.14</v>
      </c>
      <c r="N114" s="374">
        <f ca="1">SUMIF('DAILY OKEY AYAM'!$C$9:$C$173,$C114,'DAILY OKEY AYAM'!$U$9:$U$172)</f>
        <v>0</v>
      </c>
      <c r="O114" s="374">
        <f ca="1">SUMIF('DAILY OKEY AYAM'!$C$9:$C$173,$C114,'DAILY OKEY AYAM'!$V$9:$V$172)</f>
        <v>0</v>
      </c>
      <c r="P114" s="374">
        <f ca="1">SUMIF('DAILY OKEY AYAM'!$C$9:$C$173,$C114,'DAILY OKEY AYAM'!$W$9:$W$172)</f>
        <v>0</v>
      </c>
      <c r="Q114" s="374">
        <f ca="1">SUMIF('DAILY OKEY AYAM'!$C$9:$C$173,$C114,'DAILY OKEY AYAM'!$X$9:$X$172)</f>
        <v>0</v>
      </c>
      <c r="R114" s="374">
        <f t="shared" ca="1" si="128"/>
        <v>24.21</v>
      </c>
      <c r="S114" s="376">
        <f t="shared" ca="1" si="129"/>
        <v>1.3945852534562212E-2</v>
      </c>
      <c r="T114" s="381"/>
      <c r="U114" s="742"/>
      <c r="V114" s="749"/>
      <c r="W114" s="740"/>
      <c r="X114" s="728"/>
      <c r="Y114" s="728"/>
      <c r="Z114" s="728"/>
      <c r="AA114" s="530"/>
      <c r="AB114" s="535"/>
    </row>
    <row r="115" spans="2:28" ht="16.5">
      <c r="B115" s="733"/>
      <c r="C115" s="474" t="str">
        <f>+'HASIL PROD'!B231</f>
        <v>QG21708</v>
      </c>
      <c r="D115" s="372">
        <f>SUMIF('HASIL PROD'!$B$4:$B$343,C115,'HASIL PROD'!$C$4:$C$343)</f>
        <v>217</v>
      </c>
      <c r="E115" s="373">
        <f t="shared" ref="E115:E117" si="130">+D115*3.875</f>
        <v>840.875</v>
      </c>
      <c r="F115" s="374">
        <f ca="1">SUMIF('DAILY OKEY AYAM'!$C$9:$C$173,$C115,'DAILY OKEY AYAM'!$K$9:$K$172)</f>
        <v>0.94</v>
      </c>
      <c r="G115" s="374">
        <f ca="1">SUMIF('DAILY OKEY AYAM'!$C$9:$C$173,$C115,'DAILY OKEY AYAM'!$L$9:$L$172)</f>
        <v>2.5</v>
      </c>
      <c r="H115" s="374">
        <f ca="1">SUMIF('DAILY OKEY AYAM'!$C$9:$C$173,$C115,'DAILY OKEY AYAM'!$M$9:$N$172)</f>
        <v>0</v>
      </c>
      <c r="I115" s="374">
        <f ca="1">SUMIF('DAILY OKEY AYAM'!$C$9:$C$173,$C115,'DAILY OKEY AYAM'!$O$9:$O$172)</f>
        <v>11.7</v>
      </c>
      <c r="J115" s="374">
        <f ca="1">SUMIF('DAILY OKEY AYAM'!$C$9:$C$173,$C115,'DAILY OKEY AYAM'!$P$9:$P$172)</f>
        <v>0.78</v>
      </c>
      <c r="K115" s="374">
        <f ca="1">SUMIF('DAILY OKEY AYAM'!$C$9:$C$173,$C115,'DAILY OKEY AYAM'!$R$9:$R$172)</f>
        <v>0.7</v>
      </c>
      <c r="L115" s="374">
        <f ca="1">SUMIF('DAILY OKEY AYAM'!$C$9:$C$173,$C115,'DAILY OKEY AYAM'!$S$9:$S$172)</f>
        <v>0</v>
      </c>
      <c r="M115" s="374">
        <f ca="1">SUMIF('DAILY OKEY AYAM'!$C$9:$C$173,$C115,'DAILY OKEY AYAM'!$T$9:$T$172)</f>
        <v>0.9</v>
      </c>
      <c r="N115" s="374">
        <f ca="1">SUMIF('DAILY OKEY AYAM'!$C$9:$C$173,$C115,'DAILY OKEY AYAM'!$U$9:$U$172)</f>
        <v>0</v>
      </c>
      <c r="O115" s="374">
        <f ca="1">SUMIF('DAILY OKEY AYAM'!$C$9:$C$173,$C115,'DAILY OKEY AYAM'!$V$9:$V$172)</f>
        <v>0</v>
      </c>
      <c r="P115" s="374">
        <f ca="1">SUMIF('DAILY OKEY AYAM'!$C$9:$C$173,$C115,'DAILY OKEY AYAM'!$W$9:$W$172)</f>
        <v>0</v>
      </c>
      <c r="Q115" s="374">
        <f ca="1">SUMIF('DAILY OKEY AYAM'!$C$9:$C$173,$C115,'DAILY OKEY AYAM'!$X$9:$X$172)</f>
        <v>0</v>
      </c>
      <c r="R115" s="374">
        <f t="shared" ca="1" si="128"/>
        <v>17.519999999999996</v>
      </c>
      <c r="S115" s="376">
        <f t="shared" ca="1" si="129"/>
        <v>2.083543927456518E-2</v>
      </c>
      <c r="T115" s="381"/>
      <c r="U115" s="742"/>
      <c r="V115" s="749"/>
      <c r="W115" s="740"/>
      <c r="X115" s="728"/>
      <c r="Y115" s="728"/>
      <c r="Z115" s="728"/>
      <c r="AA115" s="530"/>
      <c r="AB115" s="535"/>
    </row>
    <row r="116" spans="2:28" ht="16.5">
      <c r="B116" s="733"/>
      <c r="C116" s="474" t="str">
        <f>+'HASIL PROD'!B232</f>
        <v>QG21709</v>
      </c>
      <c r="D116" s="372">
        <f>SUMIF('HASIL PROD'!$B$4:$B$343,C116,'HASIL PROD'!$C$4:$C$343)</f>
        <v>409</v>
      </c>
      <c r="E116" s="373">
        <f t="shared" si="130"/>
        <v>1584.875</v>
      </c>
      <c r="F116" s="374">
        <f ca="1">SUMIF('DAILY OKEY AYAM'!$C$9:$C$173,$C116,'DAILY OKEY AYAM'!$K$9:$K$172)</f>
        <v>1.24</v>
      </c>
      <c r="G116" s="374">
        <f ca="1">SUMIF('DAILY OKEY AYAM'!$C$9:$C$173,$C116,'DAILY OKEY AYAM'!$L$9:$L$172)</f>
        <v>6.8000000000000007</v>
      </c>
      <c r="H116" s="374">
        <f ca="1">SUMIF('DAILY OKEY AYAM'!$C$9:$C$173,$C116,'DAILY OKEY AYAM'!$M$9:$N$172)</f>
        <v>0</v>
      </c>
      <c r="I116" s="374">
        <f ca="1">SUMIF('DAILY OKEY AYAM'!$C$9:$C$173,$C116,'DAILY OKEY AYAM'!$O$9:$O$172)</f>
        <v>5.44</v>
      </c>
      <c r="J116" s="374">
        <f ca="1">SUMIF('DAILY OKEY AYAM'!$C$9:$C$173,$C116,'DAILY OKEY AYAM'!$P$9:$P$172)</f>
        <v>0.74</v>
      </c>
      <c r="K116" s="374">
        <f ca="1">SUMIF('DAILY OKEY AYAM'!$C$9:$C$173,$C116,'DAILY OKEY AYAM'!$R$9:$R$172)</f>
        <v>0</v>
      </c>
      <c r="L116" s="374">
        <f ca="1">SUMIF('DAILY OKEY AYAM'!$C$9:$C$173,$C116,'DAILY OKEY AYAM'!$S$9:$S$172)</f>
        <v>0</v>
      </c>
      <c r="M116" s="374">
        <f ca="1">SUMIF('DAILY OKEY AYAM'!$C$9:$C$173,$C116,'DAILY OKEY AYAM'!$T$9:$T$172)</f>
        <v>1.9</v>
      </c>
      <c r="N116" s="374">
        <f ca="1">SUMIF('DAILY OKEY AYAM'!$C$9:$C$173,$C116,'DAILY OKEY AYAM'!$U$9:$U$172)</f>
        <v>0</v>
      </c>
      <c r="O116" s="374">
        <f ca="1">SUMIF('DAILY OKEY AYAM'!$C$9:$C$173,$C116,'DAILY OKEY AYAM'!$V$9:$V$172)</f>
        <v>0</v>
      </c>
      <c r="P116" s="374">
        <f ca="1">SUMIF('DAILY OKEY AYAM'!$C$9:$C$173,$C116,'DAILY OKEY AYAM'!$W$9:$W$172)</f>
        <v>0</v>
      </c>
      <c r="Q116" s="374">
        <f ca="1">SUMIF('DAILY OKEY AYAM'!$C$9:$C$173,$C116,'DAILY OKEY AYAM'!$X$9:$X$172)</f>
        <v>0</v>
      </c>
      <c r="R116" s="374">
        <f t="shared" ref="R116:R117" ca="1" si="131">+SUM(F116:Q116)</f>
        <v>16.12</v>
      </c>
      <c r="S116" s="376">
        <f t="shared" ca="1" si="129"/>
        <v>1.017114914425428E-2</v>
      </c>
      <c r="T116" s="381"/>
      <c r="U116" s="743"/>
      <c r="V116" s="750"/>
      <c r="W116" s="740"/>
      <c r="X116" s="729"/>
      <c r="Y116" s="729"/>
      <c r="Z116" s="729"/>
      <c r="AA116" s="530"/>
      <c r="AB116" s="535"/>
    </row>
    <row r="117" spans="2:28" ht="16.5">
      <c r="B117" s="733"/>
      <c r="C117" s="474">
        <f>+'HASIL PROD'!B233</f>
        <v>0</v>
      </c>
      <c r="D117" s="372">
        <f>SUMIF('HASIL PROD'!$B$4:$B$343,C117,'HASIL PROD'!$C$4:$C$343)</f>
        <v>0</v>
      </c>
      <c r="E117" s="373">
        <f t="shared" si="130"/>
        <v>0</v>
      </c>
      <c r="F117" s="374">
        <f ca="1">SUMIF('DAILY OKEY AYAM'!$C$9:$C$173,$C117,'DAILY OKEY AYAM'!$K$9:$K$172)</f>
        <v>0</v>
      </c>
      <c r="G117" s="374">
        <f ca="1">SUMIF('DAILY OKEY AYAM'!$C$9:$C$173,$C117,'DAILY OKEY AYAM'!$L$9:$L$172)</f>
        <v>0</v>
      </c>
      <c r="H117" s="374">
        <f ca="1">SUMIF('DAILY OKEY AYAM'!$C$9:$C$173,$C117,'DAILY OKEY AYAM'!$M$9:$N$172)</f>
        <v>0</v>
      </c>
      <c r="I117" s="374">
        <f ca="1">SUMIF('DAILY OKEY AYAM'!$C$9:$C$173,$C117,'DAILY OKEY AYAM'!$O$9:$O$172)</f>
        <v>0</v>
      </c>
      <c r="J117" s="374">
        <f ca="1">SUMIF('DAILY OKEY AYAM'!$C$9:$C$173,$C117,'DAILY OKEY AYAM'!$P$9:$P$172)</f>
        <v>0</v>
      </c>
      <c r="K117" s="374">
        <f ca="1">SUMIF('DAILY OKEY AYAM'!$C$9:$C$173,$C117,'DAILY OKEY AYAM'!$R$9:$R$172)</f>
        <v>0</v>
      </c>
      <c r="L117" s="374">
        <f ca="1">SUMIF('DAILY OKEY AYAM'!$C$9:$C$173,$C117,'DAILY OKEY AYAM'!$S$9:$S$172)</f>
        <v>0</v>
      </c>
      <c r="M117" s="374">
        <f ca="1">SUMIF('DAILY OKEY AYAM'!$C$9:$C$173,$C117,'DAILY OKEY AYAM'!$T$9:$T$172)</f>
        <v>0</v>
      </c>
      <c r="N117" s="374">
        <f ca="1">SUMIF('DAILY OKEY AYAM'!$C$9:$C$173,$C117,'DAILY OKEY AYAM'!$U$9:$U$172)</f>
        <v>0</v>
      </c>
      <c r="O117" s="374">
        <f ca="1">SUMIF('DAILY OKEY AYAM'!$C$9:$C$173,$C117,'DAILY OKEY AYAM'!$V$9:$V$172)</f>
        <v>0</v>
      </c>
      <c r="P117" s="374">
        <f ca="1">SUMIF('DAILY OKEY AYAM'!$C$9:$C$173,$C117,'DAILY OKEY AYAM'!$W$9:$W$172)</f>
        <v>0</v>
      </c>
      <c r="Q117" s="374">
        <f ca="1">SUMIF('DAILY OKEY AYAM'!$C$9:$C$173,$C117,'DAILY OKEY AYAM'!$X$9:$X$172)</f>
        <v>0</v>
      </c>
      <c r="R117" s="374">
        <f t="shared" ca="1" si="131"/>
        <v>0</v>
      </c>
      <c r="S117" s="376" t="e">
        <f t="shared" ca="1" si="129"/>
        <v>#DIV/0!</v>
      </c>
      <c r="T117" s="381"/>
      <c r="U117" s="382"/>
      <c r="V117" s="383"/>
      <c r="W117" s="401"/>
      <c r="X117" s="530"/>
      <c r="Y117" s="530"/>
      <c r="Z117" s="530"/>
      <c r="AA117" s="530"/>
      <c r="AB117" s="535"/>
    </row>
    <row r="118" spans="2:28" ht="16.5">
      <c r="B118" s="733"/>
      <c r="C118" s="371"/>
      <c r="D118" s="372"/>
      <c r="E118" s="373"/>
      <c r="F118" s="379"/>
      <c r="G118" s="379"/>
      <c r="H118" s="379"/>
      <c r="I118" s="379"/>
      <c r="J118" s="379"/>
      <c r="K118" s="379"/>
      <c r="L118" s="379"/>
      <c r="M118" s="379"/>
      <c r="N118" s="379"/>
      <c r="O118" s="379"/>
      <c r="P118" s="379"/>
      <c r="Q118" s="379"/>
      <c r="R118" s="374"/>
      <c r="S118" s="380"/>
      <c r="T118" s="381"/>
      <c r="U118" s="374"/>
      <c r="V118" s="407"/>
      <c r="W118" s="408"/>
      <c r="X118" s="530"/>
      <c r="Y118" s="530"/>
      <c r="Z118" s="530"/>
      <c r="AA118" s="530"/>
      <c r="AB118" s="535"/>
    </row>
    <row r="119" spans="2:28" ht="16.5">
      <c r="B119" s="734"/>
      <c r="C119" s="385" t="s">
        <v>118</v>
      </c>
      <c r="D119" s="386">
        <f>SUM(D108:D118)</f>
        <v>3785</v>
      </c>
      <c r="E119" s="387">
        <f>SUM(E108:E118)</f>
        <v>14666.875</v>
      </c>
      <c r="F119" s="388">
        <f ca="1">SUM(F108:F118)</f>
        <v>11.379999999999999</v>
      </c>
      <c r="G119" s="388">
        <f t="shared" ref="G119:R119" ca="1" si="132">SUM(G108:G118)</f>
        <v>34.89</v>
      </c>
      <c r="H119" s="388">
        <f t="shared" ca="1" si="132"/>
        <v>2.4500000000000002</v>
      </c>
      <c r="I119" s="388">
        <f t="shared" ca="1" si="132"/>
        <v>94.440000000000012</v>
      </c>
      <c r="J119" s="388">
        <f t="shared" ca="1" si="132"/>
        <v>3</v>
      </c>
      <c r="K119" s="388">
        <f t="shared" ca="1" si="132"/>
        <v>4.3500000000000005</v>
      </c>
      <c r="L119" s="388">
        <f t="shared" ca="1" si="132"/>
        <v>1.96</v>
      </c>
      <c r="M119" s="388">
        <f t="shared" ca="1" si="132"/>
        <v>17.05</v>
      </c>
      <c r="N119" s="388">
        <f t="shared" ca="1" si="132"/>
        <v>0</v>
      </c>
      <c r="O119" s="388">
        <f t="shared" ca="1" si="132"/>
        <v>0</v>
      </c>
      <c r="P119" s="388">
        <f t="shared" ca="1" si="132"/>
        <v>0</v>
      </c>
      <c r="Q119" s="388">
        <f t="shared" ca="1" si="132"/>
        <v>0</v>
      </c>
      <c r="R119" s="388">
        <f t="shared" ca="1" si="132"/>
        <v>169.51999999999998</v>
      </c>
      <c r="S119" s="389"/>
      <c r="T119" s="402"/>
      <c r="U119" s="388"/>
      <c r="V119" s="389"/>
      <c r="W119" s="389"/>
      <c r="X119" s="530"/>
      <c r="Y119" s="530"/>
      <c r="Z119" s="530"/>
      <c r="AA119" s="530"/>
      <c r="AB119" s="535"/>
    </row>
    <row r="120" spans="2:28" ht="16.5">
      <c r="B120" s="406"/>
      <c r="C120" s="393" t="s">
        <v>114</v>
      </c>
      <c r="D120" s="394"/>
      <c r="E120" s="395"/>
      <c r="F120" s="396">
        <f ca="1">+F119/$E119</f>
        <v>7.7589806962969265E-4</v>
      </c>
      <c r="G120" s="396">
        <f t="shared" ref="G120" ca="1" si="133">+G119/$E119</f>
        <v>2.378829846166958E-3</v>
      </c>
      <c r="H120" s="396">
        <f t="shared" ref="H120" ca="1" si="134">+H119/$E119</f>
        <v>1.6704308177440663E-4</v>
      </c>
      <c r="I120" s="396">
        <f t="shared" ref="I120" ca="1" si="135">+I119/$E119</f>
        <v>6.4389994460305969E-3</v>
      </c>
      <c r="J120" s="396">
        <f t="shared" ref="J120" ca="1" si="136">+J119/$E119</f>
        <v>2.0454254911151829E-4</v>
      </c>
      <c r="K120" s="396">
        <f t="shared" ref="K120" ca="1" si="137">+K119/$E119</f>
        <v>2.9658669621170157E-4</v>
      </c>
      <c r="L120" s="396">
        <f t="shared" ref="L120" ca="1" si="138">+L119/$E119</f>
        <v>1.3363446541952528E-4</v>
      </c>
      <c r="M120" s="396">
        <f t="shared" ref="M120" ca="1" si="139">+M119/$E119</f>
        <v>1.1624834874504623E-3</v>
      </c>
      <c r="N120" s="396">
        <f t="shared" ref="N120" ca="1" si="140">+N119/$E119</f>
        <v>0</v>
      </c>
      <c r="O120" s="396">
        <f t="shared" ref="O120" ca="1" si="141">+O119/$E119</f>
        <v>0</v>
      </c>
      <c r="P120" s="396">
        <f t="shared" ref="P120" ca="1" si="142">+P119/$E119</f>
        <v>0</v>
      </c>
      <c r="Q120" s="396">
        <f t="shared" ref="Q120" ca="1" si="143">+Q119/$E119</f>
        <v>0</v>
      </c>
      <c r="R120" s="482">
        <f ca="1">+R119/$E119</f>
        <v>1.1558017641794859E-2</v>
      </c>
      <c r="S120" s="399"/>
      <c r="T120" s="402"/>
      <c r="U120" s="400"/>
      <c r="V120" s="389"/>
      <c r="W120" s="389"/>
      <c r="X120" s="530"/>
      <c r="Y120" s="530"/>
      <c r="Z120" s="530"/>
      <c r="AA120" s="530"/>
      <c r="AB120" s="535"/>
    </row>
    <row r="121" spans="2:28" ht="16.5">
      <c r="B121" s="732" t="s">
        <v>178</v>
      </c>
      <c r="C121" s="474" t="str">
        <f>+'HASIL PROD'!B235</f>
        <v>QG22701</v>
      </c>
      <c r="D121" s="372">
        <f>SUMIF('HASIL PROD'!$B$4:$B$343,C121,'HASIL PROD'!$C$4:$C$343)</f>
        <v>447</v>
      </c>
      <c r="E121" s="373">
        <f t="shared" ref="E121:E125" si="144">+D121*3.875</f>
        <v>1732.125</v>
      </c>
      <c r="F121" s="374">
        <f ca="1">SUMIF('DAILY OKEY AYAM'!$C$9:$C$173,$C121,'DAILY OKEY AYAM'!$K$9:$K$172)</f>
        <v>3.2</v>
      </c>
      <c r="G121" s="374">
        <f ca="1">SUMIF('DAILY OKEY AYAM'!$C$9:$C$173,$C121,'DAILY OKEY AYAM'!$L$9:$L$172)</f>
        <v>4.4000000000000004</v>
      </c>
      <c r="H121" s="374">
        <f ca="1">SUMIF('DAILY OKEY AYAM'!$C$9:$C$173,$C121,'DAILY OKEY AYAM'!$M$9:$N$172)</f>
        <v>0</v>
      </c>
      <c r="I121" s="374">
        <f ca="1">SUMIF('DAILY OKEY AYAM'!$C$9:$C$173,$C121,'DAILY OKEY AYAM'!$O$9:$O$172)</f>
        <v>2.5</v>
      </c>
      <c r="J121" s="374">
        <f ca="1">SUMIF('DAILY OKEY AYAM'!$C$9:$C$173,$C121,'DAILY OKEY AYAM'!$P$9:$P$172)</f>
        <v>0.6</v>
      </c>
      <c r="K121" s="374">
        <f ca="1">SUMIF('DAILY OKEY AYAM'!$C$9:$C$173,$C121,'DAILY OKEY AYAM'!$R$9:$R$172)</f>
        <v>0.5</v>
      </c>
      <c r="L121" s="374">
        <f ca="1">SUMIF('DAILY OKEY AYAM'!$C$9:$C$173,$C121,'DAILY OKEY AYAM'!$S$9:$S$172)</f>
        <v>0</v>
      </c>
      <c r="M121" s="374">
        <f ca="1">SUMIF('DAILY OKEY AYAM'!$C$9:$C$173,$C121,'DAILY OKEY AYAM'!$T$9:$T$172)</f>
        <v>1.3</v>
      </c>
      <c r="N121" s="374">
        <f ca="1">SUMIF('DAILY OKEY AYAM'!$C$9:$C$173,$C121,'DAILY OKEY AYAM'!$U$9:$U$172)</f>
        <v>0</v>
      </c>
      <c r="O121" s="374">
        <f ca="1">SUMIF('DAILY OKEY AYAM'!$C$9:$C$173,$C121,'DAILY OKEY AYAM'!$V$9:$V$172)</f>
        <v>0</v>
      </c>
      <c r="P121" s="374">
        <f ca="1">SUMIF('DAILY OKEY AYAM'!$C$9:$C$173,$C121,'DAILY OKEY AYAM'!$W$9:$W$172)</f>
        <v>0</v>
      </c>
      <c r="Q121" s="374">
        <f ca="1">SUMIF('DAILY OKEY AYAM'!$C$9:$C$173,$C121,'DAILY OKEY AYAM'!$X$9:$X$172)</f>
        <v>0</v>
      </c>
      <c r="R121" s="374">
        <f t="shared" ref="R121:R128" ca="1" si="145">+SUM(F121:Q121)</f>
        <v>12.500000000000002</v>
      </c>
      <c r="S121" s="376">
        <f t="shared" ref="S121:S130" ca="1" si="146">+R121/E121</f>
        <v>7.2165692429818872E-3</v>
      </c>
      <c r="T121" s="381"/>
      <c r="U121" s="741">
        <f ca="1">SUM(R121:R123)</f>
        <v>53.09</v>
      </c>
      <c r="V121" s="748">
        <f ca="1">+U121/(SUM(E121:E123))</f>
        <v>1.0015091492171288E-2</v>
      </c>
      <c r="W121" s="735" t="s">
        <v>338</v>
      </c>
      <c r="X121" s="727" t="s">
        <v>315</v>
      </c>
      <c r="Y121" s="727" t="s">
        <v>319</v>
      </c>
      <c r="Z121" s="727" t="s">
        <v>312</v>
      </c>
      <c r="AA121" s="727" t="s">
        <v>318</v>
      </c>
      <c r="AB121" s="535"/>
    </row>
    <row r="122" spans="2:28" ht="16.5">
      <c r="B122" s="733"/>
      <c r="C122" s="474" t="str">
        <f>+'HASIL PROD'!B236</f>
        <v>QG22702</v>
      </c>
      <c r="D122" s="372">
        <f>SUMIF('HASIL PROD'!$B$4:$B$343,C122,'HASIL PROD'!$C$4:$C$343)</f>
        <v>451</v>
      </c>
      <c r="E122" s="373">
        <f t="shared" si="144"/>
        <v>1747.625</v>
      </c>
      <c r="F122" s="374">
        <f ca="1">SUMIF('DAILY OKEY AYAM'!$C$9:$C$173,$C122,'DAILY OKEY AYAM'!$K$9:$K$172)</f>
        <v>3.75</v>
      </c>
      <c r="G122" s="374">
        <f ca="1">SUMIF('DAILY OKEY AYAM'!$C$9:$C$173,$C122,'DAILY OKEY AYAM'!$L$9:$L$172)</f>
        <v>5</v>
      </c>
      <c r="H122" s="374">
        <f ca="1">SUMIF('DAILY OKEY AYAM'!$C$9:$C$173,$C122,'DAILY OKEY AYAM'!$M$9:$N$172)</f>
        <v>0</v>
      </c>
      <c r="I122" s="374">
        <f ca="1">SUMIF('DAILY OKEY AYAM'!$C$9:$C$173,$C122,'DAILY OKEY AYAM'!$O$9:$O$172)</f>
        <v>21</v>
      </c>
      <c r="J122" s="374">
        <f ca="1">SUMIF('DAILY OKEY AYAM'!$C$9:$C$173,$C122,'DAILY OKEY AYAM'!$P$9:$P$172)</f>
        <v>0.2</v>
      </c>
      <c r="K122" s="374">
        <f ca="1">SUMIF('DAILY OKEY AYAM'!$C$9:$C$173,$C122,'DAILY OKEY AYAM'!$R$9:$R$172)</f>
        <v>0</v>
      </c>
      <c r="L122" s="374">
        <f ca="1">SUMIF('DAILY OKEY AYAM'!$C$9:$C$173,$C122,'DAILY OKEY AYAM'!$S$9:$S$172)</f>
        <v>0</v>
      </c>
      <c r="M122" s="374">
        <f ca="1">SUMIF('DAILY OKEY AYAM'!$C$9:$C$173,$C122,'DAILY OKEY AYAM'!$T$9:$T$172)</f>
        <v>1.8</v>
      </c>
      <c r="N122" s="374">
        <f ca="1">SUMIF('DAILY OKEY AYAM'!$C$9:$C$173,$C122,'DAILY OKEY AYAM'!$U$9:$U$172)</f>
        <v>0</v>
      </c>
      <c r="O122" s="374">
        <f ca="1">SUMIF('DAILY OKEY AYAM'!$C$9:$C$173,$C122,'DAILY OKEY AYAM'!$V$9:$V$172)</f>
        <v>0</v>
      </c>
      <c r="P122" s="374">
        <f ca="1">SUMIF('DAILY OKEY AYAM'!$C$9:$C$173,$C122,'DAILY OKEY AYAM'!$W$9:$W$172)</f>
        <v>0</v>
      </c>
      <c r="Q122" s="374">
        <f ca="1">SUMIF('DAILY OKEY AYAM'!$C$9:$C$173,$C122,'DAILY OKEY AYAM'!$X$9:$X$172)</f>
        <v>0</v>
      </c>
      <c r="R122" s="374">
        <f t="shared" ca="1" si="145"/>
        <v>31.75</v>
      </c>
      <c r="S122" s="376">
        <f t="shared" ca="1" si="146"/>
        <v>1.8167513053429656E-2</v>
      </c>
      <c r="T122" s="381"/>
      <c r="U122" s="742"/>
      <c r="V122" s="749"/>
      <c r="W122" s="736"/>
      <c r="X122" s="728"/>
      <c r="Y122" s="728"/>
      <c r="Z122" s="728"/>
      <c r="AA122" s="728"/>
      <c r="AB122" s="535"/>
    </row>
    <row r="123" spans="2:28" ht="16.5">
      <c r="B123" s="733"/>
      <c r="C123" s="474" t="str">
        <f>+'HASIL PROD'!B237</f>
        <v>QG22703</v>
      </c>
      <c r="D123" s="372">
        <f>SUMIF('HASIL PROD'!$B$4:$B$343,C123,'HASIL PROD'!$C$4:$C$343)</f>
        <v>470</v>
      </c>
      <c r="E123" s="373">
        <f t="shared" si="144"/>
        <v>1821.25</v>
      </c>
      <c r="F123" s="374">
        <f ca="1">SUMIF('DAILY OKEY AYAM'!$C$9:$C$173,$C123,'DAILY OKEY AYAM'!$K$9:$K$172)</f>
        <v>1.5</v>
      </c>
      <c r="G123" s="374">
        <f ca="1">SUMIF('DAILY OKEY AYAM'!$C$9:$C$173,$C123,'DAILY OKEY AYAM'!$L$9:$L$172)</f>
        <v>2.1</v>
      </c>
      <c r="H123" s="374">
        <f ca="1">SUMIF('DAILY OKEY AYAM'!$C$9:$C$173,$C123,'DAILY OKEY AYAM'!$M$9:$N$172)</f>
        <v>0</v>
      </c>
      <c r="I123" s="374">
        <f ca="1">SUMIF('DAILY OKEY AYAM'!$C$9:$C$173,$C123,'DAILY OKEY AYAM'!$O$9:$O$172)</f>
        <v>4.2</v>
      </c>
      <c r="J123" s="374">
        <f ca="1">SUMIF('DAILY OKEY AYAM'!$C$9:$C$173,$C123,'DAILY OKEY AYAM'!$P$9:$P$172)</f>
        <v>0</v>
      </c>
      <c r="K123" s="374">
        <f ca="1">SUMIF('DAILY OKEY AYAM'!$C$9:$C$173,$C123,'DAILY OKEY AYAM'!$R$9:$R$172)</f>
        <v>0.4</v>
      </c>
      <c r="L123" s="374">
        <f ca="1">SUMIF('DAILY OKEY AYAM'!$C$9:$C$173,$C123,'DAILY OKEY AYAM'!$S$9:$S$172)</f>
        <v>0</v>
      </c>
      <c r="M123" s="374">
        <f ca="1">SUMIF('DAILY OKEY AYAM'!$C$9:$C$173,$C123,'DAILY OKEY AYAM'!$T$9:$T$172)</f>
        <v>0.64</v>
      </c>
      <c r="N123" s="374">
        <f ca="1">SUMIF('DAILY OKEY AYAM'!$C$9:$C$173,$C123,'DAILY OKEY AYAM'!$U$9:$U$172)</f>
        <v>0</v>
      </c>
      <c r="O123" s="374">
        <f ca="1">SUMIF('DAILY OKEY AYAM'!$C$9:$C$173,$C123,'DAILY OKEY AYAM'!$V$9:$V$172)</f>
        <v>0</v>
      </c>
      <c r="P123" s="374">
        <f ca="1">SUMIF('DAILY OKEY AYAM'!$C$9:$C$173,$C123,'DAILY OKEY AYAM'!$W$9:$W$172)</f>
        <v>0</v>
      </c>
      <c r="Q123" s="374">
        <f ca="1">SUMIF('DAILY OKEY AYAM'!$C$9:$C$173,$C123,'DAILY OKEY AYAM'!$X$9:$X$172)</f>
        <v>0</v>
      </c>
      <c r="R123" s="374">
        <f t="shared" ca="1" si="145"/>
        <v>8.8400000000000016</v>
      </c>
      <c r="S123" s="376">
        <f t="shared" ca="1" si="146"/>
        <v>4.8538091969800969E-3</v>
      </c>
      <c r="T123" s="381"/>
      <c r="U123" s="743"/>
      <c r="V123" s="750"/>
      <c r="W123" s="737"/>
      <c r="X123" s="729"/>
      <c r="Y123" s="729"/>
      <c r="Z123" s="729"/>
      <c r="AA123" s="729"/>
      <c r="AB123" s="535"/>
    </row>
    <row r="124" spans="2:28" ht="16.5">
      <c r="B124" s="733"/>
      <c r="C124" s="474" t="str">
        <f>+'HASIL PROD'!B238</f>
        <v>QG22704</v>
      </c>
      <c r="D124" s="372">
        <f>SUMIF('HASIL PROD'!$B$4:$B$343,C124,'HASIL PROD'!$C$4:$C$343)</f>
        <v>487</v>
      </c>
      <c r="E124" s="373">
        <f t="shared" si="144"/>
        <v>1887.125</v>
      </c>
      <c r="F124" s="374">
        <f ca="1">SUMIF('DAILY OKEY AYAM'!$C$9:$C$173,$C124,'DAILY OKEY AYAM'!$K$9:$K$172)</f>
        <v>1.7</v>
      </c>
      <c r="G124" s="374">
        <f ca="1">SUMIF('DAILY OKEY AYAM'!$C$9:$C$173,$C124,'DAILY OKEY AYAM'!$L$9:$L$172)</f>
        <v>3.7</v>
      </c>
      <c r="H124" s="374">
        <f ca="1">SUMIF('DAILY OKEY AYAM'!$C$9:$C$173,$C124,'DAILY OKEY AYAM'!$M$9:$N$172)</f>
        <v>0</v>
      </c>
      <c r="I124" s="374">
        <f ca="1">SUMIF('DAILY OKEY AYAM'!$C$9:$C$173,$C124,'DAILY OKEY AYAM'!$O$9:$O$172)</f>
        <v>3.75</v>
      </c>
      <c r="J124" s="374">
        <f ca="1">SUMIF('DAILY OKEY AYAM'!$C$9:$C$173,$C124,'DAILY OKEY AYAM'!$P$9:$P$172)</f>
        <v>0.15</v>
      </c>
      <c r="K124" s="374">
        <f ca="1">SUMIF('DAILY OKEY AYAM'!$C$9:$C$173,$C124,'DAILY OKEY AYAM'!$R$9:$R$172)</f>
        <v>1.2</v>
      </c>
      <c r="L124" s="374">
        <f ca="1">SUMIF('DAILY OKEY AYAM'!$C$9:$C$173,$C124,'DAILY OKEY AYAM'!$S$9:$S$172)</f>
        <v>0</v>
      </c>
      <c r="M124" s="374">
        <f ca="1">SUMIF('DAILY OKEY AYAM'!$C$9:$C$173,$C124,'DAILY OKEY AYAM'!$T$9:$T$172)</f>
        <v>0.2</v>
      </c>
      <c r="N124" s="374">
        <f ca="1">SUMIF('DAILY OKEY AYAM'!$C$9:$C$173,$C124,'DAILY OKEY AYAM'!$U$9:$U$172)</f>
        <v>0</v>
      </c>
      <c r="O124" s="374">
        <f ca="1">SUMIF('DAILY OKEY AYAM'!$C$9:$C$173,$C124,'DAILY OKEY AYAM'!$V$9:$V$172)</f>
        <v>0</v>
      </c>
      <c r="P124" s="374">
        <f ca="1">SUMIF('DAILY OKEY AYAM'!$C$9:$C$173,$C124,'DAILY OKEY AYAM'!$W$9:$W$172)</f>
        <v>0</v>
      </c>
      <c r="Q124" s="374">
        <f ca="1">SUMIF('DAILY OKEY AYAM'!$C$9:$C$173,$C124,'DAILY OKEY AYAM'!$X$9:$X$172)</f>
        <v>0</v>
      </c>
      <c r="R124" s="374">
        <f t="shared" ca="1" si="145"/>
        <v>10.7</v>
      </c>
      <c r="S124" s="376">
        <f t="shared" ca="1" si="146"/>
        <v>5.6700006623832547E-3</v>
      </c>
      <c r="T124" s="381"/>
      <c r="U124" s="741">
        <f ca="1">SUM(R124:R127)</f>
        <v>37.269999999999996</v>
      </c>
      <c r="V124" s="744">
        <f ca="1">+U124/(SUM(E124:E127))</f>
        <v>5.7352799738396134E-3</v>
      </c>
      <c r="W124" s="735" t="s">
        <v>341</v>
      </c>
      <c r="X124" s="727" t="s">
        <v>316</v>
      </c>
      <c r="Y124" s="727" t="s">
        <v>317</v>
      </c>
      <c r="Z124" s="727" t="s">
        <v>313</v>
      </c>
      <c r="AA124" s="727" t="s">
        <v>314</v>
      </c>
      <c r="AB124" s="535"/>
    </row>
    <row r="125" spans="2:28" ht="16.5">
      <c r="B125" s="733"/>
      <c r="C125" s="474" t="str">
        <f>+'HASIL PROD'!B239</f>
        <v>QG22705</v>
      </c>
      <c r="D125" s="372">
        <f>SUMIF('HASIL PROD'!$B$4:$B$343,C125,'HASIL PROD'!$C$4:$C$343)</f>
        <v>437</v>
      </c>
      <c r="E125" s="373">
        <f t="shared" si="144"/>
        <v>1693.375</v>
      </c>
      <c r="F125" s="374">
        <f ca="1">SUMIF('DAILY OKEY AYAM'!$C$9:$C$173,$C125,'DAILY OKEY AYAM'!$K$9:$K$172)</f>
        <v>1.8</v>
      </c>
      <c r="G125" s="374">
        <f ca="1">SUMIF('DAILY OKEY AYAM'!$C$9:$C$173,$C125,'DAILY OKEY AYAM'!$L$9:$L$172)</f>
        <v>2.5</v>
      </c>
      <c r="H125" s="374">
        <f ca="1">SUMIF('DAILY OKEY AYAM'!$C$9:$C$173,$C125,'DAILY OKEY AYAM'!$M$9:$N$172)</f>
        <v>0</v>
      </c>
      <c r="I125" s="374">
        <f ca="1">SUMIF('DAILY OKEY AYAM'!$C$9:$C$173,$C125,'DAILY OKEY AYAM'!$O$9:$O$172)</f>
        <v>3.22</v>
      </c>
      <c r="J125" s="374">
        <f ca="1">SUMIF('DAILY OKEY AYAM'!$C$9:$C$173,$C125,'DAILY OKEY AYAM'!$P$9:$P$172)</f>
        <v>0.08</v>
      </c>
      <c r="K125" s="374">
        <f ca="1">SUMIF('DAILY OKEY AYAM'!$C$9:$C$173,$C125,'DAILY OKEY AYAM'!$R$9:$R$172)</f>
        <v>1.36</v>
      </c>
      <c r="L125" s="374">
        <f ca="1">SUMIF('DAILY OKEY AYAM'!$C$9:$C$173,$C125,'DAILY OKEY AYAM'!$S$9:$S$172)</f>
        <v>0</v>
      </c>
      <c r="M125" s="374">
        <f ca="1">SUMIF('DAILY OKEY AYAM'!$C$9:$C$173,$C125,'DAILY OKEY AYAM'!$T$9:$T$172)</f>
        <v>1.5</v>
      </c>
      <c r="N125" s="374">
        <f ca="1">SUMIF('DAILY OKEY AYAM'!$C$9:$C$173,$C125,'DAILY OKEY AYAM'!$U$9:$U$172)</f>
        <v>0</v>
      </c>
      <c r="O125" s="374">
        <f ca="1">SUMIF('DAILY OKEY AYAM'!$C$9:$C$173,$C125,'DAILY OKEY AYAM'!$V$9:$V$172)</f>
        <v>0</v>
      </c>
      <c r="P125" s="374">
        <f ca="1">SUMIF('DAILY OKEY AYAM'!$C$9:$C$173,$C125,'DAILY OKEY AYAM'!$W$9:$W$172)</f>
        <v>0</v>
      </c>
      <c r="Q125" s="374">
        <f ca="1">SUMIF('DAILY OKEY AYAM'!$C$9:$C$173,$C125,'DAILY OKEY AYAM'!$X$9:$X$172)</f>
        <v>0</v>
      </c>
      <c r="R125" s="374">
        <f t="shared" ca="1" si="145"/>
        <v>10.459999999999999</v>
      </c>
      <c r="S125" s="376">
        <f t="shared" ca="1" si="146"/>
        <v>6.17701336089171E-3</v>
      </c>
      <c r="T125" s="381"/>
      <c r="U125" s="742"/>
      <c r="V125" s="745"/>
      <c r="W125" s="736"/>
      <c r="X125" s="728"/>
      <c r="Y125" s="728"/>
      <c r="Z125" s="728"/>
      <c r="AA125" s="728"/>
      <c r="AB125" s="535"/>
    </row>
    <row r="126" spans="2:28" ht="16.5">
      <c r="B126" s="733"/>
      <c r="C126" s="474" t="str">
        <f>+'HASIL PROD'!B240</f>
        <v>QG22706</v>
      </c>
      <c r="D126" s="372">
        <f>SUMIF('HASIL PROD'!$B$4:$B$343,C126,'HASIL PROD'!$C$4:$C$343)</f>
        <v>480</v>
      </c>
      <c r="E126" s="373">
        <f>+D126*3.875</f>
        <v>1860</v>
      </c>
      <c r="F126" s="374">
        <f ca="1">SUMIF('DAILY OKEY AYAM'!$C$9:$C$173,$C126,'DAILY OKEY AYAM'!$K$9:$K$172)</f>
        <v>2.2000000000000002</v>
      </c>
      <c r="G126" s="374">
        <f ca="1">SUMIF('DAILY OKEY AYAM'!$C$9:$C$173,$C126,'DAILY OKEY AYAM'!$L$9:$L$172)</f>
        <v>4.5</v>
      </c>
      <c r="H126" s="374">
        <f ca="1">SUMIF('DAILY OKEY AYAM'!$C$9:$C$173,$C126,'DAILY OKEY AYAM'!$M$9:$N$172)</f>
        <v>0</v>
      </c>
      <c r="I126" s="374">
        <f ca="1">SUMIF('DAILY OKEY AYAM'!$C$9:$C$173,$C126,'DAILY OKEY AYAM'!$O$9:$O$172)</f>
        <v>2.1</v>
      </c>
      <c r="J126" s="374">
        <f ca="1">SUMIF('DAILY OKEY AYAM'!$C$9:$C$173,$C126,'DAILY OKEY AYAM'!$P$9:$P$172)</f>
        <v>0</v>
      </c>
      <c r="K126" s="374">
        <f ca="1">SUMIF('DAILY OKEY AYAM'!$C$9:$C$173,$C126,'DAILY OKEY AYAM'!$R$9:$R$172)</f>
        <v>0</v>
      </c>
      <c r="L126" s="374">
        <f ca="1">SUMIF('DAILY OKEY AYAM'!$C$9:$C$173,$C126,'DAILY OKEY AYAM'!$S$9:$S$172)</f>
        <v>0</v>
      </c>
      <c r="M126" s="374">
        <f ca="1">SUMIF('DAILY OKEY AYAM'!$C$9:$C$173,$C126,'DAILY OKEY AYAM'!$T$9:$T$172)</f>
        <v>1.76</v>
      </c>
      <c r="N126" s="374">
        <f ca="1">SUMIF('DAILY OKEY AYAM'!$C$9:$C$173,$C126,'DAILY OKEY AYAM'!$U$9:$U$172)</f>
        <v>0</v>
      </c>
      <c r="O126" s="374">
        <f ca="1">SUMIF('DAILY OKEY AYAM'!$C$9:$C$173,$C126,'DAILY OKEY AYAM'!$V$9:$V$172)</f>
        <v>0</v>
      </c>
      <c r="P126" s="374">
        <f ca="1">SUMIF('DAILY OKEY AYAM'!$C$9:$C$173,$C126,'DAILY OKEY AYAM'!$W$9:$W$172)</f>
        <v>0</v>
      </c>
      <c r="Q126" s="374">
        <f ca="1">SUMIF('DAILY OKEY AYAM'!$C$9:$C$173,$C126,'DAILY OKEY AYAM'!$X$9:$X$172)</f>
        <v>0</v>
      </c>
      <c r="R126" s="374">
        <f t="shared" ca="1" si="145"/>
        <v>10.56</v>
      </c>
      <c r="S126" s="376">
        <f t="shared" ca="1" si="146"/>
        <v>5.67741935483871E-3</v>
      </c>
      <c r="T126" s="381"/>
      <c r="U126" s="742"/>
      <c r="V126" s="745"/>
      <c r="W126" s="736"/>
      <c r="X126" s="728"/>
      <c r="Y126" s="728"/>
      <c r="Z126" s="728"/>
      <c r="AA126" s="728"/>
      <c r="AB126" s="535"/>
    </row>
    <row r="127" spans="2:28" ht="16.5">
      <c r="B127" s="733"/>
      <c r="C127" s="474" t="str">
        <f>+'HASIL PROD'!B241</f>
        <v>QG22707</v>
      </c>
      <c r="D127" s="372">
        <f>SUMIF('HASIL PROD'!$B$4:$B$343,C127,'HASIL PROD'!$C$4:$C$343)</f>
        <v>273</v>
      </c>
      <c r="E127" s="373">
        <f>+D127*3.875</f>
        <v>1057.875</v>
      </c>
      <c r="F127" s="374">
        <f ca="1">SUMIF('DAILY OKEY AYAM'!$C$9:$C$173,$C127,'DAILY OKEY AYAM'!$K$9:$K$172)</f>
        <v>0.9</v>
      </c>
      <c r="G127" s="374">
        <f ca="1">SUMIF('DAILY OKEY AYAM'!$C$9:$C$173,$C127,'DAILY OKEY AYAM'!$L$9:$L$172)</f>
        <v>2.75</v>
      </c>
      <c r="H127" s="374">
        <f ca="1">SUMIF('DAILY OKEY AYAM'!$C$9:$C$173,$C127,'DAILY OKEY AYAM'!$M$9:$N$172)</f>
        <v>0</v>
      </c>
      <c r="I127" s="374">
        <f ca="1">SUMIF('DAILY OKEY AYAM'!$C$9:$C$173,$C127,'DAILY OKEY AYAM'!$O$9:$O$172)</f>
        <v>1.2</v>
      </c>
      <c r="J127" s="374">
        <f ca="1">SUMIF('DAILY OKEY AYAM'!$C$9:$C$173,$C127,'DAILY OKEY AYAM'!$P$9:$P$172)</f>
        <v>0.2</v>
      </c>
      <c r="K127" s="374">
        <f ca="1">SUMIF('DAILY OKEY AYAM'!$C$9:$C$173,$C127,'DAILY OKEY AYAM'!$R$9:$R$172)</f>
        <v>0</v>
      </c>
      <c r="L127" s="374">
        <f ca="1">SUMIF('DAILY OKEY AYAM'!$C$9:$C$173,$C127,'DAILY OKEY AYAM'!$S$9:$S$172)</f>
        <v>0</v>
      </c>
      <c r="M127" s="374">
        <f ca="1">SUMIF('DAILY OKEY AYAM'!$C$9:$C$173,$C127,'DAILY OKEY AYAM'!$T$9:$T$172)</f>
        <v>0.5</v>
      </c>
      <c r="N127" s="374">
        <f ca="1">SUMIF('DAILY OKEY AYAM'!$C$9:$C$173,$C127,'DAILY OKEY AYAM'!$U$9:$U$172)</f>
        <v>0</v>
      </c>
      <c r="O127" s="374">
        <f ca="1">SUMIF('DAILY OKEY AYAM'!$C$9:$C$173,$C127,'DAILY OKEY AYAM'!$V$9:$V$172)</f>
        <v>0</v>
      </c>
      <c r="P127" s="374">
        <f ca="1">SUMIF('DAILY OKEY AYAM'!$C$9:$C$173,$C127,'DAILY OKEY AYAM'!$W$9:$W$172)</f>
        <v>0</v>
      </c>
      <c r="Q127" s="374">
        <f ca="1">SUMIF('DAILY OKEY AYAM'!$C$9:$C$173,$C127,'DAILY OKEY AYAM'!$X$9:$X$172)</f>
        <v>0</v>
      </c>
      <c r="R127" s="374">
        <f t="shared" ca="1" si="145"/>
        <v>5.55</v>
      </c>
      <c r="S127" s="376">
        <f t="shared" ca="1" si="146"/>
        <v>5.2463665366891173E-3</v>
      </c>
      <c r="T127" s="381"/>
      <c r="U127" s="743"/>
      <c r="V127" s="746"/>
      <c r="W127" s="737"/>
      <c r="X127" s="729"/>
      <c r="Y127" s="729"/>
      <c r="Z127" s="729"/>
      <c r="AA127" s="729"/>
      <c r="AB127" s="535"/>
    </row>
    <row r="128" spans="2:28" ht="15" customHeight="1">
      <c r="B128" s="733"/>
      <c r="C128" s="474" t="str">
        <f>+'HASIL PROD'!B242</f>
        <v>QG22708</v>
      </c>
      <c r="D128" s="372">
        <f>SUMIF('HASIL PROD'!$B$4:$B$343,C128,'HASIL PROD'!$C$4:$C$343)</f>
        <v>484</v>
      </c>
      <c r="E128" s="373">
        <f t="shared" ref="E128:E130" si="147">+D128*3.875</f>
        <v>1875.5</v>
      </c>
      <c r="F128" s="374">
        <f ca="1">SUMIF('DAILY OKEY AYAM'!$C$9:$C$173,$C128,'DAILY OKEY AYAM'!$K$9:$K$172)</f>
        <v>0.6</v>
      </c>
      <c r="G128" s="374">
        <f ca="1">SUMIF('DAILY OKEY AYAM'!$C$9:$C$173,$C128,'DAILY OKEY AYAM'!$L$9:$L$172)</f>
        <v>1.1499999999999999</v>
      </c>
      <c r="H128" s="374">
        <f ca="1">SUMIF('DAILY OKEY AYAM'!$C$9:$C$173,$C128,'DAILY OKEY AYAM'!$M$9:$N$172)</f>
        <v>0</v>
      </c>
      <c r="I128" s="374">
        <f ca="1">SUMIF('DAILY OKEY AYAM'!$C$9:$C$173,$C128,'DAILY OKEY AYAM'!$O$9:$O$172)</f>
        <v>4.5</v>
      </c>
      <c r="J128" s="374">
        <f ca="1">SUMIF('DAILY OKEY AYAM'!$C$9:$C$173,$C128,'DAILY OKEY AYAM'!$P$9:$P$172)</f>
        <v>0.6</v>
      </c>
      <c r="K128" s="374">
        <f ca="1">SUMIF('DAILY OKEY AYAM'!$C$9:$C$173,$C128,'DAILY OKEY AYAM'!$R$9:$R$172)</f>
        <v>3.2</v>
      </c>
      <c r="L128" s="374">
        <f ca="1">SUMIF('DAILY OKEY AYAM'!$C$9:$C$173,$C128,'DAILY OKEY AYAM'!$S$9:$S$172)</f>
        <v>0</v>
      </c>
      <c r="M128" s="374">
        <f ca="1">SUMIF('DAILY OKEY AYAM'!$C$9:$C$173,$C128,'DAILY OKEY AYAM'!$T$9:$T$172)</f>
        <v>1.9</v>
      </c>
      <c r="N128" s="374">
        <f ca="1">SUMIF('DAILY OKEY AYAM'!$C$9:$C$173,$C128,'DAILY OKEY AYAM'!$U$9:$U$172)</f>
        <v>0</v>
      </c>
      <c r="O128" s="374">
        <f ca="1">SUMIF('DAILY OKEY AYAM'!$C$9:$C$173,$C128,'DAILY OKEY AYAM'!$V$9:$V$172)</f>
        <v>0</v>
      </c>
      <c r="P128" s="374">
        <f ca="1">SUMIF('DAILY OKEY AYAM'!$C$9:$C$173,$C128,'DAILY OKEY AYAM'!$W$9:$W$172)</f>
        <v>0</v>
      </c>
      <c r="Q128" s="374">
        <f ca="1">SUMIF('DAILY OKEY AYAM'!$C$9:$C$173,$C128,'DAILY OKEY AYAM'!$X$9:$X$172)</f>
        <v>0</v>
      </c>
      <c r="R128" s="374">
        <f t="shared" ca="1" si="145"/>
        <v>11.950000000000001</v>
      </c>
      <c r="S128" s="376">
        <f t="shared" ca="1" si="146"/>
        <v>6.371634230871768E-3</v>
      </c>
      <c r="T128" s="381"/>
      <c r="U128" s="516">
        <f ca="1">SUM(R128:R128)</f>
        <v>11.950000000000001</v>
      </c>
      <c r="V128" s="517">
        <f ca="1">+U128/(SUM(E128:E128))</f>
        <v>6.371634230871768E-3</v>
      </c>
      <c r="W128" s="401" t="s">
        <v>338</v>
      </c>
      <c r="X128" s="530" t="s">
        <v>315</v>
      </c>
      <c r="Y128" s="530" t="s">
        <v>319</v>
      </c>
      <c r="Z128" s="530" t="s">
        <v>312</v>
      </c>
      <c r="AA128" s="530"/>
      <c r="AB128" s="535"/>
    </row>
    <row r="129" spans="2:28" ht="16.5">
      <c r="B129" s="733"/>
      <c r="C129" s="474">
        <f>+'HASIL PROD'!B243</f>
        <v>0</v>
      </c>
      <c r="D129" s="372">
        <f>SUMIF('HASIL PROD'!$B$4:$B$343,C129,'HASIL PROD'!$C$4:$C$343)</f>
        <v>0</v>
      </c>
      <c r="E129" s="373">
        <f t="shared" si="147"/>
        <v>0</v>
      </c>
      <c r="F129" s="374">
        <f ca="1">SUMIF('DAILY OKEY AYAM'!$C$9:$C$173,$C129,'DAILY OKEY AYAM'!$K$9:$K$172)</f>
        <v>0</v>
      </c>
      <c r="G129" s="374">
        <f ca="1">SUMIF('DAILY OKEY AYAM'!$C$9:$C$173,$C129,'DAILY OKEY AYAM'!$L$9:$L$172)</f>
        <v>0</v>
      </c>
      <c r="H129" s="374">
        <f ca="1">SUMIF('DAILY OKEY AYAM'!$C$9:$C$173,$C129,'DAILY OKEY AYAM'!$M$9:$N$172)</f>
        <v>0</v>
      </c>
      <c r="I129" s="374">
        <f ca="1">SUMIF('DAILY OKEY AYAM'!$C$9:$C$173,$C129,'DAILY OKEY AYAM'!$O$9:$O$172)</f>
        <v>0</v>
      </c>
      <c r="J129" s="374">
        <f ca="1">SUMIF('DAILY OKEY AYAM'!$C$9:$C$173,$C129,'DAILY OKEY AYAM'!$P$9:$P$172)</f>
        <v>0</v>
      </c>
      <c r="K129" s="374">
        <f ca="1">SUMIF('DAILY OKEY AYAM'!$C$9:$C$173,$C129,'DAILY OKEY AYAM'!$R$9:$R$172)</f>
        <v>0</v>
      </c>
      <c r="L129" s="374">
        <f ca="1">SUMIF('DAILY OKEY AYAM'!$C$9:$C$173,$C129,'DAILY OKEY AYAM'!$S$9:$S$172)</f>
        <v>0</v>
      </c>
      <c r="M129" s="374">
        <f ca="1">SUMIF('DAILY OKEY AYAM'!$C$9:$C$173,$C129,'DAILY OKEY AYAM'!$T$9:$T$172)</f>
        <v>0</v>
      </c>
      <c r="N129" s="374">
        <f ca="1">SUMIF('DAILY OKEY AYAM'!$C$9:$C$173,$C129,'DAILY OKEY AYAM'!$U$9:$U$172)</f>
        <v>0</v>
      </c>
      <c r="O129" s="374">
        <f ca="1">SUMIF('DAILY OKEY AYAM'!$C$9:$C$173,$C129,'DAILY OKEY AYAM'!$V$9:$V$172)</f>
        <v>0</v>
      </c>
      <c r="P129" s="374">
        <f ca="1">SUMIF('DAILY OKEY AYAM'!$C$9:$C$173,$C129,'DAILY OKEY AYAM'!$W$9:$W$172)</f>
        <v>0</v>
      </c>
      <c r="Q129" s="374">
        <f ca="1">SUMIF('DAILY OKEY AYAM'!$C$9:$C$173,$C129,'DAILY OKEY AYAM'!$X$9:$X$172)</f>
        <v>0</v>
      </c>
      <c r="R129" s="374">
        <f t="shared" ref="R129:R130" ca="1" si="148">+SUM(F129:Q129)</f>
        <v>0</v>
      </c>
      <c r="S129" s="376" t="e">
        <f t="shared" ca="1" si="146"/>
        <v>#DIV/0!</v>
      </c>
      <c r="T129" s="381"/>
      <c r="U129" s="382"/>
      <c r="V129" s="383"/>
      <c r="W129" s="401"/>
      <c r="X129" s="530"/>
      <c r="Y129" s="530"/>
      <c r="Z129" s="530"/>
      <c r="AA129" s="530"/>
      <c r="AB129" s="535"/>
    </row>
    <row r="130" spans="2:28" ht="16.5">
      <c r="B130" s="733"/>
      <c r="C130" s="474">
        <f>+'HASIL PROD'!B244</f>
        <v>0</v>
      </c>
      <c r="D130" s="372">
        <f>SUMIF('HASIL PROD'!$B$4:$B$343,C130,'HASIL PROD'!$C$4:$C$343)</f>
        <v>0</v>
      </c>
      <c r="E130" s="373">
        <f t="shared" si="147"/>
        <v>0</v>
      </c>
      <c r="F130" s="374">
        <f ca="1">SUMIF('DAILY OKEY AYAM'!$C$9:$C$173,$C130,'DAILY OKEY AYAM'!$K$9:$K$172)</f>
        <v>0</v>
      </c>
      <c r="G130" s="374">
        <f ca="1">SUMIF('DAILY OKEY AYAM'!$C$9:$C$173,$C130,'DAILY OKEY AYAM'!$L$9:$L$172)</f>
        <v>0</v>
      </c>
      <c r="H130" s="374">
        <f ca="1">SUMIF('DAILY OKEY AYAM'!$C$9:$C$173,$C130,'DAILY OKEY AYAM'!$M$9:$N$172)</f>
        <v>0</v>
      </c>
      <c r="I130" s="374">
        <f ca="1">SUMIF('DAILY OKEY AYAM'!$C$9:$C$173,$C130,'DAILY OKEY AYAM'!$O$9:$O$172)</f>
        <v>0</v>
      </c>
      <c r="J130" s="374">
        <f ca="1">SUMIF('DAILY OKEY AYAM'!$C$9:$C$173,$C130,'DAILY OKEY AYAM'!$P$9:$P$172)</f>
        <v>0</v>
      </c>
      <c r="K130" s="374">
        <f ca="1">SUMIF('DAILY OKEY AYAM'!$C$9:$C$173,$C130,'DAILY OKEY AYAM'!$R$9:$R$172)</f>
        <v>0</v>
      </c>
      <c r="L130" s="374">
        <f ca="1">SUMIF('DAILY OKEY AYAM'!$C$9:$C$173,$C130,'DAILY OKEY AYAM'!$S$9:$S$172)</f>
        <v>0</v>
      </c>
      <c r="M130" s="374">
        <f ca="1">SUMIF('DAILY OKEY AYAM'!$C$9:$C$173,$C130,'DAILY OKEY AYAM'!$T$9:$T$172)</f>
        <v>0</v>
      </c>
      <c r="N130" s="374">
        <f ca="1">SUMIF('DAILY OKEY AYAM'!$C$9:$C$173,$C130,'DAILY OKEY AYAM'!$U$9:$U$172)</f>
        <v>0</v>
      </c>
      <c r="O130" s="374">
        <f ca="1">SUMIF('DAILY OKEY AYAM'!$C$9:$C$173,$C130,'DAILY OKEY AYAM'!$V$9:$V$172)</f>
        <v>0</v>
      </c>
      <c r="P130" s="374">
        <f ca="1">SUMIF('DAILY OKEY AYAM'!$C$9:$C$173,$C130,'DAILY OKEY AYAM'!$W$9:$W$172)</f>
        <v>0</v>
      </c>
      <c r="Q130" s="374">
        <f ca="1">SUMIF('DAILY OKEY AYAM'!$C$9:$C$173,$C130,'DAILY OKEY AYAM'!$X$9:$X$172)</f>
        <v>0</v>
      </c>
      <c r="R130" s="374">
        <f t="shared" ca="1" si="148"/>
        <v>0</v>
      </c>
      <c r="S130" s="376" t="e">
        <f t="shared" ca="1" si="146"/>
        <v>#DIV/0!</v>
      </c>
      <c r="T130" s="381"/>
      <c r="U130" s="382"/>
      <c r="V130" s="383"/>
      <c r="W130" s="401"/>
      <c r="X130" s="530"/>
      <c r="Y130" s="530"/>
      <c r="Z130" s="530"/>
      <c r="AA130" s="530"/>
      <c r="AB130" s="535"/>
    </row>
    <row r="131" spans="2:28" ht="16.5">
      <c r="B131" s="733"/>
      <c r="C131" s="371"/>
      <c r="D131" s="372"/>
      <c r="E131" s="373"/>
      <c r="F131" s="379"/>
      <c r="G131" s="379"/>
      <c r="H131" s="379"/>
      <c r="I131" s="379"/>
      <c r="J131" s="379"/>
      <c r="K131" s="379"/>
      <c r="L131" s="379"/>
      <c r="M131" s="379"/>
      <c r="N131" s="379"/>
      <c r="O131" s="379"/>
      <c r="P131" s="379"/>
      <c r="Q131" s="379"/>
      <c r="R131" s="374"/>
      <c r="S131" s="380"/>
      <c r="T131" s="381"/>
      <c r="U131" s="374"/>
      <c r="V131" s="407"/>
      <c r="W131" s="408"/>
      <c r="X131" s="530"/>
      <c r="Y131" s="530"/>
      <c r="Z131" s="530"/>
      <c r="AA131" s="530"/>
      <c r="AB131" s="535"/>
    </row>
    <row r="132" spans="2:28" ht="16.5">
      <c r="B132" s="734"/>
      <c r="C132" s="385" t="s">
        <v>118</v>
      </c>
      <c r="D132" s="386">
        <f>SUM(D121:D131)</f>
        <v>3529</v>
      </c>
      <c r="E132" s="387">
        <f>SUM(E121:E131)</f>
        <v>13674.875</v>
      </c>
      <c r="F132" s="388">
        <f ca="1">SUM(F121:F131)</f>
        <v>15.649999999999999</v>
      </c>
      <c r="G132" s="388">
        <f t="shared" ref="G132:R132" ca="1" si="149">SUM(G121:G131)</f>
        <v>26.099999999999998</v>
      </c>
      <c r="H132" s="388">
        <f t="shared" ca="1" si="149"/>
        <v>0</v>
      </c>
      <c r="I132" s="388">
        <f t="shared" ca="1" si="149"/>
        <v>42.470000000000006</v>
      </c>
      <c r="J132" s="388">
        <f t="shared" ca="1" si="149"/>
        <v>1.83</v>
      </c>
      <c r="K132" s="388">
        <f t="shared" ca="1" si="149"/>
        <v>6.66</v>
      </c>
      <c r="L132" s="388">
        <f t="shared" ca="1" si="149"/>
        <v>0</v>
      </c>
      <c r="M132" s="388">
        <f t="shared" ca="1" si="149"/>
        <v>9.6</v>
      </c>
      <c r="N132" s="388">
        <f t="shared" ca="1" si="149"/>
        <v>0</v>
      </c>
      <c r="O132" s="388">
        <f t="shared" ca="1" si="149"/>
        <v>0</v>
      </c>
      <c r="P132" s="388">
        <f t="shared" ca="1" si="149"/>
        <v>0</v>
      </c>
      <c r="Q132" s="388">
        <f t="shared" ca="1" si="149"/>
        <v>0</v>
      </c>
      <c r="R132" s="388">
        <f t="shared" ca="1" si="149"/>
        <v>102.31</v>
      </c>
      <c r="S132" s="389"/>
      <c r="T132" s="402"/>
      <c r="U132" s="388"/>
      <c r="V132" s="389"/>
      <c r="W132" s="389"/>
      <c r="X132" s="530"/>
      <c r="Y132" s="530"/>
      <c r="Z132" s="530"/>
      <c r="AA132" s="530"/>
      <c r="AB132" s="535"/>
    </row>
    <row r="133" spans="2:28" ht="16.5">
      <c r="B133" s="406"/>
      <c r="C133" s="393" t="s">
        <v>114</v>
      </c>
      <c r="D133" s="394"/>
      <c r="E133" s="395"/>
      <c r="F133" s="396">
        <f ca="1">+F132/$E132</f>
        <v>1.1444345926379582E-3</v>
      </c>
      <c r="G133" s="396">
        <f t="shared" ref="G133" ca="1" si="150">+G132/$E132</f>
        <v>1.9086097679137833E-3</v>
      </c>
      <c r="H133" s="396">
        <f t="shared" ref="H133" ca="1" si="151">+H132/$E132</f>
        <v>0</v>
      </c>
      <c r="I133" s="396">
        <f t="shared" ref="I133" ca="1" si="152">+I132/$E132</f>
        <v>3.1056956644941913E-3</v>
      </c>
      <c r="J133" s="396">
        <f t="shared" ref="J133" ca="1" si="153">+J132/$E132</f>
        <v>1.3382206418705839E-4</v>
      </c>
      <c r="K133" s="396">
        <f t="shared" ref="K133" ca="1" si="154">+K132/$E132</f>
        <v>4.870245614676551E-4</v>
      </c>
      <c r="L133" s="396">
        <f t="shared" ref="L133" ca="1" si="155">+L132/$E132</f>
        <v>0</v>
      </c>
      <c r="M133" s="396">
        <f t="shared" ref="M133" ca="1" si="156">+M132/$E132</f>
        <v>7.0201738589932268E-4</v>
      </c>
      <c r="N133" s="396">
        <f t="shared" ref="N133" ca="1" si="157">+N132/$E132</f>
        <v>0</v>
      </c>
      <c r="O133" s="396">
        <f t="shared" ref="O133" ca="1" si="158">+O132/$E132</f>
        <v>0</v>
      </c>
      <c r="P133" s="396">
        <f t="shared" ref="P133" ca="1" si="159">+P132/$E132</f>
        <v>0</v>
      </c>
      <c r="Q133" s="396">
        <f t="shared" ref="Q133" ca="1" si="160">+Q132/$E132</f>
        <v>0</v>
      </c>
      <c r="R133" s="482">
        <f ca="1">+R132/$E132</f>
        <v>7.4816040365999689E-3</v>
      </c>
      <c r="S133" s="399"/>
      <c r="T133" s="402"/>
      <c r="U133" s="400"/>
      <c r="V133" s="389"/>
      <c r="W133" s="389"/>
      <c r="X133" s="530"/>
      <c r="Y133" s="530"/>
      <c r="Z133" s="530"/>
      <c r="AA133" s="530"/>
      <c r="AB133" s="535"/>
    </row>
    <row r="134" spans="2:28" ht="16.5">
      <c r="B134" s="732" t="s">
        <v>178</v>
      </c>
      <c r="C134" s="473" t="str">
        <f>+'HASIL PROD'!B246</f>
        <v>QG23701</v>
      </c>
      <c r="D134" s="372">
        <f>SUMIF('HASIL PROD'!$B$4:$B$343,C134,'HASIL PROD'!$C$4:$C$343)</f>
        <v>412</v>
      </c>
      <c r="E134" s="373">
        <f t="shared" ref="E134:E138" si="161">+D134*3.875</f>
        <v>1596.5</v>
      </c>
      <c r="F134" s="374">
        <f ca="1">SUMIF('DAILY OKEY AYAM'!$C$9:$C$173,$C134,'DAILY OKEY AYAM'!$K$9:$K$172)</f>
        <v>0.9</v>
      </c>
      <c r="G134" s="374">
        <f ca="1">SUMIF('DAILY OKEY AYAM'!$C$9:$C$173,$C134,'DAILY OKEY AYAM'!$L$9:$L$172)</f>
        <v>2.2999999999999998</v>
      </c>
      <c r="H134" s="374">
        <f ca="1">SUMIF('DAILY OKEY AYAM'!$C$9:$C$173,$C134,'DAILY OKEY AYAM'!$M$9:$N$172)</f>
        <v>0</v>
      </c>
      <c r="I134" s="374">
        <f ca="1">SUMIF('DAILY OKEY AYAM'!$C$9:$C$173,$C134,'DAILY OKEY AYAM'!$O$9:$O$172)</f>
        <v>8.5</v>
      </c>
      <c r="J134" s="374">
        <f ca="1">SUMIF('DAILY OKEY AYAM'!$C$9:$C$173,$C134,'DAILY OKEY AYAM'!$P$9:$P$172)</f>
        <v>0.4</v>
      </c>
      <c r="K134" s="374">
        <f ca="1">SUMIF('DAILY OKEY AYAM'!$C$9:$C$173,$C134,'DAILY OKEY AYAM'!$R$9:$R$172)</f>
        <v>0</v>
      </c>
      <c r="L134" s="374">
        <f ca="1">SUMIF('DAILY OKEY AYAM'!$C$9:$C$173,$C134,'DAILY OKEY AYAM'!$S$9:$S$172)</f>
        <v>0</v>
      </c>
      <c r="M134" s="374">
        <f ca="1">SUMIF('DAILY OKEY AYAM'!$C$9:$C$173,$C134,'DAILY OKEY AYAM'!$T$9:$T$172)</f>
        <v>2.7</v>
      </c>
      <c r="N134" s="374">
        <f ca="1">SUMIF('DAILY OKEY AYAM'!$C$9:$C$173,$C134,'DAILY OKEY AYAM'!$U$9:$U$172)</f>
        <v>1</v>
      </c>
      <c r="O134" s="374">
        <f ca="1">SUMIF('DAILY OKEY AYAM'!$C$9:$C$173,$C134,'DAILY OKEY AYAM'!$V$9:$V$172)</f>
        <v>0</v>
      </c>
      <c r="P134" s="374">
        <f ca="1">SUMIF('DAILY OKEY AYAM'!$C$9:$C$173,$C134,'DAILY OKEY AYAM'!$W$9:$W$172)</f>
        <v>0</v>
      </c>
      <c r="Q134" s="374">
        <f ca="1">SUMIF('DAILY OKEY AYAM'!$C$9:$C$173,$C134,'DAILY OKEY AYAM'!$X$9:$X$172)</f>
        <v>0</v>
      </c>
      <c r="R134" s="374">
        <f t="shared" ref="R134:R141" ca="1" si="162">+SUM(F134:Q134)</f>
        <v>15.8</v>
      </c>
      <c r="S134" s="376">
        <f t="shared" ref="S134:S143" ca="1" si="163">+R134/E134</f>
        <v>9.8966489195114315E-3</v>
      </c>
      <c r="T134" s="381"/>
      <c r="U134" s="741">
        <f ca="1">SUM(R134:R136)</f>
        <v>36.08</v>
      </c>
      <c r="V134" s="744">
        <f ca="1">+U134/(SUM(E134:E136))</f>
        <v>6.9484833895040923E-3</v>
      </c>
      <c r="W134" s="735" t="s">
        <v>338</v>
      </c>
      <c r="X134" s="727" t="s">
        <v>315</v>
      </c>
      <c r="Y134" s="727" t="s">
        <v>319</v>
      </c>
      <c r="Z134" s="727" t="s">
        <v>312</v>
      </c>
      <c r="AA134" s="530"/>
      <c r="AB134" s="535"/>
    </row>
    <row r="135" spans="2:28" ht="16.5">
      <c r="B135" s="733"/>
      <c r="C135" s="473" t="str">
        <f>+'HASIL PROD'!B247</f>
        <v>QG23702</v>
      </c>
      <c r="D135" s="372">
        <f>SUMIF('HASIL PROD'!$B$4:$B$343,C135,'HASIL PROD'!$C$4:$C$343)</f>
        <v>496</v>
      </c>
      <c r="E135" s="373">
        <f t="shared" si="161"/>
        <v>1922</v>
      </c>
      <c r="F135" s="374">
        <f ca="1">SUMIF('DAILY OKEY AYAM'!$C$9:$C$173,$C135,'DAILY OKEY AYAM'!$K$9:$K$172)</f>
        <v>0.88</v>
      </c>
      <c r="G135" s="374">
        <f ca="1">SUMIF('DAILY OKEY AYAM'!$C$9:$C$173,$C135,'DAILY OKEY AYAM'!$L$9:$L$172)</f>
        <v>1.2</v>
      </c>
      <c r="H135" s="374">
        <f ca="1">SUMIF('DAILY OKEY AYAM'!$C$9:$C$173,$C135,'DAILY OKEY AYAM'!$M$9:$N$172)</f>
        <v>0</v>
      </c>
      <c r="I135" s="374">
        <f ca="1">SUMIF('DAILY OKEY AYAM'!$C$9:$C$173,$C135,'DAILY OKEY AYAM'!$O$9:$O$172)</f>
        <v>6.1</v>
      </c>
      <c r="J135" s="374">
        <f ca="1">SUMIF('DAILY OKEY AYAM'!$C$9:$C$173,$C135,'DAILY OKEY AYAM'!$P$9:$P$172)</f>
        <v>0.57999999999999996</v>
      </c>
      <c r="K135" s="374">
        <f ca="1">SUMIF('DAILY OKEY AYAM'!$C$9:$C$173,$C135,'DAILY OKEY AYAM'!$R$9:$R$172)</f>
        <v>0.76</v>
      </c>
      <c r="L135" s="374">
        <f ca="1">SUMIF('DAILY OKEY AYAM'!$C$9:$C$173,$C135,'DAILY OKEY AYAM'!$S$9:$S$172)</f>
        <v>0</v>
      </c>
      <c r="M135" s="374">
        <f ca="1">SUMIF('DAILY OKEY AYAM'!$C$9:$C$173,$C135,'DAILY OKEY AYAM'!$T$9:$T$172)</f>
        <v>2.5</v>
      </c>
      <c r="N135" s="374">
        <f ca="1">SUMIF('DAILY OKEY AYAM'!$C$9:$C$173,$C135,'DAILY OKEY AYAM'!$U$9:$U$172)</f>
        <v>0</v>
      </c>
      <c r="O135" s="374">
        <f ca="1">SUMIF('DAILY OKEY AYAM'!$C$9:$C$173,$C135,'DAILY OKEY AYAM'!$V$9:$V$172)</f>
        <v>0</v>
      </c>
      <c r="P135" s="374">
        <f ca="1">SUMIF('DAILY OKEY AYAM'!$C$9:$C$173,$C135,'DAILY OKEY AYAM'!$W$9:$W$172)</f>
        <v>0</v>
      </c>
      <c r="Q135" s="374">
        <f ca="1">SUMIF('DAILY OKEY AYAM'!$C$9:$C$173,$C135,'DAILY OKEY AYAM'!$X$9:$X$172)</f>
        <v>0</v>
      </c>
      <c r="R135" s="374">
        <f t="shared" ca="1" si="162"/>
        <v>12.02</v>
      </c>
      <c r="S135" s="376">
        <f t="shared" ca="1" si="163"/>
        <v>6.2539021852237248E-3</v>
      </c>
      <c r="T135" s="381"/>
      <c r="U135" s="742"/>
      <c r="V135" s="745"/>
      <c r="W135" s="736"/>
      <c r="X135" s="728"/>
      <c r="Y135" s="728"/>
      <c r="Z135" s="728"/>
      <c r="AA135" s="530"/>
      <c r="AB135" s="535"/>
    </row>
    <row r="136" spans="2:28" ht="16.5">
      <c r="B136" s="733"/>
      <c r="C136" s="473" t="str">
        <f>+'HASIL PROD'!B248</f>
        <v>QG23703</v>
      </c>
      <c r="D136" s="372">
        <f>SUMIF('HASIL PROD'!$B$4:$B$343,C136,'HASIL PROD'!$C$4:$C$343)</f>
        <v>432</v>
      </c>
      <c r="E136" s="373">
        <f t="shared" si="161"/>
        <v>1674</v>
      </c>
      <c r="F136" s="374">
        <f ca="1">SUMIF('DAILY OKEY AYAM'!$C$9:$C$173,$C136,'DAILY OKEY AYAM'!$K$9:$K$172)</f>
        <v>1</v>
      </c>
      <c r="G136" s="374">
        <f ca="1">SUMIF('DAILY OKEY AYAM'!$C$9:$C$173,$C136,'DAILY OKEY AYAM'!$L$9:$L$172)</f>
        <v>2.2400000000000002</v>
      </c>
      <c r="H136" s="374">
        <f ca="1">SUMIF('DAILY OKEY AYAM'!$C$9:$C$173,$C136,'DAILY OKEY AYAM'!$M$9:$N$172)</f>
        <v>0</v>
      </c>
      <c r="I136" s="374">
        <f ca="1">SUMIF('DAILY OKEY AYAM'!$C$9:$C$173,$C136,'DAILY OKEY AYAM'!$O$9:$O$172)</f>
        <v>3.5</v>
      </c>
      <c r="J136" s="374">
        <f ca="1">SUMIF('DAILY OKEY AYAM'!$C$9:$C$173,$C136,'DAILY OKEY AYAM'!$P$9:$P$172)</f>
        <v>0.28000000000000003</v>
      </c>
      <c r="K136" s="374">
        <f ca="1">SUMIF('DAILY OKEY AYAM'!$C$9:$C$173,$C136,'DAILY OKEY AYAM'!$R$9:$R$172)</f>
        <v>0.3</v>
      </c>
      <c r="L136" s="374">
        <f ca="1">SUMIF('DAILY OKEY AYAM'!$C$9:$C$173,$C136,'DAILY OKEY AYAM'!$S$9:$S$172)</f>
        <v>0</v>
      </c>
      <c r="M136" s="374">
        <f ca="1">SUMIF('DAILY OKEY AYAM'!$C$9:$C$173,$C136,'DAILY OKEY AYAM'!$T$9:$T$172)</f>
        <v>0.94</v>
      </c>
      <c r="N136" s="374">
        <f ca="1">SUMIF('DAILY OKEY AYAM'!$C$9:$C$173,$C136,'DAILY OKEY AYAM'!$U$9:$U$172)</f>
        <v>0</v>
      </c>
      <c r="O136" s="374">
        <f ca="1">SUMIF('DAILY OKEY AYAM'!$C$9:$C$173,$C136,'DAILY OKEY AYAM'!$V$9:$V$172)</f>
        <v>0</v>
      </c>
      <c r="P136" s="374">
        <f ca="1">SUMIF('DAILY OKEY AYAM'!$C$9:$C$173,$C136,'DAILY OKEY AYAM'!$W$9:$W$172)</f>
        <v>0</v>
      </c>
      <c r="Q136" s="374">
        <f ca="1">SUMIF('DAILY OKEY AYAM'!$C$9:$C$173,$C136,'DAILY OKEY AYAM'!$X$9:$X$172)</f>
        <v>0</v>
      </c>
      <c r="R136" s="374">
        <f t="shared" ca="1" si="162"/>
        <v>8.26</v>
      </c>
      <c r="S136" s="376">
        <f t="shared" ca="1" si="163"/>
        <v>4.9342891278375146E-3</v>
      </c>
      <c r="T136" s="381"/>
      <c r="U136" s="743"/>
      <c r="V136" s="746"/>
      <c r="W136" s="737"/>
      <c r="X136" s="729"/>
      <c r="Y136" s="729"/>
      <c r="Z136" s="729"/>
      <c r="AA136" s="530"/>
      <c r="AB136" s="535"/>
    </row>
    <row r="137" spans="2:28" ht="16.5">
      <c r="B137" s="733"/>
      <c r="C137" s="473" t="str">
        <f>+'HASIL PROD'!B249</f>
        <v>QG23704</v>
      </c>
      <c r="D137" s="372">
        <f>SUMIF('HASIL PROD'!$B$4:$B$343,C137,'HASIL PROD'!$C$4:$C$343)</f>
        <v>477</v>
      </c>
      <c r="E137" s="373">
        <f t="shared" si="161"/>
        <v>1848.375</v>
      </c>
      <c r="F137" s="374">
        <f ca="1">SUMIF('DAILY OKEY AYAM'!$C$9:$C$173,$C137,'DAILY OKEY AYAM'!$K$9:$K$172)</f>
        <v>2.2999999999999998</v>
      </c>
      <c r="G137" s="374">
        <f ca="1">SUMIF('DAILY OKEY AYAM'!$C$9:$C$173,$C137,'DAILY OKEY AYAM'!$L$9:$L$172)</f>
        <v>2.8</v>
      </c>
      <c r="H137" s="374">
        <f ca="1">SUMIF('DAILY OKEY AYAM'!$C$9:$C$173,$C137,'DAILY OKEY AYAM'!$M$9:$N$172)</f>
        <v>0</v>
      </c>
      <c r="I137" s="374">
        <f ca="1">SUMIF('DAILY OKEY AYAM'!$C$9:$C$173,$C137,'DAILY OKEY AYAM'!$O$9:$O$172)</f>
        <v>2.08</v>
      </c>
      <c r="J137" s="374">
        <f ca="1">SUMIF('DAILY OKEY AYAM'!$C$9:$C$173,$C137,'DAILY OKEY AYAM'!$P$9:$P$172)</f>
        <v>0</v>
      </c>
      <c r="K137" s="374">
        <f ca="1">SUMIF('DAILY OKEY AYAM'!$C$9:$C$173,$C137,'DAILY OKEY AYAM'!$R$9:$R$172)</f>
        <v>0.3</v>
      </c>
      <c r="L137" s="374">
        <f ca="1">SUMIF('DAILY OKEY AYAM'!$C$9:$C$173,$C137,'DAILY OKEY AYAM'!$S$9:$S$172)</f>
        <v>0</v>
      </c>
      <c r="M137" s="374">
        <f ca="1">SUMIF('DAILY OKEY AYAM'!$C$9:$C$173,$C137,'DAILY OKEY AYAM'!$T$9:$T$172)</f>
        <v>1.74</v>
      </c>
      <c r="N137" s="374">
        <f ca="1">SUMIF('DAILY OKEY AYAM'!$C$9:$C$173,$C137,'DAILY OKEY AYAM'!$U$9:$U$172)</f>
        <v>0</v>
      </c>
      <c r="O137" s="374">
        <f ca="1">SUMIF('DAILY OKEY AYAM'!$C$9:$C$173,$C137,'DAILY OKEY AYAM'!$V$9:$V$172)</f>
        <v>0</v>
      </c>
      <c r="P137" s="374">
        <f ca="1">SUMIF('DAILY OKEY AYAM'!$C$9:$C$173,$C137,'DAILY OKEY AYAM'!$W$9:$W$172)</f>
        <v>0</v>
      </c>
      <c r="Q137" s="374">
        <f ca="1">SUMIF('DAILY OKEY AYAM'!$C$9:$C$173,$C137,'DAILY OKEY AYAM'!$X$9:$X$172)</f>
        <v>0</v>
      </c>
      <c r="R137" s="374">
        <f t="shared" ca="1" si="162"/>
        <v>9.2199999999999989</v>
      </c>
      <c r="S137" s="376">
        <f t="shared" ca="1" si="163"/>
        <v>4.9881652803137888E-3</v>
      </c>
      <c r="T137" s="381"/>
      <c r="U137" s="741">
        <f ca="1">SUM(R137:R142)</f>
        <v>86.95</v>
      </c>
      <c r="V137" s="744">
        <f ca="1">+U137/(SUM(E137:E142))</f>
        <v>9.2530761556368479E-3</v>
      </c>
      <c r="W137" s="735" t="s">
        <v>340</v>
      </c>
      <c r="X137" s="727" t="s">
        <v>316</v>
      </c>
      <c r="Y137" s="727" t="s">
        <v>317</v>
      </c>
      <c r="Z137" s="727" t="s">
        <v>313</v>
      </c>
      <c r="AA137" s="727" t="s">
        <v>314</v>
      </c>
      <c r="AB137" s="535"/>
    </row>
    <row r="138" spans="2:28" ht="16.5">
      <c r="B138" s="733"/>
      <c r="C138" s="473" t="str">
        <f>+'HASIL PROD'!B250</f>
        <v>QG23705</v>
      </c>
      <c r="D138" s="372">
        <f>SUMIF('HASIL PROD'!$B$4:$B$343,C138,'HASIL PROD'!$C$4:$C$343)</f>
        <v>439</v>
      </c>
      <c r="E138" s="373">
        <f t="shared" si="161"/>
        <v>1701.125</v>
      </c>
      <c r="F138" s="374">
        <f ca="1">SUMIF('DAILY OKEY AYAM'!$C$9:$C$173,$C138,'DAILY OKEY AYAM'!$K$9:$K$172)</f>
        <v>5.6</v>
      </c>
      <c r="G138" s="374">
        <f ca="1">SUMIF('DAILY OKEY AYAM'!$C$9:$C$173,$C138,'DAILY OKEY AYAM'!$L$9:$L$172)</f>
        <v>4.5999999999999996</v>
      </c>
      <c r="H138" s="374">
        <f ca="1">SUMIF('DAILY OKEY AYAM'!$C$9:$C$173,$C138,'DAILY OKEY AYAM'!$M$9:$N$172)</f>
        <v>0</v>
      </c>
      <c r="I138" s="374">
        <f ca="1">SUMIF('DAILY OKEY AYAM'!$C$9:$C$173,$C138,'DAILY OKEY AYAM'!$O$9:$O$172)</f>
        <v>14.18</v>
      </c>
      <c r="J138" s="374">
        <f ca="1">SUMIF('DAILY OKEY AYAM'!$C$9:$C$173,$C138,'DAILY OKEY AYAM'!$P$9:$P$172)</f>
        <v>0.38</v>
      </c>
      <c r="K138" s="374">
        <f ca="1">SUMIF('DAILY OKEY AYAM'!$C$9:$C$173,$C138,'DAILY OKEY AYAM'!$R$9:$R$172)</f>
        <v>0.3</v>
      </c>
      <c r="L138" s="374">
        <f ca="1">SUMIF('DAILY OKEY AYAM'!$C$9:$C$173,$C138,'DAILY OKEY AYAM'!$S$9:$S$172)</f>
        <v>0</v>
      </c>
      <c r="M138" s="374">
        <f ca="1">SUMIF('DAILY OKEY AYAM'!$C$9:$C$173,$C138,'DAILY OKEY AYAM'!$T$9:$T$172)</f>
        <v>1.74</v>
      </c>
      <c r="N138" s="374">
        <f ca="1">SUMIF('DAILY OKEY AYAM'!$C$9:$C$173,$C138,'DAILY OKEY AYAM'!$U$9:$U$172)</f>
        <v>0</v>
      </c>
      <c r="O138" s="374">
        <f ca="1">SUMIF('DAILY OKEY AYAM'!$C$9:$C$173,$C138,'DAILY OKEY AYAM'!$V$9:$V$172)</f>
        <v>0</v>
      </c>
      <c r="P138" s="374">
        <f ca="1">SUMIF('DAILY OKEY AYAM'!$C$9:$C$173,$C138,'DAILY OKEY AYAM'!$W$9:$W$172)</f>
        <v>0</v>
      </c>
      <c r="Q138" s="374">
        <f ca="1">SUMIF('DAILY OKEY AYAM'!$C$9:$C$173,$C138,'DAILY OKEY AYAM'!$X$9:$X$172)</f>
        <v>0</v>
      </c>
      <c r="R138" s="374">
        <f t="shared" ca="1" si="162"/>
        <v>26.799999999999997</v>
      </c>
      <c r="S138" s="376">
        <f t="shared" ca="1" si="163"/>
        <v>1.575428025571313E-2</v>
      </c>
      <c r="T138" s="381"/>
      <c r="U138" s="742"/>
      <c r="V138" s="745"/>
      <c r="W138" s="736"/>
      <c r="X138" s="728"/>
      <c r="Y138" s="728"/>
      <c r="Z138" s="728"/>
      <c r="AA138" s="728"/>
      <c r="AB138" s="535"/>
    </row>
    <row r="139" spans="2:28" ht="16.5">
      <c r="B139" s="733"/>
      <c r="C139" s="473" t="str">
        <f>+'HASIL PROD'!B251</f>
        <v>QG23706</v>
      </c>
      <c r="D139" s="372">
        <f>SUMIF('HASIL PROD'!$B$4:$B$343,C139,'HASIL PROD'!$C$4:$C$343)</f>
        <v>462</v>
      </c>
      <c r="E139" s="373">
        <f>+D139*3.875</f>
        <v>1790.25</v>
      </c>
      <c r="F139" s="374">
        <f ca="1">SUMIF('DAILY OKEY AYAM'!$C$9:$C$173,$C139,'DAILY OKEY AYAM'!$K$9:$K$172)</f>
        <v>2.54</v>
      </c>
      <c r="G139" s="374">
        <f ca="1">SUMIF('DAILY OKEY AYAM'!$C$9:$C$173,$C139,'DAILY OKEY AYAM'!$L$9:$L$172)</f>
        <v>5.12</v>
      </c>
      <c r="H139" s="374">
        <f ca="1">SUMIF('DAILY OKEY AYAM'!$C$9:$C$173,$C139,'DAILY OKEY AYAM'!$M$9:$N$172)</f>
        <v>0</v>
      </c>
      <c r="I139" s="374">
        <f ca="1">SUMIF('DAILY OKEY AYAM'!$C$9:$C$173,$C139,'DAILY OKEY AYAM'!$O$9:$O$172)</f>
        <v>6.1199999999999992</v>
      </c>
      <c r="J139" s="374">
        <f ca="1">SUMIF('DAILY OKEY AYAM'!$C$9:$C$173,$C139,'DAILY OKEY AYAM'!$P$9:$P$172)</f>
        <v>0</v>
      </c>
      <c r="K139" s="374">
        <f ca="1">SUMIF('DAILY OKEY AYAM'!$C$9:$C$173,$C139,'DAILY OKEY AYAM'!$R$9:$R$172)</f>
        <v>0</v>
      </c>
      <c r="L139" s="374">
        <f ca="1">SUMIF('DAILY OKEY AYAM'!$C$9:$C$173,$C139,'DAILY OKEY AYAM'!$S$9:$S$172)</f>
        <v>0.84</v>
      </c>
      <c r="M139" s="374">
        <f ca="1">SUMIF('DAILY OKEY AYAM'!$C$9:$C$173,$C139,'DAILY OKEY AYAM'!$T$9:$T$172)</f>
        <v>3.6900000000000004</v>
      </c>
      <c r="N139" s="374">
        <f ca="1">SUMIF('DAILY OKEY AYAM'!$C$9:$C$173,$C139,'DAILY OKEY AYAM'!$U$9:$U$172)</f>
        <v>0</v>
      </c>
      <c r="O139" s="374">
        <f ca="1">SUMIF('DAILY OKEY AYAM'!$C$9:$C$173,$C139,'DAILY OKEY AYAM'!$V$9:$V$172)</f>
        <v>0</v>
      </c>
      <c r="P139" s="374">
        <f ca="1">SUMIF('DAILY OKEY AYAM'!$C$9:$C$173,$C139,'DAILY OKEY AYAM'!$W$9:$W$172)</f>
        <v>0</v>
      </c>
      <c r="Q139" s="374">
        <f ca="1">SUMIF('DAILY OKEY AYAM'!$C$9:$C$173,$C139,'DAILY OKEY AYAM'!$X$9:$X$172)</f>
        <v>0</v>
      </c>
      <c r="R139" s="374">
        <f t="shared" ca="1" si="162"/>
        <v>18.309999999999999</v>
      </c>
      <c r="S139" s="376">
        <f t="shared" ca="1" si="163"/>
        <v>1.0227621840525065E-2</v>
      </c>
      <c r="T139" s="381"/>
      <c r="U139" s="742"/>
      <c r="V139" s="745"/>
      <c r="W139" s="736"/>
      <c r="X139" s="728"/>
      <c r="Y139" s="728"/>
      <c r="Z139" s="728"/>
      <c r="AA139" s="728"/>
      <c r="AB139" s="535"/>
    </row>
    <row r="140" spans="2:28" ht="16.5">
      <c r="B140" s="733"/>
      <c r="C140" s="473" t="str">
        <f>+'HASIL PROD'!B252</f>
        <v>QG23707</v>
      </c>
      <c r="D140" s="372">
        <f>SUMIF('HASIL PROD'!$B$4:$B$343,C140,'HASIL PROD'!$C$4:$C$343)</f>
        <v>473</v>
      </c>
      <c r="E140" s="373">
        <f>+D140*3.875</f>
        <v>1832.875</v>
      </c>
      <c r="F140" s="374">
        <f ca="1">SUMIF('DAILY OKEY AYAM'!$C$9:$C$173,$C140,'DAILY OKEY AYAM'!$K$9:$K$172)</f>
        <v>4.96</v>
      </c>
      <c r="G140" s="374">
        <f ca="1">SUMIF('DAILY OKEY AYAM'!$C$9:$C$173,$C140,'DAILY OKEY AYAM'!$L$9:$L$172)</f>
        <v>3.68</v>
      </c>
      <c r="H140" s="374">
        <f ca="1">SUMIF('DAILY OKEY AYAM'!$C$9:$C$173,$C140,'DAILY OKEY AYAM'!$M$9:$N$172)</f>
        <v>0</v>
      </c>
      <c r="I140" s="374">
        <f ca="1">SUMIF('DAILY OKEY AYAM'!$C$9:$C$173,$C140,'DAILY OKEY AYAM'!$O$9:$O$172)</f>
        <v>3.48</v>
      </c>
      <c r="J140" s="374">
        <f ca="1">SUMIF('DAILY OKEY AYAM'!$C$9:$C$173,$C140,'DAILY OKEY AYAM'!$P$9:$P$172)</f>
        <v>0.08</v>
      </c>
      <c r="K140" s="374">
        <f ca="1">SUMIF('DAILY OKEY AYAM'!$C$9:$C$173,$C140,'DAILY OKEY AYAM'!$R$9:$R$172)</f>
        <v>0</v>
      </c>
      <c r="L140" s="374">
        <f ca="1">SUMIF('DAILY OKEY AYAM'!$C$9:$C$173,$C140,'DAILY OKEY AYAM'!$S$9:$S$172)</f>
        <v>0</v>
      </c>
      <c r="M140" s="374">
        <f ca="1">SUMIF('DAILY OKEY AYAM'!$C$9:$C$173,$C140,'DAILY OKEY AYAM'!$T$9:$T$172)</f>
        <v>2.14</v>
      </c>
      <c r="N140" s="374">
        <f ca="1">SUMIF('DAILY OKEY AYAM'!$C$9:$C$173,$C140,'DAILY OKEY AYAM'!$U$9:$U$172)</f>
        <v>0</v>
      </c>
      <c r="O140" s="374">
        <f ca="1">SUMIF('DAILY OKEY AYAM'!$C$9:$C$173,$C140,'DAILY OKEY AYAM'!$V$9:$V$172)</f>
        <v>0</v>
      </c>
      <c r="P140" s="374">
        <f ca="1">SUMIF('DAILY OKEY AYAM'!$C$9:$C$173,$C140,'DAILY OKEY AYAM'!$W$9:$W$172)</f>
        <v>0</v>
      </c>
      <c r="Q140" s="374">
        <f ca="1">SUMIF('DAILY OKEY AYAM'!$C$9:$C$173,$C140,'DAILY OKEY AYAM'!$X$9:$X$172)</f>
        <v>0</v>
      </c>
      <c r="R140" s="374">
        <f t="shared" ca="1" si="162"/>
        <v>14.340000000000002</v>
      </c>
      <c r="S140" s="376">
        <f t="shared" ca="1" si="163"/>
        <v>7.8237741253495193E-3</v>
      </c>
      <c r="T140" s="381"/>
      <c r="U140" s="742"/>
      <c r="V140" s="745"/>
      <c r="W140" s="736"/>
      <c r="X140" s="728"/>
      <c r="Y140" s="728"/>
      <c r="Z140" s="728"/>
      <c r="AA140" s="728"/>
      <c r="AB140" s="535"/>
    </row>
    <row r="141" spans="2:28" ht="16.5">
      <c r="B141" s="733"/>
      <c r="C141" s="473" t="str">
        <f>+'HASIL PROD'!B253</f>
        <v>QG23708</v>
      </c>
      <c r="D141" s="372">
        <f>SUMIF('HASIL PROD'!$B$4:$B$343,C141,'HASIL PROD'!$C$4:$C$343)</f>
        <v>411</v>
      </c>
      <c r="E141" s="373">
        <f t="shared" ref="E141:E143" si="164">+D141*3.875</f>
        <v>1592.625</v>
      </c>
      <c r="F141" s="374">
        <f ca="1">SUMIF('DAILY OKEY AYAM'!$C$9:$C$173,$C141,'DAILY OKEY AYAM'!$K$9:$K$172)</f>
        <v>3.68</v>
      </c>
      <c r="G141" s="374">
        <f ca="1">SUMIF('DAILY OKEY AYAM'!$C$9:$C$173,$C141,'DAILY OKEY AYAM'!$L$9:$L$172)</f>
        <v>3.1999999999999997</v>
      </c>
      <c r="H141" s="374">
        <f ca="1">SUMIF('DAILY OKEY AYAM'!$C$9:$C$173,$C141,'DAILY OKEY AYAM'!$M$9:$N$172)</f>
        <v>0</v>
      </c>
      <c r="I141" s="374">
        <f ca="1">SUMIF('DAILY OKEY AYAM'!$C$9:$C$173,$C141,'DAILY OKEY AYAM'!$O$9:$O$172)</f>
        <v>5.56</v>
      </c>
      <c r="J141" s="374">
        <f ca="1">SUMIF('DAILY OKEY AYAM'!$C$9:$C$173,$C141,'DAILY OKEY AYAM'!$P$9:$P$172)</f>
        <v>0.18</v>
      </c>
      <c r="K141" s="374">
        <f ca="1">SUMIF('DAILY OKEY AYAM'!$C$9:$C$173,$C141,'DAILY OKEY AYAM'!$R$9:$R$172)</f>
        <v>0.14000000000000001</v>
      </c>
      <c r="L141" s="374">
        <f ca="1">SUMIF('DAILY OKEY AYAM'!$C$9:$C$173,$C141,'DAILY OKEY AYAM'!$S$9:$S$172)</f>
        <v>0</v>
      </c>
      <c r="M141" s="374">
        <f ca="1">SUMIF('DAILY OKEY AYAM'!$C$9:$C$173,$C141,'DAILY OKEY AYAM'!$T$9:$T$172)</f>
        <v>1.74</v>
      </c>
      <c r="N141" s="374">
        <f ca="1">SUMIF('DAILY OKEY AYAM'!$C$9:$C$173,$C141,'DAILY OKEY AYAM'!$U$9:$U$172)</f>
        <v>0</v>
      </c>
      <c r="O141" s="374">
        <f ca="1">SUMIF('DAILY OKEY AYAM'!$C$9:$C$173,$C141,'DAILY OKEY AYAM'!$V$9:$V$172)</f>
        <v>0</v>
      </c>
      <c r="P141" s="374">
        <f ca="1">SUMIF('DAILY OKEY AYAM'!$C$9:$C$173,$C141,'DAILY OKEY AYAM'!$W$9:$W$172)</f>
        <v>0</v>
      </c>
      <c r="Q141" s="374">
        <f ca="1">SUMIF('DAILY OKEY AYAM'!$C$9:$C$173,$C141,'DAILY OKEY AYAM'!$X$9:$X$172)</f>
        <v>0</v>
      </c>
      <c r="R141" s="374">
        <f t="shared" ca="1" si="162"/>
        <v>14.5</v>
      </c>
      <c r="S141" s="376">
        <f t="shared" ca="1" si="163"/>
        <v>9.1044658974962726E-3</v>
      </c>
      <c r="T141" s="381"/>
      <c r="U141" s="742"/>
      <c r="V141" s="745"/>
      <c r="W141" s="736"/>
      <c r="X141" s="728"/>
      <c r="Y141" s="728"/>
      <c r="Z141" s="728"/>
      <c r="AA141" s="728"/>
      <c r="AB141" s="535"/>
    </row>
    <row r="142" spans="2:28" ht="16.5">
      <c r="B142" s="733"/>
      <c r="C142" s="473" t="str">
        <f>+'HASIL PROD'!B254</f>
        <v>QG23709</v>
      </c>
      <c r="D142" s="372">
        <f>SUMIF('HASIL PROD'!$B$4:$B$343,C142,'HASIL PROD'!$C$4:$C$343)</f>
        <v>163</v>
      </c>
      <c r="E142" s="373">
        <f t="shared" si="164"/>
        <v>631.625</v>
      </c>
      <c r="F142" s="374">
        <f ca="1">SUMIF('DAILY OKEY AYAM'!$C$9:$C$173,$C142,'DAILY OKEY AYAM'!$K$9:$K$172)</f>
        <v>0.2</v>
      </c>
      <c r="G142" s="374">
        <f ca="1">SUMIF('DAILY OKEY AYAM'!$C$9:$C$173,$C142,'DAILY OKEY AYAM'!$L$9:$L$172)</f>
        <v>1.56</v>
      </c>
      <c r="H142" s="374">
        <f ca="1">SUMIF('DAILY OKEY AYAM'!$C$9:$C$173,$C142,'DAILY OKEY AYAM'!$M$9:$N$172)</f>
        <v>0</v>
      </c>
      <c r="I142" s="374">
        <f ca="1">SUMIF('DAILY OKEY AYAM'!$C$9:$C$173,$C142,'DAILY OKEY AYAM'!$O$9:$O$172)</f>
        <v>1.06</v>
      </c>
      <c r="J142" s="374">
        <f ca="1">SUMIF('DAILY OKEY AYAM'!$C$9:$C$173,$C142,'DAILY OKEY AYAM'!$P$9:$P$172)</f>
        <v>0</v>
      </c>
      <c r="K142" s="374">
        <f ca="1">SUMIF('DAILY OKEY AYAM'!$C$9:$C$173,$C142,'DAILY OKEY AYAM'!$R$9:$R$172)</f>
        <v>0.5</v>
      </c>
      <c r="L142" s="374">
        <f ca="1">SUMIF('DAILY OKEY AYAM'!$C$9:$C$173,$C142,'DAILY OKEY AYAM'!$S$9:$S$172)</f>
        <v>0</v>
      </c>
      <c r="M142" s="374">
        <f ca="1">SUMIF('DAILY OKEY AYAM'!$C$9:$C$173,$C142,'DAILY OKEY AYAM'!$T$9:$T$172)</f>
        <v>0.46</v>
      </c>
      <c r="N142" s="374">
        <f ca="1">SUMIF('DAILY OKEY AYAM'!$C$9:$C$173,$C142,'DAILY OKEY AYAM'!$U$9:$U$172)</f>
        <v>0</v>
      </c>
      <c r="O142" s="374">
        <f ca="1">SUMIF('DAILY OKEY AYAM'!$C$9:$C$173,$C142,'DAILY OKEY AYAM'!$V$9:$V$172)</f>
        <v>0</v>
      </c>
      <c r="P142" s="374">
        <f ca="1">SUMIF('DAILY OKEY AYAM'!$C$9:$C$173,$C142,'DAILY OKEY AYAM'!$W$9:$W$172)</f>
        <v>0</v>
      </c>
      <c r="Q142" s="374">
        <f ca="1">SUMIF('DAILY OKEY AYAM'!$C$9:$C$173,$C142,'DAILY OKEY AYAM'!$X$9:$X$172)</f>
        <v>0</v>
      </c>
      <c r="R142" s="374">
        <f t="shared" ref="R142:R143" ca="1" si="165">+SUM(F142:Q142)</f>
        <v>3.7800000000000002</v>
      </c>
      <c r="S142" s="376">
        <f t="shared" ca="1" si="163"/>
        <v>5.9845636255689691E-3</v>
      </c>
      <c r="T142" s="381"/>
      <c r="U142" s="743"/>
      <c r="V142" s="746"/>
      <c r="W142" s="737"/>
      <c r="X142" s="729"/>
      <c r="Y142" s="729"/>
      <c r="Z142" s="729"/>
      <c r="AA142" s="729"/>
      <c r="AB142" s="535"/>
    </row>
    <row r="143" spans="2:28" ht="14.25" customHeight="1">
      <c r="B143" s="733"/>
      <c r="C143" s="473" t="str">
        <f>+'HASIL PROD'!B255</f>
        <v>QG23710</v>
      </c>
      <c r="D143" s="372">
        <f>SUMIF('HASIL PROD'!$B$4:$B$343,C143,'HASIL PROD'!$C$4:$C$343)</f>
        <v>436</v>
      </c>
      <c r="E143" s="373">
        <f t="shared" si="164"/>
        <v>1689.5</v>
      </c>
      <c r="F143" s="374">
        <f ca="1">SUMIF('DAILY OKEY AYAM'!$C$9:$C$173,$C143,'DAILY OKEY AYAM'!$K$9:$K$172)</f>
        <v>0.28000000000000003</v>
      </c>
      <c r="G143" s="374">
        <f ca="1">SUMIF('DAILY OKEY AYAM'!$C$9:$C$173,$C143,'DAILY OKEY AYAM'!$L$9:$L$172)</f>
        <v>3.8</v>
      </c>
      <c r="H143" s="374">
        <f ca="1">SUMIF('DAILY OKEY AYAM'!$C$9:$C$173,$C143,'DAILY OKEY AYAM'!$M$9:$N$172)</f>
        <v>0</v>
      </c>
      <c r="I143" s="374">
        <f ca="1">SUMIF('DAILY OKEY AYAM'!$C$9:$C$173,$C143,'DAILY OKEY AYAM'!$O$9:$O$172)</f>
        <v>9.8000000000000007</v>
      </c>
      <c r="J143" s="374">
        <f ca="1">SUMIF('DAILY OKEY AYAM'!$C$9:$C$173,$C143,'DAILY OKEY AYAM'!$P$9:$P$172)</f>
        <v>0</v>
      </c>
      <c r="K143" s="374">
        <f ca="1">SUMIF('DAILY OKEY AYAM'!$C$9:$C$173,$C143,'DAILY OKEY AYAM'!$R$9:$R$172)</f>
        <v>1.5</v>
      </c>
      <c r="L143" s="374">
        <f ca="1">SUMIF('DAILY OKEY AYAM'!$C$9:$C$173,$C143,'DAILY OKEY AYAM'!$S$9:$S$172)</f>
        <v>0</v>
      </c>
      <c r="M143" s="374">
        <f ca="1">SUMIF('DAILY OKEY AYAM'!$C$9:$C$173,$C143,'DAILY OKEY AYAM'!$T$9:$T$172)</f>
        <v>1.7</v>
      </c>
      <c r="N143" s="374">
        <f ca="1">SUMIF('DAILY OKEY AYAM'!$C$9:$C$173,$C143,'DAILY OKEY AYAM'!$U$9:$U$172)</f>
        <v>0</v>
      </c>
      <c r="O143" s="374">
        <f ca="1">SUMIF('DAILY OKEY AYAM'!$C$9:$C$173,$C143,'DAILY OKEY AYAM'!$V$9:$V$172)</f>
        <v>0</v>
      </c>
      <c r="P143" s="374">
        <f ca="1">SUMIF('DAILY OKEY AYAM'!$C$9:$C$173,$C143,'DAILY OKEY AYAM'!$W$9:$W$172)</f>
        <v>0</v>
      </c>
      <c r="Q143" s="374">
        <f ca="1">SUMIF('DAILY OKEY AYAM'!$C$9:$C$173,$C143,'DAILY OKEY AYAM'!$X$9:$X$172)</f>
        <v>0</v>
      </c>
      <c r="R143" s="374">
        <f t="shared" ca="1" si="165"/>
        <v>17.080000000000002</v>
      </c>
      <c r="S143" s="376">
        <f t="shared" ca="1" si="163"/>
        <v>1.0109499852027228E-2</v>
      </c>
      <c r="T143" s="381"/>
      <c r="U143" s="516">
        <f ca="1">SUM(R143:R143)</f>
        <v>17.080000000000002</v>
      </c>
      <c r="V143" s="601">
        <f ca="1">+U143/(SUM(E143:E143))</f>
        <v>1.0109499852027228E-2</v>
      </c>
      <c r="W143" s="401" t="s">
        <v>338</v>
      </c>
      <c r="X143" s="530" t="s">
        <v>315</v>
      </c>
      <c r="Y143" s="530" t="s">
        <v>319</v>
      </c>
      <c r="Z143" s="530" t="s">
        <v>312</v>
      </c>
      <c r="AA143" s="530" t="s">
        <v>318</v>
      </c>
      <c r="AB143" s="535"/>
    </row>
    <row r="144" spans="2:28" ht="16.5">
      <c r="B144" s="733"/>
      <c r="C144" s="371"/>
      <c r="D144" s="372"/>
      <c r="E144" s="373"/>
      <c r="F144" s="379"/>
      <c r="G144" s="379"/>
      <c r="H144" s="379"/>
      <c r="I144" s="379"/>
      <c r="J144" s="379"/>
      <c r="K144" s="379"/>
      <c r="L144" s="379"/>
      <c r="M144" s="379"/>
      <c r="N144" s="379"/>
      <c r="O144" s="379"/>
      <c r="P144" s="379"/>
      <c r="Q144" s="379"/>
      <c r="R144" s="374"/>
      <c r="S144" s="380"/>
      <c r="T144" s="381"/>
      <c r="U144" s="374"/>
      <c r="V144" s="407"/>
      <c r="W144" s="408"/>
      <c r="X144" s="530"/>
      <c r="Y144" s="530"/>
      <c r="Z144" s="530"/>
      <c r="AA144" s="530"/>
      <c r="AB144" s="535"/>
    </row>
    <row r="145" spans="2:28" ht="16.5">
      <c r="B145" s="734"/>
      <c r="C145" s="385" t="s">
        <v>118</v>
      </c>
      <c r="D145" s="386">
        <f>SUM(D134:D144)</f>
        <v>4201</v>
      </c>
      <c r="E145" s="387">
        <f>SUM(E134:E144)</f>
        <v>16278.875</v>
      </c>
      <c r="F145" s="388">
        <f ca="1">SUM(F134:F144)</f>
        <v>22.34</v>
      </c>
      <c r="G145" s="388">
        <f t="shared" ref="G145:R145" ca="1" si="166">SUM(G134:G144)</f>
        <v>30.499999999999996</v>
      </c>
      <c r="H145" s="388">
        <f t="shared" ca="1" si="166"/>
        <v>0</v>
      </c>
      <c r="I145" s="388">
        <f t="shared" ca="1" si="166"/>
        <v>60.379999999999995</v>
      </c>
      <c r="J145" s="388">
        <f t="shared" ca="1" si="166"/>
        <v>1.9000000000000001</v>
      </c>
      <c r="K145" s="388">
        <f t="shared" ca="1" si="166"/>
        <v>3.8000000000000003</v>
      </c>
      <c r="L145" s="388">
        <f t="shared" ca="1" si="166"/>
        <v>0.84</v>
      </c>
      <c r="M145" s="388">
        <f t="shared" ca="1" si="166"/>
        <v>19.350000000000001</v>
      </c>
      <c r="N145" s="388">
        <f t="shared" ca="1" si="166"/>
        <v>1</v>
      </c>
      <c r="O145" s="388">
        <f t="shared" ca="1" si="166"/>
        <v>0</v>
      </c>
      <c r="P145" s="388">
        <f t="shared" ca="1" si="166"/>
        <v>0</v>
      </c>
      <c r="Q145" s="388">
        <f t="shared" ca="1" si="166"/>
        <v>0</v>
      </c>
      <c r="R145" s="388">
        <f t="shared" ca="1" si="166"/>
        <v>140.11000000000001</v>
      </c>
      <c r="S145" s="389"/>
      <c r="T145" s="402"/>
      <c r="U145" s="388"/>
      <c r="V145" s="389"/>
      <c r="W145" s="389"/>
      <c r="X145" s="530"/>
      <c r="Y145" s="530"/>
      <c r="Z145" s="530"/>
      <c r="AA145" s="530"/>
      <c r="AB145" s="535"/>
    </row>
    <row r="146" spans="2:28" ht="16.5">
      <c r="B146" s="406"/>
      <c r="C146" s="393" t="s">
        <v>114</v>
      </c>
      <c r="D146" s="394"/>
      <c r="E146" s="395"/>
      <c r="F146" s="396">
        <f ca="1">+F145/$E145</f>
        <v>1.3723307046709309E-3</v>
      </c>
      <c r="G146" s="396">
        <f t="shared" ref="G146" ca="1" si="167">+G145/$E145</f>
        <v>1.8735938447834999E-3</v>
      </c>
      <c r="H146" s="396">
        <f t="shared" ref="H146" ca="1" si="168">+H145/$E145</f>
        <v>0</v>
      </c>
      <c r="I146" s="396">
        <f t="shared" ref="I146" ca="1" si="169">+I145/$E145</f>
        <v>3.7091015196074667E-3</v>
      </c>
      <c r="J146" s="396">
        <f t="shared" ref="J146" ca="1" si="170">+J145/$E145</f>
        <v>1.1671568213405411E-4</v>
      </c>
      <c r="K146" s="396">
        <f t="shared" ref="K146" ca="1" si="171">+K145/$E145</f>
        <v>2.3343136426810823E-4</v>
      </c>
      <c r="L146" s="396">
        <f t="shared" ref="L146" ca="1" si="172">+L145/$E145</f>
        <v>5.1600617364529182E-5</v>
      </c>
      <c r="M146" s="396">
        <f t="shared" ref="M146" ca="1" si="173">+M145/$E145</f>
        <v>1.1886570785757616E-3</v>
      </c>
      <c r="N146" s="396">
        <f t="shared" ref="N146" ca="1" si="174">+N145/$E145</f>
        <v>6.1429306386344271E-5</v>
      </c>
      <c r="O146" s="396">
        <f t="shared" ref="O146" ca="1" si="175">+O145/$E145</f>
        <v>0</v>
      </c>
      <c r="P146" s="396">
        <f t="shared" ref="P146" ca="1" si="176">+P145/$E145</f>
        <v>0</v>
      </c>
      <c r="Q146" s="396">
        <f t="shared" ref="Q146" ca="1" si="177">+Q145/$E145</f>
        <v>0</v>
      </c>
      <c r="R146" s="482">
        <f ca="1">+R145/$E145</f>
        <v>8.6068601177906965E-3</v>
      </c>
      <c r="S146" s="399"/>
      <c r="T146" s="402"/>
      <c r="U146" s="400"/>
      <c r="V146" s="389"/>
      <c r="W146" s="389"/>
      <c r="X146" s="530"/>
      <c r="Y146" s="530"/>
      <c r="Z146" s="530"/>
      <c r="AA146" s="530"/>
      <c r="AB146" s="535"/>
    </row>
    <row r="147" spans="2:28" ht="16.5">
      <c r="B147" s="732" t="s">
        <v>178</v>
      </c>
      <c r="C147" s="474" t="str">
        <f>+'HASIL PROD'!B257</f>
        <v>QG24701</v>
      </c>
      <c r="D147" s="372">
        <f>SUMIF('HASIL PROD'!$B$4:$B$343,C147,'HASIL PROD'!$C$4:$C$343)</f>
        <v>441</v>
      </c>
      <c r="E147" s="373">
        <f t="shared" ref="E147:E151" si="178">+D147*3.875</f>
        <v>1708.875</v>
      </c>
      <c r="F147" s="374">
        <f ca="1">SUMIF('DAILY OKEY AYAM'!$C$9:$C$173,$C147,'DAILY OKEY AYAM'!$K$9:$K$172)</f>
        <v>0.88</v>
      </c>
      <c r="G147" s="374">
        <f ca="1">SUMIF('DAILY OKEY AYAM'!$C$9:$C$173,$C147,'DAILY OKEY AYAM'!$L$9:$L$172)</f>
        <v>1.5</v>
      </c>
      <c r="H147" s="374">
        <f ca="1">SUMIF('DAILY OKEY AYAM'!$C$9:$C$173,$C147,'DAILY OKEY AYAM'!$M$9:$N$172)</f>
        <v>0</v>
      </c>
      <c r="I147" s="374">
        <f ca="1">SUMIF('DAILY OKEY AYAM'!$C$9:$C$173,$C147,'DAILY OKEY AYAM'!$O$9:$O$172)</f>
        <v>2.08</v>
      </c>
      <c r="J147" s="374">
        <f ca="1">SUMIF('DAILY OKEY AYAM'!$C$9:$C$173,$C147,'DAILY OKEY AYAM'!$P$9:$P$172)</f>
        <v>0</v>
      </c>
      <c r="K147" s="374">
        <f ca="1">SUMIF('DAILY OKEY AYAM'!$C$9:$C$173,$C147,'DAILY OKEY AYAM'!$R$9:$R$172)</f>
        <v>0</v>
      </c>
      <c r="L147" s="374">
        <f ca="1">SUMIF('DAILY OKEY AYAM'!$C$9:$C$173,$C147,'DAILY OKEY AYAM'!$S$9:$S$172)</f>
        <v>0</v>
      </c>
      <c r="M147" s="374">
        <f ca="1">SUMIF('DAILY OKEY AYAM'!$C$9:$C$173,$C147,'DAILY OKEY AYAM'!$T$9:$T$172)</f>
        <v>1.36</v>
      </c>
      <c r="N147" s="374">
        <f ca="1">SUMIF('DAILY OKEY AYAM'!$C$9:$C$173,$C147,'DAILY OKEY AYAM'!$U$9:$U$172)</f>
        <v>0</v>
      </c>
      <c r="O147" s="374">
        <f ca="1">SUMIF('DAILY OKEY AYAM'!$C$9:$C$173,$C147,'DAILY OKEY AYAM'!$V$9:$V$172)</f>
        <v>0</v>
      </c>
      <c r="P147" s="374">
        <f ca="1">SUMIF('DAILY OKEY AYAM'!$C$9:$C$173,$C147,'DAILY OKEY AYAM'!$W$9:$W$172)</f>
        <v>0</v>
      </c>
      <c r="Q147" s="374">
        <f ca="1">SUMIF('DAILY OKEY AYAM'!$C$9:$C$173,$C147,'DAILY OKEY AYAM'!$X$9:$X$172)</f>
        <v>0</v>
      </c>
      <c r="R147" s="374">
        <f t="shared" ref="R147:R154" ca="1" si="179">+SUM(F147:Q147)</f>
        <v>5.82</v>
      </c>
      <c r="S147" s="376">
        <f t="shared" ref="S147:S156" ca="1" si="180">+R147/E147</f>
        <v>3.405749396532807E-3</v>
      </c>
      <c r="T147" s="381"/>
      <c r="U147" s="741">
        <f ca="1">SUM(R147:R150)</f>
        <v>56.120000000000005</v>
      </c>
      <c r="V147" s="744">
        <f ca="1">+U147/(SUM(E147:E150))</f>
        <v>8.0280380516415135E-3</v>
      </c>
      <c r="W147" s="735" t="s">
        <v>338</v>
      </c>
      <c r="X147" s="727" t="s">
        <v>315</v>
      </c>
      <c r="Y147" s="727" t="s">
        <v>319</v>
      </c>
      <c r="Z147" s="727" t="s">
        <v>312</v>
      </c>
      <c r="AA147" s="530"/>
    </row>
    <row r="148" spans="2:28" ht="16.5">
      <c r="B148" s="733"/>
      <c r="C148" s="474" t="str">
        <f>+'HASIL PROD'!B258</f>
        <v>QG24702</v>
      </c>
      <c r="D148" s="372">
        <f>SUMIF('HASIL PROD'!$B$4:$B$343,C148,'HASIL PROD'!$C$4:$C$343)</f>
        <v>453</v>
      </c>
      <c r="E148" s="373">
        <f t="shared" si="178"/>
        <v>1755.375</v>
      </c>
      <c r="F148" s="374">
        <f ca="1">SUMIF('DAILY OKEY AYAM'!$C$9:$C$173,$C148,'DAILY OKEY AYAM'!$K$9:$K$172)</f>
        <v>2.1</v>
      </c>
      <c r="G148" s="374">
        <f ca="1">SUMIF('DAILY OKEY AYAM'!$C$9:$C$173,$C148,'DAILY OKEY AYAM'!$L$9:$L$172)</f>
        <v>2.8</v>
      </c>
      <c r="H148" s="374">
        <f ca="1">SUMIF('DAILY OKEY AYAM'!$C$9:$C$173,$C148,'DAILY OKEY AYAM'!$M$9:$N$172)</f>
        <v>0</v>
      </c>
      <c r="I148" s="374">
        <f ca="1">SUMIF('DAILY OKEY AYAM'!$C$9:$C$173,$C148,'DAILY OKEY AYAM'!$O$9:$O$172)</f>
        <v>11.48</v>
      </c>
      <c r="J148" s="374">
        <f ca="1">SUMIF('DAILY OKEY AYAM'!$C$9:$C$173,$C148,'DAILY OKEY AYAM'!$P$9:$P$172)</f>
        <v>0</v>
      </c>
      <c r="K148" s="374">
        <f ca="1">SUMIF('DAILY OKEY AYAM'!$C$9:$C$173,$C148,'DAILY OKEY AYAM'!$R$9:$R$172)</f>
        <v>0</v>
      </c>
      <c r="L148" s="374">
        <f ca="1">SUMIF('DAILY OKEY AYAM'!$C$9:$C$173,$C148,'DAILY OKEY AYAM'!$S$9:$S$172)</f>
        <v>0</v>
      </c>
      <c r="M148" s="374">
        <f ca="1">SUMIF('DAILY OKEY AYAM'!$C$9:$C$173,$C148,'DAILY OKEY AYAM'!$T$9:$T$172)</f>
        <v>2.2000000000000002</v>
      </c>
      <c r="N148" s="374">
        <f ca="1">SUMIF('DAILY OKEY AYAM'!$C$9:$C$173,$C148,'DAILY OKEY AYAM'!$U$9:$U$172)</f>
        <v>0</v>
      </c>
      <c r="O148" s="374">
        <f ca="1">SUMIF('DAILY OKEY AYAM'!$C$9:$C$173,$C148,'DAILY OKEY AYAM'!$V$9:$V$172)</f>
        <v>0</v>
      </c>
      <c r="P148" s="374">
        <f ca="1">SUMIF('DAILY OKEY AYAM'!$C$9:$C$173,$C148,'DAILY OKEY AYAM'!$W$9:$W$172)</f>
        <v>0</v>
      </c>
      <c r="Q148" s="374">
        <f ca="1">SUMIF('DAILY OKEY AYAM'!$C$9:$C$173,$C148,'DAILY OKEY AYAM'!$X$9:$X$172)</f>
        <v>0</v>
      </c>
      <c r="R148" s="374">
        <f t="shared" ca="1" si="179"/>
        <v>18.580000000000002</v>
      </c>
      <c r="S148" s="376">
        <f t="shared" ca="1" si="180"/>
        <v>1.0584632913195188E-2</v>
      </c>
      <c r="T148" s="381"/>
      <c r="U148" s="742"/>
      <c r="V148" s="745"/>
      <c r="W148" s="736"/>
      <c r="X148" s="728"/>
      <c r="Y148" s="728"/>
      <c r="Z148" s="728"/>
      <c r="AA148" s="530"/>
    </row>
    <row r="149" spans="2:28" ht="16.5">
      <c r="B149" s="733"/>
      <c r="C149" s="474" t="str">
        <f>+'HASIL PROD'!B259</f>
        <v>QG24703</v>
      </c>
      <c r="D149" s="372">
        <f>SUMIF('HASIL PROD'!$B$4:$B$343,C149,'HASIL PROD'!$C$4:$C$343)</f>
        <v>459</v>
      </c>
      <c r="E149" s="373">
        <f t="shared" si="178"/>
        <v>1778.625</v>
      </c>
      <c r="F149" s="374">
        <f ca="1">SUMIF('DAILY OKEY AYAM'!$C$9:$C$173,$C149,'DAILY OKEY AYAM'!$K$9:$K$172)</f>
        <v>2.1399999999999997</v>
      </c>
      <c r="G149" s="374">
        <f ca="1">SUMIF('DAILY OKEY AYAM'!$C$9:$C$173,$C149,'DAILY OKEY AYAM'!$L$9:$L$172)</f>
        <v>7.3</v>
      </c>
      <c r="H149" s="374">
        <f ca="1">SUMIF('DAILY OKEY AYAM'!$C$9:$C$173,$C149,'DAILY OKEY AYAM'!$M$9:$N$172)</f>
        <v>0</v>
      </c>
      <c r="I149" s="374">
        <f ca="1">SUMIF('DAILY OKEY AYAM'!$C$9:$C$173,$C149,'DAILY OKEY AYAM'!$O$9:$O$172)</f>
        <v>4.84</v>
      </c>
      <c r="J149" s="374">
        <f ca="1">SUMIF('DAILY OKEY AYAM'!$C$9:$C$173,$C149,'DAILY OKEY AYAM'!$P$9:$P$172)</f>
        <v>0</v>
      </c>
      <c r="K149" s="374">
        <f ca="1">SUMIF('DAILY OKEY AYAM'!$C$9:$C$173,$C149,'DAILY OKEY AYAM'!$R$9:$R$172)</f>
        <v>0</v>
      </c>
      <c r="L149" s="374">
        <f ca="1">SUMIF('DAILY OKEY AYAM'!$C$9:$C$173,$C149,'DAILY OKEY AYAM'!$S$9:$S$172)</f>
        <v>0</v>
      </c>
      <c r="M149" s="374">
        <f ca="1">SUMIF('DAILY OKEY AYAM'!$C$9:$C$173,$C149,'DAILY OKEY AYAM'!$T$9:$T$172)</f>
        <v>2.7800000000000002</v>
      </c>
      <c r="N149" s="374">
        <f ca="1">SUMIF('DAILY OKEY AYAM'!$C$9:$C$173,$C149,'DAILY OKEY AYAM'!$U$9:$U$172)</f>
        <v>0</v>
      </c>
      <c r="O149" s="374">
        <f ca="1">SUMIF('DAILY OKEY AYAM'!$C$9:$C$173,$C149,'DAILY OKEY AYAM'!$V$9:$V$172)</f>
        <v>0</v>
      </c>
      <c r="P149" s="374">
        <f ca="1">SUMIF('DAILY OKEY AYAM'!$C$9:$C$173,$C149,'DAILY OKEY AYAM'!$W$9:$W$172)</f>
        <v>0</v>
      </c>
      <c r="Q149" s="374">
        <f ca="1">SUMIF('DAILY OKEY AYAM'!$C$9:$C$173,$C149,'DAILY OKEY AYAM'!$X$9:$X$172)</f>
        <v>0</v>
      </c>
      <c r="R149" s="374">
        <f t="shared" ca="1" si="179"/>
        <v>17.059999999999999</v>
      </c>
      <c r="S149" s="376">
        <f t="shared" ca="1" si="180"/>
        <v>9.591678965493006E-3</v>
      </c>
      <c r="T149" s="381"/>
      <c r="U149" s="742"/>
      <c r="V149" s="745"/>
      <c r="W149" s="736"/>
      <c r="X149" s="728"/>
      <c r="Y149" s="728"/>
      <c r="Z149" s="728"/>
      <c r="AA149" s="530"/>
    </row>
    <row r="150" spans="2:28" ht="16.5">
      <c r="B150" s="733"/>
      <c r="C150" s="474" t="str">
        <f>+'HASIL PROD'!B260</f>
        <v>QG24704</v>
      </c>
      <c r="D150" s="372">
        <f>SUMIF('HASIL PROD'!$B$4:$B$343,C150,'HASIL PROD'!$C$4:$C$343)</f>
        <v>451</v>
      </c>
      <c r="E150" s="373">
        <f t="shared" si="178"/>
        <v>1747.625</v>
      </c>
      <c r="F150" s="374">
        <f ca="1">SUMIF('DAILY OKEY AYAM'!$C$9:$C$173,$C150,'DAILY OKEY AYAM'!$K$9:$K$172)</f>
        <v>3.12</v>
      </c>
      <c r="G150" s="374">
        <f ca="1">SUMIF('DAILY OKEY AYAM'!$C$9:$C$173,$C150,'DAILY OKEY AYAM'!$L$9:$L$172)</f>
        <v>5.7</v>
      </c>
      <c r="H150" s="374">
        <f ca="1">SUMIF('DAILY OKEY AYAM'!$C$9:$C$173,$C150,'DAILY OKEY AYAM'!$M$9:$N$172)</f>
        <v>0</v>
      </c>
      <c r="I150" s="374">
        <f ca="1">SUMIF('DAILY OKEY AYAM'!$C$9:$C$173,$C150,'DAILY OKEY AYAM'!$O$9:$O$172)</f>
        <v>4.54</v>
      </c>
      <c r="J150" s="374">
        <f ca="1">SUMIF('DAILY OKEY AYAM'!$C$9:$C$173,$C150,'DAILY OKEY AYAM'!$P$9:$P$172)</f>
        <v>0</v>
      </c>
      <c r="K150" s="374">
        <f ca="1">SUMIF('DAILY OKEY AYAM'!$C$9:$C$173,$C150,'DAILY OKEY AYAM'!$R$9:$R$172)</f>
        <v>0</v>
      </c>
      <c r="L150" s="374">
        <f ca="1">SUMIF('DAILY OKEY AYAM'!$C$9:$C$173,$C150,'DAILY OKEY AYAM'!$S$9:$S$172)</f>
        <v>0</v>
      </c>
      <c r="M150" s="374">
        <f ca="1">SUMIF('DAILY OKEY AYAM'!$C$9:$C$173,$C150,'DAILY OKEY AYAM'!$T$9:$T$172)</f>
        <v>1.3</v>
      </c>
      <c r="N150" s="374">
        <f ca="1">SUMIF('DAILY OKEY AYAM'!$C$9:$C$173,$C150,'DAILY OKEY AYAM'!$U$9:$U$172)</f>
        <v>0</v>
      </c>
      <c r="O150" s="374">
        <f ca="1">SUMIF('DAILY OKEY AYAM'!$C$9:$C$173,$C150,'DAILY OKEY AYAM'!$V$9:$V$172)</f>
        <v>0</v>
      </c>
      <c r="P150" s="374">
        <f ca="1">SUMIF('DAILY OKEY AYAM'!$C$9:$C$173,$C150,'DAILY OKEY AYAM'!$W$9:$W$172)</f>
        <v>0</v>
      </c>
      <c r="Q150" s="374">
        <f ca="1">SUMIF('DAILY OKEY AYAM'!$C$9:$C$173,$C150,'DAILY OKEY AYAM'!$X$9:$X$172)</f>
        <v>0</v>
      </c>
      <c r="R150" s="374">
        <f t="shared" ca="1" si="179"/>
        <v>14.66</v>
      </c>
      <c r="S150" s="376">
        <f t="shared" ca="1" si="180"/>
        <v>8.3885272870324011E-3</v>
      </c>
      <c r="T150" s="381"/>
      <c r="U150" s="743"/>
      <c r="V150" s="746"/>
      <c r="W150" s="737"/>
      <c r="X150" s="729"/>
      <c r="Y150" s="729"/>
      <c r="Z150" s="729"/>
      <c r="AA150" s="530"/>
    </row>
    <row r="151" spans="2:28" ht="16.5">
      <c r="B151" s="733"/>
      <c r="C151" s="474" t="str">
        <f>+'HASIL PROD'!B261</f>
        <v>QG24705</v>
      </c>
      <c r="D151" s="372">
        <f>SUMIF('HASIL PROD'!$B$4:$B$343,C151,'HASIL PROD'!$C$4:$C$343)</f>
        <v>478</v>
      </c>
      <c r="E151" s="373">
        <f t="shared" si="178"/>
        <v>1852.25</v>
      </c>
      <c r="F151" s="374">
        <f ca="1">SUMIF('DAILY OKEY AYAM'!$C$9:$C$173,$C151,'DAILY OKEY AYAM'!$K$9:$K$172)</f>
        <v>4.08</v>
      </c>
      <c r="G151" s="374">
        <f ca="1">SUMIF('DAILY OKEY AYAM'!$C$9:$C$173,$C151,'DAILY OKEY AYAM'!$L$9:$L$172)</f>
        <v>2.68</v>
      </c>
      <c r="H151" s="374">
        <f ca="1">SUMIF('DAILY OKEY AYAM'!$C$9:$C$173,$C151,'DAILY OKEY AYAM'!$M$9:$N$172)</f>
        <v>0</v>
      </c>
      <c r="I151" s="374">
        <f ca="1">SUMIF('DAILY OKEY AYAM'!$C$9:$C$173,$C151,'DAILY OKEY AYAM'!$O$9:$O$172)</f>
        <v>7.06</v>
      </c>
      <c r="J151" s="374">
        <f ca="1">SUMIF('DAILY OKEY AYAM'!$C$9:$C$173,$C151,'DAILY OKEY AYAM'!$P$9:$P$172)</f>
        <v>0</v>
      </c>
      <c r="K151" s="374">
        <f ca="1">SUMIF('DAILY OKEY AYAM'!$C$9:$C$173,$C151,'DAILY OKEY AYAM'!$R$9:$R$172)</f>
        <v>0</v>
      </c>
      <c r="L151" s="374">
        <f ca="1">SUMIF('DAILY OKEY AYAM'!$C$9:$C$173,$C151,'DAILY OKEY AYAM'!$S$9:$S$172)</f>
        <v>0</v>
      </c>
      <c r="M151" s="374">
        <f ca="1">SUMIF('DAILY OKEY AYAM'!$C$9:$C$173,$C151,'DAILY OKEY AYAM'!$T$9:$T$172)</f>
        <v>3.56</v>
      </c>
      <c r="N151" s="374">
        <f ca="1">SUMIF('DAILY OKEY AYAM'!$C$9:$C$173,$C151,'DAILY OKEY AYAM'!$U$9:$U$172)</f>
        <v>0</v>
      </c>
      <c r="O151" s="374">
        <f ca="1">SUMIF('DAILY OKEY AYAM'!$C$9:$C$173,$C151,'DAILY OKEY AYAM'!$V$9:$V$172)</f>
        <v>0</v>
      </c>
      <c r="P151" s="374">
        <f ca="1">SUMIF('DAILY OKEY AYAM'!$C$9:$C$173,$C151,'DAILY OKEY AYAM'!$W$9:$W$172)</f>
        <v>0</v>
      </c>
      <c r="Q151" s="374">
        <f ca="1">SUMIF('DAILY OKEY AYAM'!$C$9:$C$173,$C151,'DAILY OKEY AYAM'!$X$9:$X$172)</f>
        <v>0</v>
      </c>
      <c r="R151" s="374">
        <f t="shared" ca="1" si="179"/>
        <v>17.38</v>
      </c>
      <c r="S151" s="376">
        <f t="shared" ca="1" si="180"/>
        <v>9.3831826157376157E-3</v>
      </c>
      <c r="T151" s="381"/>
      <c r="U151" s="738">
        <f ca="1">SUM(R151:R154)</f>
        <v>63.03</v>
      </c>
      <c r="V151" s="747">
        <f ca="1">+U151/(SUM(E151:E154))</f>
        <v>1.0366989452908161E-2</v>
      </c>
      <c r="W151" s="740" t="s">
        <v>340</v>
      </c>
      <c r="X151" s="727" t="s">
        <v>316</v>
      </c>
      <c r="Y151" s="727" t="s">
        <v>317</v>
      </c>
      <c r="Z151" s="727" t="s">
        <v>313</v>
      </c>
      <c r="AA151" s="727" t="s">
        <v>314</v>
      </c>
    </row>
    <row r="152" spans="2:28" ht="16.5">
      <c r="B152" s="733"/>
      <c r="C152" s="474" t="str">
        <f>+'HASIL PROD'!B262</f>
        <v>QG24706</v>
      </c>
      <c r="D152" s="372">
        <f>SUMIF('HASIL PROD'!$B$4:$B$343,C152,'HASIL PROD'!$C$4:$C$343)</f>
        <v>415</v>
      </c>
      <c r="E152" s="373">
        <f>+D152*3.875</f>
        <v>1608.125</v>
      </c>
      <c r="F152" s="374">
        <f ca="1">SUMIF('DAILY OKEY AYAM'!$C$9:$C$173,$C152,'DAILY OKEY AYAM'!$K$9:$K$172)</f>
        <v>2.44</v>
      </c>
      <c r="G152" s="374">
        <f ca="1">SUMIF('DAILY OKEY AYAM'!$C$9:$C$173,$C152,'DAILY OKEY AYAM'!$L$9:$L$172)</f>
        <v>1.45</v>
      </c>
      <c r="H152" s="374">
        <f ca="1">SUMIF('DAILY OKEY AYAM'!$C$9:$C$173,$C152,'DAILY OKEY AYAM'!$M$9:$N$172)</f>
        <v>0</v>
      </c>
      <c r="I152" s="374">
        <f ca="1">SUMIF('DAILY OKEY AYAM'!$C$9:$C$173,$C152,'DAILY OKEY AYAM'!$O$9:$O$172)</f>
        <v>9.4600000000000009</v>
      </c>
      <c r="J152" s="374">
        <f ca="1">SUMIF('DAILY OKEY AYAM'!$C$9:$C$173,$C152,'DAILY OKEY AYAM'!$P$9:$P$172)</f>
        <v>0</v>
      </c>
      <c r="K152" s="374">
        <f ca="1">SUMIF('DAILY OKEY AYAM'!$C$9:$C$173,$C152,'DAILY OKEY AYAM'!$R$9:$R$172)</f>
        <v>0</v>
      </c>
      <c r="L152" s="374">
        <f ca="1">SUMIF('DAILY OKEY AYAM'!$C$9:$C$173,$C152,'DAILY OKEY AYAM'!$S$9:$S$172)</f>
        <v>0</v>
      </c>
      <c r="M152" s="374">
        <f ca="1">SUMIF('DAILY OKEY AYAM'!$C$9:$C$173,$C152,'DAILY OKEY AYAM'!$T$9:$T$172)</f>
        <v>0.94</v>
      </c>
      <c r="N152" s="374">
        <f ca="1">SUMIF('DAILY OKEY AYAM'!$C$9:$C$173,$C152,'DAILY OKEY AYAM'!$U$9:$U$172)</f>
        <v>0</v>
      </c>
      <c r="O152" s="374">
        <f ca="1">SUMIF('DAILY OKEY AYAM'!$C$9:$C$173,$C152,'DAILY OKEY AYAM'!$V$9:$V$172)</f>
        <v>0</v>
      </c>
      <c r="P152" s="374">
        <f ca="1">SUMIF('DAILY OKEY AYAM'!$C$9:$C$173,$C152,'DAILY OKEY AYAM'!$W$9:$W$172)</f>
        <v>0</v>
      </c>
      <c r="Q152" s="374">
        <f ca="1">SUMIF('DAILY OKEY AYAM'!$C$9:$C$173,$C152,'DAILY OKEY AYAM'!$X$9:$X$172)</f>
        <v>0</v>
      </c>
      <c r="R152" s="374">
        <f t="shared" ca="1" si="179"/>
        <v>14.290000000000001</v>
      </c>
      <c r="S152" s="376">
        <f t="shared" ca="1" si="180"/>
        <v>8.8861251457442673E-3</v>
      </c>
      <c r="T152" s="381"/>
      <c r="U152" s="738"/>
      <c r="V152" s="747"/>
      <c r="W152" s="740"/>
      <c r="X152" s="728"/>
      <c r="Y152" s="728"/>
      <c r="Z152" s="728"/>
      <c r="AA152" s="728"/>
    </row>
    <row r="153" spans="2:28" ht="16.5">
      <c r="B153" s="733"/>
      <c r="C153" s="474" t="str">
        <f>+'HASIL PROD'!B263</f>
        <v>QG24707</v>
      </c>
      <c r="D153" s="372">
        <f>SUMIF('HASIL PROD'!$B$4:$B$343,C153,'HASIL PROD'!$C$4:$C$343)</f>
        <v>432</v>
      </c>
      <c r="E153" s="373">
        <f>+D153*3.875</f>
        <v>1674</v>
      </c>
      <c r="F153" s="374">
        <f ca="1">SUMIF('DAILY OKEY AYAM'!$C$9:$C$173,$C153,'DAILY OKEY AYAM'!$K$9:$K$172)</f>
        <v>4.66</v>
      </c>
      <c r="G153" s="374">
        <f ca="1">SUMIF('DAILY OKEY AYAM'!$C$9:$C$173,$C153,'DAILY OKEY AYAM'!$L$9:$L$172)</f>
        <v>5.8</v>
      </c>
      <c r="H153" s="374">
        <f ca="1">SUMIF('DAILY OKEY AYAM'!$C$9:$C$173,$C153,'DAILY OKEY AYAM'!$M$9:$N$172)</f>
        <v>0</v>
      </c>
      <c r="I153" s="374">
        <f ca="1">SUMIF('DAILY OKEY AYAM'!$C$9:$C$173,$C153,'DAILY OKEY AYAM'!$O$9:$O$172)</f>
        <v>7.6</v>
      </c>
      <c r="J153" s="374">
        <f ca="1">SUMIF('DAILY OKEY AYAM'!$C$9:$C$173,$C153,'DAILY OKEY AYAM'!$P$9:$P$172)</f>
        <v>0</v>
      </c>
      <c r="K153" s="374">
        <f ca="1">SUMIF('DAILY OKEY AYAM'!$C$9:$C$173,$C153,'DAILY OKEY AYAM'!$R$9:$R$172)</f>
        <v>0.8</v>
      </c>
      <c r="L153" s="374">
        <f ca="1">SUMIF('DAILY OKEY AYAM'!$C$9:$C$173,$C153,'DAILY OKEY AYAM'!$S$9:$S$172)</f>
        <v>0</v>
      </c>
      <c r="M153" s="374">
        <f ca="1">SUMIF('DAILY OKEY AYAM'!$C$9:$C$173,$C153,'DAILY OKEY AYAM'!$T$9:$T$172)</f>
        <v>1.36</v>
      </c>
      <c r="N153" s="374">
        <f ca="1">SUMIF('DAILY OKEY AYAM'!$C$9:$C$173,$C153,'DAILY OKEY AYAM'!$U$9:$U$172)</f>
        <v>0</v>
      </c>
      <c r="O153" s="374">
        <f ca="1">SUMIF('DAILY OKEY AYAM'!$C$9:$C$173,$C153,'DAILY OKEY AYAM'!$V$9:$V$172)</f>
        <v>0</v>
      </c>
      <c r="P153" s="374">
        <f ca="1">SUMIF('DAILY OKEY AYAM'!$C$9:$C$173,$C153,'DAILY OKEY AYAM'!$W$9:$W$172)</f>
        <v>0</v>
      </c>
      <c r="Q153" s="374">
        <f ca="1">SUMIF('DAILY OKEY AYAM'!$C$9:$C$173,$C153,'DAILY OKEY AYAM'!$X$9:$X$172)</f>
        <v>0</v>
      </c>
      <c r="R153" s="374">
        <f t="shared" ca="1" si="179"/>
        <v>20.220000000000002</v>
      </c>
      <c r="S153" s="376">
        <f t="shared" ca="1" si="180"/>
        <v>1.2078853046594984E-2</v>
      </c>
      <c r="T153" s="381"/>
      <c r="U153" s="738"/>
      <c r="V153" s="747"/>
      <c r="W153" s="740"/>
      <c r="X153" s="728"/>
      <c r="Y153" s="728"/>
      <c r="Z153" s="728"/>
      <c r="AA153" s="728"/>
    </row>
    <row r="154" spans="2:28" ht="16.5">
      <c r="B154" s="733"/>
      <c r="C154" s="474" t="str">
        <f>+'HASIL PROD'!B264</f>
        <v>QG24708</v>
      </c>
      <c r="D154" s="372">
        <f>SUMIF('HASIL PROD'!$B$4:$B$343,C154,'HASIL PROD'!$C$4:$C$343)</f>
        <v>244</v>
      </c>
      <c r="E154" s="373">
        <f t="shared" ref="E154:E156" si="181">+D154*3.875</f>
        <v>945.5</v>
      </c>
      <c r="F154" s="374">
        <f ca="1">SUMIF('DAILY OKEY AYAM'!$C$9:$C$173,$C154,'DAILY OKEY AYAM'!$K$9:$K$172)</f>
        <v>2.7</v>
      </c>
      <c r="G154" s="374">
        <f ca="1">SUMIF('DAILY OKEY AYAM'!$C$9:$C$173,$C154,'DAILY OKEY AYAM'!$L$9:$L$172)</f>
        <v>2.4</v>
      </c>
      <c r="H154" s="374">
        <f ca="1">SUMIF('DAILY OKEY AYAM'!$C$9:$C$173,$C154,'DAILY OKEY AYAM'!$M$9:$N$172)</f>
        <v>0.1</v>
      </c>
      <c r="I154" s="374">
        <f ca="1">SUMIF('DAILY OKEY AYAM'!$C$9:$C$173,$C154,'DAILY OKEY AYAM'!$O$9:$O$172)</f>
        <v>2.2999999999999998</v>
      </c>
      <c r="J154" s="374">
        <f ca="1">SUMIF('DAILY OKEY AYAM'!$C$9:$C$173,$C154,'DAILY OKEY AYAM'!$P$9:$P$172)</f>
        <v>0</v>
      </c>
      <c r="K154" s="374">
        <f ca="1">SUMIF('DAILY OKEY AYAM'!$C$9:$C$173,$C154,'DAILY OKEY AYAM'!$R$9:$R$172)</f>
        <v>1.1399999999999999</v>
      </c>
      <c r="L154" s="374">
        <f ca="1">SUMIF('DAILY OKEY AYAM'!$C$9:$C$173,$C154,'DAILY OKEY AYAM'!$S$9:$S$172)</f>
        <v>0</v>
      </c>
      <c r="M154" s="374">
        <f ca="1">SUMIF('DAILY OKEY AYAM'!$C$9:$C$173,$C154,'DAILY OKEY AYAM'!$T$9:$T$172)</f>
        <v>2.5</v>
      </c>
      <c r="N154" s="374">
        <f ca="1">SUMIF('DAILY OKEY AYAM'!$C$9:$C$173,$C154,'DAILY OKEY AYAM'!$U$9:$U$172)</f>
        <v>0</v>
      </c>
      <c r="O154" s="374">
        <f ca="1">SUMIF('DAILY OKEY AYAM'!$C$9:$C$173,$C154,'DAILY OKEY AYAM'!$V$9:$V$172)</f>
        <v>0</v>
      </c>
      <c r="P154" s="374">
        <f ca="1">SUMIF('DAILY OKEY AYAM'!$C$9:$C$173,$C154,'DAILY OKEY AYAM'!$W$9:$W$172)</f>
        <v>0</v>
      </c>
      <c r="Q154" s="374">
        <f ca="1">SUMIF('DAILY OKEY AYAM'!$C$9:$C$173,$C154,'DAILY OKEY AYAM'!$X$9:$X$172)</f>
        <v>0</v>
      </c>
      <c r="R154" s="374">
        <f t="shared" ca="1" si="179"/>
        <v>11.139999999999999</v>
      </c>
      <c r="S154" s="376">
        <f t="shared" ca="1" si="180"/>
        <v>1.1782125859333685E-2</v>
      </c>
      <c r="T154" s="381"/>
      <c r="U154" s="738"/>
      <c r="V154" s="747"/>
      <c r="W154" s="740"/>
      <c r="X154" s="729"/>
      <c r="Y154" s="729"/>
      <c r="Z154" s="729"/>
      <c r="AA154" s="729"/>
    </row>
    <row r="155" spans="2:28" ht="15" customHeight="1">
      <c r="B155" s="733"/>
      <c r="C155" s="474" t="str">
        <f>+'HASIL PROD'!B265</f>
        <v>QG24709</v>
      </c>
      <c r="D155" s="372">
        <f>SUMIF('HASIL PROD'!$B$4:$B$343,C155,'HASIL PROD'!$C$4:$C$343)</f>
        <v>422</v>
      </c>
      <c r="E155" s="373">
        <f t="shared" si="181"/>
        <v>1635.25</v>
      </c>
      <c r="F155" s="374">
        <f ca="1">SUMIF('DAILY OKEY AYAM'!$C$9:$C$173,$C155,'DAILY OKEY AYAM'!$K$9:$K$172)</f>
        <v>2.67</v>
      </c>
      <c r="G155" s="374">
        <f ca="1">SUMIF('DAILY OKEY AYAM'!$C$9:$C$173,$C155,'DAILY OKEY AYAM'!$L$9:$L$172)</f>
        <v>5.28</v>
      </c>
      <c r="H155" s="374">
        <f ca="1">SUMIF('DAILY OKEY AYAM'!$C$9:$C$173,$C155,'DAILY OKEY AYAM'!$M$9:$N$172)</f>
        <v>0</v>
      </c>
      <c r="I155" s="374">
        <f ca="1">SUMIF('DAILY OKEY AYAM'!$C$9:$C$173,$C155,'DAILY OKEY AYAM'!$O$9:$O$172)</f>
        <v>9.8000000000000007</v>
      </c>
      <c r="J155" s="374">
        <f ca="1">SUMIF('DAILY OKEY AYAM'!$C$9:$C$173,$C155,'DAILY OKEY AYAM'!$P$9:$P$172)</f>
        <v>0</v>
      </c>
      <c r="K155" s="374">
        <f ca="1">SUMIF('DAILY OKEY AYAM'!$C$9:$C$173,$C155,'DAILY OKEY AYAM'!$R$9:$R$172)</f>
        <v>3.8000000000000003</v>
      </c>
      <c r="L155" s="374">
        <f ca="1">SUMIF('DAILY OKEY AYAM'!$C$9:$C$173,$C155,'DAILY OKEY AYAM'!$S$9:$S$172)</f>
        <v>20.900000000000002</v>
      </c>
      <c r="M155" s="374">
        <f ca="1">SUMIF('DAILY OKEY AYAM'!$C$9:$C$173,$C155,'DAILY OKEY AYAM'!$T$9:$T$172)</f>
        <v>3</v>
      </c>
      <c r="N155" s="374">
        <f ca="1">SUMIF('DAILY OKEY AYAM'!$C$9:$C$173,$C155,'DAILY OKEY AYAM'!$U$9:$U$172)</f>
        <v>0</v>
      </c>
      <c r="O155" s="374">
        <f ca="1">SUMIF('DAILY OKEY AYAM'!$C$9:$C$173,$C155,'DAILY OKEY AYAM'!$V$9:$V$172)</f>
        <v>0</v>
      </c>
      <c r="P155" s="374">
        <f ca="1">SUMIF('DAILY OKEY AYAM'!$C$9:$C$173,$C155,'DAILY OKEY AYAM'!$W$9:$W$172)</f>
        <v>0</v>
      </c>
      <c r="Q155" s="374">
        <f ca="1">SUMIF('DAILY OKEY AYAM'!$C$9:$C$173,$C155,'DAILY OKEY AYAM'!$X$9:$X$172)</f>
        <v>0</v>
      </c>
      <c r="R155" s="374">
        <f t="shared" ref="R155:R156" ca="1" si="182">+SUM(F155:Q155)</f>
        <v>45.45</v>
      </c>
      <c r="S155" s="376">
        <f t="shared" ca="1" si="180"/>
        <v>2.7793915303470418E-2</v>
      </c>
      <c r="T155" s="381"/>
      <c r="U155" s="539">
        <f ca="1">SUM(R155:R155)</f>
        <v>45.45</v>
      </c>
      <c r="V155" s="601">
        <f ca="1">+U155/(SUM(E155:E155))</f>
        <v>2.7793915303470418E-2</v>
      </c>
      <c r="W155" s="401" t="s">
        <v>338</v>
      </c>
      <c r="X155" s="530" t="s">
        <v>315</v>
      </c>
      <c r="Y155" s="530" t="s">
        <v>319</v>
      </c>
      <c r="Z155" s="530" t="s">
        <v>312</v>
      </c>
      <c r="AA155" s="530" t="s">
        <v>318</v>
      </c>
    </row>
    <row r="156" spans="2:28" ht="16.5">
      <c r="B156" s="733"/>
      <c r="C156" s="474">
        <f>+'HASIL PROD'!B266</f>
        <v>0</v>
      </c>
      <c r="D156" s="372">
        <f>SUMIF('HASIL PROD'!$B$4:$B$343,C156,'HASIL PROD'!$C$4:$C$343)</f>
        <v>0</v>
      </c>
      <c r="E156" s="373">
        <f t="shared" si="181"/>
        <v>0</v>
      </c>
      <c r="F156" s="374">
        <f ca="1">SUMIF('DAILY OKEY AYAM'!$C$9:$C$173,$C156,'DAILY OKEY AYAM'!$K$9:$K$172)</f>
        <v>0</v>
      </c>
      <c r="G156" s="374">
        <f ca="1">SUMIF('DAILY OKEY AYAM'!$C$9:$C$173,$C156,'DAILY OKEY AYAM'!$L$9:$L$172)</f>
        <v>0</v>
      </c>
      <c r="H156" s="374">
        <f ca="1">SUMIF('DAILY OKEY AYAM'!$C$9:$C$173,$C156,'DAILY OKEY AYAM'!$M$9:$N$172)</f>
        <v>0</v>
      </c>
      <c r="I156" s="374">
        <f ca="1">SUMIF('DAILY OKEY AYAM'!$C$9:$C$173,$C156,'DAILY OKEY AYAM'!$O$9:$O$172)</f>
        <v>0</v>
      </c>
      <c r="J156" s="374">
        <f ca="1">SUMIF('DAILY OKEY AYAM'!$C$9:$C$173,$C156,'DAILY OKEY AYAM'!$P$9:$P$172)</f>
        <v>0</v>
      </c>
      <c r="K156" s="374">
        <f ca="1">SUMIF('DAILY OKEY AYAM'!$C$9:$C$173,$C156,'DAILY OKEY AYAM'!$R$9:$R$172)</f>
        <v>0</v>
      </c>
      <c r="L156" s="374">
        <f ca="1">SUMIF('DAILY OKEY AYAM'!$C$9:$C$173,$C156,'DAILY OKEY AYAM'!$S$9:$S$172)</f>
        <v>0</v>
      </c>
      <c r="M156" s="374">
        <f ca="1">SUMIF('DAILY OKEY AYAM'!$C$9:$C$173,$C156,'DAILY OKEY AYAM'!$T$9:$T$172)</f>
        <v>0</v>
      </c>
      <c r="N156" s="374">
        <f ca="1">SUMIF('DAILY OKEY AYAM'!$C$9:$C$173,$C156,'DAILY OKEY AYAM'!$U$9:$U$172)</f>
        <v>0</v>
      </c>
      <c r="O156" s="374">
        <f ca="1">SUMIF('DAILY OKEY AYAM'!$C$9:$C$173,$C156,'DAILY OKEY AYAM'!$V$9:$V$172)</f>
        <v>0</v>
      </c>
      <c r="P156" s="374">
        <f ca="1">SUMIF('DAILY OKEY AYAM'!$C$9:$C$173,$C156,'DAILY OKEY AYAM'!$W$9:$W$172)</f>
        <v>0</v>
      </c>
      <c r="Q156" s="374">
        <f ca="1">SUMIF('DAILY OKEY AYAM'!$C$9:$C$173,$C156,'DAILY OKEY AYAM'!$X$9:$X$172)</f>
        <v>0</v>
      </c>
      <c r="R156" s="374">
        <f t="shared" ca="1" si="182"/>
        <v>0</v>
      </c>
      <c r="S156" s="376" t="e">
        <f t="shared" ca="1" si="180"/>
        <v>#DIV/0!</v>
      </c>
      <c r="T156" s="381"/>
      <c r="U156" s="525">
        <f ca="1">SUM(R156:R156)</f>
        <v>0</v>
      </c>
      <c r="V156" s="526"/>
      <c r="W156" s="401"/>
      <c r="X156" s="530"/>
      <c r="Y156" s="530"/>
      <c r="Z156" s="530"/>
      <c r="AA156" s="530"/>
    </row>
    <row r="157" spans="2:28" ht="16.5">
      <c r="B157" s="733"/>
      <c r="C157" s="371"/>
      <c r="D157" s="372"/>
      <c r="E157" s="373"/>
      <c r="F157" s="379"/>
      <c r="G157" s="379"/>
      <c r="H157" s="379"/>
      <c r="I157" s="379"/>
      <c r="J157" s="379"/>
      <c r="K157" s="379"/>
      <c r="L157" s="379"/>
      <c r="M157" s="379"/>
      <c r="N157" s="379"/>
      <c r="O157" s="379"/>
      <c r="P157" s="379"/>
      <c r="Q157" s="379"/>
      <c r="R157" s="374"/>
      <c r="S157" s="380"/>
      <c r="T157" s="381"/>
      <c r="U157" s="374"/>
      <c r="V157" s="407"/>
      <c r="W157" s="408"/>
      <c r="X157" s="530"/>
      <c r="Y157" s="530"/>
      <c r="Z157" s="530"/>
      <c r="AA157" s="530"/>
    </row>
    <row r="158" spans="2:28" ht="16.5">
      <c r="B158" s="734"/>
      <c r="C158" s="385" t="s">
        <v>118</v>
      </c>
      <c r="D158" s="386">
        <f>SUM(D147:D157)</f>
        <v>3795</v>
      </c>
      <c r="E158" s="387">
        <f>SUM(E147:E157)</f>
        <v>14705.625</v>
      </c>
      <c r="F158" s="388">
        <f ca="1">SUM(F147:F157)</f>
        <v>24.79</v>
      </c>
      <c r="G158" s="388">
        <f t="shared" ref="G158:R158" ca="1" si="183">SUM(G147:G157)</f>
        <v>34.909999999999997</v>
      </c>
      <c r="H158" s="388">
        <f t="shared" ca="1" si="183"/>
        <v>0.1</v>
      </c>
      <c r="I158" s="388">
        <f t="shared" ca="1" si="183"/>
        <v>59.16</v>
      </c>
      <c r="J158" s="388">
        <f t="shared" ca="1" si="183"/>
        <v>0</v>
      </c>
      <c r="K158" s="388">
        <f t="shared" ca="1" si="183"/>
        <v>5.74</v>
      </c>
      <c r="L158" s="388">
        <f t="shared" ca="1" si="183"/>
        <v>20.900000000000002</v>
      </c>
      <c r="M158" s="388">
        <f t="shared" ca="1" si="183"/>
        <v>19</v>
      </c>
      <c r="N158" s="388">
        <f t="shared" ca="1" si="183"/>
        <v>0</v>
      </c>
      <c r="O158" s="388">
        <f t="shared" ca="1" si="183"/>
        <v>0</v>
      </c>
      <c r="P158" s="388">
        <f t="shared" ca="1" si="183"/>
        <v>0</v>
      </c>
      <c r="Q158" s="388">
        <f t="shared" ca="1" si="183"/>
        <v>0</v>
      </c>
      <c r="R158" s="388">
        <f t="shared" ca="1" si="183"/>
        <v>164.60000000000002</v>
      </c>
      <c r="S158" s="389"/>
      <c r="T158" s="402"/>
      <c r="U158" s="388"/>
      <c r="V158" s="389"/>
      <c r="W158" s="389"/>
      <c r="X158" s="530"/>
      <c r="Y158" s="530"/>
      <c r="Z158" s="530"/>
      <c r="AA158" s="530"/>
    </row>
    <row r="159" spans="2:28" ht="16.5">
      <c r="B159" s="406"/>
      <c r="C159" s="393" t="s">
        <v>114</v>
      </c>
      <c r="D159" s="394"/>
      <c r="E159" s="395"/>
      <c r="F159" s="396">
        <f ca="1">+F158/$E158</f>
        <v>1.6857495006162607E-3</v>
      </c>
      <c r="G159" s="396">
        <f t="shared" ref="G159" ca="1" si="184">+G158/$E158</f>
        <v>2.3739215436270134E-3</v>
      </c>
      <c r="H159" s="396">
        <f t="shared" ref="H159" ca="1" si="185">+H158/$E158</f>
        <v>6.800119002082537E-6</v>
      </c>
      <c r="I159" s="396">
        <f t="shared" ref="I159" ca="1" si="186">+I158/$E158</f>
        <v>4.0229504016320279E-3</v>
      </c>
      <c r="J159" s="396">
        <f t="shared" ref="J159" ca="1" si="187">+J158/$E158</f>
        <v>0</v>
      </c>
      <c r="K159" s="396">
        <f t="shared" ref="K159" ca="1" si="188">+K158/$E158</f>
        <v>3.9032683071953762E-4</v>
      </c>
      <c r="L159" s="396">
        <f t="shared" ref="L159" ca="1" si="189">+L158/$E158</f>
        <v>1.4212248714352504E-3</v>
      </c>
      <c r="M159" s="396">
        <f t="shared" ref="M159" ca="1" si="190">+M158/$E158</f>
        <v>1.292022610395682E-3</v>
      </c>
      <c r="N159" s="396">
        <f t="shared" ref="N159" ca="1" si="191">+N158/$E158</f>
        <v>0</v>
      </c>
      <c r="O159" s="396">
        <f t="shared" ref="O159" ca="1" si="192">+O158/$E158</f>
        <v>0</v>
      </c>
      <c r="P159" s="396">
        <f t="shared" ref="P159" ca="1" si="193">+P158/$E158</f>
        <v>0</v>
      </c>
      <c r="Q159" s="396">
        <f t="shared" ref="Q159" ca="1" si="194">+Q158/$E158</f>
        <v>0</v>
      </c>
      <c r="R159" s="482">
        <f ca="1">+R158/$E158</f>
        <v>1.1192995877427857E-2</v>
      </c>
      <c r="S159" s="399"/>
      <c r="T159" s="402"/>
      <c r="U159" s="400"/>
      <c r="V159" s="389"/>
      <c r="W159" s="389"/>
      <c r="X159" s="530"/>
      <c r="Y159" s="530"/>
      <c r="Z159" s="530"/>
      <c r="AA159" s="530"/>
    </row>
    <row r="160" spans="2:28" ht="16.5">
      <c r="B160" s="732" t="s">
        <v>178</v>
      </c>
      <c r="C160" s="474" t="str">
        <f>+'HASIL PROD'!B268</f>
        <v>QG25701</v>
      </c>
      <c r="D160" s="372">
        <f>SUMIF('HASIL PROD'!$B$4:$B$343,C160,'HASIL PROD'!$C$4:$C$343)</f>
        <v>486</v>
      </c>
      <c r="E160" s="373">
        <f t="shared" ref="E160:E164" si="195">+D160*3.875</f>
        <v>1883.25</v>
      </c>
      <c r="F160" s="374">
        <f ca="1">SUMIF('DAILY OKEY AYAM'!$C$9:$C$173,$C160,'DAILY OKEY AYAM'!$K$9:$K$172)</f>
        <v>0.22</v>
      </c>
      <c r="G160" s="374">
        <f ca="1">SUMIF('DAILY OKEY AYAM'!$C$9:$C$173,$C160,'DAILY OKEY AYAM'!$L$9:$L$172)</f>
        <v>4.8</v>
      </c>
      <c r="H160" s="374">
        <f ca="1">SUMIF('DAILY OKEY AYAM'!$C$9:$C$173,$C160,'DAILY OKEY AYAM'!$M$9:$N$172)</f>
        <v>0</v>
      </c>
      <c r="I160" s="374">
        <f ca="1">SUMIF('DAILY OKEY AYAM'!$C$9:$C$173,$C160,'DAILY OKEY AYAM'!$O$9:$O$172)</f>
        <v>11.5</v>
      </c>
      <c r="J160" s="374">
        <f ca="1">SUMIF('DAILY OKEY AYAM'!$C$9:$C$173,$C160,'DAILY OKEY AYAM'!$P$9:$P$172)</f>
        <v>0</v>
      </c>
      <c r="K160" s="374">
        <f ca="1">SUMIF('DAILY OKEY AYAM'!$C$9:$C$173,$C160,'DAILY OKEY AYAM'!$R$9:$R$172)</f>
        <v>0.38</v>
      </c>
      <c r="L160" s="374">
        <f ca="1">SUMIF('DAILY OKEY AYAM'!$C$9:$C$173,$C160,'DAILY OKEY AYAM'!$S$9:$S$172)</f>
        <v>0.86</v>
      </c>
      <c r="M160" s="374">
        <f ca="1">SUMIF('DAILY OKEY AYAM'!$C$9:$C$173,$C160,'DAILY OKEY AYAM'!$T$9:$T$172)</f>
        <v>1.1000000000000001</v>
      </c>
      <c r="N160" s="374">
        <f ca="1">SUMIF('DAILY OKEY AYAM'!$C$9:$C$173,$C160,'DAILY OKEY AYAM'!$U$9:$U$172)</f>
        <v>0</v>
      </c>
      <c r="O160" s="374">
        <f ca="1">SUMIF('DAILY OKEY AYAM'!$C$9:$C$173,$C160,'DAILY OKEY AYAM'!$V$9:$V$172)</f>
        <v>0</v>
      </c>
      <c r="P160" s="374">
        <f ca="1">SUMIF('DAILY OKEY AYAM'!$C$9:$C$173,$C160,'DAILY OKEY AYAM'!$W$9:$W$172)</f>
        <v>0</v>
      </c>
      <c r="Q160" s="374">
        <f ca="1">SUMIF('DAILY OKEY AYAM'!$C$9:$C$173,$C160,'DAILY OKEY AYAM'!$X$9:$X$172)</f>
        <v>4.8</v>
      </c>
      <c r="R160" s="374">
        <f t="shared" ref="R160:R167" ca="1" si="196">+SUM(F160:Q160)</f>
        <v>23.66</v>
      </c>
      <c r="S160" s="376">
        <f t="shared" ref="S160:S169" ca="1" si="197">+R160/E160</f>
        <v>1.2563387760520376E-2</v>
      </c>
      <c r="T160" s="381"/>
      <c r="U160" s="738">
        <f ca="1">SUM(R160:R162)</f>
        <v>31.58</v>
      </c>
      <c r="V160" s="739">
        <f ca="1">+U160/(SUM(E160:E162))</f>
        <v>6.0367980884109915E-3</v>
      </c>
      <c r="W160" s="735" t="s">
        <v>338</v>
      </c>
      <c r="X160" s="727" t="s">
        <v>315</v>
      </c>
      <c r="Y160" s="727" t="s">
        <v>319</v>
      </c>
      <c r="Z160" s="727" t="s">
        <v>312</v>
      </c>
      <c r="AA160" s="727" t="s">
        <v>318</v>
      </c>
    </row>
    <row r="161" spans="2:27" ht="16.5">
      <c r="B161" s="733"/>
      <c r="C161" s="474" t="str">
        <f>+'HASIL PROD'!B269</f>
        <v>QG25702</v>
      </c>
      <c r="D161" s="372">
        <f>SUMIF('HASIL PROD'!$B$4:$B$343,C161,'HASIL PROD'!$C$4:$C$343)</f>
        <v>431</v>
      </c>
      <c r="E161" s="373">
        <f t="shared" si="195"/>
        <v>1670.125</v>
      </c>
      <c r="F161" s="374">
        <f ca="1">SUMIF('DAILY OKEY AYAM'!$C$9:$C$173,$C161,'DAILY OKEY AYAM'!$K$9:$K$172)</f>
        <v>0.6</v>
      </c>
      <c r="G161" s="374">
        <f ca="1">SUMIF('DAILY OKEY AYAM'!$C$9:$C$173,$C161,'DAILY OKEY AYAM'!$L$9:$L$172)</f>
        <v>3.26</v>
      </c>
      <c r="H161" s="374">
        <f ca="1">SUMIF('DAILY OKEY AYAM'!$C$9:$C$173,$C161,'DAILY OKEY AYAM'!$M$9:$N$172)</f>
        <v>0</v>
      </c>
      <c r="I161" s="374">
        <f ca="1">SUMIF('DAILY OKEY AYAM'!$C$9:$C$173,$C161,'DAILY OKEY AYAM'!$O$9:$O$172)</f>
        <v>2.86</v>
      </c>
      <c r="J161" s="374">
        <f ca="1">SUMIF('DAILY OKEY AYAM'!$C$9:$C$173,$C161,'DAILY OKEY AYAM'!$P$9:$P$172)</f>
        <v>0</v>
      </c>
      <c r="K161" s="374">
        <f ca="1">SUMIF('DAILY OKEY AYAM'!$C$9:$C$173,$C161,'DAILY OKEY AYAM'!$R$9:$R$172)</f>
        <v>0</v>
      </c>
      <c r="L161" s="374">
        <f ca="1">SUMIF('DAILY OKEY AYAM'!$C$9:$C$173,$C161,'DAILY OKEY AYAM'!$S$9:$S$172)</f>
        <v>0</v>
      </c>
      <c r="M161" s="374">
        <f ca="1">SUMIF('DAILY OKEY AYAM'!$C$9:$C$173,$C161,'DAILY OKEY AYAM'!$T$9:$T$172)</f>
        <v>1.2</v>
      </c>
      <c r="N161" s="374">
        <f ca="1">SUMIF('DAILY OKEY AYAM'!$C$9:$C$173,$C161,'DAILY OKEY AYAM'!$U$9:$U$172)</f>
        <v>0</v>
      </c>
      <c r="O161" s="374">
        <f ca="1">SUMIF('DAILY OKEY AYAM'!$C$9:$C$173,$C161,'DAILY OKEY AYAM'!$V$9:$V$172)</f>
        <v>0</v>
      </c>
      <c r="P161" s="374">
        <f ca="1">SUMIF('DAILY OKEY AYAM'!$C$9:$C$173,$C161,'DAILY OKEY AYAM'!$W$9:$W$172)</f>
        <v>0</v>
      </c>
      <c r="Q161" s="374">
        <f ca="1">SUMIF('DAILY OKEY AYAM'!$C$9:$C$173,$C161,'DAILY OKEY AYAM'!$X$9:$X$172)</f>
        <v>0</v>
      </c>
      <c r="R161" s="374">
        <f t="shared" ca="1" si="196"/>
        <v>7.92</v>
      </c>
      <c r="S161" s="376">
        <f t="shared" ca="1" si="197"/>
        <v>4.7421600179627273E-3</v>
      </c>
      <c r="T161" s="381"/>
      <c r="U161" s="738"/>
      <c r="V161" s="739"/>
      <c r="W161" s="736"/>
      <c r="X161" s="728"/>
      <c r="Y161" s="728"/>
      <c r="Z161" s="728"/>
      <c r="AA161" s="728"/>
    </row>
    <row r="162" spans="2:27" ht="16.5">
      <c r="B162" s="733"/>
      <c r="C162" s="474" t="str">
        <f>+'HASIL PROD'!B270</f>
        <v>QG25703</v>
      </c>
      <c r="D162" s="372">
        <f>SUMIF('HASIL PROD'!$B$4:$B$343,C162,'HASIL PROD'!$C$4:$C$343)</f>
        <v>433</v>
      </c>
      <c r="E162" s="373">
        <f t="shared" si="195"/>
        <v>1677.875</v>
      </c>
      <c r="F162" s="374">
        <f ca="1">SUMIF('DAILY OKEY AYAM'!$C$9:$C$173,$C162,'DAILY OKEY AYAM'!$K$9:$K$172)</f>
        <v>0</v>
      </c>
      <c r="G162" s="374">
        <f ca="1">SUMIF('DAILY OKEY AYAM'!$C$9:$C$173,$C162,'DAILY OKEY AYAM'!$L$9:$L$172)</f>
        <v>0</v>
      </c>
      <c r="H162" s="374">
        <f ca="1">SUMIF('DAILY OKEY AYAM'!$C$9:$C$173,$C162,'DAILY OKEY AYAM'!$M$9:$N$172)</f>
        <v>0</v>
      </c>
      <c r="I162" s="374">
        <f ca="1">SUMIF('DAILY OKEY AYAM'!$C$9:$C$173,$C162,'DAILY OKEY AYAM'!$O$9:$O$172)</f>
        <v>0</v>
      </c>
      <c r="J162" s="374">
        <f ca="1">SUMIF('DAILY OKEY AYAM'!$C$9:$C$173,$C162,'DAILY OKEY AYAM'!$P$9:$P$172)</f>
        <v>0</v>
      </c>
      <c r="K162" s="374">
        <f ca="1">SUMIF('DAILY OKEY AYAM'!$C$9:$C$173,$C162,'DAILY OKEY AYAM'!$R$9:$R$172)</f>
        <v>0</v>
      </c>
      <c r="L162" s="374">
        <f ca="1">SUMIF('DAILY OKEY AYAM'!$C$9:$C$173,$C162,'DAILY OKEY AYAM'!$S$9:$S$172)</f>
        <v>0</v>
      </c>
      <c r="M162" s="374">
        <f ca="1">SUMIF('DAILY OKEY AYAM'!$C$9:$C$173,$C162,'DAILY OKEY AYAM'!$T$9:$T$172)</f>
        <v>0</v>
      </c>
      <c r="N162" s="374">
        <f ca="1">SUMIF('DAILY OKEY AYAM'!$C$9:$C$173,$C162,'DAILY OKEY AYAM'!$U$9:$U$172)</f>
        <v>0</v>
      </c>
      <c r="O162" s="374">
        <f ca="1">SUMIF('DAILY OKEY AYAM'!$C$9:$C$173,$C162,'DAILY OKEY AYAM'!$V$9:$V$172)</f>
        <v>0</v>
      </c>
      <c r="P162" s="374">
        <f ca="1">SUMIF('DAILY OKEY AYAM'!$C$9:$C$173,$C162,'DAILY OKEY AYAM'!$W$9:$W$172)</f>
        <v>0</v>
      </c>
      <c r="Q162" s="374">
        <f ca="1">SUMIF('DAILY OKEY AYAM'!$C$9:$C$173,$C162,'DAILY OKEY AYAM'!$X$9:$X$172)</f>
        <v>0</v>
      </c>
      <c r="R162" s="374">
        <f t="shared" ca="1" si="196"/>
        <v>0</v>
      </c>
      <c r="S162" s="376">
        <f t="shared" ca="1" si="197"/>
        <v>0</v>
      </c>
      <c r="T162" s="381"/>
      <c r="U162" s="738"/>
      <c r="V162" s="739"/>
      <c r="W162" s="737"/>
      <c r="X162" s="729"/>
      <c r="Y162" s="729"/>
      <c r="Z162" s="729"/>
      <c r="AA162" s="729"/>
    </row>
    <row r="163" spans="2:27" ht="16.5">
      <c r="B163" s="733"/>
      <c r="C163" s="474" t="str">
        <f>+'HASIL PROD'!B271</f>
        <v>QG25704</v>
      </c>
      <c r="D163" s="372">
        <f>SUMIF('HASIL PROD'!$B$4:$B$343,C163,'HASIL PROD'!$C$4:$C$343)</f>
        <v>488</v>
      </c>
      <c r="E163" s="373">
        <f t="shared" si="195"/>
        <v>1891</v>
      </c>
      <c r="F163" s="374">
        <f ca="1">SUMIF('DAILY OKEY AYAM'!$C$9:$C$173,$C163,'DAILY OKEY AYAM'!$K$9:$K$172)</f>
        <v>0</v>
      </c>
      <c r="G163" s="374">
        <f ca="1">SUMIF('DAILY OKEY AYAM'!$C$9:$C$173,$C163,'DAILY OKEY AYAM'!$L$9:$L$172)</f>
        <v>0</v>
      </c>
      <c r="H163" s="374">
        <f ca="1">SUMIF('DAILY OKEY AYAM'!$C$9:$C$173,$C163,'DAILY OKEY AYAM'!$M$9:$N$172)</f>
        <v>0</v>
      </c>
      <c r="I163" s="374">
        <f ca="1">SUMIF('DAILY OKEY AYAM'!$C$9:$C$173,$C163,'DAILY OKEY AYAM'!$O$9:$O$172)</f>
        <v>0</v>
      </c>
      <c r="J163" s="374">
        <f ca="1">SUMIF('DAILY OKEY AYAM'!$C$9:$C$173,$C163,'DAILY OKEY AYAM'!$P$9:$P$172)</f>
        <v>0</v>
      </c>
      <c r="K163" s="374">
        <f ca="1">SUMIF('DAILY OKEY AYAM'!$C$9:$C$173,$C163,'DAILY OKEY AYAM'!$R$9:$R$172)</f>
        <v>0</v>
      </c>
      <c r="L163" s="374">
        <f ca="1">SUMIF('DAILY OKEY AYAM'!$C$9:$C$173,$C163,'DAILY OKEY AYAM'!$S$9:$S$172)</f>
        <v>0</v>
      </c>
      <c r="M163" s="374">
        <f ca="1">SUMIF('DAILY OKEY AYAM'!$C$9:$C$173,$C163,'DAILY OKEY AYAM'!$T$9:$T$172)</f>
        <v>0</v>
      </c>
      <c r="N163" s="374">
        <f ca="1">SUMIF('DAILY OKEY AYAM'!$C$9:$C$173,$C163,'DAILY OKEY AYAM'!$U$9:$U$172)</f>
        <v>0</v>
      </c>
      <c r="O163" s="374">
        <f ca="1">SUMIF('DAILY OKEY AYAM'!$C$9:$C$173,$C163,'DAILY OKEY AYAM'!$V$9:$V$172)</f>
        <v>0</v>
      </c>
      <c r="P163" s="374">
        <f ca="1">SUMIF('DAILY OKEY AYAM'!$C$9:$C$173,$C163,'DAILY OKEY AYAM'!$W$9:$W$172)</f>
        <v>0</v>
      </c>
      <c r="Q163" s="374">
        <f ca="1">SUMIF('DAILY OKEY AYAM'!$C$9:$C$173,$C163,'DAILY OKEY AYAM'!$X$9:$X$172)</f>
        <v>0</v>
      </c>
      <c r="R163" s="374">
        <f t="shared" ca="1" si="196"/>
        <v>0</v>
      </c>
      <c r="S163" s="376">
        <f t="shared" ca="1" si="197"/>
        <v>0</v>
      </c>
      <c r="T163" s="381"/>
      <c r="U163" s="738">
        <f ca="1">SUM(R163:R167)</f>
        <v>0</v>
      </c>
      <c r="V163" s="739">
        <f ca="1">+U163/(SUM(E164:E167))</f>
        <v>0</v>
      </c>
      <c r="W163" s="740" t="s">
        <v>340</v>
      </c>
      <c r="X163" s="727" t="s">
        <v>316</v>
      </c>
      <c r="Y163" s="727" t="s">
        <v>317</v>
      </c>
      <c r="Z163" s="727" t="s">
        <v>313</v>
      </c>
      <c r="AA163" s="727" t="s">
        <v>314</v>
      </c>
    </row>
    <row r="164" spans="2:27" ht="16.5">
      <c r="B164" s="733"/>
      <c r="C164" s="474" t="str">
        <f>+'HASIL PROD'!B272</f>
        <v>QG25705</v>
      </c>
      <c r="D164" s="372">
        <f>SUMIF('HASIL PROD'!$B$4:$B$343,C164,'HASIL PROD'!$C$4:$C$343)</f>
        <v>477</v>
      </c>
      <c r="E164" s="373">
        <f t="shared" si="195"/>
        <v>1848.375</v>
      </c>
      <c r="F164" s="374">
        <f ca="1">SUMIF('DAILY OKEY AYAM'!$C$9:$C$173,$C164,'DAILY OKEY AYAM'!$K$9:$K$172)</f>
        <v>0</v>
      </c>
      <c r="G164" s="374">
        <f ca="1">SUMIF('DAILY OKEY AYAM'!$C$9:$C$173,$C164,'DAILY OKEY AYAM'!$L$9:$L$172)</f>
        <v>0</v>
      </c>
      <c r="H164" s="374">
        <f ca="1">SUMIF('DAILY OKEY AYAM'!$C$9:$C$173,$C164,'DAILY OKEY AYAM'!$M$9:$N$172)</f>
        <v>0</v>
      </c>
      <c r="I164" s="374">
        <f ca="1">SUMIF('DAILY OKEY AYAM'!$C$9:$C$173,$C164,'DAILY OKEY AYAM'!$O$9:$O$172)</f>
        <v>0</v>
      </c>
      <c r="J164" s="374">
        <f ca="1">SUMIF('DAILY OKEY AYAM'!$C$9:$C$173,$C164,'DAILY OKEY AYAM'!$P$9:$P$172)</f>
        <v>0</v>
      </c>
      <c r="K164" s="374">
        <f ca="1">SUMIF('DAILY OKEY AYAM'!$C$9:$C$173,$C164,'DAILY OKEY AYAM'!$R$9:$R$172)</f>
        <v>0</v>
      </c>
      <c r="L164" s="374">
        <f ca="1">SUMIF('DAILY OKEY AYAM'!$C$9:$C$173,$C164,'DAILY OKEY AYAM'!$S$9:$S$172)</f>
        <v>0</v>
      </c>
      <c r="M164" s="374">
        <f ca="1">SUMIF('DAILY OKEY AYAM'!$C$9:$C$173,$C164,'DAILY OKEY AYAM'!$T$9:$T$172)</f>
        <v>0</v>
      </c>
      <c r="N164" s="374">
        <f ca="1">SUMIF('DAILY OKEY AYAM'!$C$9:$C$173,$C164,'DAILY OKEY AYAM'!$U$9:$U$172)</f>
        <v>0</v>
      </c>
      <c r="O164" s="374">
        <f ca="1">SUMIF('DAILY OKEY AYAM'!$C$9:$C$173,$C164,'DAILY OKEY AYAM'!$V$9:$V$172)</f>
        <v>0</v>
      </c>
      <c r="P164" s="374">
        <f ca="1">SUMIF('DAILY OKEY AYAM'!$C$9:$C$173,$C164,'DAILY OKEY AYAM'!$W$9:$W$172)</f>
        <v>0</v>
      </c>
      <c r="Q164" s="374">
        <f ca="1">SUMIF('DAILY OKEY AYAM'!$C$9:$C$173,$C164,'DAILY OKEY AYAM'!$X$9:$X$172)</f>
        <v>0</v>
      </c>
      <c r="R164" s="374">
        <f t="shared" ca="1" si="196"/>
        <v>0</v>
      </c>
      <c r="S164" s="376">
        <f t="shared" ca="1" si="197"/>
        <v>0</v>
      </c>
      <c r="T164" s="381"/>
      <c r="U164" s="738"/>
      <c r="V164" s="739"/>
      <c r="W164" s="740"/>
      <c r="X164" s="728"/>
      <c r="Y164" s="728"/>
      <c r="Z164" s="728"/>
      <c r="AA164" s="728"/>
    </row>
    <row r="165" spans="2:27" ht="16.5">
      <c r="B165" s="733"/>
      <c r="C165" s="474" t="str">
        <f>+'HASIL PROD'!B273</f>
        <v>QG25706</v>
      </c>
      <c r="D165" s="372">
        <f>SUMIF('HASIL PROD'!$B$4:$B$343,C165,'HASIL PROD'!$C$4:$C$343)</f>
        <v>437</v>
      </c>
      <c r="E165" s="373">
        <f>+D165*3.875</f>
        <v>1693.375</v>
      </c>
      <c r="F165" s="374">
        <f ca="1">SUMIF('DAILY OKEY AYAM'!$C$9:$C$173,$C165,'DAILY OKEY AYAM'!$K$9:$K$172)</f>
        <v>0</v>
      </c>
      <c r="G165" s="374">
        <f ca="1">SUMIF('DAILY OKEY AYAM'!$C$9:$C$173,$C165,'DAILY OKEY AYAM'!$L$9:$L$172)</f>
        <v>0</v>
      </c>
      <c r="H165" s="374">
        <f ca="1">SUMIF('DAILY OKEY AYAM'!$C$9:$C$173,$C165,'DAILY OKEY AYAM'!$M$9:$N$172)</f>
        <v>0</v>
      </c>
      <c r="I165" s="374">
        <f ca="1">SUMIF('DAILY OKEY AYAM'!$C$9:$C$173,$C165,'DAILY OKEY AYAM'!$O$9:$O$172)</f>
        <v>0</v>
      </c>
      <c r="J165" s="374">
        <f ca="1">SUMIF('DAILY OKEY AYAM'!$C$9:$C$173,$C165,'DAILY OKEY AYAM'!$P$9:$P$172)</f>
        <v>0</v>
      </c>
      <c r="K165" s="374">
        <f ca="1">SUMIF('DAILY OKEY AYAM'!$C$9:$C$173,$C165,'DAILY OKEY AYAM'!$R$9:$R$172)</f>
        <v>0</v>
      </c>
      <c r="L165" s="374">
        <f ca="1">SUMIF('DAILY OKEY AYAM'!$C$9:$C$173,$C165,'DAILY OKEY AYAM'!$S$9:$S$172)</f>
        <v>0</v>
      </c>
      <c r="M165" s="374">
        <f ca="1">SUMIF('DAILY OKEY AYAM'!$C$9:$C$173,$C165,'DAILY OKEY AYAM'!$T$9:$T$172)</f>
        <v>0</v>
      </c>
      <c r="N165" s="374">
        <f ca="1">SUMIF('DAILY OKEY AYAM'!$C$9:$C$173,$C165,'DAILY OKEY AYAM'!$U$9:$U$172)</f>
        <v>0</v>
      </c>
      <c r="O165" s="374">
        <f ca="1">SUMIF('DAILY OKEY AYAM'!$C$9:$C$173,$C165,'DAILY OKEY AYAM'!$V$9:$V$172)</f>
        <v>0</v>
      </c>
      <c r="P165" s="374">
        <f ca="1">SUMIF('DAILY OKEY AYAM'!$C$9:$C$173,$C165,'DAILY OKEY AYAM'!$W$9:$W$172)</f>
        <v>0</v>
      </c>
      <c r="Q165" s="374">
        <f ca="1">SUMIF('DAILY OKEY AYAM'!$C$9:$C$173,$C165,'DAILY OKEY AYAM'!$X$9:$X$172)</f>
        <v>0</v>
      </c>
      <c r="R165" s="374">
        <f t="shared" ca="1" si="196"/>
        <v>0</v>
      </c>
      <c r="S165" s="376">
        <f t="shared" ca="1" si="197"/>
        <v>0</v>
      </c>
      <c r="T165" s="381"/>
      <c r="U165" s="738"/>
      <c r="V165" s="739"/>
      <c r="W165" s="740"/>
      <c r="X165" s="728"/>
      <c r="Y165" s="728"/>
      <c r="Z165" s="728"/>
      <c r="AA165" s="728"/>
    </row>
    <row r="166" spans="2:27" ht="16.5">
      <c r="B166" s="733"/>
      <c r="C166" s="474" t="str">
        <f>+'HASIL PROD'!B274</f>
        <v>QG25707</v>
      </c>
      <c r="D166" s="372">
        <f>SUMIF('HASIL PROD'!$B$4:$B$343,C166,'HASIL PROD'!$C$4:$C$343)</f>
        <v>333</v>
      </c>
      <c r="E166" s="373">
        <f>+D166*3.875</f>
        <v>1290.375</v>
      </c>
      <c r="F166" s="374">
        <f ca="1">SUMIF('DAILY OKEY AYAM'!$C$9:$C$173,$C166,'DAILY OKEY AYAM'!$K$9:$K$172)</f>
        <v>0</v>
      </c>
      <c r="G166" s="374">
        <f ca="1">SUMIF('DAILY OKEY AYAM'!$C$9:$C$173,$C166,'DAILY OKEY AYAM'!$L$9:$L$172)</f>
        <v>0</v>
      </c>
      <c r="H166" s="374">
        <f ca="1">SUMIF('DAILY OKEY AYAM'!$C$9:$C$173,$C166,'DAILY OKEY AYAM'!$M$9:$N$172)</f>
        <v>0</v>
      </c>
      <c r="I166" s="374">
        <f ca="1">SUMIF('DAILY OKEY AYAM'!$C$9:$C$173,$C166,'DAILY OKEY AYAM'!$O$9:$O$172)</f>
        <v>0</v>
      </c>
      <c r="J166" s="374">
        <f ca="1">SUMIF('DAILY OKEY AYAM'!$C$9:$C$173,$C166,'DAILY OKEY AYAM'!$P$9:$P$172)</f>
        <v>0</v>
      </c>
      <c r="K166" s="374">
        <f ca="1">SUMIF('DAILY OKEY AYAM'!$C$9:$C$173,$C166,'DAILY OKEY AYAM'!$R$9:$R$172)</f>
        <v>0</v>
      </c>
      <c r="L166" s="374">
        <f ca="1">SUMIF('DAILY OKEY AYAM'!$C$9:$C$173,$C166,'DAILY OKEY AYAM'!$S$9:$S$172)</f>
        <v>0</v>
      </c>
      <c r="M166" s="374">
        <f ca="1">SUMIF('DAILY OKEY AYAM'!$C$9:$C$173,$C166,'DAILY OKEY AYAM'!$T$9:$T$172)</f>
        <v>0</v>
      </c>
      <c r="N166" s="374">
        <f ca="1">SUMIF('DAILY OKEY AYAM'!$C$9:$C$173,$C166,'DAILY OKEY AYAM'!$U$9:$U$172)</f>
        <v>0</v>
      </c>
      <c r="O166" s="374">
        <f ca="1">SUMIF('DAILY OKEY AYAM'!$C$9:$C$173,$C166,'DAILY OKEY AYAM'!$V$9:$V$172)</f>
        <v>0</v>
      </c>
      <c r="P166" s="374">
        <f ca="1">SUMIF('DAILY OKEY AYAM'!$C$9:$C$173,$C166,'DAILY OKEY AYAM'!$W$9:$W$172)</f>
        <v>0</v>
      </c>
      <c r="Q166" s="374">
        <f ca="1">SUMIF('DAILY OKEY AYAM'!$C$9:$C$173,$C166,'DAILY OKEY AYAM'!$X$9:$X$172)</f>
        <v>0</v>
      </c>
      <c r="R166" s="374">
        <f t="shared" ca="1" si="196"/>
        <v>0</v>
      </c>
      <c r="S166" s="376">
        <f t="shared" ca="1" si="197"/>
        <v>0</v>
      </c>
      <c r="T166" s="381"/>
      <c r="U166" s="738"/>
      <c r="V166" s="739"/>
      <c r="W166" s="740"/>
      <c r="X166" s="728"/>
      <c r="Y166" s="728"/>
      <c r="Z166" s="728"/>
      <c r="AA166" s="728"/>
    </row>
    <row r="167" spans="2:27" ht="16.5">
      <c r="B167" s="733"/>
      <c r="C167" s="474" t="str">
        <f>+'HASIL PROD'!B275</f>
        <v>QG25708</v>
      </c>
      <c r="D167" s="372">
        <f>SUMIF('HASIL PROD'!$B$4:$B$343,C167,'HASIL PROD'!$C$4:$C$343)</f>
        <v>203</v>
      </c>
      <c r="E167" s="373">
        <f t="shared" ref="E167:E169" si="198">+D167*3.875</f>
        <v>786.625</v>
      </c>
      <c r="F167" s="374">
        <f ca="1">SUMIF('DAILY OKEY AYAM'!$C$9:$C$173,$C167,'DAILY OKEY AYAM'!$K$9:$K$172)</f>
        <v>0</v>
      </c>
      <c r="G167" s="374">
        <f ca="1">SUMIF('DAILY OKEY AYAM'!$C$9:$C$173,$C167,'DAILY OKEY AYAM'!$L$9:$L$172)</f>
        <v>0</v>
      </c>
      <c r="H167" s="374">
        <f ca="1">SUMIF('DAILY OKEY AYAM'!$C$9:$C$173,$C167,'DAILY OKEY AYAM'!$M$9:$N$172)</f>
        <v>0</v>
      </c>
      <c r="I167" s="374">
        <f ca="1">SUMIF('DAILY OKEY AYAM'!$C$9:$C$173,$C167,'DAILY OKEY AYAM'!$O$9:$O$172)</f>
        <v>0</v>
      </c>
      <c r="J167" s="374">
        <f ca="1">SUMIF('DAILY OKEY AYAM'!$C$9:$C$173,$C167,'DAILY OKEY AYAM'!$P$9:$P$172)</f>
        <v>0</v>
      </c>
      <c r="K167" s="374">
        <f ca="1">SUMIF('DAILY OKEY AYAM'!$C$9:$C$173,$C167,'DAILY OKEY AYAM'!$R$9:$R$172)</f>
        <v>0</v>
      </c>
      <c r="L167" s="374">
        <f ca="1">SUMIF('DAILY OKEY AYAM'!$C$9:$C$173,$C167,'DAILY OKEY AYAM'!$S$9:$S$172)</f>
        <v>0</v>
      </c>
      <c r="M167" s="374">
        <f ca="1">SUMIF('DAILY OKEY AYAM'!$C$9:$C$173,$C167,'DAILY OKEY AYAM'!$T$9:$T$172)</f>
        <v>0</v>
      </c>
      <c r="N167" s="374">
        <f ca="1">SUMIF('DAILY OKEY AYAM'!$C$9:$C$173,$C167,'DAILY OKEY AYAM'!$U$9:$U$172)</f>
        <v>0</v>
      </c>
      <c r="O167" s="374">
        <f ca="1">SUMIF('DAILY OKEY AYAM'!$C$9:$C$173,$C167,'DAILY OKEY AYAM'!$V$9:$V$172)</f>
        <v>0</v>
      </c>
      <c r="P167" s="374">
        <f ca="1">SUMIF('DAILY OKEY AYAM'!$C$9:$C$173,$C167,'DAILY OKEY AYAM'!$W$9:$W$172)</f>
        <v>0</v>
      </c>
      <c r="Q167" s="374">
        <f ca="1">SUMIF('DAILY OKEY AYAM'!$C$9:$C$173,$C167,'DAILY OKEY AYAM'!$X$9:$X$172)</f>
        <v>0</v>
      </c>
      <c r="R167" s="374">
        <f t="shared" ca="1" si="196"/>
        <v>0</v>
      </c>
      <c r="S167" s="376">
        <f t="shared" ca="1" si="197"/>
        <v>0</v>
      </c>
      <c r="T167" s="381"/>
      <c r="U167" s="738"/>
      <c r="V167" s="739"/>
      <c r="W167" s="740"/>
      <c r="X167" s="729"/>
      <c r="Y167" s="729"/>
      <c r="Z167" s="729"/>
      <c r="AA167" s="729"/>
    </row>
    <row r="168" spans="2:27" ht="16.5">
      <c r="B168" s="733"/>
      <c r="C168" s="474">
        <f>+'HASIL PROD'!B276</f>
        <v>0</v>
      </c>
      <c r="D168" s="372">
        <f>SUMIF('HASIL PROD'!$B$4:$B$343,C168,'HASIL PROD'!$C$4:$C$343)</f>
        <v>0</v>
      </c>
      <c r="E168" s="373">
        <f t="shared" si="198"/>
        <v>0</v>
      </c>
      <c r="F168" s="374">
        <f ca="1">SUMIF('DAILY OKEY AYAM'!$C$9:$C$173,$C168,'DAILY OKEY AYAM'!$K$9:$K$172)</f>
        <v>0</v>
      </c>
      <c r="G168" s="374">
        <f ca="1">SUMIF('DAILY OKEY AYAM'!$C$9:$C$173,$C168,'DAILY OKEY AYAM'!$L$9:$L$172)</f>
        <v>0</v>
      </c>
      <c r="H168" s="374">
        <f ca="1">SUMIF('DAILY OKEY AYAM'!$C$9:$C$173,$C168,'DAILY OKEY AYAM'!$M$9:$N$172)</f>
        <v>0</v>
      </c>
      <c r="I168" s="374">
        <f ca="1">SUMIF('DAILY OKEY AYAM'!$C$9:$C$173,$C168,'DAILY OKEY AYAM'!$O$9:$O$172)</f>
        <v>0</v>
      </c>
      <c r="J168" s="374">
        <f ca="1">SUMIF('DAILY OKEY AYAM'!$C$9:$C$173,$C168,'DAILY OKEY AYAM'!$P$9:$P$172)</f>
        <v>0</v>
      </c>
      <c r="K168" s="374">
        <f ca="1">SUMIF('DAILY OKEY AYAM'!$C$9:$C$173,$C168,'DAILY OKEY AYAM'!$R$9:$R$172)</f>
        <v>0</v>
      </c>
      <c r="L168" s="374">
        <f ca="1">SUMIF('DAILY OKEY AYAM'!$C$9:$C$173,$C168,'DAILY OKEY AYAM'!$S$9:$S$172)</f>
        <v>0</v>
      </c>
      <c r="M168" s="374">
        <f ca="1">SUMIF('DAILY OKEY AYAM'!$C$9:$C$173,$C168,'DAILY OKEY AYAM'!$T$9:$T$172)</f>
        <v>0</v>
      </c>
      <c r="N168" s="374">
        <f ca="1">SUMIF('DAILY OKEY AYAM'!$C$9:$C$173,$C168,'DAILY OKEY AYAM'!$U$9:$U$172)</f>
        <v>0</v>
      </c>
      <c r="O168" s="374">
        <f ca="1">SUMIF('DAILY OKEY AYAM'!$C$9:$C$173,$C168,'DAILY OKEY AYAM'!$V$9:$V$172)</f>
        <v>0</v>
      </c>
      <c r="P168" s="374">
        <f ca="1">SUMIF('DAILY OKEY AYAM'!$C$9:$C$173,$C168,'DAILY OKEY AYAM'!$W$9:$W$172)</f>
        <v>0</v>
      </c>
      <c r="Q168" s="374">
        <f ca="1">SUMIF('DAILY OKEY AYAM'!$C$9:$C$173,$C168,'DAILY OKEY AYAM'!$X$9:$X$172)</f>
        <v>0</v>
      </c>
      <c r="R168" s="374">
        <f t="shared" ref="R168:R169" ca="1" si="199">+SUM(F168:Q168)</f>
        <v>0</v>
      </c>
      <c r="S168" s="376" t="e">
        <f t="shared" ca="1" si="197"/>
        <v>#DIV/0!</v>
      </c>
      <c r="T168" s="381"/>
      <c r="U168" s="382"/>
      <c r="V168" s="383"/>
      <c r="W168" s="401"/>
      <c r="X168" s="530"/>
      <c r="Y168" s="530"/>
      <c r="Z168" s="530"/>
      <c r="AA168" s="530"/>
    </row>
    <row r="169" spans="2:27" ht="16.5">
      <c r="B169" s="733"/>
      <c r="C169" s="474">
        <f>+'HASIL PROD'!B277</f>
        <v>0</v>
      </c>
      <c r="D169" s="372">
        <f>SUMIF('HASIL PROD'!$B$4:$B$343,C169,'HASIL PROD'!$C$4:$C$343)</f>
        <v>0</v>
      </c>
      <c r="E169" s="373">
        <f t="shared" si="198"/>
        <v>0</v>
      </c>
      <c r="F169" s="374">
        <f ca="1">SUMIF('DAILY OKEY AYAM'!$C$9:$C$173,$C169,'DAILY OKEY AYAM'!$K$9:$K$172)</f>
        <v>0</v>
      </c>
      <c r="G169" s="374">
        <f ca="1">SUMIF('DAILY OKEY AYAM'!$C$9:$C$173,$C169,'DAILY OKEY AYAM'!$L$9:$L$172)</f>
        <v>0</v>
      </c>
      <c r="H169" s="374">
        <f ca="1">SUMIF('DAILY OKEY AYAM'!$C$9:$C$173,$C169,'DAILY OKEY AYAM'!$M$9:$N$172)</f>
        <v>0</v>
      </c>
      <c r="I169" s="374">
        <f ca="1">SUMIF('DAILY OKEY AYAM'!$C$9:$C$173,$C169,'DAILY OKEY AYAM'!$O$9:$O$172)</f>
        <v>0</v>
      </c>
      <c r="J169" s="374">
        <f ca="1">SUMIF('DAILY OKEY AYAM'!$C$9:$C$173,$C169,'DAILY OKEY AYAM'!$P$9:$P$172)</f>
        <v>0</v>
      </c>
      <c r="K169" s="374">
        <f ca="1">SUMIF('DAILY OKEY AYAM'!$C$9:$C$173,$C169,'DAILY OKEY AYAM'!$R$9:$R$172)</f>
        <v>0</v>
      </c>
      <c r="L169" s="374">
        <f ca="1">SUMIF('DAILY OKEY AYAM'!$C$9:$C$173,$C169,'DAILY OKEY AYAM'!$S$9:$S$172)</f>
        <v>0</v>
      </c>
      <c r="M169" s="374">
        <f ca="1">SUMIF('DAILY OKEY AYAM'!$C$9:$C$173,$C169,'DAILY OKEY AYAM'!$T$9:$T$172)</f>
        <v>0</v>
      </c>
      <c r="N169" s="374">
        <f ca="1">SUMIF('DAILY OKEY AYAM'!$C$9:$C$173,$C169,'DAILY OKEY AYAM'!$U$9:$U$172)</f>
        <v>0</v>
      </c>
      <c r="O169" s="374">
        <f ca="1">SUMIF('DAILY OKEY AYAM'!$C$9:$C$173,$C169,'DAILY OKEY AYAM'!$V$9:$V$172)</f>
        <v>0</v>
      </c>
      <c r="P169" s="374">
        <f ca="1">SUMIF('DAILY OKEY AYAM'!$C$9:$C$173,$C169,'DAILY OKEY AYAM'!$W$9:$W$172)</f>
        <v>0</v>
      </c>
      <c r="Q169" s="374">
        <f ca="1">SUMIF('DAILY OKEY AYAM'!$C$9:$C$173,$C169,'DAILY OKEY AYAM'!$X$9:$X$172)</f>
        <v>0</v>
      </c>
      <c r="R169" s="374">
        <f t="shared" ca="1" si="199"/>
        <v>0</v>
      </c>
      <c r="S169" s="376" t="e">
        <f t="shared" ca="1" si="197"/>
        <v>#DIV/0!</v>
      </c>
      <c r="T169" s="381"/>
      <c r="U169" s="539">
        <f ca="1">SUM(R169:R169)</f>
        <v>0</v>
      </c>
      <c r="V169" s="540"/>
      <c r="W169" s="401"/>
      <c r="X169" s="530"/>
      <c r="Y169" s="530"/>
      <c r="Z169" s="530"/>
      <c r="AA169" s="530"/>
    </row>
    <row r="170" spans="2:27" ht="16.5">
      <c r="B170" s="733"/>
      <c r="C170" s="371"/>
      <c r="D170" s="372"/>
      <c r="E170" s="373"/>
      <c r="F170" s="379"/>
      <c r="G170" s="379"/>
      <c r="H170" s="379"/>
      <c r="I170" s="379"/>
      <c r="J170" s="379"/>
      <c r="K170" s="379"/>
      <c r="L170" s="379"/>
      <c r="M170" s="379"/>
      <c r="N170" s="379"/>
      <c r="O170" s="379"/>
      <c r="P170" s="379"/>
      <c r="Q170" s="379"/>
      <c r="R170" s="374"/>
      <c r="S170" s="380"/>
      <c r="T170" s="381"/>
      <c r="U170" s="374"/>
      <c r="V170" s="407"/>
      <c r="W170" s="408"/>
      <c r="X170" s="530"/>
      <c r="Y170" s="530"/>
      <c r="Z170" s="530"/>
      <c r="AA170" s="530"/>
    </row>
    <row r="171" spans="2:27" ht="16.5">
      <c r="B171" s="734"/>
      <c r="C171" s="385" t="s">
        <v>118</v>
      </c>
      <c r="D171" s="386">
        <f>SUM(D160:D170)</f>
        <v>3288</v>
      </c>
      <c r="E171" s="387">
        <f>SUM(E160:E170)</f>
        <v>12741</v>
      </c>
      <c r="F171" s="388">
        <f ca="1">SUM(F160:F170)</f>
        <v>0.82</v>
      </c>
      <c r="G171" s="388">
        <f t="shared" ref="G171:R171" ca="1" si="200">SUM(G160:G170)</f>
        <v>8.0599999999999987</v>
      </c>
      <c r="H171" s="388">
        <f t="shared" ca="1" si="200"/>
        <v>0</v>
      </c>
      <c r="I171" s="388">
        <f t="shared" ca="1" si="200"/>
        <v>14.36</v>
      </c>
      <c r="J171" s="388">
        <f t="shared" ca="1" si="200"/>
        <v>0</v>
      </c>
      <c r="K171" s="388">
        <f t="shared" ca="1" si="200"/>
        <v>0.38</v>
      </c>
      <c r="L171" s="388">
        <f t="shared" ca="1" si="200"/>
        <v>0.86</v>
      </c>
      <c r="M171" s="388">
        <f t="shared" ca="1" si="200"/>
        <v>2.2999999999999998</v>
      </c>
      <c r="N171" s="388">
        <f t="shared" ca="1" si="200"/>
        <v>0</v>
      </c>
      <c r="O171" s="388">
        <f t="shared" ca="1" si="200"/>
        <v>0</v>
      </c>
      <c r="P171" s="388">
        <f t="shared" ca="1" si="200"/>
        <v>0</v>
      </c>
      <c r="Q171" s="388">
        <f t="shared" ca="1" si="200"/>
        <v>4.8</v>
      </c>
      <c r="R171" s="388">
        <f t="shared" ca="1" si="200"/>
        <v>31.58</v>
      </c>
      <c r="S171" s="389"/>
      <c r="T171" s="402"/>
      <c r="U171" s="388"/>
      <c r="V171" s="389"/>
      <c r="W171" s="389"/>
      <c r="X171" s="530"/>
      <c r="Y171" s="530"/>
      <c r="Z171" s="530"/>
      <c r="AA171" s="530"/>
    </row>
    <row r="172" spans="2:27" ht="16.5">
      <c r="B172" s="406"/>
      <c r="C172" s="393" t="s">
        <v>114</v>
      </c>
      <c r="D172" s="394"/>
      <c r="E172" s="395"/>
      <c r="F172" s="396">
        <f ca="1">+F171/$E171</f>
        <v>6.4359155482301227E-5</v>
      </c>
      <c r="G172" s="396">
        <f t="shared" ref="G172:Q172" ca="1" si="201">+G171/$E171</f>
        <v>6.3260340632603394E-4</v>
      </c>
      <c r="H172" s="396">
        <f t="shared" ca="1" si="201"/>
        <v>0</v>
      </c>
      <c r="I172" s="396">
        <f t="shared" ca="1" si="201"/>
        <v>1.1270700886900557E-3</v>
      </c>
      <c r="J172" s="396">
        <f t="shared" ca="1" si="201"/>
        <v>0</v>
      </c>
      <c r="K172" s="396">
        <f t="shared" ca="1" si="201"/>
        <v>2.9824974491798133E-5</v>
      </c>
      <c r="L172" s="396">
        <f t="shared" ca="1" si="201"/>
        <v>6.7498626481437876E-5</v>
      </c>
      <c r="M172" s="396">
        <f t="shared" ca="1" si="201"/>
        <v>1.8051958245035709E-4</v>
      </c>
      <c r="N172" s="396">
        <f t="shared" ca="1" si="201"/>
        <v>0</v>
      </c>
      <c r="O172" s="396">
        <f t="shared" ca="1" si="201"/>
        <v>0</v>
      </c>
      <c r="P172" s="396">
        <f t="shared" ca="1" si="201"/>
        <v>0</v>
      </c>
      <c r="Q172" s="396">
        <f t="shared" ca="1" si="201"/>
        <v>3.7673651989639744E-4</v>
      </c>
      <c r="R172" s="482">
        <f ca="1">+R171/$E171</f>
        <v>2.4786123538183815E-3</v>
      </c>
      <c r="S172" s="399"/>
      <c r="T172" s="402"/>
      <c r="U172" s="400"/>
      <c r="V172" s="389"/>
      <c r="W172" s="389"/>
      <c r="X172" s="530"/>
      <c r="Y172" s="530"/>
      <c r="Z172" s="530"/>
      <c r="AA172" s="530"/>
    </row>
    <row r="175" spans="2:27">
      <c r="C175" s="558" t="s">
        <v>118</v>
      </c>
      <c r="D175" s="559"/>
      <c r="E175" s="560">
        <f>+E15+E28+E41+E54+E67+E80+E93+E106+E119+E132+E145+E158+E171</f>
        <v>150768.5</v>
      </c>
      <c r="F175" s="560">
        <f t="shared" ref="F175:Q175" ca="1" si="202">+F15+F28+F41+F54+F67+F80+F93+F106+F119+F132+F145+F158+F171</f>
        <v>191.28</v>
      </c>
      <c r="G175" s="560">
        <f t="shared" ca="1" si="202"/>
        <v>343.83</v>
      </c>
      <c r="H175" s="560">
        <f t="shared" ca="1" si="202"/>
        <v>13.639999999999999</v>
      </c>
      <c r="I175" s="560">
        <f t="shared" ca="1" si="202"/>
        <v>663.43999999999994</v>
      </c>
      <c r="J175" s="560">
        <f t="shared" ca="1" si="202"/>
        <v>37.65</v>
      </c>
      <c r="K175" s="560">
        <f t="shared" ca="1" si="202"/>
        <v>79.719999999999985</v>
      </c>
      <c r="L175" s="560">
        <f t="shared" ca="1" si="202"/>
        <v>29.130000000000003</v>
      </c>
      <c r="M175" s="560">
        <f t="shared" ca="1" si="202"/>
        <v>147.16999999999999</v>
      </c>
      <c r="N175" s="560">
        <f t="shared" ca="1" si="202"/>
        <v>1.5</v>
      </c>
      <c r="O175" s="560">
        <f t="shared" ca="1" si="202"/>
        <v>0.4</v>
      </c>
      <c r="P175" s="560">
        <f t="shared" ca="1" si="202"/>
        <v>0</v>
      </c>
      <c r="Q175" s="560">
        <f t="shared" ca="1" si="202"/>
        <v>4.8</v>
      </c>
      <c r="R175" s="561">
        <f ca="1">SUM(F175:Q175)</f>
        <v>1512.5600000000004</v>
      </c>
    </row>
    <row r="176" spans="2:27">
      <c r="C176" s="562" t="s">
        <v>114</v>
      </c>
      <c r="D176" s="559"/>
      <c r="E176" s="563"/>
      <c r="F176" s="564">
        <f ca="1">+F175/$E$175</f>
        <v>1.2687000268623752E-3</v>
      </c>
      <c r="G176" s="564">
        <f t="shared" ref="G176:R176" ca="1" si="203">+G175/$E$175</f>
        <v>2.2805161555629989E-3</v>
      </c>
      <c r="H176" s="564">
        <f t="shared" ca="1" si="203"/>
        <v>9.0469826256810927E-5</v>
      </c>
      <c r="I176" s="564">
        <f t="shared" ca="1" si="203"/>
        <v>4.4003886753532732E-3</v>
      </c>
      <c r="J176" s="564">
        <f t="shared" ca="1" si="203"/>
        <v>2.497205981355522E-4</v>
      </c>
      <c r="K176" s="564">
        <f t="shared" ca="1" si="203"/>
        <v>5.2875766489684508E-4</v>
      </c>
      <c r="L176" s="564">
        <f t="shared" ca="1" si="203"/>
        <v>1.9321012015109258E-4</v>
      </c>
      <c r="M176" s="564">
        <f t="shared" ca="1" si="203"/>
        <v>9.7613228227381706E-4</v>
      </c>
      <c r="N176" s="564">
        <f t="shared" ca="1" si="203"/>
        <v>9.9490278141654258E-6</v>
      </c>
      <c r="O176" s="564">
        <f t="shared" ca="1" si="203"/>
        <v>2.6530740837774468E-6</v>
      </c>
      <c r="P176" s="564">
        <f t="shared" ca="1" si="203"/>
        <v>0</v>
      </c>
      <c r="Q176" s="564">
        <f t="shared" ca="1" si="203"/>
        <v>3.1836889005329358E-5</v>
      </c>
      <c r="R176" s="565">
        <f t="shared" ca="1" si="203"/>
        <v>1.003233434039604E-2</v>
      </c>
    </row>
  </sheetData>
  <mergeCells count="181">
    <mergeCell ref="X1:AA3"/>
    <mergeCell ref="AC1:AJ1"/>
    <mergeCell ref="B134:B145"/>
    <mergeCell ref="U134:U136"/>
    <mergeCell ref="V134:V136"/>
    <mergeCell ref="W134:W136"/>
    <mergeCell ref="U137:U142"/>
    <mergeCell ref="V137:V142"/>
    <mergeCell ref="W137:W142"/>
    <mergeCell ref="B95:B106"/>
    <mergeCell ref="B108:B119"/>
    <mergeCell ref="W108:W110"/>
    <mergeCell ref="U108:U110"/>
    <mergeCell ref="V108:V110"/>
    <mergeCell ref="W111:W116"/>
    <mergeCell ref="W36:W37"/>
    <mergeCell ref="V36:V37"/>
    <mergeCell ref="U56:U59"/>
    <mergeCell ref="V56:V59"/>
    <mergeCell ref="U111:U116"/>
    <mergeCell ref="V111:V116"/>
    <mergeCell ref="B82:B93"/>
    <mergeCell ref="W83:W86"/>
    <mergeCell ref="D2:E2"/>
    <mergeCell ref="W4:W6"/>
    <mergeCell ref="U8:U10"/>
    <mergeCell ref="V8:V10"/>
    <mergeCell ref="W8:W10"/>
    <mergeCell ref="V4:V6"/>
    <mergeCell ref="V30:V32"/>
    <mergeCell ref="W30:W32"/>
    <mergeCell ref="V33:V35"/>
    <mergeCell ref="W33:W35"/>
    <mergeCell ref="W1:W3"/>
    <mergeCell ref="B2:B3"/>
    <mergeCell ref="C2:C3"/>
    <mergeCell ref="F2:F3"/>
    <mergeCell ref="G2:G3"/>
    <mergeCell ref="H2:H3"/>
    <mergeCell ref="I2:I3"/>
    <mergeCell ref="J2:J3"/>
    <mergeCell ref="K2:K3"/>
    <mergeCell ref="L2:N2"/>
    <mergeCell ref="O2:O3"/>
    <mergeCell ref="P2:P3"/>
    <mergeCell ref="Q2:Q3"/>
    <mergeCell ref="R2:R3"/>
    <mergeCell ref="B17:B28"/>
    <mergeCell ref="B30:B41"/>
    <mergeCell ref="U30:U32"/>
    <mergeCell ref="U33:U35"/>
    <mergeCell ref="U36:U37"/>
    <mergeCell ref="B1:S1"/>
    <mergeCell ref="S2:S3"/>
    <mergeCell ref="B4:B15"/>
    <mergeCell ref="U1:V2"/>
    <mergeCell ref="U4:U6"/>
    <mergeCell ref="W121:W123"/>
    <mergeCell ref="W124:W127"/>
    <mergeCell ref="U124:U127"/>
    <mergeCell ref="V124:V127"/>
    <mergeCell ref="B43:B54"/>
    <mergeCell ref="U43:U46"/>
    <mergeCell ref="V43:V46"/>
    <mergeCell ref="W43:W46"/>
    <mergeCell ref="U47:U51"/>
    <mergeCell ref="V47:V51"/>
    <mergeCell ref="W47:W51"/>
    <mergeCell ref="U60:U64"/>
    <mergeCell ref="V60:V64"/>
    <mergeCell ref="V83:V86"/>
    <mergeCell ref="U83:U86"/>
    <mergeCell ref="W60:W64"/>
    <mergeCell ref="B69:B80"/>
    <mergeCell ref="W73:W77"/>
    <mergeCell ref="W69:W72"/>
    <mergeCell ref="U69:U72"/>
    <mergeCell ref="V69:V72"/>
    <mergeCell ref="U73:U77"/>
    <mergeCell ref="V73:V77"/>
    <mergeCell ref="B56:B67"/>
    <mergeCell ref="X4:X6"/>
    <mergeCell ref="Y4:Y6"/>
    <mergeCell ref="Z4:Z6"/>
    <mergeCell ref="X8:X10"/>
    <mergeCell ref="Y8:Y10"/>
    <mergeCell ref="Z8:Z10"/>
    <mergeCell ref="B160:B171"/>
    <mergeCell ref="W160:W162"/>
    <mergeCell ref="U160:U162"/>
    <mergeCell ref="V160:V162"/>
    <mergeCell ref="U163:U167"/>
    <mergeCell ref="V163:V167"/>
    <mergeCell ref="W163:W167"/>
    <mergeCell ref="B147:B158"/>
    <mergeCell ref="U147:U150"/>
    <mergeCell ref="V147:V150"/>
    <mergeCell ref="W147:W150"/>
    <mergeCell ref="U151:U154"/>
    <mergeCell ref="V151:V154"/>
    <mergeCell ref="W151:W154"/>
    <mergeCell ref="W56:W59"/>
    <mergeCell ref="B121:B132"/>
    <mergeCell ref="U121:U123"/>
    <mergeCell ref="V121:V123"/>
    <mergeCell ref="X33:X35"/>
    <mergeCell ref="Y33:Y35"/>
    <mergeCell ref="Z33:Z35"/>
    <mergeCell ref="AA33:AA35"/>
    <mergeCell ref="X36:X37"/>
    <mergeCell ref="Y36:Y37"/>
    <mergeCell ref="AA8:AA10"/>
    <mergeCell ref="X30:X32"/>
    <mergeCell ref="Y30:Y32"/>
    <mergeCell ref="Z30:Z32"/>
    <mergeCell ref="AA30:AA32"/>
    <mergeCell ref="X56:X59"/>
    <mergeCell ref="Y56:Y59"/>
    <mergeCell ref="Z56:Z59"/>
    <mergeCell ref="AA56:AA59"/>
    <mergeCell ref="X60:X64"/>
    <mergeCell ref="Y60:Y64"/>
    <mergeCell ref="Z60:Z64"/>
    <mergeCell ref="AA60:AA64"/>
    <mergeCell ref="X43:X46"/>
    <mergeCell ref="Y43:Y46"/>
    <mergeCell ref="Z43:Z46"/>
    <mergeCell ref="AA43:AA46"/>
    <mergeCell ref="X47:X51"/>
    <mergeCell ref="Y47:Y51"/>
    <mergeCell ref="Z47:Z51"/>
    <mergeCell ref="AA47:AA51"/>
    <mergeCell ref="AA83:AA86"/>
    <mergeCell ref="X108:X110"/>
    <mergeCell ref="Y108:Y110"/>
    <mergeCell ref="Z108:Z110"/>
    <mergeCell ref="AA108:AA110"/>
    <mergeCell ref="X69:X72"/>
    <mergeCell ref="Y69:Y72"/>
    <mergeCell ref="Z69:Z72"/>
    <mergeCell ref="AA69:AA72"/>
    <mergeCell ref="X73:X77"/>
    <mergeCell ref="Y73:Y77"/>
    <mergeCell ref="Z73:Z77"/>
    <mergeCell ref="AA73:AA77"/>
    <mergeCell ref="X111:X116"/>
    <mergeCell ref="Y111:Y116"/>
    <mergeCell ref="Z111:Z116"/>
    <mergeCell ref="X121:X123"/>
    <mergeCell ref="Y121:Y123"/>
    <mergeCell ref="Z121:Z123"/>
    <mergeCell ref="X83:X86"/>
    <mergeCell ref="Y83:Y86"/>
    <mergeCell ref="Z83:Z86"/>
    <mergeCell ref="X134:X136"/>
    <mergeCell ref="Y134:Y136"/>
    <mergeCell ref="Z134:Z136"/>
    <mergeCell ref="X137:X142"/>
    <mergeCell ref="Y137:Y142"/>
    <mergeCell ref="Z137:Z142"/>
    <mergeCell ref="AA121:AA123"/>
    <mergeCell ref="X124:X127"/>
    <mergeCell ref="Y124:Y127"/>
    <mergeCell ref="Z124:Z127"/>
    <mergeCell ref="AA124:AA127"/>
    <mergeCell ref="X160:X162"/>
    <mergeCell ref="Y160:Y162"/>
    <mergeCell ref="Z160:Z162"/>
    <mergeCell ref="AA160:AA162"/>
    <mergeCell ref="X163:X167"/>
    <mergeCell ref="Y163:Y167"/>
    <mergeCell ref="Z163:Z167"/>
    <mergeCell ref="AA163:AA167"/>
    <mergeCell ref="AA137:AA142"/>
    <mergeCell ref="X147:X150"/>
    <mergeCell ref="Y147:Y150"/>
    <mergeCell ref="Z147:Z150"/>
    <mergeCell ref="X151:X154"/>
    <mergeCell ref="Y151:Y154"/>
    <mergeCell ref="Z151:Z154"/>
    <mergeCell ref="AA151:AA154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FF6600"/>
  </sheetPr>
  <dimension ref="B1:AJ111"/>
  <sheetViews>
    <sheetView zoomScale="70" zoomScaleNormal="70" workbookViewId="0">
      <pane xSplit="3" ySplit="3" topLeftCell="D40" activePane="bottomRight" state="frozen"/>
      <selection pane="topRight" activeCell="D1" sqref="D1"/>
      <selection pane="bottomLeft" activeCell="A4" sqref="A4"/>
      <selection pane="bottomRight" activeCell="U83" sqref="U83:W91"/>
    </sheetView>
  </sheetViews>
  <sheetFormatPr defaultRowHeight="15"/>
  <cols>
    <col min="1" max="1" width="11.42578125" customWidth="1"/>
    <col min="3" max="3" width="18.42578125" customWidth="1"/>
    <col min="4" max="4" width="9.140625" style="410"/>
    <col min="5" max="5" width="16.140625" style="411" customWidth="1"/>
    <col min="6" max="11" width="15.140625" customWidth="1"/>
    <col min="12" max="14" width="13.85546875" customWidth="1"/>
    <col min="15" max="17" width="15.140625" customWidth="1"/>
    <col min="18" max="18" width="9.5703125" customWidth="1"/>
    <col min="19" max="19" width="10.42578125" style="412" customWidth="1"/>
    <col min="20" max="20" width="2.28515625" style="329" customWidth="1"/>
    <col min="21" max="21" width="9.7109375" bestFit="1" customWidth="1"/>
    <col min="22" max="22" width="10.28515625" style="412" customWidth="1"/>
    <col min="23" max="23" width="17.7109375" customWidth="1"/>
    <col min="24" max="27" width="10.140625" customWidth="1"/>
    <col min="29" max="36" width="11.7109375" customWidth="1"/>
    <col min="37" max="37" width="10.42578125" customWidth="1"/>
  </cols>
  <sheetData>
    <row r="1" spans="2:36" ht="21.75" customHeight="1" thickBot="1">
      <c r="B1" s="754" t="s">
        <v>165</v>
      </c>
      <c r="C1" s="755"/>
      <c r="D1" s="755"/>
      <c r="E1" s="755"/>
      <c r="F1" s="755"/>
      <c r="G1" s="755"/>
      <c r="H1" s="755"/>
      <c r="I1" s="755"/>
      <c r="J1" s="755"/>
      <c r="K1" s="755"/>
      <c r="L1" s="755"/>
      <c r="M1" s="755"/>
      <c r="N1" s="755"/>
      <c r="O1" s="755"/>
      <c r="P1" s="755"/>
      <c r="Q1" s="755"/>
      <c r="R1" s="755"/>
      <c r="S1" s="756"/>
      <c r="T1" s="366"/>
      <c r="U1" s="759" t="s">
        <v>166</v>
      </c>
      <c r="V1" s="760"/>
      <c r="W1" s="763" t="s">
        <v>342</v>
      </c>
      <c r="X1" s="759" t="s">
        <v>343</v>
      </c>
      <c r="Y1" s="767"/>
      <c r="Z1" s="767"/>
      <c r="AA1" s="760"/>
      <c r="AC1" s="773" t="s">
        <v>337</v>
      </c>
      <c r="AD1" s="774"/>
      <c r="AE1" s="774"/>
      <c r="AF1" s="774"/>
      <c r="AG1" s="774"/>
      <c r="AH1" s="774"/>
      <c r="AI1" s="774"/>
      <c r="AJ1" s="775"/>
    </row>
    <row r="2" spans="2:36" ht="17.25" customHeight="1" thickBot="1">
      <c r="B2" s="766" t="s">
        <v>167</v>
      </c>
      <c r="C2" s="766" t="s">
        <v>168</v>
      </c>
      <c r="D2" s="776" t="s">
        <v>157</v>
      </c>
      <c r="E2" s="777"/>
      <c r="F2" s="766" t="s">
        <v>169</v>
      </c>
      <c r="G2" s="766" t="s">
        <v>17</v>
      </c>
      <c r="H2" s="766" t="s">
        <v>170</v>
      </c>
      <c r="I2" s="763" t="s">
        <v>171</v>
      </c>
      <c r="J2" s="766" t="s">
        <v>60</v>
      </c>
      <c r="K2" s="766" t="s">
        <v>172</v>
      </c>
      <c r="L2" s="759" t="s">
        <v>173</v>
      </c>
      <c r="M2" s="767"/>
      <c r="N2" s="767"/>
      <c r="O2" s="766" t="s">
        <v>56</v>
      </c>
      <c r="P2" s="766" t="s">
        <v>20</v>
      </c>
      <c r="Q2" s="766" t="s">
        <v>218</v>
      </c>
      <c r="R2" s="766" t="s">
        <v>118</v>
      </c>
      <c r="S2" s="757" t="s">
        <v>174</v>
      </c>
      <c r="T2" s="367"/>
      <c r="U2" s="761"/>
      <c r="V2" s="762"/>
      <c r="W2" s="764"/>
      <c r="X2" s="769"/>
      <c r="Y2" s="770"/>
      <c r="Z2" s="770"/>
      <c r="AA2" s="771"/>
      <c r="AC2" s="593" t="s">
        <v>315</v>
      </c>
      <c r="AD2" s="593" t="s">
        <v>316</v>
      </c>
      <c r="AE2" s="593" t="s">
        <v>317</v>
      </c>
      <c r="AF2" s="593" t="s">
        <v>318</v>
      </c>
      <c r="AG2" s="593" t="s">
        <v>312</v>
      </c>
      <c r="AH2" s="593" t="s">
        <v>319</v>
      </c>
      <c r="AI2" s="593" t="s">
        <v>314</v>
      </c>
      <c r="AJ2" s="593" t="s">
        <v>313</v>
      </c>
    </row>
    <row r="3" spans="2:36" ht="17.25" thickBot="1">
      <c r="B3" s="766"/>
      <c r="C3" s="766"/>
      <c r="D3" s="368" t="s">
        <v>3</v>
      </c>
      <c r="E3" s="369" t="s">
        <v>4</v>
      </c>
      <c r="F3" s="766"/>
      <c r="G3" s="766"/>
      <c r="H3" s="766"/>
      <c r="I3" s="765"/>
      <c r="J3" s="766"/>
      <c r="K3" s="766"/>
      <c r="L3" s="421" t="s">
        <v>175</v>
      </c>
      <c r="M3" s="421" t="s">
        <v>176</v>
      </c>
      <c r="N3" s="421" t="s">
        <v>177</v>
      </c>
      <c r="O3" s="766"/>
      <c r="P3" s="766"/>
      <c r="Q3" s="766"/>
      <c r="R3" s="766"/>
      <c r="S3" s="757"/>
      <c r="T3" s="370"/>
      <c r="U3" s="491" t="s">
        <v>4</v>
      </c>
      <c r="V3" s="481" t="s">
        <v>114</v>
      </c>
      <c r="W3" s="765"/>
      <c r="X3" s="761"/>
      <c r="Y3" s="772"/>
      <c r="Z3" s="772"/>
      <c r="AA3" s="762"/>
      <c r="AC3" s="594">
        <f t="shared" ref="AC3:AJ3" ca="1" si="0">SUMPRODUCT(($V$4:$V$300&gt;1%)*($X$4:$AA$300=AC$2))</f>
        <v>3</v>
      </c>
      <c r="AD3" s="594">
        <f t="shared" ca="1" si="0"/>
        <v>3</v>
      </c>
      <c r="AE3" s="594">
        <f t="shared" ca="1" si="0"/>
        <v>3</v>
      </c>
      <c r="AF3" s="594">
        <f t="shared" ca="1" si="0"/>
        <v>3</v>
      </c>
      <c r="AG3" s="594">
        <f t="shared" ca="1" si="0"/>
        <v>8</v>
      </c>
      <c r="AH3" s="594">
        <f t="shared" ca="1" si="0"/>
        <v>5</v>
      </c>
      <c r="AI3" s="594">
        <f t="shared" ca="1" si="0"/>
        <v>8</v>
      </c>
      <c r="AJ3" s="594">
        <f t="shared" ca="1" si="0"/>
        <v>7</v>
      </c>
    </row>
    <row r="4" spans="2:36" ht="16.5">
      <c r="B4" s="758" t="s">
        <v>179</v>
      </c>
      <c r="C4" s="473" t="str">
        <f>+'HASIL PROD'!B4</f>
        <v>QG01701</v>
      </c>
      <c r="D4" s="372">
        <f>SUMIF('HASIL PROD'!$B$4:$B$343,C4,'HASIL PROD'!$H$4:$H$343)</f>
        <v>463</v>
      </c>
      <c r="E4" s="373">
        <f>+D4*3.276</f>
        <v>1516.788</v>
      </c>
      <c r="F4" s="374">
        <f ca="1">SUMIF('DAILY CHAMP AYAM'!$C$10:$C$144,$C4,'DAILY CHAMP AYAM'!$K$10:$K$143)</f>
        <v>3.75</v>
      </c>
      <c r="G4" s="374">
        <f ca="1">SUMIF('DAILY CHAMP AYAM'!$C$10:$C$144,$C4,'DAILY CHAMP AYAM'!$L$10:$L$143)</f>
        <v>6.45</v>
      </c>
      <c r="H4" s="374">
        <f>SUMIF('DAILY CHAMP AYAM'!$C$10:$C$144,$C4,'DAILY CHAMP AYAM'!$M$9:$N$143)</f>
        <v>0</v>
      </c>
      <c r="I4" s="374">
        <f ca="1">SUMIF('DAILY CHAMP AYAM'!$C$10:$C$144,$C4,'DAILY CHAMP AYAM'!$O$10:$O$143)</f>
        <v>10.45</v>
      </c>
      <c r="J4" s="374">
        <f ca="1">SUMIF('DAILY CHAMP AYAM'!$C$10:$C$144,$C4,'DAILY CHAMP AYAM'!$P$10:$P$143)</f>
        <v>1.1000000000000001</v>
      </c>
      <c r="K4" s="374">
        <f ca="1">SUMIF('DAILY CHAMP AYAM'!$C$10:$C$144,$C4,'DAILY CHAMP AYAM'!$R$10:$R$143)</f>
        <v>0</v>
      </c>
      <c r="L4" s="374">
        <f ca="1">SUMIF('DAILY CHAMP AYAM'!$C$10:$C$144,$C4,'DAILY CHAMP AYAM'!$S$10:$S$143)</f>
        <v>7.85</v>
      </c>
      <c r="M4" s="374">
        <f ca="1">SUMIF('DAILY CHAMP AYAM'!$C$10:$C$144,$C4,'DAILY CHAMP AYAM'!$T$10:$T$143)</f>
        <v>1.4</v>
      </c>
      <c r="N4" s="374">
        <f ca="1">SUMIF('DAILY CHAMP AYAM'!$C$10:$C$144,$C4,'DAILY CHAMP AYAM'!$U$10:$U$143)</f>
        <v>0</v>
      </c>
      <c r="O4" s="374">
        <f ca="1">SUMIF('DAILY CHAMP AYAM'!$C$10:$C$144,$C4,'DAILY CHAMP AYAM'!$V$10:$V$143)</f>
        <v>0</v>
      </c>
      <c r="P4" s="374">
        <f ca="1">SUMIF('DAILY CHAMP AYAM'!$C$10:$C$144,$C4,'DAILY CHAMP AYAM'!$W$10:$W$143)</f>
        <v>0</v>
      </c>
      <c r="Q4" s="374">
        <f ca="1">SUMIF('DAILY CHAMP AYAM'!$C$10:$C$144,$C4,'DAILY CHAMP AYAM'!$X$10:$X$143)</f>
        <v>0</v>
      </c>
      <c r="R4" s="375">
        <f ca="1">+SUM(F4:Q4)</f>
        <v>31</v>
      </c>
      <c r="S4" s="376">
        <f ca="1">+R4/E4</f>
        <v>2.0437925405527996E-2</v>
      </c>
      <c r="T4" s="398"/>
      <c r="U4" s="480">
        <f ca="1">SUM(R4:R4)</f>
        <v>31</v>
      </c>
      <c r="V4" s="527">
        <f ca="1">+U4/(SUM(E4:E4))</f>
        <v>2.0437925405527996E-2</v>
      </c>
      <c r="W4" s="538" t="s">
        <v>338</v>
      </c>
      <c r="X4" s="595" t="s">
        <v>312</v>
      </c>
      <c r="Y4" s="595" t="s">
        <v>313</v>
      </c>
      <c r="Z4" s="595" t="s">
        <v>314</v>
      </c>
      <c r="AA4" s="595"/>
    </row>
    <row r="5" spans="2:36" ht="16.5">
      <c r="B5" s="758"/>
      <c r="C5" s="371"/>
      <c r="D5" s="372">
        <f>SUMIF('HASIL PROD'!$B$4:$B$343,C5,'HASIL PROD'!$H$4:$H$343)</f>
        <v>0</v>
      </c>
      <c r="E5" s="373">
        <f t="shared" ref="E5:E13" si="1">+D5*3.276</f>
        <v>0</v>
      </c>
      <c r="F5" s="374">
        <f ca="1">SUMIF('DAILY CHAMP AYAM'!$C$10:$C$144,$C5,'DAILY CHAMP AYAM'!$K$10:$K$143)</f>
        <v>0</v>
      </c>
      <c r="G5" s="374">
        <f ca="1">SUMIF('DAILY CHAMP AYAM'!$C$10:$C$144,$C5,'DAILY CHAMP AYAM'!$L$10:$L$143)</f>
        <v>0</v>
      </c>
      <c r="H5" s="374">
        <f>SUMIF('DAILY CHAMP AYAM'!$C$10:$C$144,$C5,'DAILY CHAMP AYAM'!$M$9:$N$143)</f>
        <v>0</v>
      </c>
      <c r="I5" s="374">
        <f ca="1">SUMIF('DAILY CHAMP AYAM'!$C$10:$C$144,$C5,'DAILY CHAMP AYAM'!$O$10:$O$143)</f>
        <v>0</v>
      </c>
      <c r="J5" s="374">
        <f ca="1">SUMIF('DAILY CHAMP AYAM'!$C$10:$C$144,$C5,'DAILY CHAMP AYAM'!$P$10:$P$143)</f>
        <v>0</v>
      </c>
      <c r="K5" s="374">
        <f ca="1">SUMIF('DAILY CHAMP AYAM'!$C$10:$C$144,$C5,'DAILY CHAMP AYAM'!$R$10:$R$143)</f>
        <v>0</v>
      </c>
      <c r="L5" s="374">
        <f ca="1">SUMIF('DAILY CHAMP AYAM'!$C$10:$C$144,$C5,'DAILY CHAMP AYAM'!$S$10:$S$143)</f>
        <v>0</v>
      </c>
      <c r="M5" s="374">
        <f ca="1">SUMIF('DAILY CHAMP AYAM'!$C$10:$C$144,$C5,'DAILY CHAMP AYAM'!$T$10:$T$143)</f>
        <v>0</v>
      </c>
      <c r="N5" s="374">
        <f ca="1">SUMIF('DAILY CHAMP AYAM'!$C$10:$C$144,$C5,'DAILY CHAMP AYAM'!$U$10:$U$143)</f>
        <v>0</v>
      </c>
      <c r="O5" s="374">
        <f ca="1">SUMIF('DAILY CHAMP AYAM'!$C$10:$C$144,$C5,'DAILY CHAMP AYAM'!$V$10:$V$143)</f>
        <v>0</v>
      </c>
      <c r="P5" s="374">
        <f ca="1">SUMIF('DAILY CHAMP AYAM'!$C$10:$C$144,$C5,'DAILY CHAMP AYAM'!$W$10:$W$143)</f>
        <v>0</v>
      </c>
      <c r="Q5" s="374">
        <f ca="1">SUMIF('DAILY CHAMP AYAM'!$C$10:$C$144,$C5,'DAILY CHAMP AYAM'!$X$10:$X$143)</f>
        <v>0</v>
      </c>
      <c r="R5" s="375">
        <f t="shared" ref="R5:R13" ca="1" si="2">+SUM(F5:Q5)</f>
        <v>0</v>
      </c>
      <c r="S5" s="376" t="e">
        <f t="shared" ref="S5:S13" ca="1" si="3">+R5/E5</f>
        <v>#DIV/0!</v>
      </c>
      <c r="T5" s="398"/>
      <c r="U5" s="420">
        <f t="shared" ref="U5:U13" ca="1" si="4">SUM(R5:R5)</f>
        <v>0</v>
      </c>
      <c r="V5" s="415"/>
      <c r="W5" s="419"/>
      <c r="X5" s="530"/>
      <c r="Y5" s="530"/>
      <c r="Z5" s="530"/>
      <c r="AA5" s="530"/>
    </row>
    <row r="6" spans="2:36" ht="16.5">
      <c r="B6" s="758"/>
      <c r="C6" s="371"/>
      <c r="D6" s="372">
        <f>SUMIF('HASIL PROD'!$B$4:$B$343,C6,'HASIL PROD'!$H$4:$H$343)</f>
        <v>0</v>
      </c>
      <c r="E6" s="373">
        <f t="shared" si="1"/>
        <v>0</v>
      </c>
      <c r="F6" s="374">
        <f ca="1">SUMIF('DAILY CHAMP AYAM'!$C$10:$C$144,$C6,'DAILY CHAMP AYAM'!$K$10:$K$143)</f>
        <v>0</v>
      </c>
      <c r="G6" s="374">
        <f ca="1">SUMIF('DAILY CHAMP AYAM'!$C$10:$C$144,$C6,'DAILY CHAMP AYAM'!$L$10:$L$143)</f>
        <v>0</v>
      </c>
      <c r="H6" s="374">
        <f>SUMIF('DAILY CHAMP AYAM'!$C$10:$C$144,$C6,'DAILY CHAMP AYAM'!$M$9:$N$143)</f>
        <v>0</v>
      </c>
      <c r="I6" s="374">
        <f ca="1">SUMIF('DAILY CHAMP AYAM'!$C$10:$C$144,$C6,'DAILY CHAMP AYAM'!$O$10:$O$143)</f>
        <v>0</v>
      </c>
      <c r="J6" s="374">
        <f ca="1">SUMIF('DAILY CHAMP AYAM'!$C$10:$C$144,$C6,'DAILY CHAMP AYAM'!$P$10:$P$143)</f>
        <v>0</v>
      </c>
      <c r="K6" s="374">
        <f ca="1">SUMIF('DAILY CHAMP AYAM'!$C$10:$C$144,$C6,'DAILY CHAMP AYAM'!$R$10:$R$143)</f>
        <v>0</v>
      </c>
      <c r="L6" s="374">
        <f ca="1">SUMIF('DAILY CHAMP AYAM'!$C$10:$C$144,$C6,'DAILY CHAMP AYAM'!$S$10:$S$143)</f>
        <v>0</v>
      </c>
      <c r="M6" s="374">
        <f ca="1">SUMIF('DAILY CHAMP AYAM'!$C$10:$C$144,$C6,'DAILY CHAMP AYAM'!$T$10:$T$143)</f>
        <v>0</v>
      </c>
      <c r="N6" s="374">
        <f ca="1">SUMIF('DAILY CHAMP AYAM'!$C$10:$C$144,$C6,'DAILY CHAMP AYAM'!$U$10:$U$143)</f>
        <v>0</v>
      </c>
      <c r="O6" s="374">
        <f ca="1">SUMIF('DAILY CHAMP AYAM'!$C$10:$C$144,$C6,'DAILY CHAMP AYAM'!$V$10:$V$143)</f>
        <v>0</v>
      </c>
      <c r="P6" s="374">
        <f ca="1">SUMIF('DAILY CHAMP AYAM'!$C$10:$C$144,$C6,'DAILY CHAMP AYAM'!$W$10:$W$143)</f>
        <v>0</v>
      </c>
      <c r="Q6" s="374">
        <f ca="1">SUMIF('DAILY CHAMP AYAM'!$C$10:$C$144,$C6,'DAILY CHAMP AYAM'!$X$10:$X$143)</f>
        <v>0</v>
      </c>
      <c r="R6" s="375">
        <f t="shared" ca="1" si="2"/>
        <v>0</v>
      </c>
      <c r="S6" s="376" t="e">
        <f t="shared" ca="1" si="3"/>
        <v>#DIV/0!</v>
      </c>
      <c r="T6" s="398"/>
      <c r="U6" s="420">
        <f t="shared" ca="1" si="4"/>
        <v>0</v>
      </c>
      <c r="V6" s="415"/>
      <c r="W6" s="419"/>
      <c r="X6" s="530"/>
      <c r="Y6" s="530"/>
      <c r="Z6" s="530"/>
      <c r="AA6" s="530"/>
    </row>
    <row r="7" spans="2:36" ht="16.5">
      <c r="B7" s="758"/>
      <c r="C7" s="371"/>
      <c r="D7" s="372">
        <f>SUMIF('HASIL PROD'!$B$4:$B$343,C7,'HASIL PROD'!$H$4:$H$343)</f>
        <v>0</v>
      </c>
      <c r="E7" s="373">
        <f t="shared" si="1"/>
        <v>0</v>
      </c>
      <c r="F7" s="374">
        <f ca="1">SUMIF('DAILY CHAMP AYAM'!$C$10:$C$144,$C7,'DAILY CHAMP AYAM'!$K$10:$K$143)</f>
        <v>0</v>
      </c>
      <c r="G7" s="374">
        <f ca="1">SUMIF('DAILY CHAMP AYAM'!$C$10:$C$144,$C7,'DAILY CHAMP AYAM'!$L$10:$L$143)</f>
        <v>0</v>
      </c>
      <c r="H7" s="374">
        <f>SUMIF('DAILY CHAMP AYAM'!$C$10:$C$144,$C7,'DAILY CHAMP AYAM'!$M$9:$N$143)</f>
        <v>0</v>
      </c>
      <c r="I7" s="374">
        <f ca="1">SUMIF('DAILY CHAMP AYAM'!$C$10:$C$144,$C7,'DAILY CHAMP AYAM'!$O$10:$O$143)</f>
        <v>0</v>
      </c>
      <c r="J7" s="374">
        <f ca="1">SUMIF('DAILY CHAMP AYAM'!$C$10:$C$144,$C7,'DAILY CHAMP AYAM'!$P$10:$P$143)</f>
        <v>0</v>
      </c>
      <c r="K7" s="374">
        <f ca="1">SUMIF('DAILY CHAMP AYAM'!$C$10:$C$144,$C7,'DAILY CHAMP AYAM'!$R$10:$R$143)</f>
        <v>0</v>
      </c>
      <c r="L7" s="374">
        <f ca="1">SUMIF('DAILY CHAMP AYAM'!$C$10:$C$144,$C7,'DAILY CHAMP AYAM'!$S$10:$S$143)</f>
        <v>0</v>
      </c>
      <c r="M7" s="374">
        <f ca="1">SUMIF('DAILY CHAMP AYAM'!$C$10:$C$144,$C7,'DAILY CHAMP AYAM'!$T$10:$T$143)</f>
        <v>0</v>
      </c>
      <c r="N7" s="374">
        <f ca="1">SUMIF('DAILY CHAMP AYAM'!$C$10:$C$144,$C7,'DAILY CHAMP AYAM'!$U$10:$U$143)</f>
        <v>0</v>
      </c>
      <c r="O7" s="374">
        <f ca="1">SUMIF('DAILY CHAMP AYAM'!$C$10:$C$144,$C7,'DAILY CHAMP AYAM'!$V$10:$V$143)</f>
        <v>0</v>
      </c>
      <c r="P7" s="374">
        <f ca="1">SUMIF('DAILY CHAMP AYAM'!$C$10:$C$144,$C7,'DAILY CHAMP AYAM'!$W$10:$W$143)</f>
        <v>0</v>
      </c>
      <c r="Q7" s="374">
        <f ca="1">SUMIF('DAILY CHAMP AYAM'!$C$10:$C$144,$C7,'DAILY CHAMP AYAM'!$X$10:$X$143)</f>
        <v>0</v>
      </c>
      <c r="R7" s="375">
        <f t="shared" ca="1" si="2"/>
        <v>0</v>
      </c>
      <c r="S7" s="376" t="e">
        <f t="shared" ca="1" si="3"/>
        <v>#DIV/0!</v>
      </c>
      <c r="T7" s="398"/>
      <c r="U7" s="420">
        <f t="shared" ca="1" si="4"/>
        <v>0</v>
      </c>
      <c r="V7" s="415"/>
      <c r="W7" s="419"/>
      <c r="X7" s="530"/>
      <c r="Y7" s="530"/>
      <c r="Z7" s="530"/>
      <c r="AA7" s="530"/>
    </row>
    <row r="8" spans="2:36" ht="16.5">
      <c r="B8" s="758"/>
      <c r="C8" s="371"/>
      <c r="D8" s="372">
        <f>SUMIF('HASIL PROD'!$B$4:$B$343,C8,'HASIL PROD'!$H$4:$H$343)</f>
        <v>0</v>
      </c>
      <c r="E8" s="373">
        <f t="shared" si="1"/>
        <v>0</v>
      </c>
      <c r="F8" s="374">
        <f ca="1">SUMIF('DAILY CHAMP AYAM'!$C$10:$C$144,$C8,'DAILY CHAMP AYAM'!$K$10:$K$143)</f>
        <v>0</v>
      </c>
      <c r="G8" s="374">
        <f ca="1">SUMIF('DAILY CHAMP AYAM'!$C$10:$C$144,$C8,'DAILY CHAMP AYAM'!$L$10:$L$143)</f>
        <v>0</v>
      </c>
      <c r="H8" s="374">
        <f>SUMIF('DAILY CHAMP AYAM'!$C$10:$C$144,$C8,'DAILY CHAMP AYAM'!$M$9:$N$143)</f>
        <v>0</v>
      </c>
      <c r="I8" s="374">
        <f ca="1">SUMIF('DAILY CHAMP AYAM'!$C$10:$C$144,$C8,'DAILY CHAMP AYAM'!$O$10:$O$143)</f>
        <v>0</v>
      </c>
      <c r="J8" s="374">
        <f ca="1">SUMIF('DAILY CHAMP AYAM'!$C$10:$C$144,$C8,'DAILY CHAMP AYAM'!$P$10:$P$143)</f>
        <v>0</v>
      </c>
      <c r="K8" s="374">
        <f ca="1">SUMIF('DAILY CHAMP AYAM'!$C$10:$C$144,$C8,'DAILY CHAMP AYAM'!$R$10:$R$143)</f>
        <v>0</v>
      </c>
      <c r="L8" s="374">
        <f ca="1">SUMIF('DAILY CHAMP AYAM'!$C$10:$C$144,$C8,'DAILY CHAMP AYAM'!$S$10:$S$143)</f>
        <v>0</v>
      </c>
      <c r="M8" s="374">
        <f ca="1">SUMIF('DAILY CHAMP AYAM'!$C$10:$C$144,$C8,'DAILY CHAMP AYAM'!$T$10:$T$143)</f>
        <v>0</v>
      </c>
      <c r="N8" s="374">
        <f ca="1">SUMIF('DAILY CHAMP AYAM'!$C$10:$C$144,$C8,'DAILY CHAMP AYAM'!$U$10:$U$143)</f>
        <v>0</v>
      </c>
      <c r="O8" s="374">
        <f ca="1">SUMIF('DAILY CHAMP AYAM'!$C$10:$C$144,$C8,'DAILY CHAMP AYAM'!$V$10:$V$143)</f>
        <v>0</v>
      </c>
      <c r="P8" s="374">
        <f ca="1">SUMIF('DAILY CHAMP AYAM'!$C$10:$C$144,$C8,'DAILY CHAMP AYAM'!$W$10:$W$143)</f>
        <v>0</v>
      </c>
      <c r="Q8" s="374">
        <f ca="1">SUMIF('DAILY CHAMP AYAM'!$C$10:$C$144,$C8,'DAILY CHAMP AYAM'!$X$10:$X$143)</f>
        <v>0</v>
      </c>
      <c r="R8" s="375">
        <f t="shared" ca="1" si="2"/>
        <v>0</v>
      </c>
      <c r="S8" s="376" t="e">
        <f t="shared" ca="1" si="3"/>
        <v>#DIV/0!</v>
      </c>
      <c r="T8" s="398"/>
      <c r="U8" s="420">
        <f t="shared" ca="1" si="4"/>
        <v>0</v>
      </c>
      <c r="V8" s="415"/>
      <c r="W8" s="419"/>
      <c r="X8" s="530"/>
      <c r="Y8" s="530"/>
      <c r="Z8" s="530"/>
      <c r="AA8" s="530"/>
    </row>
    <row r="9" spans="2:36" ht="16.5">
      <c r="B9" s="758"/>
      <c r="C9" s="371"/>
      <c r="D9" s="372">
        <f>SUMIF('HASIL PROD'!$B$4:$B$343,C9,'HASIL PROD'!$H$4:$H$343)</f>
        <v>0</v>
      </c>
      <c r="E9" s="373">
        <f t="shared" si="1"/>
        <v>0</v>
      </c>
      <c r="F9" s="374">
        <f ca="1">SUMIF('DAILY CHAMP AYAM'!$C$10:$C$144,$C9,'DAILY CHAMP AYAM'!$K$10:$K$143)</f>
        <v>0</v>
      </c>
      <c r="G9" s="374">
        <f ca="1">SUMIF('DAILY CHAMP AYAM'!$C$10:$C$144,$C9,'DAILY CHAMP AYAM'!$L$10:$L$143)</f>
        <v>0</v>
      </c>
      <c r="H9" s="374">
        <f>SUMIF('DAILY CHAMP AYAM'!$C$10:$C$144,$C9,'DAILY CHAMP AYAM'!$M$9:$N$143)</f>
        <v>0</v>
      </c>
      <c r="I9" s="374">
        <f ca="1">SUMIF('DAILY CHAMP AYAM'!$C$10:$C$144,$C9,'DAILY CHAMP AYAM'!$O$10:$O$143)</f>
        <v>0</v>
      </c>
      <c r="J9" s="374">
        <f ca="1">SUMIF('DAILY CHAMP AYAM'!$C$10:$C$144,$C9,'DAILY CHAMP AYAM'!$P$10:$P$143)</f>
        <v>0</v>
      </c>
      <c r="K9" s="374">
        <f ca="1">SUMIF('DAILY CHAMP AYAM'!$C$10:$C$144,$C9,'DAILY CHAMP AYAM'!$R$10:$R$143)</f>
        <v>0</v>
      </c>
      <c r="L9" s="374">
        <f ca="1">SUMIF('DAILY CHAMP AYAM'!$C$10:$C$144,$C9,'DAILY CHAMP AYAM'!$S$10:$S$143)</f>
        <v>0</v>
      </c>
      <c r="M9" s="374">
        <f ca="1">SUMIF('DAILY CHAMP AYAM'!$C$10:$C$144,$C9,'DAILY CHAMP AYAM'!$T$10:$T$143)</f>
        <v>0</v>
      </c>
      <c r="N9" s="374">
        <f ca="1">SUMIF('DAILY CHAMP AYAM'!$C$10:$C$144,$C9,'DAILY CHAMP AYAM'!$U$10:$U$143)</f>
        <v>0</v>
      </c>
      <c r="O9" s="374">
        <f ca="1">SUMIF('DAILY CHAMP AYAM'!$C$10:$C$144,$C9,'DAILY CHAMP AYAM'!$V$10:$V$143)</f>
        <v>0</v>
      </c>
      <c r="P9" s="374">
        <f ca="1">SUMIF('DAILY CHAMP AYAM'!$C$10:$C$144,$C9,'DAILY CHAMP AYAM'!$W$10:$W$143)</f>
        <v>0</v>
      </c>
      <c r="Q9" s="374">
        <f ca="1">SUMIF('DAILY CHAMP AYAM'!$C$10:$C$144,$C9,'DAILY CHAMP AYAM'!$X$10:$X$143)</f>
        <v>0</v>
      </c>
      <c r="R9" s="375">
        <f t="shared" ca="1" si="2"/>
        <v>0</v>
      </c>
      <c r="S9" s="376" t="e">
        <f t="shared" ca="1" si="3"/>
        <v>#DIV/0!</v>
      </c>
      <c r="T9" s="398"/>
      <c r="U9" s="420">
        <f t="shared" ca="1" si="4"/>
        <v>0</v>
      </c>
      <c r="V9" s="415"/>
      <c r="W9" s="419"/>
      <c r="X9" s="530"/>
      <c r="Y9" s="530"/>
      <c r="Z9" s="530"/>
      <c r="AA9" s="530"/>
    </row>
    <row r="10" spans="2:36" ht="16.5">
      <c r="B10" s="758"/>
      <c r="C10" s="371"/>
      <c r="D10" s="372">
        <f>SUMIF('HASIL PROD'!$B$4:$B$343,C10,'HASIL PROD'!$H$4:$H$343)</f>
        <v>0</v>
      </c>
      <c r="E10" s="373">
        <f t="shared" si="1"/>
        <v>0</v>
      </c>
      <c r="F10" s="374">
        <f ca="1">SUMIF('DAILY CHAMP AYAM'!$C$10:$C$144,$C10,'DAILY CHAMP AYAM'!$K$10:$K$143)</f>
        <v>0</v>
      </c>
      <c r="G10" s="374">
        <f ca="1">SUMIF('DAILY CHAMP AYAM'!$C$10:$C$144,$C10,'DAILY CHAMP AYAM'!$L$10:$L$143)</f>
        <v>0</v>
      </c>
      <c r="H10" s="374">
        <f>SUMIF('DAILY CHAMP AYAM'!$C$10:$C$144,$C10,'DAILY CHAMP AYAM'!$M$9:$N$143)</f>
        <v>0</v>
      </c>
      <c r="I10" s="374">
        <f ca="1">SUMIF('DAILY CHAMP AYAM'!$C$10:$C$144,$C10,'DAILY CHAMP AYAM'!$O$10:$O$143)</f>
        <v>0</v>
      </c>
      <c r="J10" s="374">
        <f ca="1">SUMIF('DAILY CHAMP AYAM'!$C$10:$C$144,$C10,'DAILY CHAMP AYAM'!$P$10:$P$143)</f>
        <v>0</v>
      </c>
      <c r="K10" s="374">
        <f ca="1">SUMIF('DAILY CHAMP AYAM'!$C$10:$C$144,$C10,'DAILY CHAMP AYAM'!$R$10:$R$143)</f>
        <v>0</v>
      </c>
      <c r="L10" s="374">
        <f ca="1">SUMIF('DAILY CHAMP AYAM'!$C$10:$C$144,$C10,'DAILY CHAMP AYAM'!$S$10:$S$143)</f>
        <v>0</v>
      </c>
      <c r="M10" s="374">
        <f ca="1">SUMIF('DAILY CHAMP AYAM'!$C$10:$C$144,$C10,'DAILY CHAMP AYAM'!$T$10:$T$143)</f>
        <v>0</v>
      </c>
      <c r="N10" s="374">
        <f ca="1">SUMIF('DAILY CHAMP AYAM'!$C$10:$C$144,$C10,'DAILY CHAMP AYAM'!$U$10:$U$143)</f>
        <v>0</v>
      </c>
      <c r="O10" s="374">
        <f ca="1">SUMIF('DAILY CHAMP AYAM'!$C$10:$C$144,$C10,'DAILY CHAMP AYAM'!$V$10:$V$143)</f>
        <v>0</v>
      </c>
      <c r="P10" s="374">
        <f ca="1">SUMIF('DAILY CHAMP AYAM'!$C$10:$C$144,$C10,'DAILY CHAMP AYAM'!$W$10:$W$143)</f>
        <v>0</v>
      </c>
      <c r="Q10" s="374">
        <f ca="1">SUMIF('DAILY CHAMP AYAM'!$C$10:$C$144,$C10,'DAILY CHAMP AYAM'!$X$10:$X$143)</f>
        <v>0</v>
      </c>
      <c r="R10" s="375">
        <f t="shared" ca="1" si="2"/>
        <v>0</v>
      </c>
      <c r="S10" s="376" t="e">
        <f t="shared" ca="1" si="3"/>
        <v>#DIV/0!</v>
      </c>
      <c r="T10" s="398"/>
      <c r="U10" s="420">
        <f t="shared" ca="1" si="4"/>
        <v>0</v>
      </c>
      <c r="V10" s="415"/>
      <c r="W10" s="419"/>
      <c r="X10" s="530"/>
      <c r="Y10" s="530"/>
      <c r="Z10" s="530"/>
      <c r="AA10" s="530"/>
    </row>
    <row r="11" spans="2:36" ht="16.5">
      <c r="B11" s="758"/>
      <c r="C11" s="371"/>
      <c r="D11" s="372">
        <f>SUMIF('HASIL PROD'!$B$4:$B$343,C11,'HASIL PROD'!$H$4:$H$343)</f>
        <v>0</v>
      </c>
      <c r="E11" s="373">
        <f t="shared" si="1"/>
        <v>0</v>
      </c>
      <c r="F11" s="374">
        <f ca="1">SUMIF('DAILY CHAMP AYAM'!$C$10:$C$144,$C11,'DAILY CHAMP AYAM'!$K$10:$K$143)</f>
        <v>0</v>
      </c>
      <c r="G11" s="374">
        <f ca="1">SUMIF('DAILY CHAMP AYAM'!$C$10:$C$144,$C11,'DAILY CHAMP AYAM'!$L$10:$L$143)</f>
        <v>0</v>
      </c>
      <c r="H11" s="374">
        <f>SUMIF('DAILY CHAMP AYAM'!$C$10:$C$144,$C11,'DAILY CHAMP AYAM'!$M$9:$N$143)</f>
        <v>0</v>
      </c>
      <c r="I11" s="374">
        <f ca="1">SUMIF('DAILY CHAMP AYAM'!$C$10:$C$144,$C11,'DAILY CHAMP AYAM'!$O$10:$O$143)</f>
        <v>0</v>
      </c>
      <c r="J11" s="374">
        <f ca="1">SUMIF('DAILY CHAMP AYAM'!$C$10:$C$144,$C11,'DAILY CHAMP AYAM'!$P$10:$P$143)</f>
        <v>0</v>
      </c>
      <c r="K11" s="374">
        <f ca="1">SUMIF('DAILY CHAMP AYAM'!$C$10:$C$144,$C11,'DAILY CHAMP AYAM'!$R$10:$R$143)</f>
        <v>0</v>
      </c>
      <c r="L11" s="374">
        <f ca="1">SUMIF('DAILY CHAMP AYAM'!$C$10:$C$144,$C11,'DAILY CHAMP AYAM'!$S$10:$S$143)</f>
        <v>0</v>
      </c>
      <c r="M11" s="374">
        <f ca="1">SUMIF('DAILY CHAMP AYAM'!$C$10:$C$144,$C11,'DAILY CHAMP AYAM'!$T$10:$T$143)</f>
        <v>0</v>
      </c>
      <c r="N11" s="374">
        <f ca="1">SUMIF('DAILY CHAMP AYAM'!$C$10:$C$144,$C11,'DAILY CHAMP AYAM'!$U$10:$U$143)</f>
        <v>0</v>
      </c>
      <c r="O11" s="374">
        <f ca="1">SUMIF('DAILY CHAMP AYAM'!$C$10:$C$144,$C11,'DAILY CHAMP AYAM'!$V$10:$V$143)</f>
        <v>0</v>
      </c>
      <c r="P11" s="374">
        <f ca="1">SUMIF('DAILY CHAMP AYAM'!$C$10:$C$144,$C11,'DAILY CHAMP AYAM'!$W$10:$W$143)</f>
        <v>0</v>
      </c>
      <c r="Q11" s="374">
        <f ca="1">SUMIF('DAILY CHAMP AYAM'!$C$10:$C$144,$C11,'DAILY CHAMP AYAM'!$X$10:$X$143)</f>
        <v>0</v>
      </c>
      <c r="R11" s="375">
        <f t="shared" ca="1" si="2"/>
        <v>0</v>
      </c>
      <c r="S11" s="376" t="e">
        <f t="shared" ca="1" si="3"/>
        <v>#DIV/0!</v>
      </c>
      <c r="T11" s="398"/>
      <c r="U11" s="420">
        <f t="shared" ca="1" si="4"/>
        <v>0</v>
      </c>
      <c r="V11" s="415"/>
      <c r="W11" s="419"/>
      <c r="X11" s="530"/>
      <c r="Y11" s="530"/>
      <c r="Z11" s="530"/>
      <c r="AA11" s="530"/>
    </row>
    <row r="12" spans="2:36" ht="16.5">
      <c r="B12" s="758"/>
      <c r="C12" s="371"/>
      <c r="D12" s="372">
        <f>SUMIF('HASIL PROD'!$B$4:$B$343,C12,'HASIL PROD'!$H$4:$H$343)</f>
        <v>0</v>
      </c>
      <c r="E12" s="373">
        <f t="shared" si="1"/>
        <v>0</v>
      </c>
      <c r="F12" s="374">
        <f ca="1">SUMIF('DAILY CHAMP AYAM'!$C$10:$C$144,$C12,'DAILY CHAMP AYAM'!$K$10:$K$143)</f>
        <v>0</v>
      </c>
      <c r="G12" s="374">
        <f ca="1">SUMIF('DAILY CHAMP AYAM'!$C$10:$C$144,$C12,'DAILY CHAMP AYAM'!$L$10:$L$143)</f>
        <v>0</v>
      </c>
      <c r="H12" s="374">
        <f>SUMIF('DAILY CHAMP AYAM'!$C$10:$C$144,$C12,'DAILY CHAMP AYAM'!$M$9:$N$143)</f>
        <v>0</v>
      </c>
      <c r="I12" s="374">
        <f ca="1">SUMIF('DAILY CHAMP AYAM'!$C$10:$C$144,$C12,'DAILY CHAMP AYAM'!$O$10:$O$143)</f>
        <v>0</v>
      </c>
      <c r="J12" s="374">
        <f ca="1">SUMIF('DAILY CHAMP AYAM'!$C$10:$C$144,$C12,'DAILY CHAMP AYAM'!$P$10:$P$143)</f>
        <v>0</v>
      </c>
      <c r="K12" s="374">
        <f ca="1">SUMIF('DAILY CHAMP AYAM'!$C$10:$C$144,$C12,'DAILY CHAMP AYAM'!$R$10:$R$143)</f>
        <v>0</v>
      </c>
      <c r="L12" s="374">
        <f ca="1">SUMIF('DAILY CHAMP AYAM'!$C$10:$C$144,$C12,'DAILY CHAMP AYAM'!$S$10:$S$143)</f>
        <v>0</v>
      </c>
      <c r="M12" s="374">
        <f ca="1">SUMIF('DAILY CHAMP AYAM'!$C$10:$C$144,$C12,'DAILY CHAMP AYAM'!$T$10:$T$143)</f>
        <v>0</v>
      </c>
      <c r="N12" s="374">
        <f ca="1">SUMIF('DAILY CHAMP AYAM'!$C$10:$C$144,$C12,'DAILY CHAMP AYAM'!$U$10:$U$143)</f>
        <v>0</v>
      </c>
      <c r="O12" s="374">
        <f ca="1">SUMIF('DAILY CHAMP AYAM'!$C$10:$C$144,$C12,'DAILY CHAMP AYAM'!$V$10:$V$143)</f>
        <v>0</v>
      </c>
      <c r="P12" s="374">
        <f ca="1">SUMIF('DAILY CHAMP AYAM'!$C$10:$C$144,$C12,'DAILY CHAMP AYAM'!$W$10:$W$143)</f>
        <v>0</v>
      </c>
      <c r="Q12" s="374">
        <f ca="1">SUMIF('DAILY CHAMP AYAM'!$C$10:$C$144,$C12,'DAILY CHAMP AYAM'!$X$10:$X$143)</f>
        <v>0</v>
      </c>
      <c r="R12" s="375">
        <f t="shared" ca="1" si="2"/>
        <v>0</v>
      </c>
      <c r="S12" s="376" t="e">
        <f t="shared" ca="1" si="3"/>
        <v>#DIV/0!</v>
      </c>
      <c r="T12" s="398"/>
      <c r="U12" s="420">
        <f t="shared" ca="1" si="4"/>
        <v>0</v>
      </c>
      <c r="V12" s="415"/>
      <c r="W12" s="419"/>
      <c r="X12" s="530"/>
      <c r="Y12" s="530"/>
      <c r="Z12" s="530"/>
      <c r="AA12" s="530"/>
    </row>
    <row r="13" spans="2:36" ht="16.5">
      <c r="B13" s="758"/>
      <c r="C13" s="371"/>
      <c r="D13" s="372">
        <f>SUMIF('HASIL PROD'!$B$4:$B$343,C13,'HASIL PROD'!$H$4:$H$343)</f>
        <v>0</v>
      </c>
      <c r="E13" s="373">
        <f t="shared" si="1"/>
        <v>0</v>
      </c>
      <c r="F13" s="374">
        <f ca="1">SUMIF('DAILY CHAMP AYAM'!$C$10:$C$144,$C13,'DAILY CHAMP AYAM'!$K$10:$K$143)</f>
        <v>0</v>
      </c>
      <c r="G13" s="374">
        <f ca="1">SUMIF('DAILY CHAMP AYAM'!$C$10:$C$144,$C13,'DAILY CHAMP AYAM'!$L$10:$L$143)</f>
        <v>0</v>
      </c>
      <c r="H13" s="374">
        <f>SUMIF('DAILY CHAMP AYAM'!$C$10:$C$144,$C13,'DAILY CHAMP AYAM'!$M$9:$N$143)</f>
        <v>0</v>
      </c>
      <c r="I13" s="374">
        <f ca="1">SUMIF('DAILY CHAMP AYAM'!$C$10:$C$144,$C13,'DAILY CHAMP AYAM'!$O$10:$O$143)</f>
        <v>0</v>
      </c>
      <c r="J13" s="374">
        <f ca="1">SUMIF('DAILY CHAMP AYAM'!$C$10:$C$144,$C13,'DAILY CHAMP AYAM'!$P$10:$P$143)</f>
        <v>0</v>
      </c>
      <c r="K13" s="374">
        <f ca="1">SUMIF('DAILY CHAMP AYAM'!$C$10:$C$144,$C13,'DAILY CHAMP AYAM'!$R$10:$R$143)</f>
        <v>0</v>
      </c>
      <c r="L13" s="374">
        <f ca="1">SUMIF('DAILY CHAMP AYAM'!$C$10:$C$144,$C13,'DAILY CHAMP AYAM'!$S$10:$S$143)</f>
        <v>0</v>
      </c>
      <c r="M13" s="374">
        <f ca="1">SUMIF('DAILY CHAMP AYAM'!$C$10:$C$144,$C13,'DAILY CHAMP AYAM'!$T$10:$T$143)</f>
        <v>0</v>
      </c>
      <c r="N13" s="374">
        <f ca="1">SUMIF('DAILY CHAMP AYAM'!$C$10:$C$144,$C13,'DAILY CHAMP AYAM'!$U$10:$U$143)</f>
        <v>0</v>
      </c>
      <c r="O13" s="374">
        <f ca="1">SUMIF('DAILY CHAMP AYAM'!$C$10:$C$144,$C13,'DAILY CHAMP AYAM'!$V$10:$V$143)</f>
        <v>0</v>
      </c>
      <c r="P13" s="374">
        <f ca="1">SUMIF('DAILY CHAMP AYAM'!$C$10:$C$144,$C13,'DAILY CHAMP AYAM'!$W$10:$W$143)</f>
        <v>0</v>
      </c>
      <c r="Q13" s="374">
        <f ca="1">SUMIF('DAILY CHAMP AYAM'!$C$10:$C$144,$C13,'DAILY CHAMP AYAM'!$X$10:$X$143)</f>
        <v>0</v>
      </c>
      <c r="R13" s="375">
        <f t="shared" ca="1" si="2"/>
        <v>0</v>
      </c>
      <c r="S13" s="376" t="e">
        <f t="shared" ca="1" si="3"/>
        <v>#DIV/0!</v>
      </c>
      <c r="T13" s="398"/>
      <c r="U13" s="420">
        <f t="shared" ca="1" si="4"/>
        <v>0</v>
      </c>
      <c r="V13" s="415"/>
      <c r="W13" s="419"/>
      <c r="X13" s="530"/>
      <c r="Y13" s="530"/>
      <c r="Z13" s="530"/>
      <c r="AA13" s="530"/>
    </row>
    <row r="14" spans="2:36" ht="16.5">
      <c r="B14" s="758"/>
      <c r="C14" s="371"/>
      <c r="D14" s="372"/>
      <c r="E14" s="373"/>
      <c r="F14" s="374"/>
      <c r="G14" s="374"/>
      <c r="H14" s="374"/>
      <c r="I14" s="374"/>
      <c r="J14" s="374"/>
      <c r="K14" s="374"/>
      <c r="L14" s="374"/>
      <c r="M14" s="374"/>
      <c r="N14" s="374"/>
      <c r="O14" s="374"/>
      <c r="P14" s="374"/>
      <c r="Q14" s="374"/>
      <c r="R14" s="375"/>
      <c r="S14" s="376"/>
      <c r="T14" s="398"/>
      <c r="U14" s="414"/>
      <c r="V14" s="415"/>
      <c r="W14" s="419"/>
      <c r="X14" s="530"/>
      <c r="Y14" s="530"/>
      <c r="Z14" s="530"/>
      <c r="AA14" s="530"/>
    </row>
    <row r="15" spans="2:36" ht="16.5">
      <c r="B15" s="758"/>
      <c r="C15" s="385" t="s">
        <v>118</v>
      </c>
      <c r="D15" s="386">
        <f t="shared" ref="D15:R15" si="5">SUM(D4:D14)</f>
        <v>463</v>
      </c>
      <c r="E15" s="387">
        <f t="shared" si="5"/>
        <v>1516.788</v>
      </c>
      <c r="F15" s="388">
        <f t="shared" ca="1" si="5"/>
        <v>3.75</v>
      </c>
      <c r="G15" s="388">
        <f t="shared" ca="1" si="5"/>
        <v>6.45</v>
      </c>
      <c r="H15" s="388">
        <f t="shared" si="5"/>
        <v>0</v>
      </c>
      <c r="I15" s="388">
        <f t="shared" ca="1" si="5"/>
        <v>10.45</v>
      </c>
      <c r="J15" s="388">
        <f t="shared" ca="1" si="5"/>
        <v>1.1000000000000001</v>
      </c>
      <c r="K15" s="388">
        <f t="shared" ca="1" si="5"/>
        <v>0</v>
      </c>
      <c r="L15" s="388">
        <f t="shared" ca="1" si="5"/>
        <v>7.85</v>
      </c>
      <c r="M15" s="388">
        <f t="shared" ca="1" si="5"/>
        <v>1.4</v>
      </c>
      <c r="N15" s="388">
        <f t="shared" ca="1" si="5"/>
        <v>0</v>
      </c>
      <c r="O15" s="388">
        <f t="shared" ca="1" si="5"/>
        <v>0</v>
      </c>
      <c r="P15" s="388">
        <f t="shared" ca="1" si="5"/>
        <v>0</v>
      </c>
      <c r="Q15" s="388">
        <f t="shared" ca="1" si="5"/>
        <v>0</v>
      </c>
      <c r="R15" s="388">
        <f t="shared" ca="1" si="5"/>
        <v>31</v>
      </c>
      <c r="S15" s="389"/>
      <c r="T15" s="390"/>
      <c r="U15" s="388"/>
      <c r="V15" s="389"/>
      <c r="W15" s="391"/>
      <c r="X15" s="530"/>
      <c r="Y15" s="530"/>
      <c r="Z15" s="530"/>
      <c r="AA15" s="530"/>
    </row>
    <row r="16" spans="2:36" ht="16.5">
      <c r="B16" s="392"/>
      <c r="C16" s="393" t="s">
        <v>114</v>
      </c>
      <c r="D16" s="394"/>
      <c r="E16" s="395"/>
      <c r="F16" s="396">
        <f ca="1">+F15/$E15</f>
        <v>2.4723296861525802E-3</v>
      </c>
      <c r="G16" s="396">
        <f t="shared" ref="G16:Q16" ca="1" si="6">+G15/$E15</f>
        <v>4.2524070601824386E-3</v>
      </c>
      <c r="H16" s="396">
        <f t="shared" si="6"/>
        <v>0</v>
      </c>
      <c r="I16" s="396">
        <f t="shared" ca="1" si="6"/>
        <v>6.8895587254118569E-3</v>
      </c>
      <c r="J16" s="396">
        <f t="shared" ca="1" si="6"/>
        <v>7.252167079380903E-4</v>
      </c>
      <c r="K16" s="396">
        <f t="shared" ca="1" si="6"/>
        <v>0</v>
      </c>
      <c r="L16" s="396">
        <f t="shared" ca="1" si="6"/>
        <v>5.1754101430127345E-3</v>
      </c>
      <c r="M16" s="396">
        <f t="shared" ca="1" si="6"/>
        <v>9.2300308283029659E-4</v>
      </c>
      <c r="N16" s="396">
        <f t="shared" ca="1" si="6"/>
        <v>0</v>
      </c>
      <c r="O16" s="396">
        <f t="shared" ca="1" si="6"/>
        <v>0</v>
      </c>
      <c r="P16" s="396">
        <f t="shared" ca="1" si="6"/>
        <v>0</v>
      </c>
      <c r="Q16" s="396">
        <f t="shared" ca="1" si="6"/>
        <v>0</v>
      </c>
      <c r="R16" s="482">
        <f ca="1">+R15/$E15</f>
        <v>2.0437925405527996E-2</v>
      </c>
      <c r="S16" s="399"/>
      <c r="T16" s="390"/>
      <c r="U16" s="400"/>
      <c r="V16" s="389"/>
      <c r="W16" s="391"/>
      <c r="X16" s="530"/>
      <c r="Y16" s="530"/>
      <c r="Z16" s="530"/>
      <c r="AA16" s="530"/>
    </row>
    <row r="17" spans="2:27" ht="16.5" customHeight="1">
      <c r="B17" s="732" t="s">
        <v>179</v>
      </c>
      <c r="C17" s="473" t="str">
        <f>+'HASIL PROD'!B15</f>
        <v>QG02701</v>
      </c>
      <c r="D17" s="372">
        <f>SUMIF('HASIL PROD'!$B$4:$B$343,C17,'HASIL PROD'!$H$4:$H$343)</f>
        <v>469</v>
      </c>
      <c r="E17" s="373">
        <f t="shared" ref="E17:E25" si="7">+D17*3.276</f>
        <v>1536.444</v>
      </c>
      <c r="F17" s="374">
        <f ca="1">SUMIF('DAILY CHAMP AYAM'!$C$10:$C$144,$C17,'DAILY CHAMP AYAM'!$K$10:$K$143)</f>
        <v>3.9</v>
      </c>
      <c r="G17" s="374">
        <f ca="1">SUMIF('DAILY CHAMP AYAM'!$C$10:$C$144,$C17,'DAILY CHAMP AYAM'!$L$10:$L$143)</f>
        <v>7.5</v>
      </c>
      <c r="H17" s="374">
        <f>SUMIF('DAILY CHAMP AYAM'!$C$10:$C$144,$C17,'DAILY CHAMP AYAM'!$M$9:$N$143)</f>
        <v>0</v>
      </c>
      <c r="I17" s="374">
        <f ca="1">SUMIF('DAILY CHAMP AYAM'!$C$10:$C$144,$C17,'DAILY CHAMP AYAM'!$O$10:$O$143)</f>
        <v>7.63</v>
      </c>
      <c r="J17" s="374">
        <f ca="1">SUMIF('DAILY CHAMP AYAM'!$C$10:$C$144,$C17,'DAILY CHAMP AYAM'!$P$10:$P$143)</f>
        <v>0.8</v>
      </c>
      <c r="K17" s="374">
        <f ca="1">SUMIF('DAILY CHAMP AYAM'!$C$10:$C$144,$C17,'DAILY CHAMP AYAM'!$R$10:$R$143)</f>
        <v>0</v>
      </c>
      <c r="L17" s="374">
        <f ca="1">SUMIF('DAILY CHAMP AYAM'!$C$10:$C$144,$C17,'DAILY CHAMP AYAM'!$S$10:$S$143)</f>
        <v>2.5</v>
      </c>
      <c r="M17" s="374">
        <f ca="1">SUMIF('DAILY CHAMP AYAM'!$C$10:$C$144,$C17,'DAILY CHAMP AYAM'!$T$10:$T$143)</f>
        <v>1.28</v>
      </c>
      <c r="N17" s="374">
        <f ca="1">SUMIF('DAILY CHAMP AYAM'!$C$10:$C$144,$C17,'DAILY CHAMP AYAM'!$U$10:$U$143)</f>
        <v>0</v>
      </c>
      <c r="O17" s="374">
        <f ca="1">SUMIF('DAILY CHAMP AYAM'!$C$10:$C$144,$C17,'DAILY CHAMP AYAM'!$V$10:$V$143)</f>
        <v>0</v>
      </c>
      <c r="P17" s="374">
        <f ca="1">SUMIF('DAILY CHAMP AYAM'!$C$10:$C$144,$C17,'DAILY CHAMP AYAM'!$W$10:$W$143)</f>
        <v>0</v>
      </c>
      <c r="Q17" s="374">
        <f ca="1">SUMIF('DAILY CHAMP AYAM'!$C$10:$C$144,$C17,'DAILY CHAMP AYAM'!$X$10:$X$143)</f>
        <v>0</v>
      </c>
      <c r="R17" s="375">
        <f t="shared" ref="R17:R26" ca="1" si="8">+SUM(F17:Q17)</f>
        <v>23.610000000000003</v>
      </c>
      <c r="S17" s="376">
        <f t="shared" ref="S17:S26" ca="1" si="9">+R17/E17</f>
        <v>1.5366651827206201E-2</v>
      </c>
      <c r="T17" s="381"/>
      <c r="U17" s="741">
        <f ca="1">SUM(R17:R20)</f>
        <v>89.54</v>
      </c>
      <c r="V17" s="748">
        <f ca="1">+U17/(SUM(E17:E20))</f>
        <v>1.4530628565716288E-2</v>
      </c>
      <c r="W17" s="740" t="s">
        <v>339</v>
      </c>
      <c r="X17" s="727" t="s">
        <v>312</v>
      </c>
      <c r="Y17" s="727" t="s">
        <v>313</v>
      </c>
      <c r="Z17" s="727" t="s">
        <v>314</v>
      </c>
      <c r="AA17" s="530"/>
    </row>
    <row r="18" spans="2:27" ht="16.5">
      <c r="B18" s="733"/>
      <c r="C18" s="473" t="str">
        <f>+'HASIL PROD'!B16</f>
        <v>QG02702</v>
      </c>
      <c r="D18" s="372">
        <f>SUMIF('HASIL PROD'!$B$4:$B$343,C18,'HASIL PROD'!$H$4:$H$343)</f>
        <v>493</v>
      </c>
      <c r="E18" s="373">
        <f t="shared" si="7"/>
        <v>1615.068</v>
      </c>
      <c r="F18" s="374">
        <f ca="1">SUMIF('DAILY CHAMP AYAM'!$C$10:$C$144,$C18,'DAILY CHAMP AYAM'!$K$10:$K$143)</f>
        <v>4.5</v>
      </c>
      <c r="G18" s="374">
        <f ca="1">SUMIF('DAILY CHAMP AYAM'!$C$10:$C$144,$C18,'DAILY CHAMP AYAM'!$L$10:$L$143)</f>
        <v>6.45</v>
      </c>
      <c r="H18" s="374">
        <f>SUMIF('DAILY CHAMP AYAM'!$C$10:$C$144,$C18,'DAILY CHAMP AYAM'!$M$9:$N$143)</f>
        <v>0</v>
      </c>
      <c r="I18" s="374">
        <f ca="1">SUMIF('DAILY CHAMP AYAM'!$C$10:$C$144,$C18,'DAILY CHAMP AYAM'!$O$10:$O$143)</f>
        <v>13.75</v>
      </c>
      <c r="J18" s="374">
        <f ca="1">SUMIF('DAILY CHAMP AYAM'!$C$10:$C$144,$C18,'DAILY CHAMP AYAM'!$P$10:$P$143)</f>
        <v>0.75</v>
      </c>
      <c r="K18" s="374">
        <f ca="1">SUMIF('DAILY CHAMP AYAM'!$C$10:$C$144,$C18,'DAILY CHAMP AYAM'!$R$10:$R$143)</f>
        <v>0</v>
      </c>
      <c r="L18" s="374">
        <f ca="1">SUMIF('DAILY CHAMP AYAM'!$C$10:$C$144,$C18,'DAILY CHAMP AYAM'!$S$10:$S$143)</f>
        <v>3.75</v>
      </c>
      <c r="M18" s="374">
        <f ca="1">SUMIF('DAILY CHAMP AYAM'!$C$10:$C$144,$C18,'DAILY CHAMP AYAM'!$T$10:$T$143)</f>
        <v>0.98</v>
      </c>
      <c r="N18" s="374">
        <f ca="1">SUMIF('DAILY CHAMP AYAM'!$C$10:$C$144,$C18,'DAILY CHAMP AYAM'!$U$10:$U$143)</f>
        <v>0</v>
      </c>
      <c r="O18" s="374">
        <f ca="1">SUMIF('DAILY CHAMP AYAM'!$C$10:$C$144,$C18,'DAILY CHAMP AYAM'!$V$10:$V$143)</f>
        <v>0</v>
      </c>
      <c r="P18" s="374">
        <f ca="1">SUMIF('DAILY CHAMP AYAM'!$C$10:$C$144,$C18,'DAILY CHAMP AYAM'!$W$10:$W$143)</f>
        <v>0</v>
      </c>
      <c r="Q18" s="374">
        <f ca="1">SUMIF('DAILY CHAMP AYAM'!$C$10:$C$144,$C18,'DAILY CHAMP AYAM'!$X$10:$X$143)</f>
        <v>0</v>
      </c>
      <c r="R18" s="375">
        <f t="shared" ca="1" si="8"/>
        <v>30.18</v>
      </c>
      <c r="S18" s="376">
        <f t="shared" ca="1" si="9"/>
        <v>1.8686519700718485E-2</v>
      </c>
      <c r="T18" s="381"/>
      <c r="U18" s="742"/>
      <c r="V18" s="749"/>
      <c r="W18" s="740"/>
      <c r="X18" s="728"/>
      <c r="Y18" s="728"/>
      <c r="Z18" s="728"/>
      <c r="AA18" s="530"/>
    </row>
    <row r="19" spans="2:27" ht="16.5">
      <c r="B19" s="733"/>
      <c r="C19" s="473" t="str">
        <f>+'HASIL PROD'!B17</f>
        <v>QG02703</v>
      </c>
      <c r="D19" s="372">
        <f>SUMIF('HASIL PROD'!$B$4:$B$343,C19,'HASIL PROD'!$H$4:$H$343)</f>
        <v>416</v>
      </c>
      <c r="E19" s="373">
        <f t="shared" si="7"/>
        <v>1362.8159999999998</v>
      </c>
      <c r="F19" s="374">
        <f ca="1">SUMIF('DAILY CHAMP AYAM'!$C$10:$C$144,$C19,'DAILY CHAMP AYAM'!$K$10:$K$143)</f>
        <v>2.6</v>
      </c>
      <c r="G19" s="374">
        <f ca="1">SUMIF('DAILY CHAMP AYAM'!$C$10:$C$144,$C19,'DAILY CHAMP AYAM'!$L$10:$L$143)</f>
        <v>5.38</v>
      </c>
      <c r="H19" s="374">
        <f>SUMIF('DAILY CHAMP AYAM'!$C$10:$C$144,$C19,'DAILY CHAMP AYAM'!$M$9:$N$143)</f>
        <v>0</v>
      </c>
      <c r="I19" s="374">
        <f ca="1">SUMIF('DAILY CHAMP AYAM'!$C$10:$C$144,$C19,'DAILY CHAMP AYAM'!$O$10:$O$143)</f>
        <v>8.9499999999999993</v>
      </c>
      <c r="J19" s="374">
        <f ca="1">SUMIF('DAILY CHAMP AYAM'!$C$10:$C$144,$C19,'DAILY CHAMP AYAM'!$P$10:$P$143)</f>
        <v>0.5</v>
      </c>
      <c r="K19" s="374">
        <f ca="1">SUMIF('DAILY CHAMP AYAM'!$C$10:$C$144,$C19,'DAILY CHAMP AYAM'!$R$10:$R$143)</f>
        <v>0</v>
      </c>
      <c r="L19" s="374">
        <f ca="1">SUMIF('DAILY CHAMP AYAM'!$C$10:$C$144,$C19,'DAILY CHAMP AYAM'!$S$10:$S$143)</f>
        <v>0</v>
      </c>
      <c r="M19" s="374">
        <f ca="1">SUMIF('DAILY CHAMP AYAM'!$C$10:$C$144,$C19,'DAILY CHAMP AYAM'!$T$10:$T$143)</f>
        <v>0.62</v>
      </c>
      <c r="N19" s="374">
        <f ca="1">SUMIF('DAILY CHAMP AYAM'!$C$10:$C$144,$C19,'DAILY CHAMP AYAM'!$U$10:$U$143)</f>
        <v>0</v>
      </c>
      <c r="O19" s="374">
        <f ca="1">SUMIF('DAILY CHAMP AYAM'!$C$10:$C$144,$C19,'DAILY CHAMP AYAM'!$V$10:$V$143)</f>
        <v>0</v>
      </c>
      <c r="P19" s="374">
        <f ca="1">SUMIF('DAILY CHAMP AYAM'!$C$10:$C$144,$C19,'DAILY CHAMP AYAM'!$W$10:$W$143)</f>
        <v>0</v>
      </c>
      <c r="Q19" s="374">
        <f ca="1">SUMIF('DAILY CHAMP AYAM'!$C$10:$C$144,$C19,'DAILY CHAMP AYAM'!$X$10:$X$143)</f>
        <v>0</v>
      </c>
      <c r="R19" s="375">
        <f t="shared" ca="1" si="8"/>
        <v>18.05</v>
      </c>
      <c r="S19" s="376">
        <f t="shared" ca="1" si="9"/>
        <v>1.324463463886541E-2</v>
      </c>
      <c r="T19" s="381"/>
      <c r="U19" s="742"/>
      <c r="V19" s="749"/>
      <c r="W19" s="740"/>
      <c r="X19" s="728"/>
      <c r="Y19" s="728"/>
      <c r="Z19" s="728"/>
      <c r="AA19" s="530"/>
    </row>
    <row r="20" spans="2:27" ht="16.5">
      <c r="B20" s="733"/>
      <c r="C20" s="473" t="str">
        <f>+'HASIL PROD'!B18</f>
        <v>QG02704</v>
      </c>
      <c r="D20" s="372">
        <f>SUMIF('HASIL PROD'!$B$4:$B$343,C20,'HASIL PROD'!$H$4:$H$343)</f>
        <v>503</v>
      </c>
      <c r="E20" s="373">
        <f t="shared" si="7"/>
        <v>1647.828</v>
      </c>
      <c r="F20" s="374">
        <f ca="1">SUMIF('DAILY CHAMP AYAM'!$C$10:$C$144,$C20,'DAILY CHAMP AYAM'!$K$10:$K$143)</f>
        <v>4.16</v>
      </c>
      <c r="G20" s="374">
        <f ca="1">SUMIF('DAILY CHAMP AYAM'!$C$10:$C$144,$C20,'DAILY CHAMP AYAM'!$L$10:$L$143)</f>
        <v>5.3</v>
      </c>
      <c r="H20" s="374">
        <f>SUMIF('DAILY CHAMP AYAM'!$C$10:$C$144,$C20,'DAILY CHAMP AYAM'!$M$9:$N$143)</f>
        <v>0</v>
      </c>
      <c r="I20" s="374">
        <f ca="1">SUMIF('DAILY CHAMP AYAM'!$C$10:$C$144,$C20,'DAILY CHAMP AYAM'!$O$10:$O$143)</f>
        <v>7.66</v>
      </c>
      <c r="J20" s="374">
        <f ca="1">SUMIF('DAILY CHAMP AYAM'!$C$10:$C$144,$C20,'DAILY CHAMP AYAM'!$P$10:$P$143)</f>
        <v>0.08</v>
      </c>
      <c r="K20" s="374">
        <f ca="1">SUMIF('DAILY CHAMP AYAM'!$C$10:$C$144,$C20,'DAILY CHAMP AYAM'!$R$10:$R$143)</f>
        <v>0</v>
      </c>
      <c r="L20" s="374">
        <f ca="1">SUMIF('DAILY CHAMP AYAM'!$C$10:$C$144,$C20,'DAILY CHAMP AYAM'!$S$10:$S$143)</f>
        <v>0.1</v>
      </c>
      <c r="M20" s="374">
        <f ca="1">SUMIF('DAILY CHAMP AYAM'!$C$10:$C$144,$C20,'DAILY CHAMP AYAM'!$T$10:$T$143)</f>
        <v>0.4</v>
      </c>
      <c r="N20" s="374">
        <f ca="1">SUMIF('DAILY CHAMP AYAM'!$C$10:$C$144,$C20,'DAILY CHAMP AYAM'!$U$10:$U$143)</f>
        <v>0</v>
      </c>
      <c r="O20" s="374">
        <f ca="1">SUMIF('DAILY CHAMP AYAM'!$C$10:$C$144,$C20,'DAILY CHAMP AYAM'!$V$10:$V$143)</f>
        <v>0</v>
      </c>
      <c r="P20" s="374">
        <f ca="1">SUMIF('DAILY CHAMP AYAM'!$C$10:$C$144,$C20,'DAILY CHAMP AYAM'!$W$10:$W$143)</f>
        <v>0</v>
      </c>
      <c r="Q20" s="374">
        <f ca="1">SUMIF('DAILY CHAMP AYAM'!$C$10:$C$144,$C20,'DAILY CHAMP AYAM'!$X$10:$X$143)</f>
        <v>0</v>
      </c>
      <c r="R20" s="375">
        <f t="shared" ca="1" si="8"/>
        <v>17.7</v>
      </c>
      <c r="S20" s="376">
        <f t="shared" ca="1" si="9"/>
        <v>1.0741412331869588E-2</v>
      </c>
      <c r="T20" s="381"/>
      <c r="U20" s="743"/>
      <c r="V20" s="750"/>
      <c r="W20" s="740"/>
      <c r="X20" s="729"/>
      <c r="Y20" s="729"/>
      <c r="Z20" s="729"/>
      <c r="AA20" s="530"/>
    </row>
    <row r="21" spans="2:27" ht="16.5">
      <c r="B21" s="733"/>
      <c r="C21" s="473" t="str">
        <f>+'HASIL PROD'!B19</f>
        <v>QG02705</v>
      </c>
      <c r="D21" s="372">
        <f>SUMIF('HASIL PROD'!$B$4:$B$343,C21,'HASIL PROD'!$H$4:$H$343)</f>
        <v>519</v>
      </c>
      <c r="E21" s="373">
        <f t="shared" si="7"/>
        <v>1700.2439999999999</v>
      </c>
      <c r="F21" s="374">
        <f ca="1">SUMIF('DAILY CHAMP AYAM'!$C$10:$C$144,$C21,'DAILY CHAMP AYAM'!$K$10:$K$143)</f>
        <v>4.08</v>
      </c>
      <c r="G21" s="374">
        <f ca="1">SUMIF('DAILY CHAMP AYAM'!$C$10:$C$144,$C21,'DAILY CHAMP AYAM'!$L$10:$L$143)</f>
        <v>5.16</v>
      </c>
      <c r="H21" s="374">
        <f>SUMIF('DAILY CHAMP AYAM'!$C$10:$C$144,$C21,'DAILY CHAMP AYAM'!$M$9:$N$143)</f>
        <v>0</v>
      </c>
      <c r="I21" s="374">
        <f ca="1">SUMIF('DAILY CHAMP AYAM'!$C$10:$C$144,$C21,'DAILY CHAMP AYAM'!$O$10:$O$143)</f>
        <v>3.76</v>
      </c>
      <c r="J21" s="374">
        <f ca="1">SUMIF('DAILY CHAMP AYAM'!$C$10:$C$144,$C21,'DAILY CHAMP AYAM'!$P$10:$P$143)</f>
        <v>0.06</v>
      </c>
      <c r="K21" s="374">
        <f ca="1">SUMIF('DAILY CHAMP AYAM'!$C$10:$C$144,$C21,'DAILY CHAMP AYAM'!$R$10:$R$143)</f>
        <v>0</v>
      </c>
      <c r="L21" s="374">
        <f ca="1">SUMIF('DAILY CHAMP AYAM'!$C$10:$C$144,$C21,'DAILY CHAMP AYAM'!$S$10:$S$143)</f>
        <v>0.42</v>
      </c>
      <c r="M21" s="374">
        <f ca="1">SUMIF('DAILY CHAMP AYAM'!$C$10:$C$144,$C21,'DAILY CHAMP AYAM'!$T$10:$T$143)</f>
        <v>0.74</v>
      </c>
      <c r="N21" s="374">
        <f ca="1">SUMIF('DAILY CHAMP AYAM'!$C$10:$C$144,$C21,'DAILY CHAMP AYAM'!$U$10:$U$143)</f>
        <v>0</v>
      </c>
      <c r="O21" s="374">
        <f ca="1">SUMIF('DAILY CHAMP AYAM'!$C$10:$C$144,$C21,'DAILY CHAMP AYAM'!$V$10:$V$143)</f>
        <v>0</v>
      </c>
      <c r="P21" s="374">
        <f ca="1">SUMIF('DAILY CHAMP AYAM'!$C$10:$C$144,$C21,'DAILY CHAMP AYAM'!$W$10:$W$143)</f>
        <v>0</v>
      </c>
      <c r="Q21" s="374">
        <f ca="1">SUMIF('DAILY CHAMP AYAM'!$C$10:$C$144,$C21,'DAILY CHAMP AYAM'!$X$10:$X$143)</f>
        <v>0</v>
      </c>
      <c r="R21" s="375">
        <f t="shared" ca="1" si="8"/>
        <v>14.22</v>
      </c>
      <c r="S21" s="376">
        <f t="shared" ca="1" si="9"/>
        <v>8.363505473332063E-3</v>
      </c>
      <c r="T21" s="381"/>
      <c r="U21" s="420">
        <f ca="1">SUM(R21:R21)</f>
        <v>14.22</v>
      </c>
      <c r="V21" s="415">
        <f ca="1">+U21/(SUM(E21:E21))</f>
        <v>8.363505473332063E-3</v>
      </c>
      <c r="W21" s="541" t="s">
        <v>340</v>
      </c>
      <c r="X21" s="530" t="s">
        <v>315</v>
      </c>
      <c r="Y21" s="530" t="s">
        <v>316</v>
      </c>
      <c r="Z21" s="530"/>
      <c r="AA21" s="530"/>
    </row>
    <row r="22" spans="2:27" ht="16.5" customHeight="1">
      <c r="B22" s="733"/>
      <c r="C22" s="473" t="str">
        <f>+'HASIL PROD'!B20</f>
        <v>QG02706</v>
      </c>
      <c r="D22" s="372">
        <f>SUMIF('HASIL PROD'!$B$4:$B$343,C22,'HASIL PROD'!$H$4:$H$343)</f>
        <v>474</v>
      </c>
      <c r="E22" s="373">
        <f t="shared" si="7"/>
        <v>1552.8239999999998</v>
      </c>
      <c r="F22" s="374">
        <f ca="1">SUMIF('DAILY CHAMP AYAM'!$C$10:$C$144,$C22,'DAILY CHAMP AYAM'!$K$10:$K$143)</f>
        <v>3.78</v>
      </c>
      <c r="G22" s="374">
        <f ca="1">SUMIF('DAILY CHAMP AYAM'!$C$10:$C$144,$C22,'DAILY CHAMP AYAM'!$L$10:$L$143)</f>
        <v>1.4</v>
      </c>
      <c r="H22" s="374">
        <f>SUMIF('DAILY CHAMP AYAM'!$C$10:$C$144,$C22,'DAILY CHAMP AYAM'!$M$9:$N$143)</f>
        <v>0</v>
      </c>
      <c r="I22" s="374">
        <f ca="1">SUMIF('DAILY CHAMP AYAM'!$C$10:$C$144,$C22,'DAILY CHAMP AYAM'!$O$10:$O$143)</f>
        <v>5.12</v>
      </c>
      <c r="J22" s="374">
        <f ca="1">SUMIF('DAILY CHAMP AYAM'!$C$10:$C$144,$C22,'DAILY CHAMP AYAM'!$P$10:$P$143)</f>
        <v>0.08</v>
      </c>
      <c r="K22" s="374">
        <f ca="1">SUMIF('DAILY CHAMP AYAM'!$C$10:$C$144,$C22,'DAILY CHAMP AYAM'!$R$10:$R$143)</f>
        <v>0</v>
      </c>
      <c r="L22" s="374">
        <f ca="1">SUMIF('DAILY CHAMP AYAM'!$C$10:$C$144,$C22,'DAILY CHAMP AYAM'!$S$10:$S$143)</f>
        <v>1.54</v>
      </c>
      <c r="M22" s="374">
        <f ca="1">SUMIF('DAILY CHAMP AYAM'!$C$10:$C$144,$C22,'DAILY CHAMP AYAM'!$T$10:$T$143)</f>
        <v>1.26</v>
      </c>
      <c r="N22" s="374">
        <f ca="1">SUMIF('DAILY CHAMP AYAM'!$C$10:$C$144,$C22,'DAILY CHAMP AYAM'!$U$10:$U$143)</f>
        <v>0</v>
      </c>
      <c r="O22" s="374">
        <f ca="1">SUMIF('DAILY CHAMP AYAM'!$C$10:$C$144,$C22,'DAILY CHAMP AYAM'!$V$10:$V$143)</f>
        <v>0</v>
      </c>
      <c r="P22" s="374">
        <f ca="1">SUMIF('DAILY CHAMP AYAM'!$C$10:$C$144,$C22,'DAILY CHAMP AYAM'!$W$10:$W$143)</f>
        <v>0</v>
      </c>
      <c r="Q22" s="374">
        <f ca="1">SUMIF('DAILY CHAMP AYAM'!$C$10:$C$144,$C22,'DAILY CHAMP AYAM'!$X$10:$X$143)</f>
        <v>0</v>
      </c>
      <c r="R22" s="375">
        <f t="shared" ca="1" si="8"/>
        <v>13.180000000000001</v>
      </c>
      <c r="S22" s="376">
        <f t="shared" ca="1" si="9"/>
        <v>8.4877616523186157E-3</v>
      </c>
      <c r="T22" s="381"/>
      <c r="U22" s="741">
        <f ca="1">SUM(R22:R25)</f>
        <v>60.42</v>
      </c>
      <c r="V22" s="744">
        <f ca="1">+U22/(SUM(E22:E25))</f>
        <v>9.1757330563300727E-3</v>
      </c>
      <c r="W22" s="735" t="s">
        <v>341</v>
      </c>
      <c r="X22" s="727" t="s">
        <v>315</v>
      </c>
      <c r="Y22" s="727" t="s">
        <v>316</v>
      </c>
      <c r="Z22" s="727" t="s">
        <v>317</v>
      </c>
      <c r="AA22" s="727" t="s">
        <v>318</v>
      </c>
    </row>
    <row r="23" spans="2:27" ht="16.5">
      <c r="B23" s="733"/>
      <c r="C23" s="473" t="str">
        <f>+'HASIL PROD'!B21</f>
        <v>QG02707</v>
      </c>
      <c r="D23" s="372">
        <f>SUMIF('HASIL PROD'!$B$4:$B$343,C23,'HASIL PROD'!$H$4:$H$343)</f>
        <v>557</v>
      </c>
      <c r="E23" s="373">
        <f t="shared" si="7"/>
        <v>1824.732</v>
      </c>
      <c r="F23" s="374">
        <f ca="1">SUMIF('DAILY CHAMP AYAM'!$C$10:$C$144,$C23,'DAILY CHAMP AYAM'!$K$10:$K$143)</f>
        <v>2.6</v>
      </c>
      <c r="G23" s="374">
        <f ca="1">SUMIF('DAILY CHAMP AYAM'!$C$10:$C$144,$C23,'DAILY CHAMP AYAM'!$L$10:$L$143)</f>
        <v>1.25</v>
      </c>
      <c r="H23" s="374">
        <f>SUMIF('DAILY CHAMP AYAM'!$C$10:$C$144,$C23,'DAILY CHAMP AYAM'!$M$9:$N$143)</f>
        <v>0</v>
      </c>
      <c r="I23" s="374">
        <f ca="1">SUMIF('DAILY CHAMP AYAM'!$C$10:$C$144,$C23,'DAILY CHAMP AYAM'!$O$10:$O$143)</f>
        <v>3.6399999999999997</v>
      </c>
      <c r="J23" s="374">
        <f ca="1">SUMIF('DAILY CHAMP AYAM'!$C$10:$C$144,$C23,'DAILY CHAMP AYAM'!$P$10:$P$143)</f>
        <v>1.96</v>
      </c>
      <c r="K23" s="374">
        <f ca="1">SUMIF('DAILY CHAMP AYAM'!$C$10:$C$144,$C23,'DAILY CHAMP AYAM'!$R$10:$R$143)</f>
        <v>0</v>
      </c>
      <c r="L23" s="374">
        <f ca="1">SUMIF('DAILY CHAMP AYAM'!$C$10:$C$144,$C23,'DAILY CHAMP AYAM'!$S$10:$S$143)</f>
        <v>0</v>
      </c>
      <c r="M23" s="374">
        <f ca="1">SUMIF('DAILY CHAMP AYAM'!$C$10:$C$144,$C23,'DAILY CHAMP AYAM'!$T$10:$T$143)</f>
        <v>1.5499999999999998</v>
      </c>
      <c r="N23" s="374">
        <f ca="1">SUMIF('DAILY CHAMP AYAM'!$C$10:$C$144,$C23,'DAILY CHAMP AYAM'!$U$10:$U$143)</f>
        <v>0</v>
      </c>
      <c r="O23" s="374">
        <f ca="1">SUMIF('DAILY CHAMP AYAM'!$C$10:$C$144,$C23,'DAILY CHAMP AYAM'!$V$10:$V$143)</f>
        <v>0</v>
      </c>
      <c r="P23" s="374">
        <f ca="1">SUMIF('DAILY CHAMP AYAM'!$C$10:$C$144,$C23,'DAILY CHAMP AYAM'!$W$10:$W$143)</f>
        <v>0</v>
      </c>
      <c r="Q23" s="374">
        <f ca="1">SUMIF('DAILY CHAMP AYAM'!$C$10:$C$144,$C23,'DAILY CHAMP AYAM'!$X$10:$X$143)</f>
        <v>0</v>
      </c>
      <c r="R23" s="375">
        <f t="shared" ca="1" si="8"/>
        <v>11</v>
      </c>
      <c r="S23" s="376">
        <f t="shared" ca="1" si="9"/>
        <v>6.0282825094315224E-3</v>
      </c>
      <c r="T23" s="381"/>
      <c r="U23" s="742"/>
      <c r="V23" s="745"/>
      <c r="W23" s="736"/>
      <c r="X23" s="728"/>
      <c r="Y23" s="728"/>
      <c r="Z23" s="728"/>
      <c r="AA23" s="728"/>
    </row>
    <row r="24" spans="2:27" ht="16.5">
      <c r="B24" s="733"/>
      <c r="C24" s="473" t="str">
        <f>+'HASIL PROD'!B22</f>
        <v>QG02708</v>
      </c>
      <c r="D24" s="372">
        <f>SUMIF('HASIL PROD'!$B$4:$B$343,C24,'HASIL PROD'!$H$4:$H$343)</f>
        <v>586</v>
      </c>
      <c r="E24" s="373">
        <f t="shared" si="7"/>
        <v>1919.7359999999999</v>
      </c>
      <c r="F24" s="374">
        <f ca="1">SUMIF('DAILY CHAMP AYAM'!$C$10:$C$144,$C24,'DAILY CHAMP AYAM'!$K$10:$K$143)</f>
        <v>0.75</v>
      </c>
      <c r="G24" s="374">
        <f ca="1">SUMIF('DAILY CHAMP AYAM'!$C$10:$C$144,$C24,'DAILY CHAMP AYAM'!$L$10:$L$143)</f>
        <v>1.33</v>
      </c>
      <c r="H24" s="374">
        <f>SUMIF('DAILY CHAMP AYAM'!$C$10:$C$144,$C24,'DAILY CHAMP AYAM'!$M$9:$N$143)</f>
        <v>0</v>
      </c>
      <c r="I24" s="374">
        <f ca="1">SUMIF('DAILY CHAMP AYAM'!$C$10:$C$144,$C24,'DAILY CHAMP AYAM'!$O$10:$O$143)</f>
        <v>5.45</v>
      </c>
      <c r="J24" s="374">
        <f ca="1">SUMIF('DAILY CHAMP AYAM'!$C$10:$C$144,$C24,'DAILY CHAMP AYAM'!$P$10:$P$143)</f>
        <v>0.45</v>
      </c>
      <c r="K24" s="374">
        <f ca="1">SUMIF('DAILY CHAMP AYAM'!$C$10:$C$144,$C24,'DAILY CHAMP AYAM'!$R$10:$R$143)</f>
        <v>2.7</v>
      </c>
      <c r="L24" s="374">
        <f ca="1">SUMIF('DAILY CHAMP AYAM'!$C$10:$C$144,$C24,'DAILY CHAMP AYAM'!$S$10:$S$143)</f>
        <v>0</v>
      </c>
      <c r="M24" s="374">
        <f ca="1">SUMIF('DAILY CHAMP AYAM'!$C$10:$C$144,$C24,'DAILY CHAMP AYAM'!$T$10:$T$143)</f>
        <v>1.5</v>
      </c>
      <c r="N24" s="374">
        <f ca="1">SUMIF('DAILY CHAMP AYAM'!$C$10:$C$144,$C24,'DAILY CHAMP AYAM'!$U$10:$U$143)</f>
        <v>0</v>
      </c>
      <c r="O24" s="374">
        <f ca="1">SUMIF('DAILY CHAMP AYAM'!$C$10:$C$144,$C24,'DAILY CHAMP AYAM'!$V$10:$V$143)</f>
        <v>0</v>
      </c>
      <c r="P24" s="374">
        <f ca="1">SUMIF('DAILY CHAMP AYAM'!$C$10:$C$144,$C24,'DAILY CHAMP AYAM'!$W$10:$W$143)</f>
        <v>0</v>
      </c>
      <c r="Q24" s="374">
        <f ca="1">SUMIF('DAILY CHAMP AYAM'!$C$10:$C$144,$C24,'DAILY CHAMP AYAM'!$X$10:$X$143)</f>
        <v>0</v>
      </c>
      <c r="R24" s="375">
        <f t="shared" ca="1" si="8"/>
        <v>12.18</v>
      </c>
      <c r="S24" s="376">
        <f t="shared" ca="1" si="9"/>
        <v>6.3446223855780168E-3</v>
      </c>
      <c r="T24" s="381"/>
      <c r="U24" s="742"/>
      <c r="V24" s="745"/>
      <c r="W24" s="736"/>
      <c r="X24" s="728"/>
      <c r="Y24" s="728"/>
      <c r="Z24" s="728"/>
      <c r="AA24" s="728"/>
    </row>
    <row r="25" spans="2:27" ht="16.5">
      <c r="B25" s="733"/>
      <c r="C25" s="473" t="str">
        <f>+'HASIL PROD'!B23</f>
        <v>QG02709</v>
      </c>
      <c r="D25" s="372">
        <f>SUMIF('HASIL PROD'!$B$4:$B$343,C25,'HASIL PROD'!$H$4:$H$343)</f>
        <v>393</v>
      </c>
      <c r="E25" s="373">
        <f t="shared" si="7"/>
        <v>1287.4679999999998</v>
      </c>
      <c r="F25" s="374">
        <f ca="1">SUMIF('DAILY CHAMP AYAM'!$C$10:$C$144,$C25,'DAILY CHAMP AYAM'!$K$10:$K$143)</f>
        <v>5.0999999999999996</v>
      </c>
      <c r="G25" s="374">
        <f ca="1">SUMIF('DAILY CHAMP AYAM'!$C$10:$C$144,$C25,'DAILY CHAMP AYAM'!$L$10:$L$143)</f>
        <v>6.2</v>
      </c>
      <c r="H25" s="374">
        <f>SUMIF('DAILY CHAMP AYAM'!$C$10:$C$144,$C25,'DAILY CHAMP AYAM'!$M$9:$N$143)</f>
        <v>0</v>
      </c>
      <c r="I25" s="374">
        <f ca="1">SUMIF('DAILY CHAMP AYAM'!$C$10:$C$144,$C25,'DAILY CHAMP AYAM'!$O$10:$O$143)</f>
        <v>5.25</v>
      </c>
      <c r="J25" s="374">
        <f ca="1">SUMIF('DAILY CHAMP AYAM'!$C$10:$C$144,$C25,'DAILY CHAMP AYAM'!$P$10:$P$143)</f>
        <v>0</v>
      </c>
      <c r="K25" s="374">
        <f ca="1">SUMIF('DAILY CHAMP AYAM'!$C$10:$C$144,$C25,'DAILY CHAMP AYAM'!$R$10:$R$143)</f>
        <v>0.21</v>
      </c>
      <c r="L25" s="374">
        <f ca="1">SUMIF('DAILY CHAMP AYAM'!$C$10:$C$144,$C25,'DAILY CHAMP AYAM'!$S$10:$S$143)</f>
        <v>5</v>
      </c>
      <c r="M25" s="374">
        <f ca="1">SUMIF('DAILY CHAMP AYAM'!$C$10:$C$144,$C25,'DAILY CHAMP AYAM'!$T$10:$T$143)</f>
        <v>2.2999999999999998</v>
      </c>
      <c r="N25" s="374">
        <f ca="1">SUMIF('DAILY CHAMP AYAM'!$C$10:$C$144,$C25,'DAILY CHAMP AYAM'!$U$10:$U$143)</f>
        <v>0</v>
      </c>
      <c r="O25" s="374">
        <f ca="1">SUMIF('DAILY CHAMP AYAM'!$C$10:$C$144,$C25,'DAILY CHAMP AYAM'!$V$10:$V$143)</f>
        <v>0</v>
      </c>
      <c r="P25" s="374">
        <f ca="1">SUMIF('DAILY CHAMP AYAM'!$C$10:$C$144,$C25,'DAILY CHAMP AYAM'!$W$10:$W$143)</f>
        <v>0</v>
      </c>
      <c r="Q25" s="374">
        <f ca="1">SUMIF('DAILY CHAMP AYAM'!$C$10:$C$144,$C25,'DAILY CHAMP AYAM'!$X$10:$X$143)</f>
        <v>0</v>
      </c>
      <c r="R25" s="375">
        <f t="shared" ca="1" si="8"/>
        <v>24.060000000000002</v>
      </c>
      <c r="S25" s="376">
        <f t="shared" ca="1" si="9"/>
        <v>1.8687843115324034E-2</v>
      </c>
      <c r="T25" s="381"/>
      <c r="U25" s="743"/>
      <c r="V25" s="746"/>
      <c r="W25" s="737"/>
      <c r="X25" s="729"/>
      <c r="Y25" s="729"/>
      <c r="Z25" s="729"/>
      <c r="AA25" s="729"/>
    </row>
    <row r="26" spans="2:27" ht="16.5">
      <c r="B26" s="733"/>
      <c r="C26" s="473"/>
      <c r="D26" s="372"/>
      <c r="E26" s="373"/>
      <c r="F26" s="374">
        <f ca="1">SUMIF('DAILY CHAMP AYAM'!$C$10:$C$144,$C26,'DAILY CHAMP AYAM'!$K$10:$K$143)</f>
        <v>0</v>
      </c>
      <c r="G26" s="374">
        <f ca="1">SUMIF('DAILY CHAMP AYAM'!$C$10:$C$144,$C26,'DAILY CHAMP AYAM'!$L$10:$L$143)</f>
        <v>0</v>
      </c>
      <c r="H26" s="374">
        <f>SUMIF('DAILY CHAMP AYAM'!$C$10:$C$144,$C26,'DAILY CHAMP AYAM'!$M$9:$N$143)</f>
        <v>0</v>
      </c>
      <c r="I26" s="374">
        <f ca="1">SUMIF('DAILY CHAMP AYAM'!$C$10:$C$144,$C26,'DAILY CHAMP AYAM'!$O$10:$O$143)</f>
        <v>0</v>
      </c>
      <c r="J26" s="374">
        <f ca="1">SUMIF('DAILY CHAMP AYAM'!$C$10:$C$144,$C26,'DAILY CHAMP AYAM'!$P$10:$P$143)</f>
        <v>0</v>
      </c>
      <c r="K26" s="374">
        <f ca="1">SUMIF('DAILY CHAMP AYAM'!$C$10:$C$144,$C26,'DAILY CHAMP AYAM'!$R$10:$R$143)</f>
        <v>0</v>
      </c>
      <c r="L26" s="374">
        <f ca="1">SUMIF('DAILY CHAMP AYAM'!$C$10:$C$144,$C26,'DAILY CHAMP AYAM'!$S$10:$S$143)</f>
        <v>0</v>
      </c>
      <c r="M26" s="374">
        <f ca="1">SUMIF('DAILY CHAMP AYAM'!$C$10:$C$144,$C26,'DAILY CHAMP AYAM'!$T$10:$T$143)</f>
        <v>0</v>
      </c>
      <c r="N26" s="374">
        <f ca="1">SUMIF('DAILY CHAMP AYAM'!$C$10:$C$144,$C26,'DAILY CHAMP AYAM'!$U$10:$U$143)</f>
        <v>0</v>
      </c>
      <c r="O26" s="374">
        <f ca="1">SUMIF('DAILY CHAMP AYAM'!$C$10:$C$144,$C26,'DAILY CHAMP AYAM'!$V$10:$V$143)</f>
        <v>0</v>
      </c>
      <c r="P26" s="374">
        <f ca="1">SUMIF('DAILY CHAMP AYAM'!$C$10:$C$144,$C26,'DAILY CHAMP AYAM'!$W$10:$W$143)</f>
        <v>0</v>
      </c>
      <c r="Q26" s="374">
        <f ca="1">SUMIF('DAILY CHAMP AYAM'!$C$10:$C$144,$C26,'DAILY CHAMP AYAM'!$X$10:$X$143)</f>
        <v>0</v>
      </c>
      <c r="R26" s="375">
        <f t="shared" ca="1" si="8"/>
        <v>0</v>
      </c>
      <c r="S26" s="376" t="e">
        <f t="shared" ca="1" si="9"/>
        <v>#DIV/0!</v>
      </c>
      <c r="T26" s="381"/>
      <c r="U26" s="414"/>
      <c r="V26" s="417"/>
      <c r="W26" s="419"/>
      <c r="X26" s="530"/>
      <c r="Y26" s="530"/>
      <c r="Z26" s="530"/>
      <c r="AA26" s="530"/>
    </row>
    <row r="27" spans="2:27" ht="16.5">
      <c r="B27" s="733"/>
      <c r="C27" s="371"/>
      <c r="D27" s="372"/>
      <c r="E27" s="373"/>
      <c r="F27" s="374"/>
      <c r="G27" s="374"/>
      <c r="H27" s="374"/>
      <c r="I27" s="374"/>
      <c r="J27" s="374"/>
      <c r="K27" s="374"/>
      <c r="L27" s="374"/>
      <c r="M27" s="374"/>
      <c r="N27" s="374"/>
      <c r="O27" s="374"/>
      <c r="P27" s="374"/>
      <c r="Q27" s="374"/>
      <c r="R27" s="374"/>
      <c r="S27" s="380"/>
      <c r="T27" s="381"/>
      <c r="U27" s="382"/>
      <c r="V27" s="383"/>
      <c r="W27" s="401"/>
      <c r="X27" s="530"/>
      <c r="Y27" s="530"/>
      <c r="Z27" s="530"/>
      <c r="AA27" s="530"/>
    </row>
    <row r="28" spans="2:27" s="50" customFormat="1" ht="16.5">
      <c r="B28" s="734"/>
      <c r="C28" s="385" t="s">
        <v>118</v>
      </c>
      <c r="D28" s="386">
        <f t="shared" ref="D28:R28" si="10">SUM(D17:D27)</f>
        <v>4410</v>
      </c>
      <c r="E28" s="387">
        <f t="shared" si="10"/>
        <v>14447.16</v>
      </c>
      <c r="F28" s="388">
        <f t="shared" ca="1" si="10"/>
        <v>31.470000000000006</v>
      </c>
      <c r="G28" s="388">
        <f t="shared" ca="1" si="10"/>
        <v>39.97</v>
      </c>
      <c r="H28" s="388">
        <f t="shared" si="10"/>
        <v>0</v>
      </c>
      <c r="I28" s="388">
        <f t="shared" ca="1" si="10"/>
        <v>61.209999999999994</v>
      </c>
      <c r="J28" s="388">
        <f t="shared" ca="1" si="10"/>
        <v>4.6800000000000006</v>
      </c>
      <c r="K28" s="388">
        <f t="shared" ca="1" si="10"/>
        <v>2.91</v>
      </c>
      <c r="L28" s="388">
        <f t="shared" ca="1" si="10"/>
        <v>13.309999999999999</v>
      </c>
      <c r="M28" s="388">
        <f t="shared" ca="1" si="10"/>
        <v>10.629999999999999</v>
      </c>
      <c r="N28" s="388">
        <f t="shared" ca="1" si="10"/>
        <v>0</v>
      </c>
      <c r="O28" s="388">
        <f t="shared" ca="1" si="10"/>
        <v>0</v>
      </c>
      <c r="P28" s="388">
        <f t="shared" ca="1" si="10"/>
        <v>0</v>
      </c>
      <c r="Q28" s="388">
        <f t="shared" ca="1" si="10"/>
        <v>0</v>
      </c>
      <c r="R28" s="388">
        <f t="shared" ca="1" si="10"/>
        <v>164.18</v>
      </c>
      <c r="S28" s="389"/>
      <c r="T28" s="402"/>
      <c r="U28" s="388"/>
      <c r="V28" s="389"/>
      <c r="W28" s="389"/>
      <c r="X28" s="544"/>
      <c r="Y28" s="544"/>
      <c r="Z28" s="544"/>
      <c r="AA28" s="544"/>
    </row>
    <row r="29" spans="2:27" s="50" customFormat="1" ht="16.5">
      <c r="B29" s="403"/>
      <c r="C29" s="393" t="s">
        <v>114</v>
      </c>
      <c r="D29" s="394"/>
      <c r="E29" s="395"/>
      <c r="F29" s="396">
        <f ca="1">+F28/$E28</f>
        <v>2.178282790527689E-3</v>
      </c>
      <c r="G29" s="396">
        <f t="shared" ref="G29:Q29" ca="1" si="11">+G28/$E28</f>
        <v>2.7666337190146713E-3</v>
      </c>
      <c r="H29" s="396">
        <f t="shared" si="11"/>
        <v>0</v>
      </c>
      <c r="I29" s="396">
        <f t="shared" ca="1" si="11"/>
        <v>4.2368188626692024E-3</v>
      </c>
      <c r="J29" s="396">
        <f t="shared" ca="1" si="11"/>
        <v>3.2393909944930359E-4</v>
      </c>
      <c r="K29" s="396">
        <f t="shared" ca="1" si="11"/>
        <v>2.0142367081142594E-4</v>
      </c>
      <c r="L29" s="396">
        <f t="shared" ca="1" si="11"/>
        <v>9.212883362543226E-4</v>
      </c>
      <c r="M29" s="396">
        <f t="shared" ca="1" si="11"/>
        <v>7.3578474939019146E-4</v>
      </c>
      <c r="N29" s="396">
        <f t="shared" ca="1" si="11"/>
        <v>0</v>
      </c>
      <c r="O29" s="396">
        <f t="shared" ca="1" si="11"/>
        <v>0</v>
      </c>
      <c r="P29" s="396">
        <f t="shared" ca="1" si="11"/>
        <v>0</v>
      </c>
      <c r="Q29" s="396">
        <f t="shared" ca="1" si="11"/>
        <v>0</v>
      </c>
      <c r="R29" s="482">
        <f ca="1">+R28/$E28</f>
        <v>1.1364171228116808E-2</v>
      </c>
      <c r="S29" s="399"/>
      <c r="T29" s="402"/>
      <c r="U29" s="400"/>
      <c r="V29" s="389"/>
      <c r="W29" s="389"/>
      <c r="X29" s="544"/>
      <c r="Y29" s="544"/>
      <c r="Z29" s="544"/>
      <c r="AA29" s="544"/>
    </row>
    <row r="30" spans="2:27" ht="16.5" customHeight="1">
      <c r="B30" s="732" t="s">
        <v>179</v>
      </c>
      <c r="C30" s="474" t="str">
        <f>+'HASIL PROD'!B26</f>
        <v>QG03701</v>
      </c>
      <c r="D30" s="372">
        <f>SUMIF('HASIL PROD'!$B$4:$B$343,C30,'HASIL PROD'!$H$4:$H$343)</f>
        <v>521</v>
      </c>
      <c r="E30" s="373">
        <f t="shared" ref="E30:E39" si="12">+D30*3.276</f>
        <v>1706.7959999999998</v>
      </c>
      <c r="F30" s="374">
        <f ca="1">SUMIF('DAILY CHAMP AYAM'!$C$10:$C$144,$C30,'DAILY CHAMP AYAM'!$K$10:$K$143)</f>
        <v>8.5</v>
      </c>
      <c r="G30" s="374">
        <f ca="1">SUMIF('DAILY CHAMP AYAM'!$C$10:$C$144,$C30,'DAILY CHAMP AYAM'!$L$10:$L$143)</f>
        <v>10</v>
      </c>
      <c r="H30" s="374">
        <f>SUMIF('DAILY CHAMP AYAM'!$C$10:$C$144,$C30,'DAILY CHAMP AYAM'!$M$9:$N$143)</f>
        <v>0</v>
      </c>
      <c r="I30" s="374">
        <f ca="1">SUMIF('DAILY CHAMP AYAM'!$C$10:$C$144,$C30,'DAILY CHAMP AYAM'!$O$10:$O$143)</f>
        <v>14.8</v>
      </c>
      <c r="J30" s="374">
        <f ca="1">SUMIF('DAILY CHAMP AYAM'!$C$10:$C$144,$C30,'DAILY CHAMP AYAM'!$P$10:$P$143)</f>
        <v>0.4</v>
      </c>
      <c r="K30" s="374">
        <f ca="1">SUMIF('DAILY CHAMP AYAM'!$C$10:$C$144,$C30,'DAILY CHAMP AYAM'!$R$10:$R$143)</f>
        <v>0.3</v>
      </c>
      <c r="L30" s="374">
        <f ca="1">SUMIF('DAILY CHAMP AYAM'!$C$10:$C$144,$C30,'DAILY CHAMP AYAM'!$S$10:$S$143)</f>
        <v>0.8</v>
      </c>
      <c r="M30" s="374">
        <f ca="1">SUMIF('DAILY CHAMP AYAM'!$C$10:$C$144,$C30,'DAILY CHAMP AYAM'!$T$10:$T$143)</f>
        <v>1.1000000000000001</v>
      </c>
      <c r="N30" s="374">
        <f ca="1">SUMIF('DAILY CHAMP AYAM'!$C$10:$C$144,$C30,'DAILY CHAMP AYAM'!$U$10:$U$143)</f>
        <v>0</v>
      </c>
      <c r="O30" s="374">
        <f ca="1">SUMIF('DAILY CHAMP AYAM'!$C$10:$C$144,$C30,'DAILY CHAMP AYAM'!$V$10:$V$143)</f>
        <v>0</v>
      </c>
      <c r="P30" s="374">
        <f ca="1">SUMIF('DAILY CHAMP AYAM'!$C$10:$C$144,$C30,'DAILY CHAMP AYAM'!$W$10:$W$143)</f>
        <v>0</v>
      </c>
      <c r="Q30" s="374">
        <f ca="1">SUMIF('DAILY CHAMP AYAM'!$C$10:$C$144,$C30,'DAILY CHAMP AYAM'!$X$10:$X$143)</f>
        <v>0</v>
      </c>
      <c r="R30" s="374">
        <f t="shared" ref="R30:R37" ca="1" si="13">+SUM(F30:Q30)</f>
        <v>35.899999999999991</v>
      </c>
      <c r="S30" s="376">
        <f t="shared" ref="S30:S37" ca="1" si="14">+R30/E30</f>
        <v>2.1033562300356922E-2</v>
      </c>
      <c r="T30" s="381"/>
      <c r="U30" s="738">
        <f ca="1">SUM(R30:R32)</f>
        <v>106.19999999999999</v>
      </c>
      <c r="V30" s="747">
        <f ca="1">+U30/(SUM(E30:E32))</f>
        <v>2.1146498641606275E-2</v>
      </c>
      <c r="W30" s="735" t="s">
        <v>339</v>
      </c>
      <c r="X30" s="727" t="s">
        <v>312</v>
      </c>
      <c r="Y30" s="727" t="s">
        <v>319</v>
      </c>
      <c r="Z30" s="727" t="s">
        <v>314</v>
      </c>
      <c r="AA30" s="530"/>
    </row>
    <row r="31" spans="2:27" ht="16.5">
      <c r="B31" s="733"/>
      <c r="C31" s="474" t="str">
        <f>+'HASIL PROD'!B27</f>
        <v>QG03702</v>
      </c>
      <c r="D31" s="372">
        <f>SUMIF('HASIL PROD'!$B$4:$B$343,C31,'HASIL PROD'!$H$4:$H$343)</f>
        <v>527</v>
      </c>
      <c r="E31" s="373">
        <f t="shared" si="12"/>
        <v>1726.452</v>
      </c>
      <c r="F31" s="374">
        <f ca="1">SUMIF('DAILY CHAMP AYAM'!$C$10:$C$144,$C31,'DAILY CHAMP AYAM'!$K$10:$K$143)</f>
        <v>6.75</v>
      </c>
      <c r="G31" s="374">
        <f ca="1">SUMIF('DAILY CHAMP AYAM'!$C$10:$C$144,$C31,'DAILY CHAMP AYAM'!$L$10:$L$143)</f>
        <v>10.45</v>
      </c>
      <c r="H31" s="374">
        <f>SUMIF('DAILY CHAMP AYAM'!$C$10:$C$144,$C31,'DAILY CHAMP AYAM'!$M$9:$N$143)</f>
        <v>0</v>
      </c>
      <c r="I31" s="374">
        <f ca="1">SUMIF('DAILY CHAMP AYAM'!$C$10:$C$144,$C31,'DAILY CHAMP AYAM'!$O$10:$O$143)</f>
        <v>10.45</v>
      </c>
      <c r="J31" s="374">
        <f ca="1">SUMIF('DAILY CHAMP AYAM'!$C$10:$C$144,$C31,'DAILY CHAMP AYAM'!$P$10:$P$143)</f>
        <v>0.35</v>
      </c>
      <c r="K31" s="374">
        <f ca="1">SUMIF('DAILY CHAMP AYAM'!$C$10:$C$144,$C31,'DAILY CHAMP AYAM'!$R$10:$R$143)</f>
        <v>0</v>
      </c>
      <c r="L31" s="374">
        <f ca="1">SUMIF('DAILY CHAMP AYAM'!$C$10:$C$144,$C31,'DAILY CHAMP AYAM'!$S$10:$S$143)</f>
        <v>0</v>
      </c>
      <c r="M31" s="374">
        <f ca="1">SUMIF('DAILY CHAMP AYAM'!$C$10:$C$144,$C31,'DAILY CHAMP AYAM'!$T$10:$T$143)</f>
        <v>2.4500000000000002</v>
      </c>
      <c r="N31" s="374">
        <f ca="1">SUMIF('DAILY CHAMP AYAM'!$C$10:$C$144,$C31,'DAILY CHAMP AYAM'!$U$10:$U$143)</f>
        <v>0</v>
      </c>
      <c r="O31" s="374">
        <f ca="1">SUMIF('DAILY CHAMP AYAM'!$C$10:$C$144,$C31,'DAILY CHAMP AYAM'!$V$10:$V$143)</f>
        <v>0</v>
      </c>
      <c r="P31" s="374">
        <f ca="1">SUMIF('DAILY CHAMP AYAM'!$C$10:$C$144,$C31,'DAILY CHAMP AYAM'!$W$10:$W$143)</f>
        <v>0</v>
      </c>
      <c r="Q31" s="374">
        <f ca="1">SUMIF('DAILY CHAMP AYAM'!$C$10:$C$144,$C31,'DAILY CHAMP AYAM'!$X$10:$X$143)</f>
        <v>0</v>
      </c>
      <c r="R31" s="374">
        <f t="shared" ca="1" si="13"/>
        <v>30.45</v>
      </c>
      <c r="S31" s="376">
        <f t="shared" ca="1" si="14"/>
        <v>1.7637327884007202E-2</v>
      </c>
      <c r="T31" s="381"/>
      <c r="U31" s="738"/>
      <c r="V31" s="747"/>
      <c r="W31" s="736"/>
      <c r="X31" s="728"/>
      <c r="Y31" s="728"/>
      <c r="Z31" s="728"/>
      <c r="AA31" s="530"/>
    </row>
    <row r="32" spans="2:27" ht="16.5">
      <c r="B32" s="733"/>
      <c r="C32" s="474" t="str">
        <f>+'HASIL PROD'!B28</f>
        <v>QG03703</v>
      </c>
      <c r="D32" s="372">
        <f>SUMIF('HASIL PROD'!$B$4:$B$343,C32,'HASIL PROD'!$H$4:$H$343)</f>
        <v>485</v>
      </c>
      <c r="E32" s="373">
        <f t="shared" si="12"/>
        <v>1588.86</v>
      </c>
      <c r="F32" s="374">
        <f ca="1">SUMIF('DAILY CHAMP AYAM'!$C$10:$C$144,$C32,'DAILY CHAMP AYAM'!$K$10:$K$143)</f>
        <v>10.35</v>
      </c>
      <c r="G32" s="374">
        <f ca="1">SUMIF('DAILY CHAMP AYAM'!$C$10:$C$144,$C32,'DAILY CHAMP AYAM'!$L$10:$L$143)</f>
        <v>14.05</v>
      </c>
      <c r="H32" s="374">
        <f>SUMIF('DAILY CHAMP AYAM'!$C$10:$C$144,$C32,'DAILY CHAMP AYAM'!$M$9:$N$143)</f>
        <v>0</v>
      </c>
      <c r="I32" s="374">
        <f ca="1">SUMIF('DAILY CHAMP AYAM'!$C$10:$C$144,$C32,'DAILY CHAMP AYAM'!$O$10:$O$143)</f>
        <v>13.45</v>
      </c>
      <c r="J32" s="374">
        <f ca="1">SUMIF('DAILY CHAMP AYAM'!$C$10:$C$144,$C32,'DAILY CHAMP AYAM'!$P$10:$P$143)</f>
        <v>0.4</v>
      </c>
      <c r="K32" s="374">
        <f ca="1">SUMIF('DAILY CHAMP AYAM'!$C$10:$C$144,$C32,'DAILY CHAMP AYAM'!$R$10:$R$143)</f>
        <v>0</v>
      </c>
      <c r="L32" s="374">
        <f ca="1">SUMIF('DAILY CHAMP AYAM'!$C$10:$C$144,$C32,'DAILY CHAMP AYAM'!$S$10:$S$143)</f>
        <v>0.6</v>
      </c>
      <c r="M32" s="374">
        <f ca="1">SUMIF('DAILY CHAMP AYAM'!$C$10:$C$144,$C32,'DAILY CHAMP AYAM'!$T$10:$T$143)</f>
        <v>1</v>
      </c>
      <c r="N32" s="374">
        <f ca="1">SUMIF('DAILY CHAMP AYAM'!$C$10:$C$144,$C32,'DAILY CHAMP AYAM'!$U$10:$U$143)</f>
        <v>0</v>
      </c>
      <c r="O32" s="374">
        <f ca="1">SUMIF('DAILY CHAMP AYAM'!$C$10:$C$144,$C32,'DAILY CHAMP AYAM'!$V$10:$V$143)</f>
        <v>0</v>
      </c>
      <c r="P32" s="374">
        <f ca="1">SUMIF('DAILY CHAMP AYAM'!$C$10:$C$144,$C32,'DAILY CHAMP AYAM'!$W$10:$W$143)</f>
        <v>0</v>
      </c>
      <c r="Q32" s="374">
        <f ca="1">SUMIF('DAILY CHAMP AYAM'!$C$10:$C$144,$C32,'DAILY CHAMP AYAM'!$X$10:$X$143)</f>
        <v>0</v>
      </c>
      <c r="R32" s="374">
        <f t="shared" ca="1" si="13"/>
        <v>39.849999999999994</v>
      </c>
      <c r="S32" s="376">
        <f t="shared" ca="1" si="14"/>
        <v>2.5080875596339511E-2</v>
      </c>
      <c r="T32" s="381"/>
      <c r="U32" s="738"/>
      <c r="V32" s="747"/>
      <c r="W32" s="737"/>
      <c r="X32" s="729"/>
      <c r="Y32" s="729"/>
      <c r="Z32" s="729"/>
      <c r="AA32" s="530"/>
    </row>
    <row r="33" spans="2:27" ht="16.5" customHeight="1">
      <c r="B33" s="733"/>
      <c r="C33" s="474" t="str">
        <f>+'HASIL PROD'!B29</f>
        <v>QG03704</v>
      </c>
      <c r="D33" s="372">
        <f>SUMIF('HASIL PROD'!$B$4:$B$343,C33,'HASIL PROD'!$H$4:$H$343)</f>
        <v>534</v>
      </c>
      <c r="E33" s="373">
        <f t="shared" si="12"/>
        <v>1749.3839999999998</v>
      </c>
      <c r="F33" s="374">
        <f ca="1">SUMIF('DAILY CHAMP AYAM'!$C$10:$C$144,$C33,'DAILY CHAMP AYAM'!$K$10:$K$143)</f>
        <v>8.25</v>
      </c>
      <c r="G33" s="374">
        <f ca="1">SUMIF('DAILY CHAMP AYAM'!$C$10:$C$144,$C33,'DAILY CHAMP AYAM'!$L$10:$L$143)</f>
        <v>9.85</v>
      </c>
      <c r="H33" s="374">
        <f>SUMIF('DAILY CHAMP AYAM'!$C$10:$C$144,$C33,'DAILY CHAMP AYAM'!$M$9:$N$143)</f>
        <v>0</v>
      </c>
      <c r="I33" s="374">
        <f ca="1">SUMIF('DAILY CHAMP AYAM'!$C$10:$C$144,$C33,'DAILY CHAMP AYAM'!$O$10:$O$143)</f>
        <v>8.4499999999999993</v>
      </c>
      <c r="J33" s="374">
        <f ca="1">SUMIF('DAILY CHAMP AYAM'!$C$10:$C$144,$C33,'DAILY CHAMP AYAM'!$P$10:$P$143)</f>
        <v>0.5</v>
      </c>
      <c r="K33" s="374">
        <f ca="1">SUMIF('DAILY CHAMP AYAM'!$C$10:$C$144,$C33,'DAILY CHAMP AYAM'!$R$10:$R$143)</f>
        <v>0</v>
      </c>
      <c r="L33" s="374">
        <f ca="1">SUMIF('DAILY CHAMP AYAM'!$C$10:$C$144,$C33,'DAILY CHAMP AYAM'!$S$10:$S$143)</f>
        <v>0.45</v>
      </c>
      <c r="M33" s="374">
        <f ca="1">SUMIF('DAILY CHAMP AYAM'!$C$10:$C$144,$C33,'DAILY CHAMP AYAM'!$T$10:$T$143)</f>
        <v>0.57999999999999996</v>
      </c>
      <c r="N33" s="374">
        <f ca="1">SUMIF('DAILY CHAMP AYAM'!$C$10:$C$144,$C33,'DAILY CHAMP AYAM'!$U$10:$U$143)</f>
        <v>0</v>
      </c>
      <c r="O33" s="374">
        <f ca="1">SUMIF('DAILY CHAMP AYAM'!$C$10:$C$144,$C33,'DAILY CHAMP AYAM'!$V$10:$V$143)</f>
        <v>0</v>
      </c>
      <c r="P33" s="374">
        <f ca="1">SUMIF('DAILY CHAMP AYAM'!$C$10:$C$144,$C33,'DAILY CHAMP AYAM'!$W$10:$W$143)</f>
        <v>0</v>
      </c>
      <c r="Q33" s="374">
        <f ca="1">SUMIF('DAILY CHAMP AYAM'!$C$10:$C$144,$C33,'DAILY CHAMP AYAM'!$X$10:$X$143)</f>
        <v>0</v>
      </c>
      <c r="R33" s="374">
        <f t="shared" ca="1" si="13"/>
        <v>28.08</v>
      </c>
      <c r="S33" s="376">
        <f t="shared" ca="1" si="14"/>
        <v>1.605136436597111E-2</v>
      </c>
      <c r="T33" s="381"/>
      <c r="U33" s="741">
        <f ca="1">SUM(R33:R37)</f>
        <v>118.42999999999998</v>
      </c>
      <c r="V33" s="748">
        <f ca="1">+U33/(SUM(E33:E37))</f>
        <v>1.2966568741317663E-2</v>
      </c>
      <c r="W33" s="735" t="s">
        <v>340</v>
      </c>
      <c r="X33" s="727" t="s">
        <v>315</v>
      </c>
      <c r="Y33" s="727" t="s">
        <v>316</v>
      </c>
      <c r="Z33" s="727" t="s">
        <v>317</v>
      </c>
      <c r="AA33" s="727" t="s">
        <v>318</v>
      </c>
    </row>
    <row r="34" spans="2:27" ht="16.5">
      <c r="B34" s="733"/>
      <c r="C34" s="474" t="str">
        <f>+'HASIL PROD'!B30</f>
        <v>QG03705</v>
      </c>
      <c r="D34" s="372">
        <f>SUMIF('HASIL PROD'!$B$4:$B$343,C34,'HASIL PROD'!$H$4:$H$343)</f>
        <v>587</v>
      </c>
      <c r="E34" s="373">
        <f t="shared" si="12"/>
        <v>1923.0119999999999</v>
      </c>
      <c r="F34" s="374">
        <f ca="1">SUMIF('DAILY CHAMP AYAM'!$C$10:$C$144,$C34,'DAILY CHAMP AYAM'!$K$10:$K$143)</f>
        <v>5.35</v>
      </c>
      <c r="G34" s="374">
        <f ca="1">SUMIF('DAILY CHAMP AYAM'!$C$10:$C$144,$C34,'DAILY CHAMP AYAM'!$L$10:$L$143)</f>
        <v>7.85</v>
      </c>
      <c r="H34" s="374">
        <f>SUMIF('DAILY CHAMP AYAM'!$C$10:$C$144,$C34,'DAILY CHAMP AYAM'!$M$9:$N$143)</f>
        <v>0</v>
      </c>
      <c r="I34" s="374">
        <f ca="1">SUMIF('DAILY CHAMP AYAM'!$C$10:$C$144,$C34,'DAILY CHAMP AYAM'!$O$10:$O$143)</f>
        <v>10.35</v>
      </c>
      <c r="J34" s="374">
        <f ca="1">SUMIF('DAILY CHAMP AYAM'!$C$10:$C$144,$C34,'DAILY CHAMP AYAM'!$P$10:$P$143)</f>
        <v>0.4</v>
      </c>
      <c r="K34" s="374">
        <f ca="1">SUMIF('DAILY CHAMP AYAM'!$C$10:$C$144,$C34,'DAILY CHAMP AYAM'!$R$10:$R$143)</f>
        <v>0</v>
      </c>
      <c r="L34" s="374">
        <f ca="1">SUMIF('DAILY CHAMP AYAM'!$C$10:$C$144,$C34,'DAILY CHAMP AYAM'!$S$10:$S$143)</f>
        <v>0</v>
      </c>
      <c r="M34" s="374">
        <f ca="1">SUMIF('DAILY CHAMP AYAM'!$C$10:$C$144,$C34,'DAILY CHAMP AYAM'!$T$10:$T$143)</f>
        <v>1.4</v>
      </c>
      <c r="N34" s="374">
        <f ca="1">SUMIF('DAILY CHAMP AYAM'!$C$10:$C$144,$C34,'DAILY CHAMP AYAM'!$U$10:$U$143)</f>
        <v>0</v>
      </c>
      <c r="O34" s="374">
        <f ca="1">SUMIF('DAILY CHAMP AYAM'!$C$10:$C$144,$C34,'DAILY CHAMP AYAM'!$V$10:$V$143)</f>
        <v>0</v>
      </c>
      <c r="P34" s="374">
        <f ca="1">SUMIF('DAILY CHAMP AYAM'!$C$10:$C$144,$C34,'DAILY CHAMP AYAM'!$W$10:$W$143)</f>
        <v>0</v>
      </c>
      <c r="Q34" s="374">
        <f ca="1">SUMIF('DAILY CHAMP AYAM'!$C$10:$C$144,$C34,'DAILY CHAMP AYAM'!$X$10:$X$143)</f>
        <v>0</v>
      </c>
      <c r="R34" s="374">
        <f t="shared" ca="1" si="13"/>
        <v>25.349999999999994</v>
      </c>
      <c r="S34" s="376">
        <f t="shared" ca="1" si="14"/>
        <v>1.3182445039344525E-2</v>
      </c>
      <c r="T34" s="381"/>
      <c r="U34" s="742"/>
      <c r="V34" s="749"/>
      <c r="W34" s="736"/>
      <c r="X34" s="728"/>
      <c r="Y34" s="728"/>
      <c r="Z34" s="728"/>
      <c r="AA34" s="728"/>
    </row>
    <row r="35" spans="2:27" ht="16.5">
      <c r="B35" s="733"/>
      <c r="C35" s="474" t="str">
        <f>+'HASIL PROD'!B31</f>
        <v>QG03706</v>
      </c>
      <c r="D35" s="372">
        <f>SUMIF('HASIL PROD'!$B$4:$B$343,C35,'HASIL PROD'!$H$4:$H$343)</f>
        <v>517</v>
      </c>
      <c r="E35" s="373">
        <f t="shared" si="12"/>
        <v>1693.692</v>
      </c>
      <c r="F35" s="374">
        <f ca="1">SUMIF('DAILY CHAMP AYAM'!$C$10:$C$144,$C35,'DAILY CHAMP AYAM'!$K$10:$K$143)</f>
        <v>10.24</v>
      </c>
      <c r="G35" s="374">
        <f ca="1">SUMIF('DAILY CHAMP AYAM'!$C$10:$C$144,$C35,'DAILY CHAMP AYAM'!$L$10:$L$143)</f>
        <v>10.35</v>
      </c>
      <c r="H35" s="374">
        <f>SUMIF('DAILY CHAMP AYAM'!$C$10:$C$144,$C35,'DAILY CHAMP AYAM'!$M$9:$N$143)</f>
        <v>0</v>
      </c>
      <c r="I35" s="374">
        <f ca="1">SUMIF('DAILY CHAMP AYAM'!$C$10:$C$144,$C35,'DAILY CHAMP AYAM'!$O$10:$O$143)</f>
        <v>4.54</v>
      </c>
      <c r="J35" s="374">
        <f ca="1">SUMIF('DAILY CHAMP AYAM'!$C$10:$C$144,$C35,'DAILY CHAMP AYAM'!$P$10:$P$143)</f>
        <v>0.54</v>
      </c>
      <c r="K35" s="374">
        <f ca="1">SUMIF('DAILY CHAMP AYAM'!$C$10:$C$144,$C35,'DAILY CHAMP AYAM'!$R$10:$R$143)</f>
        <v>0</v>
      </c>
      <c r="L35" s="374">
        <f ca="1">SUMIF('DAILY CHAMP AYAM'!$C$10:$C$144,$C35,'DAILY CHAMP AYAM'!$S$10:$S$143)</f>
        <v>0</v>
      </c>
      <c r="M35" s="374">
        <f ca="1">SUMIF('DAILY CHAMP AYAM'!$C$10:$C$144,$C35,'DAILY CHAMP AYAM'!$T$10:$T$143)</f>
        <v>0.9</v>
      </c>
      <c r="N35" s="374">
        <f ca="1">SUMIF('DAILY CHAMP AYAM'!$C$10:$C$144,$C35,'DAILY CHAMP AYAM'!$U$10:$U$143)</f>
        <v>0</v>
      </c>
      <c r="O35" s="374">
        <f ca="1">SUMIF('DAILY CHAMP AYAM'!$C$10:$C$144,$C35,'DAILY CHAMP AYAM'!$V$10:$V$143)</f>
        <v>0</v>
      </c>
      <c r="P35" s="374">
        <f ca="1">SUMIF('DAILY CHAMP AYAM'!$C$10:$C$144,$C35,'DAILY CHAMP AYAM'!$W$10:$W$143)</f>
        <v>0</v>
      </c>
      <c r="Q35" s="374">
        <f ca="1">SUMIF('DAILY CHAMP AYAM'!$C$10:$C$144,$C35,'DAILY CHAMP AYAM'!$X$10:$X$143)</f>
        <v>0</v>
      </c>
      <c r="R35" s="374">
        <f t="shared" ca="1" si="13"/>
        <v>26.569999999999997</v>
      </c>
      <c r="S35" s="376">
        <f t="shared" ca="1" si="14"/>
        <v>1.5687622070600791E-2</v>
      </c>
      <c r="T35" s="381"/>
      <c r="U35" s="742"/>
      <c r="V35" s="749"/>
      <c r="W35" s="736"/>
      <c r="X35" s="728"/>
      <c r="Y35" s="728"/>
      <c r="Z35" s="728"/>
      <c r="AA35" s="728"/>
    </row>
    <row r="36" spans="2:27" ht="16.5">
      <c r="B36" s="733"/>
      <c r="C36" s="474" t="str">
        <f>+'HASIL PROD'!B32</f>
        <v>QG03707</v>
      </c>
      <c r="D36" s="372">
        <f>SUMIF('HASIL PROD'!$B$4:$B$343,C36,'HASIL PROD'!$H$4:$H$343)</f>
        <v>685</v>
      </c>
      <c r="E36" s="373">
        <f t="shared" si="12"/>
        <v>2244.06</v>
      </c>
      <c r="F36" s="374">
        <f ca="1">SUMIF('DAILY CHAMP AYAM'!$C$10:$C$144,$C36,'DAILY CHAMP AYAM'!$K$10:$K$143)</f>
        <v>6.7</v>
      </c>
      <c r="G36" s="374">
        <f ca="1">SUMIF('DAILY CHAMP AYAM'!$C$10:$C$144,$C36,'DAILY CHAMP AYAM'!$L$10:$L$143)</f>
        <v>6.5</v>
      </c>
      <c r="H36" s="374">
        <f>SUMIF('DAILY CHAMP AYAM'!$C$10:$C$144,$C36,'DAILY CHAMP AYAM'!$M$9:$N$143)</f>
        <v>0</v>
      </c>
      <c r="I36" s="374">
        <f ca="1">SUMIF('DAILY CHAMP AYAM'!$C$10:$C$144,$C36,'DAILY CHAMP AYAM'!$O$10:$O$143)</f>
        <v>4.7</v>
      </c>
      <c r="J36" s="374">
        <f ca="1">SUMIF('DAILY CHAMP AYAM'!$C$10:$C$144,$C36,'DAILY CHAMP AYAM'!$P$10:$P$143)</f>
        <v>0</v>
      </c>
      <c r="K36" s="374">
        <f ca="1">SUMIF('DAILY CHAMP AYAM'!$C$10:$C$144,$C36,'DAILY CHAMP AYAM'!$R$10:$R$143)</f>
        <v>0</v>
      </c>
      <c r="L36" s="374">
        <f ca="1">SUMIF('DAILY CHAMP AYAM'!$C$10:$C$144,$C36,'DAILY CHAMP AYAM'!$S$10:$S$143)</f>
        <v>0</v>
      </c>
      <c r="M36" s="374">
        <f ca="1">SUMIF('DAILY CHAMP AYAM'!$C$10:$C$144,$C36,'DAILY CHAMP AYAM'!$T$10:$T$143)</f>
        <v>1.45</v>
      </c>
      <c r="N36" s="374">
        <f ca="1">SUMIF('DAILY CHAMP AYAM'!$C$10:$C$144,$C36,'DAILY CHAMP AYAM'!$U$10:$U$143)</f>
        <v>0</v>
      </c>
      <c r="O36" s="374">
        <f ca="1">SUMIF('DAILY CHAMP AYAM'!$C$10:$C$144,$C36,'DAILY CHAMP AYAM'!$V$10:$V$143)</f>
        <v>0</v>
      </c>
      <c r="P36" s="374">
        <f ca="1">SUMIF('DAILY CHAMP AYAM'!$C$10:$C$144,$C36,'DAILY CHAMP AYAM'!$W$10:$W$143)</f>
        <v>0</v>
      </c>
      <c r="Q36" s="374">
        <f ca="1">SUMIF('DAILY CHAMP AYAM'!$C$10:$C$144,$C36,'DAILY CHAMP AYAM'!$X$10:$X$143)</f>
        <v>0</v>
      </c>
      <c r="R36" s="374">
        <f t="shared" ca="1" si="13"/>
        <v>19.349999999999998</v>
      </c>
      <c r="S36" s="376">
        <f t="shared" ca="1" si="14"/>
        <v>8.6227640972166512E-3</v>
      </c>
      <c r="T36" s="381"/>
      <c r="U36" s="742"/>
      <c r="V36" s="749"/>
      <c r="W36" s="736"/>
      <c r="X36" s="728"/>
      <c r="Y36" s="728"/>
      <c r="Z36" s="728"/>
      <c r="AA36" s="728"/>
    </row>
    <row r="37" spans="2:27" ht="16.5">
      <c r="B37" s="733"/>
      <c r="C37" s="474" t="str">
        <f>+'HASIL PROD'!B33</f>
        <v>QG03708</v>
      </c>
      <c r="D37" s="372">
        <f>SUMIF('HASIL PROD'!$B$4:$B$343,C37,'HASIL PROD'!$H$4:$H$343)</f>
        <v>465</v>
      </c>
      <c r="E37" s="373">
        <f t="shared" si="12"/>
        <v>1523.34</v>
      </c>
      <c r="F37" s="374">
        <f ca="1">SUMIF('DAILY CHAMP AYAM'!$C$10:$C$144,$C37,'DAILY CHAMP AYAM'!$K$10:$K$143)</f>
        <v>4.3</v>
      </c>
      <c r="G37" s="374">
        <f ca="1">SUMIF('DAILY CHAMP AYAM'!$C$10:$C$144,$C37,'DAILY CHAMP AYAM'!$L$10:$L$143)</f>
        <v>8</v>
      </c>
      <c r="H37" s="374">
        <f>SUMIF('DAILY CHAMP AYAM'!$C$10:$C$144,$C37,'DAILY CHAMP AYAM'!$M$9:$N$143)</f>
        <v>0</v>
      </c>
      <c r="I37" s="374">
        <f ca="1">SUMIF('DAILY CHAMP AYAM'!$C$10:$C$144,$C37,'DAILY CHAMP AYAM'!$O$10:$O$143)</f>
        <v>4.46</v>
      </c>
      <c r="J37" s="374">
        <f ca="1">SUMIF('DAILY CHAMP AYAM'!$C$10:$C$144,$C37,'DAILY CHAMP AYAM'!$P$10:$P$143)</f>
        <v>0.3</v>
      </c>
      <c r="K37" s="374">
        <f ca="1">SUMIF('DAILY CHAMP AYAM'!$C$10:$C$144,$C37,'DAILY CHAMP AYAM'!$R$10:$R$143)</f>
        <v>0.8</v>
      </c>
      <c r="L37" s="374">
        <f ca="1">SUMIF('DAILY CHAMP AYAM'!$C$10:$C$144,$C37,'DAILY CHAMP AYAM'!$S$10:$S$143)</f>
        <v>0</v>
      </c>
      <c r="M37" s="374">
        <f ca="1">SUMIF('DAILY CHAMP AYAM'!$C$10:$C$144,$C37,'DAILY CHAMP AYAM'!$T$10:$T$143)</f>
        <v>1.22</v>
      </c>
      <c r="N37" s="374">
        <f ca="1">SUMIF('DAILY CHAMP AYAM'!$C$10:$C$144,$C37,'DAILY CHAMP AYAM'!$U$10:$U$143)</f>
        <v>0</v>
      </c>
      <c r="O37" s="374">
        <f ca="1">SUMIF('DAILY CHAMP AYAM'!$C$10:$C$144,$C37,'DAILY CHAMP AYAM'!$V$10:$V$143)</f>
        <v>0</v>
      </c>
      <c r="P37" s="374">
        <f ca="1">SUMIF('DAILY CHAMP AYAM'!$C$10:$C$144,$C37,'DAILY CHAMP AYAM'!$W$10:$W$143)</f>
        <v>0</v>
      </c>
      <c r="Q37" s="374">
        <f ca="1">SUMIF('DAILY CHAMP AYAM'!$C$10:$C$144,$C37,'DAILY CHAMP AYAM'!$X$10:$X$143)</f>
        <v>0</v>
      </c>
      <c r="R37" s="374">
        <f t="shared" ca="1" si="13"/>
        <v>19.080000000000002</v>
      </c>
      <c r="S37" s="376">
        <f t="shared" ca="1" si="14"/>
        <v>1.2525109299302849E-2</v>
      </c>
      <c r="T37" s="381"/>
      <c r="U37" s="743"/>
      <c r="V37" s="750"/>
      <c r="W37" s="737"/>
      <c r="X37" s="729"/>
      <c r="Y37" s="729"/>
      <c r="Z37" s="729"/>
      <c r="AA37" s="729"/>
    </row>
    <row r="38" spans="2:27" ht="16.5">
      <c r="B38" s="733"/>
      <c r="C38" s="474">
        <f>+'HASIL PROD'!B34</f>
        <v>0</v>
      </c>
      <c r="D38" s="372">
        <f>SUMIF('HASIL PROD'!$B$4:$B$343,C38,'HASIL PROD'!$H$4:$H$343)</f>
        <v>0</v>
      </c>
      <c r="E38" s="373">
        <f t="shared" si="12"/>
        <v>0</v>
      </c>
      <c r="F38" s="374">
        <f ca="1">SUMIF('DAILY CHAMP AYAM'!$C$10:$C$144,$C38,'DAILY CHAMP AYAM'!$K$10:$K$143)</f>
        <v>0</v>
      </c>
      <c r="G38" s="374">
        <f ca="1">SUMIF('DAILY CHAMP AYAM'!$C$10:$C$144,$C38,'DAILY CHAMP AYAM'!$L$10:$L$143)</f>
        <v>0</v>
      </c>
      <c r="H38" s="374">
        <f>SUMIF('DAILY CHAMP AYAM'!$C$10:$C$144,$C38,'DAILY CHAMP AYAM'!$M$9:$N$143)</f>
        <v>0</v>
      </c>
      <c r="I38" s="374">
        <f ca="1">SUMIF('DAILY CHAMP AYAM'!$C$10:$C$144,$C38,'DAILY CHAMP AYAM'!$O$10:$O$143)</f>
        <v>0</v>
      </c>
      <c r="J38" s="374">
        <f ca="1">SUMIF('DAILY CHAMP AYAM'!$C$10:$C$144,$C38,'DAILY CHAMP AYAM'!$P$10:$P$143)</f>
        <v>0</v>
      </c>
      <c r="K38" s="374">
        <f ca="1">SUMIF('DAILY CHAMP AYAM'!$C$10:$C$144,$C38,'DAILY CHAMP AYAM'!$R$10:$R$143)</f>
        <v>0</v>
      </c>
      <c r="L38" s="374">
        <f ca="1">SUMIF('DAILY CHAMP AYAM'!$C$10:$C$144,$C38,'DAILY CHAMP AYAM'!$S$10:$S$143)</f>
        <v>0</v>
      </c>
      <c r="M38" s="374">
        <f ca="1">SUMIF('DAILY CHAMP AYAM'!$C$10:$C$144,$C38,'DAILY CHAMP AYAM'!$T$10:$T$143)</f>
        <v>0</v>
      </c>
      <c r="N38" s="374">
        <f ca="1">SUMIF('DAILY CHAMP AYAM'!$C$10:$C$144,$C38,'DAILY CHAMP AYAM'!$U$10:$U$143)</f>
        <v>0</v>
      </c>
      <c r="O38" s="374">
        <f ca="1">SUMIF('DAILY CHAMP AYAM'!$C$10:$C$144,$C38,'DAILY CHAMP AYAM'!$V$10:$V$143)</f>
        <v>0</v>
      </c>
      <c r="P38" s="374">
        <f ca="1">SUMIF('DAILY CHAMP AYAM'!$C$10:$C$144,$C38,'DAILY CHAMP AYAM'!$W$10:$W$143)</f>
        <v>0</v>
      </c>
      <c r="Q38" s="374">
        <f ca="1">SUMIF('DAILY CHAMP AYAM'!$C$10:$C$144,$C38,'DAILY CHAMP AYAM'!$X$10:$X$143)</f>
        <v>0</v>
      </c>
      <c r="R38" s="374">
        <f t="shared" ref="R38:R39" ca="1" si="15">+SUM(F38:Q38)</f>
        <v>0</v>
      </c>
      <c r="S38" s="376" t="e">
        <f t="shared" ref="S38:S39" ca="1" si="16">+R38/E38</f>
        <v>#DIV/0!</v>
      </c>
      <c r="T38" s="381"/>
      <c r="U38" s="414"/>
      <c r="V38" s="417"/>
      <c r="W38" s="419"/>
      <c r="X38" s="530"/>
      <c r="Y38" s="530"/>
      <c r="Z38" s="530"/>
      <c r="AA38" s="530"/>
    </row>
    <row r="39" spans="2:27" ht="16.5">
      <c r="B39" s="733"/>
      <c r="C39" s="474">
        <f>+'HASIL PROD'!B35</f>
        <v>0</v>
      </c>
      <c r="D39" s="372">
        <f>SUMIF('HASIL PROD'!$B$4:$B$343,C39,'HASIL PROD'!$H$4:$H$343)</f>
        <v>0</v>
      </c>
      <c r="E39" s="373">
        <f t="shared" si="12"/>
        <v>0</v>
      </c>
      <c r="F39" s="374">
        <f ca="1">SUMIF('DAILY CHAMP AYAM'!$C$10:$C$144,$C39,'DAILY CHAMP AYAM'!$K$10:$K$143)</f>
        <v>0</v>
      </c>
      <c r="G39" s="374">
        <f ca="1">SUMIF('DAILY CHAMP AYAM'!$C$10:$C$144,$C39,'DAILY CHAMP AYAM'!$L$10:$L$143)</f>
        <v>0</v>
      </c>
      <c r="H39" s="374">
        <f>SUMIF('DAILY CHAMP AYAM'!$C$10:$C$144,$C39,'DAILY CHAMP AYAM'!$M$9:$N$143)</f>
        <v>0</v>
      </c>
      <c r="I39" s="374">
        <f ca="1">SUMIF('DAILY CHAMP AYAM'!$C$10:$C$144,$C39,'DAILY CHAMP AYAM'!$O$10:$O$143)</f>
        <v>0</v>
      </c>
      <c r="J39" s="374">
        <f ca="1">SUMIF('DAILY CHAMP AYAM'!$C$10:$C$144,$C39,'DAILY CHAMP AYAM'!$P$10:$P$143)</f>
        <v>0</v>
      </c>
      <c r="K39" s="374">
        <f ca="1">SUMIF('DAILY CHAMP AYAM'!$C$10:$C$144,$C39,'DAILY CHAMP AYAM'!$R$10:$R$143)</f>
        <v>0</v>
      </c>
      <c r="L39" s="374">
        <f ca="1">SUMIF('DAILY CHAMP AYAM'!$C$10:$C$144,$C39,'DAILY CHAMP AYAM'!$S$10:$S$143)</f>
        <v>0</v>
      </c>
      <c r="M39" s="374">
        <f ca="1">SUMIF('DAILY CHAMP AYAM'!$C$10:$C$144,$C39,'DAILY CHAMP AYAM'!$T$10:$T$143)</f>
        <v>0</v>
      </c>
      <c r="N39" s="374">
        <f ca="1">SUMIF('DAILY CHAMP AYAM'!$C$10:$C$144,$C39,'DAILY CHAMP AYAM'!$U$10:$U$143)</f>
        <v>0</v>
      </c>
      <c r="O39" s="374">
        <f ca="1">SUMIF('DAILY CHAMP AYAM'!$C$10:$C$144,$C39,'DAILY CHAMP AYAM'!$V$10:$V$143)</f>
        <v>0</v>
      </c>
      <c r="P39" s="374">
        <f ca="1">SUMIF('DAILY CHAMP AYAM'!$C$10:$C$144,$C39,'DAILY CHAMP AYAM'!$W$10:$W$143)</f>
        <v>0</v>
      </c>
      <c r="Q39" s="374">
        <f ca="1">SUMIF('DAILY CHAMP AYAM'!$C$10:$C$144,$C39,'DAILY CHAMP AYAM'!$X$10:$X$143)</f>
        <v>0</v>
      </c>
      <c r="R39" s="374">
        <f t="shared" ca="1" si="15"/>
        <v>0</v>
      </c>
      <c r="S39" s="376" t="e">
        <f t="shared" ca="1" si="16"/>
        <v>#DIV/0!</v>
      </c>
      <c r="T39" s="381"/>
      <c r="U39" s="414"/>
      <c r="V39" s="417"/>
      <c r="W39" s="419"/>
      <c r="X39" s="530"/>
      <c r="Y39" s="530"/>
      <c r="Z39" s="530"/>
      <c r="AA39" s="530"/>
    </row>
    <row r="40" spans="2:27" ht="16.5">
      <c r="B40" s="733"/>
      <c r="C40" s="371"/>
      <c r="D40" s="372"/>
      <c r="E40" s="373"/>
      <c r="F40" s="379"/>
      <c r="G40" s="379"/>
      <c r="H40" s="379"/>
      <c r="I40" s="379"/>
      <c r="J40" s="379"/>
      <c r="K40" s="379"/>
      <c r="L40" s="379"/>
      <c r="M40" s="379"/>
      <c r="N40" s="379"/>
      <c r="O40" s="379"/>
      <c r="P40" s="379"/>
      <c r="Q40" s="379"/>
      <c r="R40" s="374"/>
      <c r="S40" s="380"/>
      <c r="T40" s="381"/>
      <c r="U40" s="404"/>
      <c r="V40" s="405"/>
      <c r="W40" s="401"/>
      <c r="X40" s="530"/>
      <c r="Y40" s="530"/>
      <c r="Z40" s="530"/>
      <c r="AA40" s="530"/>
    </row>
    <row r="41" spans="2:27" ht="16.5">
      <c r="B41" s="734"/>
      <c r="C41" s="385" t="s">
        <v>118</v>
      </c>
      <c r="D41" s="386">
        <f t="shared" ref="D41:R41" si="17">SUM(D30:D40)</f>
        <v>4321</v>
      </c>
      <c r="E41" s="387">
        <f t="shared" si="17"/>
        <v>14155.596</v>
      </c>
      <c r="F41" s="388">
        <f t="shared" ca="1" si="17"/>
        <v>60.440000000000005</v>
      </c>
      <c r="G41" s="388">
        <f t="shared" ca="1" si="17"/>
        <v>77.050000000000011</v>
      </c>
      <c r="H41" s="388">
        <f t="shared" si="17"/>
        <v>0</v>
      </c>
      <c r="I41" s="388">
        <f t="shared" ca="1" si="17"/>
        <v>71.2</v>
      </c>
      <c r="J41" s="388">
        <f t="shared" ca="1" si="17"/>
        <v>2.8899999999999997</v>
      </c>
      <c r="K41" s="388">
        <f t="shared" ca="1" si="17"/>
        <v>1.1000000000000001</v>
      </c>
      <c r="L41" s="388">
        <f t="shared" ca="1" si="17"/>
        <v>1.8499999999999999</v>
      </c>
      <c r="M41" s="388">
        <f t="shared" ca="1" si="17"/>
        <v>10.100000000000001</v>
      </c>
      <c r="N41" s="388">
        <f t="shared" ca="1" si="17"/>
        <v>0</v>
      </c>
      <c r="O41" s="388">
        <f t="shared" ca="1" si="17"/>
        <v>0</v>
      </c>
      <c r="P41" s="388">
        <f t="shared" ca="1" si="17"/>
        <v>0</v>
      </c>
      <c r="Q41" s="388">
        <f t="shared" ca="1" si="17"/>
        <v>0</v>
      </c>
      <c r="R41" s="388">
        <f t="shared" ca="1" si="17"/>
        <v>224.62999999999997</v>
      </c>
      <c r="S41" s="389"/>
      <c r="T41" s="402"/>
      <c r="U41" s="388"/>
      <c r="V41" s="389"/>
      <c r="W41" s="389"/>
      <c r="X41" s="530"/>
      <c r="Y41" s="530"/>
      <c r="Z41" s="530"/>
      <c r="AA41" s="530"/>
    </row>
    <row r="42" spans="2:27" ht="16.5">
      <c r="B42" s="406"/>
      <c r="C42" s="393" t="s">
        <v>114</v>
      </c>
      <c r="D42" s="394"/>
      <c r="E42" s="395"/>
      <c r="F42" s="396">
        <f ca="1">+F41/$E41</f>
        <v>4.2696895277316484E-3</v>
      </c>
      <c r="G42" s="396">
        <f t="shared" ref="G42:Q42" ca="1" si="18">+G41/$E41</f>
        <v>5.4430770700152793E-3</v>
      </c>
      <c r="H42" s="396">
        <f t="shared" si="18"/>
        <v>0</v>
      </c>
      <c r="I42" s="396">
        <f t="shared" ca="1" si="18"/>
        <v>5.0298129446474738E-3</v>
      </c>
      <c r="J42" s="396">
        <f t="shared" ca="1" si="18"/>
        <v>2.0415954227571907E-4</v>
      </c>
      <c r="K42" s="396">
        <f t="shared" ca="1" si="18"/>
        <v>7.7707784257194119E-5</v>
      </c>
      <c r="L42" s="396">
        <f t="shared" ca="1" si="18"/>
        <v>1.3069036443255373E-4</v>
      </c>
      <c r="M42" s="396">
        <f t="shared" ca="1" si="18"/>
        <v>7.1349874636150972E-4</v>
      </c>
      <c r="N42" s="396">
        <f t="shared" ca="1" si="18"/>
        <v>0</v>
      </c>
      <c r="O42" s="396">
        <f t="shared" ca="1" si="18"/>
        <v>0</v>
      </c>
      <c r="P42" s="396">
        <f t="shared" ca="1" si="18"/>
        <v>0</v>
      </c>
      <c r="Q42" s="396">
        <f t="shared" ca="1" si="18"/>
        <v>0</v>
      </c>
      <c r="R42" s="482">
        <f ca="1">+R41/$E41</f>
        <v>1.5868635979721376E-2</v>
      </c>
      <c r="S42" s="399"/>
      <c r="T42" s="402"/>
      <c r="U42" s="400"/>
      <c r="V42" s="389"/>
      <c r="W42" s="389"/>
      <c r="X42" s="530"/>
      <c r="Y42" s="530"/>
      <c r="Z42" s="530"/>
      <c r="AA42" s="530"/>
    </row>
    <row r="43" spans="2:27" ht="16.5">
      <c r="B43" s="732" t="s">
        <v>179</v>
      </c>
      <c r="C43" s="474" t="str">
        <f>+'HASIL PROD'!B136</f>
        <v>QG13701</v>
      </c>
      <c r="D43" s="372">
        <f>SUMIF('HASIL PROD'!$B$4:$B$343,C43,'HASIL PROD'!$H$4:$H$343)</f>
        <v>438</v>
      </c>
      <c r="E43" s="373">
        <f t="shared" ref="E43:E52" si="19">+D43*3.276</f>
        <v>1434.8879999999999</v>
      </c>
      <c r="F43" s="374">
        <f ca="1">SUMIF('DAILY CHAMP AYAM'!$C$10:$C$144,$C43,'DAILY CHAMP AYAM'!$K$10:$K$143)</f>
        <v>4.2</v>
      </c>
      <c r="G43" s="374">
        <f ca="1">SUMIF('DAILY CHAMP AYAM'!$C$10:$C$144,$C43,'DAILY CHAMP AYAM'!$L$10:$L$143)</f>
        <v>13.37</v>
      </c>
      <c r="H43" s="374">
        <f>SUMIF('DAILY CHAMP AYAM'!$C$10:$C$144,$C43,'DAILY CHAMP AYAM'!$M$9:$N$143)</f>
        <v>0</v>
      </c>
      <c r="I43" s="374">
        <f ca="1">SUMIF('DAILY CHAMP AYAM'!$C$10:$C$144,$C43,'DAILY CHAMP AYAM'!$O$10:$O$143)</f>
        <v>4.5</v>
      </c>
      <c r="J43" s="374">
        <f ca="1">SUMIF('DAILY CHAMP AYAM'!$C$10:$C$144,$C43,'DAILY CHAMP AYAM'!$P$10:$P$143)</f>
        <v>0.6</v>
      </c>
      <c r="K43" s="374">
        <f ca="1">SUMIF('DAILY CHAMP AYAM'!$C$10:$C$144,$C43,'DAILY CHAMP AYAM'!$R$10:$R$143)</f>
        <v>1.95</v>
      </c>
      <c r="L43" s="374">
        <f ca="1">SUMIF('DAILY CHAMP AYAM'!$C$10:$C$144,$C43,'DAILY CHAMP AYAM'!$S$10:$S$143)</f>
        <v>0</v>
      </c>
      <c r="M43" s="374">
        <f ca="1">SUMIF('DAILY CHAMP AYAM'!$C$10:$C$144,$C43,'DAILY CHAMP AYAM'!$T$10:$T$143)</f>
        <v>0.49</v>
      </c>
      <c r="N43" s="374">
        <f ca="1">SUMIF('DAILY CHAMP AYAM'!$C$10:$C$144,$C43,'DAILY CHAMP AYAM'!$U$10:$U$143)</f>
        <v>0</v>
      </c>
      <c r="O43" s="374">
        <f ca="1">SUMIF('DAILY CHAMP AYAM'!$C$10:$C$144,$C43,'DAILY CHAMP AYAM'!$V$10:$V$143)</f>
        <v>0</v>
      </c>
      <c r="P43" s="374">
        <f ca="1">SUMIF('DAILY CHAMP AYAM'!$C$10:$C$144,$C43,'DAILY CHAMP AYAM'!$W$10:$W$143)</f>
        <v>0</v>
      </c>
      <c r="Q43" s="374">
        <f ca="1">SUMIF('DAILY CHAMP AYAM'!$C$10:$C$144,$C43,'DAILY CHAMP AYAM'!$X$10:$X$143)</f>
        <v>0</v>
      </c>
      <c r="R43" s="374">
        <f t="shared" ref="R43:R50" ca="1" si="20">+SUM(F43:Q43)</f>
        <v>25.11</v>
      </c>
      <c r="S43" s="376">
        <f t="shared" ref="S43:S52" ca="1" si="21">+R43/E43</f>
        <v>1.7499623664007227E-2</v>
      </c>
      <c r="T43" s="381"/>
      <c r="U43" s="493">
        <f ca="1">SUM(R43:R43)</f>
        <v>25.11</v>
      </c>
      <c r="V43" s="528">
        <f ca="1">+U43/(SUM(E43:E43))</f>
        <v>1.7499623664007227E-2</v>
      </c>
      <c r="W43" s="378" t="s">
        <v>339</v>
      </c>
      <c r="X43" s="530" t="s">
        <v>319</v>
      </c>
      <c r="Y43" s="530" t="s">
        <v>312</v>
      </c>
      <c r="Z43" s="530" t="s">
        <v>313</v>
      </c>
      <c r="AA43" s="530" t="s">
        <v>314</v>
      </c>
    </row>
    <row r="44" spans="2:27" ht="16.5">
      <c r="B44" s="733"/>
      <c r="C44" s="474">
        <f>+'HASIL PROD'!B137</f>
        <v>0</v>
      </c>
      <c r="D44" s="372">
        <f>SUMIF('HASIL PROD'!$B$4:$B$343,C44,'HASIL PROD'!$H$4:$H$343)</f>
        <v>0</v>
      </c>
      <c r="E44" s="373">
        <f t="shared" si="19"/>
        <v>0</v>
      </c>
      <c r="F44" s="374">
        <f ca="1">SUMIF('DAILY CHAMP AYAM'!$C$10:$C$144,$C44,'DAILY CHAMP AYAM'!$K$10:$K$143)</f>
        <v>0</v>
      </c>
      <c r="G44" s="374">
        <f ca="1">SUMIF('DAILY CHAMP AYAM'!$C$10:$C$144,$C44,'DAILY CHAMP AYAM'!$L$10:$L$143)</f>
        <v>0</v>
      </c>
      <c r="H44" s="374">
        <f>SUMIF('DAILY CHAMP AYAM'!$C$10:$C$144,$C44,'DAILY CHAMP AYAM'!$M$9:$N$143)</f>
        <v>0</v>
      </c>
      <c r="I44" s="374">
        <f ca="1">SUMIF('DAILY CHAMP AYAM'!$C$10:$C$144,$C44,'DAILY CHAMP AYAM'!$O$10:$O$143)</f>
        <v>0</v>
      </c>
      <c r="J44" s="374">
        <f ca="1">SUMIF('DAILY CHAMP AYAM'!$C$10:$C$144,$C44,'DAILY CHAMP AYAM'!$P$10:$P$143)</f>
        <v>0</v>
      </c>
      <c r="K44" s="374">
        <f ca="1">SUMIF('DAILY CHAMP AYAM'!$C$10:$C$144,$C44,'DAILY CHAMP AYAM'!$R$10:$R$143)</f>
        <v>0</v>
      </c>
      <c r="L44" s="374">
        <f ca="1">SUMIF('DAILY CHAMP AYAM'!$C$10:$C$144,$C44,'DAILY CHAMP AYAM'!$S$10:$S$143)</f>
        <v>0</v>
      </c>
      <c r="M44" s="374">
        <f ca="1">SUMIF('DAILY CHAMP AYAM'!$C$10:$C$144,$C44,'DAILY CHAMP AYAM'!$T$10:$T$143)</f>
        <v>0</v>
      </c>
      <c r="N44" s="374">
        <f ca="1">SUMIF('DAILY CHAMP AYAM'!$C$10:$C$144,$C44,'DAILY CHAMP AYAM'!$U$10:$U$143)</f>
        <v>0</v>
      </c>
      <c r="O44" s="374">
        <f ca="1">SUMIF('DAILY CHAMP AYAM'!$C$10:$C$144,$C44,'DAILY CHAMP AYAM'!$V$10:$V$143)</f>
        <v>0</v>
      </c>
      <c r="P44" s="374">
        <f ca="1">SUMIF('DAILY CHAMP AYAM'!$C$10:$C$144,$C44,'DAILY CHAMP AYAM'!$W$10:$W$143)</f>
        <v>0</v>
      </c>
      <c r="Q44" s="374">
        <f ca="1">SUMIF('DAILY CHAMP AYAM'!$C$10:$C$144,$C44,'DAILY CHAMP AYAM'!$X$10:$X$143)</f>
        <v>0</v>
      </c>
      <c r="R44" s="374">
        <f t="shared" ca="1" si="20"/>
        <v>0</v>
      </c>
      <c r="S44" s="376" t="e">
        <f t="shared" ca="1" si="21"/>
        <v>#DIV/0!</v>
      </c>
      <c r="T44" s="381"/>
      <c r="U44" s="404"/>
      <c r="V44" s="405"/>
      <c r="W44" s="500"/>
      <c r="X44" s="530"/>
      <c r="Y44" s="530"/>
      <c r="Z44" s="530"/>
      <c r="AA44" s="530"/>
    </row>
    <row r="45" spans="2:27" ht="16.5">
      <c r="B45" s="733"/>
      <c r="C45" s="474">
        <f>+'HASIL PROD'!B138</f>
        <v>0</v>
      </c>
      <c r="D45" s="372">
        <f>SUMIF('HASIL PROD'!$B$4:$B$343,C45,'HASIL PROD'!$H$4:$H$343)</f>
        <v>0</v>
      </c>
      <c r="E45" s="373">
        <f t="shared" si="19"/>
        <v>0</v>
      </c>
      <c r="F45" s="374">
        <f ca="1">SUMIF('DAILY CHAMP AYAM'!$C$10:$C$144,$C45,'DAILY CHAMP AYAM'!$K$10:$K$143)</f>
        <v>0</v>
      </c>
      <c r="G45" s="374">
        <f ca="1">SUMIF('DAILY CHAMP AYAM'!$C$10:$C$144,$C45,'DAILY CHAMP AYAM'!$L$10:$L$143)</f>
        <v>0</v>
      </c>
      <c r="H45" s="374">
        <f>SUMIF('DAILY CHAMP AYAM'!$C$10:$C$144,$C45,'DAILY CHAMP AYAM'!$M$9:$N$143)</f>
        <v>0</v>
      </c>
      <c r="I45" s="374">
        <f ca="1">SUMIF('DAILY CHAMP AYAM'!$C$10:$C$144,$C45,'DAILY CHAMP AYAM'!$O$10:$O$143)</f>
        <v>0</v>
      </c>
      <c r="J45" s="374">
        <f ca="1">SUMIF('DAILY CHAMP AYAM'!$C$10:$C$144,$C45,'DAILY CHAMP AYAM'!$P$10:$P$143)</f>
        <v>0</v>
      </c>
      <c r="K45" s="374">
        <f ca="1">SUMIF('DAILY CHAMP AYAM'!$C$10:$C$144,$C45,'DAILY CHAMP AYAM'!$R$10:$R$143)</f>
        <v>0</v>
      </c>
      <c r="L45" s="374">
        <f ca="1">SUMIF('DAILY CHAMP AYAM'!$C$10:$C$144,$C45,'DAILY CHAMP AYAM'!$S$10:$S$143)</f>
        <v>0</v>
      </c>
      <c r="M45" s="374">
        <f ca="1">SUMIF('DAILY CHAMP AYAM'!$C$10:$C$144,$C45,'DAILY CHAMP AYAM'!$T$10:$T$143)</f>
        <v>0</v>
      </c>
      <c r="N45" s="374">
        <f ca="1">SUMIF('DAILY CHAMP AYAM'!$C$10:$C$144,$C45,'DAILY CHAMP AYAM'!$U$10:$U$143)</f>
        <v>0</v>
      </c>
      <c r="O45" s="374">
        <f ca="1">SUMIF('DAILY CHAMP AYAM'!$C$10:$C$144,$C45,'DAILY CHAMP AYAM'!$V$10:$V$143)</f>
        <v>0</v>
      </c>
      <c r="P45" s="374">
        <f ca="1">SUMIF('DAILY CHAMP AYAM'!$C$10:$C$144,$C45,'DAILY CHAMP AYAM'!$W$10:$W$143)</f>
        <v>0</v>
      </c>
      <c r="Q45" s="374">
        <f ca="1">SUMIF('DAILY CHAMP AYAM'!$C$10:$C$144,$C45,'DAILY CHAMP AYAM'!$X$10:$X$143)</f>
        <v>0</v>
      </c>
      <c r="R45" s="374">
        <f t="shared" ca="1" si="20"/>
        <v>0</v>
      </c>
      <c r="S45" s="376" t="e">
        <f t="shared" ca="1" si="21"/>
        <v>#DIV/0!</v>
      </c>
      <c r="T45" s="381"/>
      <c r="U45" s="404"/>
      <c r="V45" s="405"/>
      <c r="W45" s="378"/>
      <c r="X45" s="530"/>
      <c r="Y45" s="530"/>
      <c r="Z45" s="530"/>
      <c r="AA45" s="530"/>
    </row>
    <row r="46" spans="2:27" ht="16.5">
      <c r="B46" s="733"/>
      <c r="C46" s="474">
        <f>+'HASIL PROD'!B139</f>
        <v>0</v>
      </c>
      <c r="D46" s="372">
        <f>SUMIF('HASIL PROD'!$B$4:$B$343,C46,'HASIL PROD'!$H$4:$H$343)</f>
        <v>0</v>
      </c>
      <c r="E46" s="373">
        <f t="shared" si="19"/>
        <v>0</v>
      </c>
      <c r="F46" s="374">
        <f ca="1">SUMIF('DAILY CHAMP AYAM'!$C$10:$C$144,$C46,'DAILY CHAMP AYAM'!$K$10:$K$143)</f>
        <v>0</v>
      </c>
      <c r="G46" s="374">
        <f ca="1">SUMIF('DAILY CHAMP AYAM'!$C$10:$C$144,$C46,'DAILY CHAMP AYAM'!$L$10:$L$143)</f>
        <v>0</v>
      </c>
      <c r="H46" s="374">
        <f>SUMIF('DAILY CHAMP AYAM'!$C$10:$C$144,$C46,'DAILY CHAMP AYAM'!$M$9:$N$143)</f>
        <v>0</v>
      </c>
      <c r="I46" s="374">
        <f ca="1">SUMIF('DAILY CHAMP AYAM'!$C$10:$C$144,$C46,'DAILY CHAMP AYAM'!$O$10:$O$143)</f>
        <v>0</v>
      </c>
      <c r="J46" s="374">
        <f ca="1">SUMIF('DAILY CHAMP AYAM'!$C$10:$C$144,$C46,'DAILY CHAMP AYAM'!$P$10:$P$143)</f>
        <v>0</v>
      </c>
      <c r="K46" s="374">
        <f ca="1">SUMIF('DAILY CHAMP AYAM'!$C$10:$C$144,$C46,'DAILY CHAMP AYAM'!$R$10:$R$143)</f>
        <v>0</v>
      </c>
      <c r="L46" s="374">
        <f ca="1">SUMIF('DAILY CHAMP AYAM'!$C$10:$C$144,$C46,'DAILY CHAMP AYAM'!$S$10:$S$143)</f>
        <v>0</v>
      </c>
      <c r="M46" s="374">
        <f ca="1">SUMIF('DAILY CHAMP AYAM'!$C$10:$C$144,$C46,'DAILY CHAMP AYAM'!$T$10:$T$143)</f>
        <v>0</v>
      </c>
      <c r="N46" s="374">
        <f ca="1">SUMIF('DAILY CHAMP AYAM'!$C$10:$C$144,$C46,'DAILY CHAMP AYAM'!$U$10:$U$143)</f>
        <v>0</v>
      </c>
      <c r="O46" s="374">
        <f ca="1">SUMIF('DAILY CHAMP AYAM'!$C$10:$C$144,$C46,'DAILY CHAMP AYAM'!$V$10:$V$143)</f>
        <v>0</v>
      </c>
      <c r="P46" s="374">
        <f ca="1">SUMIF('DAILY CHAMP AYAM'!$C$10:$C$144,$C46,'DAILY CHAMP AYAM'!$W$10:$W$143)</f>
        <v>0</v>
      </c>
      <c r="Q46" s="374">
        <f ca="1">SUMIF('DAILY CHAMP AYAM'!$C$10:$C$144,$C46,'DAILY CHAMP AYAM'!$X$10:$X$143)</f>
        <v>0</v>
      </c>
      <c r="R46" s="374">
        <f t="shared" ca="1" si="20"/>
        <v>0</v>
      </c>
      <c r="S46" s="376" t="e">
        <f t="shared" ca="1" si="21"/>
        <v>#DIV/0!</v>
      </c>
      <c r="T46" s="381"/>
      <c r="U46" s="404"/>
      <c r="V46" s="405"/>
      <c r="W46" s="378"/>
      <c r="X46" s="530"/>
      <c r="Y46" s="530"/>
      <c r="Z46" s="530"/>
      <c r="AA46" s="530"/>
    </row>
    <row r="47" spans="2:27" ht="16.5">
      <c r="B47" s="733"/>
      <c r="C47" s="474">
        <f>+'HASIL PROD'!B140</f>
        <v>0</v>
      </c>
      <c r="D47" s="372">
        <f>SUMIF('HASIL PROD'!$B$4:$B$343,C47,'HASIL PROD'!$H$4:$H$343)</f>
        <v>0</v>
      </c>
      <c r="E47" s="373">
        <f t="shared" si="19"/>
        <v>0</v>
      </c>
      <c r="F47" s="374">
        <f ca="1">SUMIF('DAILY CHAMP AYAM'!$C$10:$C$144,$C47,'DAILY CHAMP AYAM'!$K$10:$K$143)</f>
        <v>0</v>
      </c>
      <c r="G47" s="374">
        <f ca="1">SUMIF('DAILY CHAMP AYAM'!$C$10:$C$144,$C47,'DAILY CHAMP AYAM'!$L$10:$L$143)</f>
        <v>0</v>
      </c>
      <c r="H47" s="374">
        <f>SUMIF('DAILY CHAMP AYAM'!$C$10:$C$144,$C47,'DAILY CHAMP AYAM'!$M$9:$N$143)</f>
        <v>0</v>
      </c>
      <c r="I47" s="374">
        <f ca="1">SUMIF('DAILY CHAMP AYAM'!$C$10:$C$144,$C47,'DAILY CHAMP AYAM'!$O$10:$O$143)</f>
        <v>0</v>
      </c>
      <c r="J47" s="374">
        <f ca="1">SUMIF('DAILY CHAMP AYAM'!$C$10:$C$144,$C47,'DAILY CHAMP AYAM'!$P$10:$P$143)</f>
        <v>0</v>
      </c>
      <c r="K47" s="374">
        <f ca="1">SUMIF('DAILY CHAMP AYAM'!$C$10:$C$144,$C47,'DAILY CHAMP AYAM'!$R$10:$R$143)</f>
        <v>0</v>
      </c>
      <c r="L47" s="374">
        <f ca="1">SUMIF('DAILY CHAMP AYAM'!$C$10:$C$144,$C47,'DAILY CHAMP AYAM'!$S$10:$S$143)</f>
        <v>0</v>
      </c>
      <c r="M47" s="374">
        <f ca="1">SUMIF('DAILY CHAMP AYAM'!$C$10:$C$144,$C47,'DAILY CHAMP AYAM'!$T$10:$T$143)</f>
        <v>0</v>
      </c>
      <c r="N47" s="374">
        <f ca="1">SUMIF('DAILY CHAMP AYAM'!$C$10:$C$144,$C47,'DAILY CHAMP AYAM'!$U$10:$U$143)</f>
        <v>0</v>
      </c>
      <c r="O47" s="374">
        <f ca="1">SUMIF('DAILY CHAMP AYAM'!$C$10:$C$144,$C47,'DAILY CHAMP AYAM'!$V$10:$V$143)</f>
        <v>0</v>
      </c>
      <c r="P47" s="374">
        <f ca="1">SUMIF('DAILY CHAMP AYAM'!$C$10:$C$144,$C47,'DAILY CHAMP AYAM'!$W$10:$W$143)</f>
        <v>0</v>
      </c>
      <c r="Q47" s="374">
        <f ca="1">SUMIF('DAILY CHAMP AYAM'!$C$10:$C$144,$C47,'DAILY CHAMP AYAM'!$X$10:$X$143)</f>
        <v>0</v>
      </c>
      <c r="R47" s="374">
        <f t="shared" ca="1" si="20"/>
        <v>0</v>
      </c>
      <c r="S47" s="376" t="e">
        <f t="shared" ca="1" si="21"/>
        <v>#DIV/0!</v>
      </c>
      <c r="T47" s="381"/>
      <c r="U47" s="404"/>
      <c r="V47" s="405"/>
      <c r="W47" s="378"/>
      <c r="X47" s="530"/>
      <c r="Y47" s="530"/>
      <c r="Z47" s="530"/>
      <c r="AA47" s="530"/>
    </row>
    <row r="48" spans="2:27" ht="16.5">
      <c r="B48" s="733"/>
      <c r="C48" s="474">
        <f>+'HASIL PROD'!B141</f>
        <v>0</v>
      </c>
      <c r="D48" s="372">
        <f>SUMIF('HASIL PROD'!$B$4:$B$343,C48,'HASIL PROD'!$H$4:$H$343)</f>
        <v>0</v>
      </c>
      <c r="E48" s="373">
        <f t="shared" si="19"/>
        <v>0</v>
      </c>
      <c r="F48" s="374">
        <f ca="1">SUMIF('DAILY CHAMP AYAM'!$C$10:$C$144,$C48,'DAILY CHAMP AYAM'!$K$10:$K$143)</f>
        <v>0</v>
      </c>
      <c r="G48" s="374">
        <f ca="1">SUMIF('DAILY CHAMP AYAM'!$C$10:$C$144,$C48,'DAILY CHAMP AYAM'!$L$10:$L$143)</f>
        <v>0</v>
      </c>
      <c r="H48" s="374">
        <f>SUMIF('DAILY CHAMP AYAM'!$C$10:$C$144,$C48,'DAILY CHAMP AYAM'!$M$9:$N$143)</f>
        <v>0</v>
      </c>
      <c r="I48" s="374">
        <f ca="1">SUMIF('DAILY CHAMP AYAM'!$C$10:$C$144,$C48,'DAILY CHAMP AYAM'!$O$10:$O$143)</f>
        <v>0</v>
      </c>
      <c r="J48" s="374">
        <f ca="1">SUMIF('DAILY CHAMP AYAM'!$C$10:$C$144,$C48,'DAILY CHAMP AYAM'!$P$10:$P$143)</f>
        <v>0</v>
      </c>
      <c r="K48" s="374">
        <f ca="1">SUMIF('DAILY CHAMP AYAM'!$C$10:$C$144,$C48,'DAILY CHAMP AYAM'!$R$10:$R$143)</f>
        <v>0</v>
      </c>
      <c r="L48" s="374">
        <f ca="1">SUMIF('DAILY CHAMP AYAM'!$C$10:$C$144,$C48,'DAILY CHAMP AYAM'!$S$10:$S$143)</f>
        <v>0</v>
      </c>
      <c r="M48" s="374">
        <f ca="1">SUMIF('DAILY CHAMP AYAM'!$C$10:$C$144,$C48,'DAILY CHAMP AYAM'!$T$10:$T$143)</f>
        <v>0</v>
      </c>
      <c r="N48" s="374">
        <f ca="1">SUMIF('DAILY CHAMP AYAM'!$C$10:$C$144,$C48,'DAILY CHAMP AYAM'!$U$10:$U$143)</f>
        <v>0</v>
      </c>
      <c r="O48" s="374">
        <f ca="1">SUMIF('DAILY CHAMP AYAM'!$C$10:$C$144,$C48,'DAILY CHAMP AYAM'!$V$10:$V$143)</f>
        <v>0</v>
      </c>
      <c r="P48" s="374">
        <f ca="1">SUMIF('DAILY CHAMP AYAM'!$C$10:$C$144,$C48,'DAILY CHAMP AYAM'!$W$10:$W$143)</f>
        <v>0</v>
      </c>
      <c r="Q48" s="374">
        <f ca="1">SUMIF('DAILY CHAMP AYAM'!$C$10:$C$144,$C48,'DAILY CHAMP AYAM'!$X$10:$X$143)</f>
        <v>0</v>
      </c>
      <c r="R48" s="374">
        <f t="shared" ca="1" si="20"/>
        <v>0</v>
      </c>
      <c r="S48" s="376" t="e">
        <f t="shared" ca="1" si="21"/>
        <v>#DIV/0!</v>
      </c>
      <c r="T48" s="381"/>
      <c r="U48" s="404"/>
      <c r="V48" s="405"/>
      <c r="W48" s="378"/>
      <c r="X48" s="530"/>
      <c r="Y48" s="530"/>
      <c r="Z48" s="530"/>
      <c r="AA48" s="530"/>
    </row>
    <row r="49" spans="2:27" ht="16.5">
      <c r="B49" s="733"/>
      <c r="C49" s="474">
        <f>+'HASIL PROD'!B142</f>
        <v>0</v>
      </c>
      <c r="D49" s="372">
        <f>SUMIF('HASIL PROD'!$B$4:$B$343,C49,'HASIL PROD'!$H$4:$H$343)</f>
        <v>0</v>
      </c>
      <c r="E49" s="373">
        <f t="shared" si="19"/>
        <v>0</v>
      </c>
      <c r="F49" s="374">
        <f ca="1">SUMIF('DAILY CHAMP AYAM'!$C$10:$C$144,$C49,'DAILY CHAMP AYAM'!$K$10:$K$143)</f>
        <v>0</v>
      </c>
      <c r="G49" s="374">
        <f ca="1">SUMIF('DAILY CHAMP AYAM'!$C$10:$C$144,$C49,'DAILY CHAMP AYAM'!$L$10:$L$143)</f>
        <v>0</v>
      </c>
      <c r="H49" s="374">
        <f>SUMIF('DAILY CHAMP AYAM'!$C$10:$C$144,$C49,'DAILY CHAMP AYAM'!$M$9:$N$143)</f>
        <v>0</v>
      </c>
      <c r="I49" s="374">
        <f ca="1">SUMIF('DAILY CHAMP AYAM'!$C$10:$C$144,$C49,'DAILY CHAMP AYAM'!$O$10:$O$143)</f>
        <v>0</v>
      </c>
      <c r="J49" s="374">
        <f ca="1">SUMIF('DAILY CHAMP AYAM'!$C$10:$C$144,$C49,'DAILY CHAMP AYAM'!$P$10:$P$143)</f>
        <v>0</v>
      </c>
      <c r="K49" s="374">
        <f ca="1">SUMIF('DAILY CHAMP AYAM'!$C$10:$C$144,$C49,'DAILY CHAMP AYAM'!$R$10:$R$143)</f>
        <v>0</v>
      </c>
      <c r="L49" s="374">
        <f ca="1">SUMIF('DAILY CHAMP AYAM'!$C$10:$C$144,$C49,'DAILY CHAMP AYAM'!$S$10:$S$143)</f>
        <v>0</v>
      </c>
      <c r="M49" s="374">
        <f ca="1">SUMIF('DAILY CHAMP AYAM'!$C$10:$C$144,$C49,'DAILY CHAMP AYAM'!$T$10:$T$143)</f>
        <v>0</v>
      </c>
      <c r="N49" s="374">
        <f ca="1">SUMIF('DAILY CHAMP AYAM'!$C$10:$C$144,$C49,'DAILY CHAMP AYAM'!$U$10:$U$143)</f>
        <v>0</v>
      </c>
      <c r="O49" s="374">
        <f ca="1">SUMIF('DAILY CHAMP AYAM'!$C$10:$C$144,$C49,'DAILY CHAMP AYAM'!$V$10:$V$143)</f>
        <v>0</v>
      </c>
      <c r="P49" s="374">
        <f ca="1">SUMIF('DAILY CHAMP AYAM'!$C$10:$C$144,$C49,'DAILY CHAMP AYAM'!$W$10:$W$143)</f>
        <v>0</v>
      </c>
      <c r="Q49" s="374">
        <f ca="1">SUMIF('DAILY CHAMP AYAM'!$C$10:$C$144,$C49,'DAILY CHAMP AYAM'!$X$10:$X$143)</f>
        <v>0</v>
      </c>
      <c r="R49" s="374">
        <f t="shared" ca="1" si="20"/>
        <v>0</v>
      </c>
      <c r="S49" s="376" t="e">
        <f t="shared" ca="1" si="21"/>
        <v>#DIV/0!</v>
      </c>
      <c r="T49" s="381"/>
      <c r="U49" s="404"/>
      <c r="V49" s="405"/>
      <c r="W49" s="378"/>
      <c r="X49" s="530"/>
      <c r="Y49" s="530"/>
      <c r="Z49" s="530"/>
      <c r="AA49" s="530"/>
    </row>
    <row r="50" spans="2:27" ht="16.5">
      <c r="B50" s="733"/>
      <c r="C50" s="474">
        <f>+'HASIL PROD'!B143</f>
        <v>0</v>
      </c>
      <c r="D50" s="372">
        <f>SUMIF('HASIL PROD'!$B$4:$B$343,C50,'HASIL PROD'!$H$4:$H$343)</f>
        <v>0</v>
      </c>
      <c r="E50" s="373">
        <f t="shared" si="19"/>
        <v>0</v>
      </c>
      <c r="F50" s="374">
        <f ca="1">SUMIF('DAILY CHAMP AYAM'!$C$10:$C$144,$C50,'DAILY CHAMP AYAM'!$K$10:$K$143)</f>
        <v>0</v>
      </c>
      <c r="G50" s="374">
        <f ca="1">SUMIF('DAILY CHAMP AYAM'!$C$10:$C$144,$C50,'DAILY CHAMP AYAM'!$L$10:$L$143)</f>
        <v>0</v>
      </c>
      <c r="H50" s="374">
        <f>SUMIF('DAILY CHAMP AYAM'!$C$10:$C$144,$C50,'DAILY CHAMP AYAM'!$M$9:$N$143)</f>
        <v>0</v>
      </c>
      <c r="I50" s="374">
        <f ca="1">SUMIF('DAILY CHAMP AYAM'!$C$10:$C$144,$C50,'DAILY CHAMP AYAM'!$O$10:$O$143)</f>
        <v>0</v>
      </c>
      <c r="J50" s="374">
        <f ca="1">SUMIF('DAILY CHAMP AYAM'!$C$10:$C$144,$C50,'DAILY CHAMP AYAM'!$P$10:$P$143)</f>
        <v>0</v>
      </c>
      <c r="K50" s="374">
        <f ca="1">SUMIF('DAILY CHAMP AYAM'!$C$10:$C$144,$C50,'DAILY CHAMP AYAM'!$R$10:$R$143)</f>
        <v>0</v>
      </c>
      <c r="L50" s="374">
        <f ca="1">SUMIF('DAILY CHAMP AYAM'!$C$10:$C$144,$C50,'DAILY CHAMP AYAM'!$S$10:$S$143)</f>
        <v>0</v>
      </c>
      <c r="M50" s="374">
        <f ca="1">SUMIF('DAILY CHAMP AYAM'!$C$10:$C$144,$C50,'DAILY CHAMP AYAM'!$T$10:$T$143)</f>
        <v>0</v>
      </c>
      <c r="N50" s="374">
        <f ca="1">SUMIF('DAILY CHAMP AYAM'!$C$10:$C$144,$C50,'DAILY CHAMP AYAM'!$U$10:$U$143)</f>
        <v>0</v>
      </c>
      <c r="O50" s="374">
        <f ca="1">SUMIF('DAILY CHAMP AYAM'!$C$10:$C$144,$C50,'DAILY CHAMP AYAM'!$V$10:$V$143)</f>
        <v>0</v>
      </c>
      <c r="P50" s="374">
        <f ca="1">SUMIF('DAILY CHAMP AYAM'!$C$10:$C$144,$C50,'DAILY CHAMP AYAM'!$W$10:$W$143)</f>
        <v>0</v>
      </c>
      <c r="Q50" s="374">
        <f ca="1">SUMIF('DAILY CHAMP AYAM'!$C$10:$C$144,$C50,'DAILY CHAMP AYAM'!$X$10:$X$143)</f>
        <v>0</v>
      </c>
      <c r="R50" s="374">
        <f t="shared" ca="1" si="20"/>
        <v>0</v>
      </c>
      <c r="S50" s="376" t="e">
        <f t="shared" ca="1" si="21"/>
        <v>#DIV/0!</v>
      </c>
      <c r="T50" s="381"/>
      <c r="U50" s="404"/>
      <c r="V50" s="405"/>
      <c r="W50" s="378"/>
      <c r="X50" s="530"/>
      <c r="Y50" s="530"/>
      <c r="Z50" s="530"/>
      <c r="AA50" s="530"/>
    </row>
    <row r="51" spans="2:27" ht="16.5">
      <c r="B51" s="733"/>
      <c r="C51" s="474">
        <f>+'HASIL PROD'!B144</f>
        <v>0</v>
      </c>
      <c r="D51" s="372">
        <f>SUMIF('HASIL PROD'!$B$4:$B$343,C51,'HASIL PROD'!$H$4:$H$343)</f>
        <v>0</v>
      </c>
      <c r="E51" s="373">
        <f t="shared" si="19"/>
        <v>0</v>
      </c>
      <c r="F51" s="374">
        <f ca="1">SUMIF('DAILY CHAMP AYAM'!$C$10:$C$144,$C51,'DAILY CHAMP AYAM'!$K$10:$K$143)</f>
        <v>0</v>
      </c>
      <c r="G51" s="374">
        <f ca="1">SUMIF('DAILY CHAMP AYAM'!$C$10:$C$144,$C51,'DAILY CHAMP AYAM'!$L$10:$L$143)</f>
        <v>0</v>
      </c>
      <c r="H51" s="374">
        <f>SUMIF('DAILY CHAMP AYAM'!$C$10:$C$144,$C51,'DAILY CHAMP AYAM'!$M$9:$N$143)</f>
        <v>0</v>
      </c>
      <c r="I51" s="374">
        <f ca="1">SUMIF('DAILY CHAMP AYAM'!$C$10:$C$144,$C51,'DAILY CHAMP AYAM'!$O$10:$O$143)</f>
        <v>0</v>
      </c>
      <c r="J51" s="374">
        <f ca="1">SUMIF('DAILY CHAMP AYAM'!$C$10:$C$144,$C51,'DAILY CHAMP AYAM'!$P$10:$P$143)</f>
        <v>0</v>
      </c>
      <c r="K51" s="374">
        <f ca="1">SUMIF('DAILY CHAMP AYAM'!$C$10:$C$144,$C51,'DAILY CHAMP AYAM'!$R$10:$R$143)</f>
        <v>0</v>
      </c>
      <c r="L51" s="374">
        <f ca="1">SUMIF('DAILY CHAMP AYAM'!$C$10:$C$144,$C51,'DAILY CHAMP AYAM'!$S$10:$S$143)</f>
        <v>0</v>
      </c>
      <c r="M51" s="374">
        <f ca="1">SUMIF('DAILY CHAMP AYAM'!$C$10:$C$144,$C51,'DAILY CHAMP AYAM'!$T$10:$T$143)</f>
        <v>0</v>
      </c>
      <c r="N51" s="374">
        <f ca="1">SUMIF('DAILY CHAMP AYAM'!$C$10:$C$144,$C51,'DAILY CHAMP AYAM'!$U$10:$U$143)</f>
        <v>0</v>
      </c>
      <c r="O51" s="374">
        <f ca="1">SUMIF('DAILY CHAMP AYAM'!$C$10:$C$144,$C51,'DAILY CHAMP AYAM'!$V$10:$V$143)</f>
        <v>0</v>
      </c>
      <c r="P51" s="374">
        <f ca="1">SUMIF('DAILY CHAMP AYAM'!$C$10:$C$144,$C51,'DAILY CHAMP AYAM'!$W$10:$W$143)</f>
        <v>0</v>
      </c>
      <c r="Q51" s="374">
        <f ca="1">SUMIF('DAILY CHAMP AYAM'!$C$10:$C$144,$C51,'DAILY CHAMP AYAM'!$X$10:$X$143)</f>
        <v>0</v>
      </c>
      <c r="R51" s="374">
        <f t="shared" ref="R51:R52" ca="1" si="22">+SUM(F51:Q51)</f>
        <v>0</v>
      </c>
      <c r="S51" s="376" t="e">
        <f t="shared" ca="1" si="21"/>
        <v>#DIV/0!</v>
      </c>
      <c r="T51" s="381"/>
      <c r="U51" s="494"/>
      <c r="V51" s="495"/>
      <c r="W51" s="492"/>
      <c r="X51" s="530"/>
      <c r="Y51" s="530"/>
      <c r="Z51" s="530"/>
      <c r="AA51" s="530"/>
    </row>
    <row r="52" spans="2:27" ht="16.5">
      <c r="B52" s="733"/>
      <c r="C52" s="474">
        <f>+'HASIL PROD'!B145</f>
        <v>0</v>
      </c>
      <c r="D52" s="372">
        <f>SUMIF('HASIL PROD'!$B$4:$B$343,C52,'HASIL PROD'!$H$4:$H$343)</f>
        <v>0</v>
      </c>
      <c r="E52" s="373">
        <f t="shared" si="19"/>
        <v>0</v>
      </c>
      <c r="F52" s="374">
        <f ca="1">SUMIF('DAILY CHAMP AYAM'!$C$10:$C$144,$C52,'DAILY CHAMP AYAM'!$K$10:$K$143)</f>
        <v>0</v>
      </c>
      <c r="G52" s="374">
        <f ca="1">SUMIF('DAILY CHAMP AYAM'!$C$10:$C$144,$C52,'DAILY CHAMP AYAM'!$L$10:$L$143)</f>
        <v>0</v>
      </c>
      <c r="H52" s="374">
        <f>SUMIF('DAILY CHAMP AYAM'!$C$10:$C$144,$C52,'DAILY CHAMP AYAM'!$M$9:$N$143)</f>
        <v>0</v>
      </c>
      <c r="I52" s="374">
        <f ca="1">SUMIF('DAILY CHAMP AYAM'!$C$10:$C$144,$C52,'DAILY CHAMP AYAM'!$O$10:$O$143)</f>
        <v>0</v>
      </c>
      <c r="J52" s="374">
        <f ca="1">SUMIF('DAILY CHAMP AYAM'!$C$10:$C$144,$C52,'DAILY CHAMP AYAM'!$P$10:$P$143)</f>
        <v>0</v>
      </c>
      <c r="K52" s="374">
        <f ca="1">SUMIF('DAILY CHAMP AYAM'!$C$10:$C$144,$C52,'DAILY CHAMP AYAM'!$R$10:$R$143)</f>
        <v>0</v>
      </c>
      <c r="L52" s="374">
        <f ca="1">SUMIF('DAILY CHAMP AYAM'!$C$10:$C$144,$C52,'DAILY CHAMP AYAM'!$S$10:$S$143)</f>
        <v>0</v>
      </c>
      <c r="M52" s="374">
        <f ca="1">SUMIF('DAILY CHAMP AYAM'!$C$10:$C$144,$C52,'DAILY CHAMP AYAM'!$T$10:$T$143)</f>
        <v>0</v>
      </c>
      <c r="N52" s="374">
        <f ca="1">SUMIF('DAILY CHAMP AYAM'!$C$10:$C$144,$C52,'DAILY CHAMP AYAM'!$U$10:$U$143)</f>
        <v>0</v>
      </c>
      <c r="O52" s="374">
        <f ca="1">SUMIF('DAILY CHAMP AYAM'!$C$10:$C$144,$C52,'DAILY CHAMP AYAM'!$V$10:$V$143)</f>
        <v>0</v>
      </c>
      <c r="P52" s="374">
        <f ca="1">SUMIF('DAILY CHAMP AYAM'!$C$10:$C$144,$C52,'DAILY CHAMP AYAM'!$W$10:$W$143)</f>
        <v>0</v>
      </c>
      <c r="Q52" s="374">
        <f ca="1">SUMIF('DAILY CHAMP AYAM'!$C$10:$C$144,$C52,'DAILY CHAMP AYAM'!$X$10:$X$143)</f>
        <v>0</v>
      </c>
      <c r="R52" s="374">
        <f t="shared" ca="1" si="22"/>
        <v>0</v>
      </c>
      <c r="S52" s="376" t="e">
        <f t="shared" ca="1" si="21"/>
        <v>#DIV/0!</v>
      </c>
      <c r="T52" s="381"/>
      <c r="U52" s="494"/>
      <c r="V52" s="495"/>
      <c r="W52" s="492"/>
      <c r="X52" s="530"/>
      <c r="Y52" s="530"/>
      <c r="Z52" s="530"/>
      <c r="AA52" s="530"/>
    </row>
    <row r="53" spans="2:27" ht="16.5">
      <c r="B53" s="733"/>
      <c r="C53" s="371"/>
      <c r="D53" s="372"/>
      <c r="E53" s="373"/>
      <c r="F53" s="379"/>
      <c r="G53" s="379"/>
      <c r="H53" s="379"/>
      <c r="I53" s="379"/>
      <c r="J53" s="379"/>
      <c r="K53" s="379"/>
      <c r="L53" s="379"/>
      <c r="M53" s="379"/>
      <c r="N53" s="379"/>
      <c r="O53" s="379"/>
      <c r="P53" s="379"/>
      <c r="Q53" s="379"/>
      <c r="R53" s="374"/>
      <c r="S53" s="380"/>
      <c r="T53" s="381"/>
      <c r="U53" s="404"/>
      <c r="V53" s="405"/>
      <c r="W53" s="401"/>
      <c r="X53" s="530"/>
      <c r="Y53" s="530"/>
      <c r="Z53" s="530"/>
      <c r="AA53" s="530"/>
    </row>
    <row r="54" spans="2:27" ht="16.5">
      <c r="B54" s="734"/>
      <c r="C54" s="385" t="s">
        <v>118</v>
      </c>
      <c r="D54" s="386">
        <f t="shared" ref="D54:R54" si="23">SUM(D43:D53)</f>
        <v>438</v>
      </c>
      <c r="E54" s="387">
        <f t="shared" si="23"/>
        <v>1434.8879999999999</v>
      </c>
      <c r="F54" s="388">
        <f t="shared" ca="1" si="23"/>
        <v>4.2</v>
      </c>
      <c r="G54" s="388">
        <f t="shared" ca="1" si="23"/>
        <v>13.37</v>
      </c>
      <c r="H54" s="388">
        <f t="shared" si="23"/>
        <v>0</v>
      </c>
      <c r="I54" s="388">
        <f t="shared" ca="1" si="23"/>
        <v>4.5</v>
      </c>
      <c r="J54" s="388">
        <f t="shared" ca="1" si="23"/>
        <v>0.6</v>
      </c>
      <c r="K54" s="388">
        <f t="shared" ca="1" si="23"/>
        <v>1.95</v>
      </c>
      <c r="L54" s="388">
        <f t="shared" ca="1" si="23"/>
        <v>0</v>
      </c>
      <c r="M54" s="388">
        <f t="shared" ca="1" si="23"/>
        <v>0.49</v>
      </c>
      <c r="N54" s="388">
        <f t="shared" ca="1" si="23"/>
        <v>0</v>
      </c>
      <c r="O54" s="388">
        <f t="shared" ca="1" si="23"/>
        <v>0</v>
      </c>
      <c r="P54" s="388">
        <f t="shared" ca="1" si="23"/>
        <v>0</v>
      </c>
      <c r="Q54" s="388">
        <f t="shared" ca="1" si="23"/>
        <v>0</v>
      </c>
      <c r="R54" s="388">
        <f t="shared" ca="1" si="23"/>
        <v>25.11</v>
      </c>
      <c r="S54" s="389"/>
      <c r="T54" s="402"/>
      <c r="U54" s="388"/>
      <c r="V54" s="389"/>
      <c r="W54" s="389"/>
      <c r="X54" s="530"/>
      <c r="Y54" s="530"/>
      <c r="Z54" s="530"/>
      <c r="AA54" s="530"/>
    </row>
    <row r="55" spans="2:27" ht="16.5">
      <c r="B55" s="406"/>
      <c r="C55" s="393" t="s">
        <v>114</v>
      </c>
      <c r="D55" s="394"/>
      <c r="E55" s="395"/>
      <c r="F55" s="396">
        <f ca="1">+F54/$E54</f>
        <v>2.9270577215782696E-3</v>
      </c>
      <c r="G55" s="396">
        <f t="shared" ref="G55:Q55" ca="1" si="24">+G54/$E54</f>
        <v>9.317800413690824E-3</v>
      </c>
      <c r="H55" s="396">
        <f t="shared" si="24"/>
        <v>0</v>
      </c>
      <c r="I55" s="396">
        <f t="shared" ca="1" si="24"/>
        <v>3.1361332731195748E-3</v>
      </c>
      <c r="J55" s="396">
        <f t="shared" ca="1" si="24"/>
        <v>4.1815110308260995E-4</v>
      </c>
      <c r="K55" s="396">
        <f t="shared" ca="1" si="24"/>
        <v>1.3589910850184824E-3</v>
      </c>
      <c r="L55" s="396">
        <f t="shared" ca="1" si="24"/>
        <v>0</v>
      </c>
      <c r="M55" s="396">
        <f t="shared" ca="1" si="24"/>
        <v>3.4149006751746478E-4</v>
      </c>
      <c r="N55" s="396">
        <f t="shared" ca="1" si="24"/>
        <v>0</v>
      </c>
      <c r="O55" s="396">
        <f t="shared" ca="1" si="24"/>
        <v>0</v>
      </c>
      <c r="P55" s="396">
        <f t="shared" ca="1" si="24"/>
        <v>0</v>
      </c>
      <c r="Q55" s="396">
        <f t="shared" ca="1" si="24"/>
        <v>0</v>
      </c>
      <c r="R55" s="482">
        <f ca="1">+R54/$E54</f>
        <v>1.7499623664007227E-2</v>
      </c>
      <c r="S55" s="399"/>
      <c r="T55" s="402"/>
      <c r="U55" s="400"/>
      <c r="V55" s="389"/>
      <c r="W55" s="389"/>
      <c r="X55" s="530"/>
      <c r="Y55" s="530"/>
      <c r="Z55" s="530"/>
      <c r="AA55" s="530"/>
    </row>
    <row r="56" spans="2:27" ht="16.5">
      <c r="B56" s="732" t="s">
        <v>179</v>
      </c>
      <c r="C56" s="474" t="str">
        <f>+'HASIL PROD'!B147</f>
        <v>QG14701</v>
      </c>
      <c r="D56" s="372">
        <f>SUMIF('HASIL PROD'!$B$4:$B$343,C56,'HASIL PROD'!$H$4:$H$343)</f>
        <v>644</v>
      </c>
      <c r="E56" s="373">
        <f t="shared" ref="E56:E65" si="25">+D56*3.276</f>
        <v>2109.7439999999997</v>
      </c>
      <c r="F56" s="374">
        <f ca="1">SUMIF('DAILY CHAMP AYAM'!$C$10:$C$144,$C56,'DAILY CHAMP AYAM'!$K$10:$K$143)</f>
        <v>6.1</v>
      </c>
      <c r="G56" s="374">
        <f ca="1">SUMIF('DAILY CHAMP AYAM'!$C$10:$C$144,$C56,'DAILY CHAMP AYAM'!$L$10:$L$143)</f>
        <v>21.48</v>
      </c>
      <c r="H56" s="374">
        <f>SUMIF('DAILY CHAMP AYAM'!$C$10:$C$144,$C56,'DAILY CHAMP AYAM'!$M$9:$N$143)</f>
        <v>17.5</v>
      </c>
      <c r="I56" s="374">
        <f ca="1">SUMIF('DAILY CHAMP AYAM'!$C$10:$C$144,$C56,'DAILY CHAMP AYAM'!$O$10:$O$143)</f>
        <v>10.85</v>
      </c>
      <c r="J56" s="374">
        <f ca="1">SUMIF('DAILY CHAMP AYAM'!$C$10:$C$144,$C56,'DAILY CHAMP AYAM'!$P$10:$P$143)</f>
        <v>0.5</v>
      </c>
      <c r="K56" s="374">
        <f ca="1">SUMIF('DAILY CHAMP AYAM'!$C$10:$C$144,$C56,'DAILY CHAMP AYAM'!$R$10:$R$143)</f>
        <v>2.4</v>
      </c>
      <c r="L56" s="374">
        <f ca="1">SUMIF('DAILY CHAMP AYAM'!$C$10:$C$144,$C56,'DAILY CHAMP AYAM'!$S$10:$S$143)</f>
        <v>0</v>
      </c>
      <c r="M56" s="374">
        <f ca="1">SUMIF('DAILY CHAMP AYAM'!$C$10:$C$144,$C56,'DAILY CHAMP AYAM'!$T$10:$T$143)</f>
        <v>3</v>
      </c>
      <c r="N56" s="374">
        <f ca="1">SUMIF('DAILY CHAMP AYAM'!$C$10:$C$144,$C56,'DAILY CHAMP AYAM'!$U$10:$U$143)</f>
        <v>0</v>
      </c>
      <c r="O56" s="374">
        <f ca="1">SUMIF('DAILY CHAMP AYAM'!$C$10:$C$144,$C56,'DAILY CHAMP AYAM'!$V$10:$V$143)</f>
        <v>0</v>
      </c>
      <c r="P56" s="374">
        <f ca="1">SUMIF('DAILY CHAMP AYAM'!$C$10:$C$144,$C56,'DAILY CHAMP AYAM'!$W$10:$W$143)</f>
        <v>0</v>
      </c>
      <c r="Q56" s="374">
        <f ca="1">SUMIF('DAILY CHAMP AYAM'!$C$10:$C$144,$C56,'DAILY CHAMP AYAM'!$X$10:$X$143)</f>
        <v>0</v>
      </c>
      <c r="R56" s="374">
        <f t="shared" ref="R56:R63" ca="1" si="26">+SUM(F56:Q56)</f>
        <v>61.83</v>
      </c>
      <c r="S56" s="376">
        <f t="shared" ref="S56:S65" ca="1" si="27">+R56/E56</f>
        <v>2.9306873250972632E-2</v>
      </c>
      <c r="T56" s="381"/>
      <c r="U56" s="741">
        <f ca="1">SUM(R56:R59)</f>
        <v>149.78</v>
      </c>
      <c r="V56" s="748">
        <f ca="1">+U56/(SUM(E56:E59))</f>
        <v>2.1833997478696621E-2</v>
      </c>
      <c r="W56" s="735" t="s">
        <v>338</v>
      </c>
      <c r="X56" s="727" t="s">
        <v>319</v>
      </c>
      <c r="Y56" s="727" t="s">
        <v>312</v>
      </c>
      <c r="Z56" s="727" t="s">
        <v>313</v>
      </c>
      <c r="AA56" s="727" t="s">
        <v>314</v>
      </c>
    </row>
    <row r="57" spans="2:27" ht="16.5">
      <c r="B57" s="733"/>
      <c r="C57" s="474" t="str">
        <f>+'HASIL PROD'!B148</f>
        <v>QG14702</v>
      </c>
      <c r="D57" s="372">
        <f>SUMIF('HASIL PROD'!$B$4:$B$343,C57,'HASIL PROD'!$H$4:$H$343)</f>
        <v>432</v>
      </c>
      <c r="E57" s="373">
        <f t="shared" si="25"/>
        <v>1415.232</v>
      </c>
      <c r="F57" s="374">
        <f ca="1">SUMIF('DAILY CHAMP AYAM'!$C$10:$C$144,$C57,'DAILY CHAMP AYAM'!$K$10:$K$143)</f>
        <v>4.42</v>
      </c>
      <c r="G57" s="374">
        <f ca="1">SUMIF('DAILY CHAMP AYAM'!$C$10:$C$144,$C57,'DAILY CHAMP AYAM'!$L$10:$L$143)</f>
        <v>9.98</v>
      </c>
      <c r="H57" s="374">
        <f>SUMIF('DAILY CHAMP AYAM'!$C$10:$C$144,$C57,'DAILY CHAMP AYAM'!$M$9:$N$143)</f>
        <v>3.2</v>
      </c>
      <c r="I57" s="374">
        <f ca="1">SUMIF('DAILY CHAMP AYAM'!$C$10:$C$144,$C57,'DAILY CHAMP AYAM'!$O$10:$O$143)</f>
        <v>9.25</v>
      </c>
      <c r="J57" s="374">
        <f ca="1">SUMIF('DAILY CHAMP AYAM'!$C$10:$C$144,$C57,'DAILY CHAMP AYAM'!$P$10:$P$143)</f>
        <v>0.48</v>
      </c>
      <c r="K57" s="374">
        <f ca="1">SUMIF('DAILY CHAMP AYAM'!$C$10:$C$144,$C57,'DAILY CHAMP AYAM'!$R$10:$R$143)</f>
        <v>0</v>
      </c>
      <c r="L57" s="374">
        <f ca="1">SUMIF('DAILY CHAMP AYAM'!$C$10:$C$144,$C57,'DAILY CHAMP AYAM'!$S$10:$S$143)</f>
        <v>0.54</v>
      </c>
      <c r="M57" s="374">
        <f ca="1">SUMIF('DAILY CHAMP AYAM'!$C$10:$C$144,$C57,'DAILY CHAMP AYAM'!$T$10:$T$143)</f>
        <v>1.1000000000000001</v>
      </c>
      <c r="N57" s="374">
        <f ca="1">SUMIF('DAILY CHAMP AYAM'!$C$10:$C$144,$C57,'DAILY CHAMP AYAM'!$U$10:$U$143)</f>
        <v>0</v>
      </c>
      <c r="O57" s="374">
        <f ca="1">SUMIF('DAILY CHAMP AYAM'!$C$10:$C$144,$C57,'DAILY CHAMP AYAM'!$V$10:$V$143)</f>
        <v>0</v>
      </c>
      <c r="P57" s="374">
        <f ca="1">SUMIF('DAILY CHAMP AYAM'!$C$10:$C$144,$C57,'DAILY CHAMP AYAM'!$W$10:$W$143)</f>
        <v>0</v>
      </c>
      <c r="Q57" s="374">
        <f ca="1">SUMIF('DAILY CHAMP AYAM'!$C$10:$C$144,$C57,'DAILY CHAMP AYAM'!$X$10:$X$143)</f>
        <v>0</v>
      </c>
      <c r="R57" s="374">
        <f t="shared" ca="1" si="26"/>
        <v>28.970000000000002</v>
      </c>
      <c r="S57" s="376">
        <f t="shared" ca="1" si="27"/>
        <v>2.0470141997919779E-2</v>
      </c>
      <c r="T57" s="381"/>
      <c r="U57" s="742"/>
      <c r="V57" s="749"/>
      <c r="W57" s="736"/>
      <c r="X57" s="728"/>
      <c r="Y57" s="728"/>
      <c r="Z57" s="728"/>
      <c r="AA57" s="728"/>
    </row>
    <row r="58" spans="2:27" ht="16.5">
      <c r="B58" s="733"/>
      <c r="C58" s="474" t="str">
        <f>+'HASIL PROD'!B149</f>
        <v>QG14703</v>
      </c>
      <c r="D58" s="372">
        <f>SUMIF('HASIL PROD'!$B$4:$B$343,C58,'HASIL PROD'!$H$4:$H$343)</f>
        <v>432</v>
      </c>
      <c r="E58" s="373">
        <f t="shared" si="25"/>
        <v>1415.232</v>
      </c>
      <c r="F58" s="374">
        <f ca="1">SUMIF('DAILY CHAMP AYAM'!$C$10:$C$144,$C58,'DAILY CHAMP AYAM'!$K$10:$K$143)</f>
        <v>1.2</v>
      </c>
      <c r="G58" s="374">
        <f ca="1">SUMIF('DAILY CHAMP AYAM'!$C$10:$C$144,$C58,'DAILY CHAMP AYAM'!$L$10:$L$143)</f>
        <v>8.1</v>
      </c>
      <c r="H58" s="374">
        <f>SUMIF('DAILY CHAMP AYAM'!$C$10:$C$144,$C58,'DAILY CHAMP AYAM'!$M$9:$N$143)</f>
        <v>1</v>
      </c>
      <c r="I58" s="374">
        <f ca="1">SUMIF('DAILY CHAMP AYAM'!$C$10:$C$144,$C58,'DAILY CHAMP AYAM'!$O$10:$O$143)</f>
        <v>17</v>
      </c>
      <c r="J58" s="374">
        <f ca="1">SUMIF('DAILY CHAMP AYAM'!$C$10:$C$144,$C58,'DAILY CHAMP AYAM'!$P$10:$P$143)</f>
        <v>0</v>
      </c>
      <c r="K58" s="374">
        <f ca="1">SUMIF('DAILY CHAMP AYAM'!$C$10:$C$144,$C58,'DAILY CHAMP AYAM'!$R$10:$R$143)</f>
        <v>1.7</v>
      </c>
      <c r="L58" s="374">
        <f ca="1">SUMIF('DAILY CHAMP AYAM'!$C$10:$C$144,$C58,'DAILY CHAMP AYAM'!$S$10:$S$143)</f>
        <v>0.6</v>
      </c>
      <c r="M58" s="374">
        <f ca="1">SUMIF('DAILY CHAMP AYAM'!$C$10:$C$144,$C58,'DAILY CHAMP AYAM'!$T$10:$T$143)</f>
        <v>0.6</v>
      </c>
      <c r="N58" s="374">
        <f ca="1">SUMIF('DAILY CHAMP AYAM'!$C$10:$C$144,$C58,'DAILY CHAMP AYAM'!$U$10:$U$143)</f>
        <v>0</v>
      </c>
      <c r="O58" s="374">
        <f ca="1">SUMIF('DAILY CHAMP AYAM'!$C$10:$C$144,$C58,'DAILY CHAMP AYAM'!$V$10:$V$143)</f>
        <v>0</v>
      </c>
      <c r="P58" s="374">
        <f ca="1">SUMIF('DAILY CHAMP AYAM'!$C$10:$C$144,$C58,'DAILY CHAMP AYAM'!$W$10:$W$143)</f>
        <v>0</v>
      </c>
      <c r="Q58" s="374">
        <f ca="1">SUMIF('DAILY CHAMP AYAM'!$C$10:$C$144,$C58,'DAILY CHAMP AYAM'!$X$10:$X$143)</f>
        <v>0</v>
      </c>
      <c r="R58" s="374">
        <f t="shared" ca="1" si="26"/>
        <v>30.2</v>
      </c>
      <c r="S58" s="376">
        <f t="shared" ca="1" si="27"/>
        <v>2.1339257450368562E-2</v>
      </c>
      <c r="T58" s="381"/>
      <c r="U58" s="742"/>
      <c r="V58" s="749"/>
      <c r="W58" s="736"/>
      <c r="X58" s="728"/>
      <c r="Y58" s="728"/>
      <c r="Z58" s="728"/>
      <c r="AA58" s="728"/>
    </row>
    <row r="59" spans="2:27" ht="16.5">
      <c r="B59" s="733"/>
      <c r="C59" s="474" t="str">
        <f>+'HASIL PROD'!B150</f>
        <v>QG14704</v>
      </c>
      <c r="D59" s="372">
        <f>SUMIF('HASIL PROD'!$B$4:$B$343,C59,'HASIL PROD'!$H$4:$H$343)</f>
        <v>586</v>
      </c>
      <c r="E59" s="373">
        <f t="shared" si="25"/>
        <v>1919.7359999999999</v>
      </c>
      <c r="F59" s="374">
        <f ca="1">SUMIF('DAILY CHAMP AYAM'!$C$10:$C$144,$C59,'DAILY CHAMP AYAM'!$K$10:$K$143)</f>
        <v>9.3000000000000007</v>
      </c>
      <c r="G59" s="374">
        <f ca="1">SUMIF('DAILY CHAMP AYAM'!$C$10:$C$144,$C59,'DAILY CHAMP AYAM'!$L$10:$L$143)</f>
        <v>10.199999999999999</v>
      </c>
      <c r="H59" s="374">
        <f>SUMIF('DAILY CHAMP AYAM'!$C$10:$C$144,$C59,'DAILY CHAMP AYAM'!$M$9:$N$143)</f>
        <v>0</v>
      </c>
      <c r="I59" s="374">
        <f ca="1">SUMIF('DAILY CHAMP AYAM'!$C$10:$C$144,$C59,'DAILY CHAMP AYAM'!$O$10:$O$143)</f>
        <v>8</v>
      </c>
      <c r="J59" s="374">
        <f ca="1">SUMIF('DAILY CHAMP AYAM'!$C$10:$C$144,$C59,'DAILY CHAMP AYAM'!$P$10:$P$143)</f>
        <v>0</v>
      </c>
      <c r="K59" s="374">
        <f ca="1">SUMIF('DAILY CHAMP AYAM'!$C$10:$C$144,$C59,'DAILY CHAMP AYAM'!$R$10:$R$143)</f>
        <v>0</v>
      </c>
      <c r="L59" s="374">
        <f ca="1">SUMIF('DAILY CHAMP AYAM'!$C$10:$C$144,$C59,'DAILY CHAMP AYAM'!$S$10:$S$143)</f>
        <v>0.31</v>
      </c>
      <c r="M59" s="374">
        <f ca="1">SUMIF('DAILY CHAMP AYAM'!$C$10:$C$144,$C59,'DAILY CHAMP AYAM'!$T$10:$T$143)</f>
        <v>0.97</v>
      </c>
      <c r="N59" s="374">
        <f ca="1">SUMIF('DAILY CHAMP AYAM'!$C$10:$C$144,$C59,'DAILY CHAMP AYAM'!$U$10:$U$143)</f>
        <v>0</v>
      </c>
      <c r="O59" s="374">
        <f ca="1">SUMIF('DAILY CHAMP AYAM'!$C$10:$C$144,$C59,'DAILY CHAMP AYAM'!$V$10:$V$143)</f>
        <v>0</v>
      </c>
      <c r="P59" s="374">
        <f ca="1">SUMIF('DAILY CHAMP AYAM'!$C$10:$C$144,$C59,'DAILY CHAMP AYAM'!$W$10:$W$143)</f>
        <v>0</v>
      </c>
      <c r="Q59" s="374">
        <f ca="1">SUMIF('DAILY CHAMP AYAM'!$C$10:$C$144,$C59,'DAILY CHAMP AYAM'!$X$10:$X$143)</f>
        <v>0</v>
      </c>
      <c r="R59" s="374">
        <f t="shared" ca="1" si="26"/>
        <v>28.779999999999998</v>
      </c>
      <c r="S59" s="376">
        <f t="shared" ca="1" si="27"/>
        <v>1.4991644684477449E-2</v>
      </c>
      <c r="T59" s="381"/>
      <c r="U59" s="743"/>
      <c r="V59" s="750"/>
      <c r="W59" s="737"/>
      <c r="X59" s="729"/>
      <c r="Y59" s="729"/>
      <c r="Z59" s="729"/>
      <c r="AA59" s="729"/>
    </row>
    <row r="60" spans="2:27" ht="16.5">
      <c r="B60" s="733"/>
      <c r="C60" s="474" t="str">
        <f>+'HASIL PROD'!B151</f>
        <v>QG14705</v>
      </c>
      <c r="D60" s="372">
        <f>SUMIF('HASIL PROD'!$B$4:$B$343,C60,'HASIL PROD'!$H$4:$H$343)</f>
        <v>572</v>
      </c>
      <c r="E60" s="373">
        <f t="shared" si="25"/>
        <v>1873.8719999999998</v>
      </c>
      <c r="F60" s="374">
        <f ca="1">SUMIF('DAILY CHAMP AYAM'!$C$10:$C$144,$C60,'DAILY CHAMP AYAM'!$K$10:$K$143)</f>
        <v>7.27</v>
      </c>
      <c r="G60" s="374">
        <f ca="1">SUMIF('DAILY CHAMP AYAM'!$C$10:$C$144,$C60,'DAILY CHAMP AYAM'!$L$10:$L$143)</f>
        <v>10</v>
      </c>
      <c r="H60" s="374">
        <f>SUMIF('DAILY CHAMP AYAM'!$C$10:$C$144,$C60,'DAILY CHAMP AYAM'!$M$9:$N$143)</f>
        <v>0</v>
      </c>
      <c r="I60" s="374">
        <f ca="1">SUMIF('DAILY CHAMP AYAM'!$C$10:$C$144,$C60,'DAILY CHAMP AYAM'!$O$10:$O$143)</f>
        <v>17.88</v>
      </c>
      <c r="J60" s="374">
        <f ca="1">SUMIF('DAILY CHAMP AYAM'!$C$10:$C$144,$C60,'DAILY CHAMP AYAM'!$P$10:$P$143)</f>
        <v>0.57999999999999996</v>
      </c>
      <c r="K60" s="374">
        <f ca="1">SUMIF('DAILY CHAMP AYAM'!$C$10:$C$144,$C60,'DAILY CHAMP AYAM'!$R$10:$R$143)</f>
        <v>0</v>
      </c>
      <c r="L60" s="374">
        <f ca="1">SUMIF('DAILY CHAMP AYAM'!$C$10:$C$144,$C60,'DAILY CHAMP AYAM'!$S$10:$S$143)</f>
        <v>0.45</v>
      </c>
      <c r="M60" s="374">
        <f ca="1">SUMIF('DAILY CHAMP AYAM'!$C$10:$C$144,$C60,'DAILY CHAMP AYAM'!$T$10:$T$143)</f>
        <v>1.2</v>
      </c>
      <c r="N60" s="374">
        <f ca="1">SUMIF('DAILY CHAMP AYAM'!$C$10:$C$144,$C60,'DAILY CHAMP AYAM'!$U$10:$U$143)</f>
        <v>0</v>
      </c>
      <c r="O60" s="374">
        <f ca="1">SUMIF('DAILY CHAMP AYAM'!$C$10:$C$144,$C60,'DAILY CHAMP AYAM'!$V$10:$V$143)</f>
        <v>0</v>
      </c>
      <c r="P60" s="374">
        <f ca="1">SUMIF('DAILY CHAMP AYAM'!$C$10:$C$144,$C60,'DAILY CHAMP AYAM'!$W$10:$W$143)</f>
        <v>0</v>
      </c>
      <c r="Q60" s="374">
        <f ca="1">SUMIF('DAILY CHAMP AYAM'!$C$10:$C$144,$C60,'DAILY CHAMP AYAM'!$X$10:$X$143)</f>
        <v>0</v>
      </c>
      <c r="R60" s="374">
        <f t="shared" ca="1" si="26"/>
        <v>37.380000000000003</v>
      </c>
      <c r="S60" s="376">
        <f t="shared" ca="1" si="27"/>
        <v>1.994800071723149E-2</v>
      </c>
      <c r="T60" s="381"/>
      <c r="U60" s="741">
        <f ca="1">SUM(R60:R63)</f>
        <v>167.58</v>
      </c>
      <c r="V60" s="748">
        <f ca="1">+U60/(SUM(E60:E63))</f>
        <v>2.3584069227222761E-2</v>
      </c>
      <c r="W60" s="735" t="s">
        <v>341</v>
      </c>
      <c r="X60" s="727" t="s">
        <v>315</v>
      </c>
      <c r="Y60" s="727" t="s">
        <v>316</v>
      </c>
      <c r="Z60" s="727" t="s">
        <v>317</v>
      </c>
      <c r="AA60" s="727" t="s">
        <v>318</v>
      </c>
    </row>
    <row r="61" spans="2:27" ht="16.5">
      <c r="B61" s="733"/>
      <c r="C61" s="474" t="str">
        <f>+'HASIL PROD'!B152</f>
        <v>QG14706</v>
      </c>
      <c r="D61" s="372">
        <f>SUMIF('HASIL PROD'!$B$4:$B$343,C61,'HASIL PROD'!$H$4:$H$343)</f>
        <v>511</v>
      </c>
      <c r="E61" s="373">
        <f t="shared" si="25"/>
        <v>1674.0359999999998</v>
      </c>
      <c r="F61" s="374">
        <f ca="1">SUMIF('DAILY CHAMP AYAM'!$C$10:$C$144,$C61,'DAILY CHAMP AYAM'!$K$10:$K$143)</f>
        <v>5.3</v>
      </c>
      <c r="G61" s="374">
        <f ca="1">SUMIF('DAILY CHAMP AYAM'!$C$10:$C$144,$C61,'DAILY CHAMP AYAM'!$L$10:$L$143)</f>
        <v>9.75</v>
      </c>
      <c r="H61" s="374">
        <f>SUMIF('DAILY CHAMP AYAM'!$C$10:$C$144,$C61,'DAILY CHAMP AYAM'!$M$9:$N$143)</f>
        <v>1.2</v>
      </c>
      <c r="I61" s="374">
        <f ca="1">SUMIF('DAILY CHAMP AYAM'!$C$10:$C$144,$C61,'DAILY CHAMP AYAM'!$O$10:$O$143)</f>
        <v>21.1</v>
      </c>
      <c r="J61" s="374">
        <f ca="1">SUMIF('DAILY CHAMP AYAM'!$C$10:$C$144,$C61,'DAILY CHAMP AYAM'!$P$10:$P$143)</f>
        <v>0.6</v>
      </c>
      <c r="K61" s="374">
        <f ca="1">SUMIF('DAILY CHAMP AYAM'!$C$10:$C$144,$C61,'DAILY CHAMP AYAM'!$R$10:$R$143)</f>
        <v>3.2</v>
      </c>
      <c r="L61" s="374">
        <f ca="1">SUMIF('DAILY CHAMP AYAM'!$C$10:$C$144,$C61,'DAILY CHAMP AYAM'!$S$10:$S$143)</f>
        <v>0</v>
      </c>
      <c r="M61" s="374">
        <f ca="1">SUMIF('DAILY CHAMP AYAM'!$C$10:$C$144,$C61,'DAILY CHAMP AYAM'!$T$10:$T$143)</f>
        <v>1.4</v>
      </c>
      <c r="N61" s="374">
        <f ca="1">SUMIF('DAILY CHAMP AYAM'!$C$10:$C$144,$C61,'DAILY CHAMP AYAM'!$U$10:$U$143)</f>
        <v>0</v>
      </c>
      <c r="O61" s="374">
        <f ca="1">SUMIF('DAILY CHAMP AYAM'!$C$10:$C$144,$C61,'DAILY CHAMP AYAM'!$V$10:$V$143)</f>
        <v>0</v>
      </c>
      <c r="P61" s="374">
        <f ca="1">SUMIF('DAILY CHAMP AYAM'!$C$10:$C$144,$C61,'DAILY CHAMP AYAM'!$W$10:$W$143)</f>
        <v>0</v>
      </c>
      <c r="Q61" s="374">
        <f ca="1">SUMIF('DAILY CHAMP AYAM'!$C$10:$C$144,$C61,'DAILY CHAMP AYAM'!$X$10:$X$143)</f>
        <v>0</v>
      </c>
      <c r="R61" s="374">
        <f t="shared" ca="1" si="26"/>
        <v>42.550000000000004</v>
      </c>
      <c r="S61" s="376">
        <f t="shared" ca="1" si="27"/>
        <v>2.5417613480235794E-2</v>
      </c>
      <c r="T61" s="381"/>
      <c r="U61" s="742"/>
      <c r="V61" s="778"/>
      <c r="W61" s="736"/>
      <c r="X61" s="728"/>
      <c r="Y61" s="728"/>
      <c r="Z61" s="728"/>
      <c r="AA61" s="728"/>
    </row>
    <row r="62" spans="2:27" ht="16.5">
      <c r="B62" s="733"/>
      <c r="C62" s="474" t="str">
        <f>+'HASIL PROD'!B153</f>
        <v>QG14707</v>
      </c>
      <c r="D62" s="372">
        <f>SUMIF('HASIL PROD'!$B$4:$B$343,C62,'HASIL PROD'!$H$4:$H$343)</f>
        <v>630</v>
      </c>
      <c r="E62" s="373">
        <f t="shared" si="25"/>
        <v>2063.8799999999997</v>
      </c>
      <c r="F62" s="374">
        <f ca="1">SUMIF('DAILY CHAMP AYAM'!$C$10:$C$144,$C62,'DAILY CHAMP AYAM'!$K$10:$K$143)</f>
        <v>7.85</v>
      </c>
      <c r="G62" s="374">
        <f ca="1">SUMIF('DAILY CHAMP AYAM'!$C$10:$C$144,$C62,'DAILY CHAMP AYAM'!$L$10:$L$143)</f>
        <v>12.4</v>
      </c>
      <c r="H62" s="374">
        <f>SUMIF('DAILY CHAMP AYAM'!$C$10:$C$144,$C62,'DAILY CHAMP AYAM'!$M$9:$N$143)</f>
        <v>0</v>
      </c>
      <c r="I62" s="374">
        <f ca="1">SUMIF('DAILY CHAMP AYAM'!$C$10:$C$144,$C62,'DAILY CHAMP AYAM'!$O$10:$O$143)</f>
        <v>22.5</v>
      </c>
      <c r="J62" s="374">
        <f ca="1">SUMIF('DAILY CHAMP AYAM'!$C$10:$C$144,$C62,'DAILY CHAMP AYAM'!$P$10:$P$143)</f>
        <v>0.45</v>
      </c>
      <c r="K62" s="374">
        <f ca="1">SUMIF('DAILY CHAMP AYAM'!$C$10:$C$144,$C62,'DAILY CHAMP AYAM'!$R$10:$R$143)</f>
        <v>1.2</v>
      </c>
      <c r="L62" s="374">
        <f ca="1">SUMIF('DAILY CHAMP AYAM'!$C$10:$C$144,$C62,'DAILY CHAMP AYAM'!$S$10:$S$143)</f>
        <v>0</v>
      </c>
      <c r="M62" s="374">
        <f ca="1">SUMIF('DAILY CHAMP AYAM'!$C$10:$C$144,$C62,'DAILY CHAMP AYAM'!$T$10:$T$143)</f>
        <v>1.3</v>
      </c>
      <c r="N62" s="374">
        <f ca="1">SUMIF('DAILY CHAMP AYAM'!$C$10:$C$144,$C62,'DAILY CHAMP AYAM'!$U$10:$U$143)</f>
        <v>0</v>
      </c>
      <c r="O62" s="374">
        <f ca="1">SUMIF('DAILY CHAMP AYAM'!$C$10:$C$144,$C62,'DAILY CHAMP AYAM'!$V$10:$V$143)</f>
        <v>0</v>
      </c>
      <c r="P62" s="374">
        <f ca="1">SUMIF('DAILY CHAMP AYAM'!$C$10:$C$144,$C62,'DAILY CHAMP AYAM'!$W$10:$W$143)</f>
        <v>0</v>
      </c>
      <c r="Q62" s="374">
        <f ca="1">SUMIF('DAILY CHAMP AYAM'!$C$10:$C$144,$C62,'DAILY CHAMP AYAM'!$X$10:$X$143)</f>
        <v>0</v>
      </c>
      <c r="R62" s="374">
        <f t="shared" ca="1" si="26"/>
        <v>45.7</v>
      </c>
      <c r="S62" s="376">
        <f t="shared" ca="1" si="27"/>
        <v>2.2142760237998337E-2</v>
      </c>
      <c r="T62" s="381"/>
      <c r="U62" s="742"/>
      <c r="V62" s="778"/>
      <c r="W62" s="736"/>
      <c r="X62" s="728"/>
      <c r="Y62" s="728"/>
      <c r="Z62" s="728"/>
      <c r="AA62" s="728"/>
    </row>
    <row r="63" spans="2:27" ht="16.5">
      <c r="B63" s="733"/>
      <c r="C63" s="474" t="str">
        <f>+'HASIL PROD'!B154</f>
        <v>QG14708</v>
      </c>
      <c r="D63" s="372">
        <f>SUMIF('HASIL PROD'!$B$4:$B$343,C63,'HASIL PROD'!$H$4:$H$343)</f>
        <v>456</v>
      </c>
      <c r="E63" s="373">
        <f t="shared" si="25"/>
        <v>1493.856</v>
      </c>
      <c r="F63" s="374">
        <f ca="1">SUMIF('DAILY CHAMP AYAM'!$C$10:$C$144,$C63,'DAILY CHAMP AYAM'!$K$10:$K$143)</f>
        <v>6.35</v>
      </c>
      <c r="G63" s="374">
        <f ca="1">SUMIF('DAILY CHAMP AYAM'!$C$10:$C$144,$C63,'DAILY CHAMP AYAM'!$L$10:$L$143)</f>
        <v>10.3</v>
      </c>
      <c r="H63" s="374">
        <f>SUMIF('DAILY CHAMP AYAM'!$C$10:$C$144,$C63,'DAILY CHAMP AYAM'!$M$9:$N$143)</f>
        <v>0</v>
      </c>
      <c r="I63" s="374">
        <f ca="1">SUMIF('DAILY CHAMP AYAM'!$C$10:$C$144,$C63,'DAILY CHAMP AYAM'!$O$10:$O$143)</f>
        <v>17.399999999999999</v>
      </c>
      <c r="J63" s="374">
        <f ca="1">SUMIF('DAILY CHAMP AYAM'!$C$10:$C$144,$C63,'DAILY CHAMP AYAM'!$P$10:$P$143)</f>
        <v>0.5</v>
      </c>
      <c r="K63" s="374">
        <f ca="1">SUMIF('DAILY CHAMP AYAM'!$C$10:$C$144,$C63,'DAILY CHAMP AYAM'!$R$10:$R$143)</f>
        <v>2.1</v>
      </c>
      <c r="L63" s="374">
        <f ca="1">SUMIF('DAILY CHAMP AYAM'!$C$10:$C$144,$C63,'DAILY CHAMP AYAM'!$S$10:$S$143)</f>
        <v>3.4</v>
      </c>
      <c r="M63" s="374">
        <f ca="1">SUMIF('DAILY CHAMP AYAM'!$C$10:$C$144,$C63,'DAILY CHAMP AYAM'!$T$10:$T$143)</f>
        <v>1.9</v>
      </c>
      <c r="N63" s="374">
        <f ca="1">SUMIF('DAILY CHAMP AYAM'!$C$10:$C$144,$C63,'DAILY CHAMP AYAM'!$U$10:$U$143)</f>
        <v>0</v>
      </c>
      <c r="O63" s="374">
        <f ca="1">SUMIF('DAILY CHAMP AYAM'!$C$10:$C$144,$C63,'DAILY CHAMP AYAM'!$V$10:$V$143)</f>
        <v>0</v>
      </c>
      <c r="P63" s="374">
        <f ca="1">SUMIF('DAILY CHAMP AYAM'!$C$10:$C$144,$C63,'DAILY CHAMP AYAM'!$W$10:$W$143)</f>
        <v>0</v>
      </c>
      <c r="Q63" s="374">
        <f ca="1">SUMIF('DAILY CHAMP AYAM'!$C$10:$C$144,$C63,'DAILY CHAMP AYAM'!$X$10:$X$143)</f>
        <v>0</v>
      </c>
      <c r="R63" s="374">
        <f t="shared" ca="1" si="26"/>
        <v>41.949999999999996</v>
      </c>
      <c r="S63" s="376">
        <f t="shared" ca="1" si="27"/>
        <v>2.8081689265899788E-2</v>
      </c>
      <c r="T63" s="381"/>
      <c r="U63" s="743"/>
      <c r="V63" s="779"/>
      <c r="W63" s="737"/>
      <c r="X63" s="729"/>
      <c r="Y63" s="729"/>
      <c r="Z63" s="729"/>
      <c r="AA63" s="729"/>
    </row>
    <row r="64" spans="2:27" ht="16.5">
      <c r="B64" s="733"/>
      <c r="C64" s="474" t="str">
        <f>+'HASIL PROD'!B155</f>
        <v>QG14709</v>
      </c>
      <c r="D64" s="372">
        <f>SUMIF('HASIL PROD'!$B$4:$B$343,C64,'HASIL PROD'!$H$4:$H$343)</f>
        <v>454</v>
      </c>
      <c r="E64" s="373">
        <f t="shared" si="25"/>
        <v>1487.3039999999999</v>
      </c>
      <c r="F64" s="374">
        <f ca="1">SUMIF('DAILY CHAMP AYAM'!$C$10:$C$144,$C64,'DAILY CHAMP AYAM'!$K$10:$K$143)</f>
        <v>4.12</v>
      </c>
      <c r="G64" s="374">
        <f ca="1">SUMIF('DAILY CHAMP AYAM'!$C$10:$C$144,$C64,'DAILY CHAMP AYAM'!$L$10:$L$143)</f>
        <v>8.77</v>
      </c>
      <c r="H64" s="374">
        <f>SUMIF('DAILY CHAMP AYAM'!$C$10:$C$144,$C64,'DAILY CHAMP AYAM'!$M$9:$N$143)</f>
        <v>3.4</v>
      </c>
      <c r="I64" s="374">
        <f ca="1">SUMIF('DAILY CHAMP AYAM'!$C$10:$C$144,$C64,'DAILY CHAMP AYAM'!$O$10:$O$143)</f>
        <v>3.15</v>
      </c>
      <c r="J64" s="374">
        <f ca="1">SUMIF('DAILY CHAMP AYAM'!$C$10:$C$144,$C64,'DAILY CHAMP AYAM'!$P$10:$P$143)</f>
        <v>0.3</v>
      </c>
      <c r="K64" s="374">
        <f ca="1">SUMIF('DAILY CHAMP AYAM'!$C$10:$C$144,$C64,'DAILY CHAMP AYAM'!$R$10:$R$143)</f>
        <v>0.35</v>
      </c>
      <c r="L64" s="374">
        <f ca="1">SUMIF('DAILY CHAMP AYAM'!$C$10:$C$144,$C64,'DAILY CHAMP AYAM'!$S$10:$S$143)</f>
        <v>0</v>
      </c>
      <c r="M64" s="374">
        <f ca="1">SUMIF('DAILY CHAMP AYAM'!$C$10:$C$144,$C64,'DAILY CHAMP AYAM'!$T$10:$T$143)</f>
        <v>1.3</v>
      </c>
      <c r="N64" s="374">
        <f ca="1">SUMIF('DAILY CHAMP AYAM'!$C$10:$C$144,$C64,'DAILY CHAMP AYAM'!$U$10:$U$143)</f>
        <v>0</v>
      </c>
      <c r="O64" s="374">
        <f ca="1">SUMIF('DAILY CHAMP AYAM'!$C$10:$C$144,$C64,'DAILY CHAMP AYAM'!$V$10:$V$143)</f>
        <v>0</v>
      </c>
      <c r="P64" s="374">
        <f ca="1">SUMIF('DAILY CHAMP AYAM'!$C$10:$C$144,$C64,'DAILY CHAMP AYAM'!$W$10:$W$143)</f>
        <v>0</v>
      </c>
      <c r="Q64" s="374">
        <f ca="1">SUMIF('DAILY CHAMP AYAM'!$C$10:$C$144,$C64,'DAILY CHAMP AYAM'!$X$10:$X$143)</f>
        <v>0</v>
      </c>
      <c r="R64" s="374">
        <f t="shared" ref="R64:R65" ca="1" si="28">+SUM(F64:Q64)</f>
        <v>21.39</v>
      </c>
      <c r="S64" s="376">
        <f t="shared" ca="1" si="27"/>
        <v>1.4381726936793017E-2</v>
      </c>
      <c r="T64" s="381"/>
      <c r="U64" s="502">
        <f ca="1">SUM(R64:R64)</f>
        <v>21.39</v>
      </c>
      <c r="V64" s="528">
        <f ca="1">+U64/(SUM(E64:E64))</f>
        <v>1.4381726936793017E-2</v>
      </c>
      <c r="W64" s="378" t="s">
        <v>339</v>
      </c>
      <c r="X64" s="530" t="s">
        <v>319</v>
      </c>
      <c r="Y64" s="530" t="s">
        <v>312</v>
      </c>
      <c r="Z64" s="530" t="s">
        <v>313</v>
      </c>
      <c r="AA64" s="530" t="s">
        <v>314</v>
      </c>
    </row>
    <row r="65" spans="2:27" ht="16.5">
      <c r="B65" s="733"/>
      <c r="C65" s="474">
        <f>+'HASIL PROD'!B156</f>
        <v>0</v>
      </c>
      <c r="D65" s="372">
        <f>SUMIF('HASIL PROD'!$B$4:$B$343,C65,'HASIL PROD'!$H$4:$H$343)</f>
        <v>0</v>
      </c>
      <c r="E65" s="373">
        <f t="shared" si="25"/>
        <v>0</v>
      </c>
      <c r="F65" s="374">
        <f ca="1">SUMIF('DAILY CHAMP AYAM'!$C$10:$C$144,$C65,'DAILY CHAMP AYAM'!$K$10:$K$143)</f>
        <v>0</v>
      </c>
      <c r="G65" s="374">
        <f ca="1">SUMIF('DAILY CHAMP AYAM'!$C$10:$C$144,$C65,'DAILY CHAMP AYAM'!$L$10:$L$143)</f>
        <v>0</v>
      </c>
      <c r="H65" s="374">
        <f>SUMIF('DAILY CHAMP AYAM'!$C$10:$C$144,$C65,'DAILY CHAMP AYAM'!$M$9:$N$143)</f>
        <v>0</v>
      </c>
      <c r="I65" s="374">
        <f ca="1">SUMIF('DAILY CHAMP AYAM'!$C$10:$C$144,$C65,'DAILY CHAMP AYAM'!$O$10:$O$143)</f>
        <v>0</v>
      </c>
      <c r="J65" s="374">
        <f ca="1">SUMIF('DAILY CHAMP AYAM'!$C$10:$C$144,$C65,'DAILY CHAMP AYAM'!$P$10:$P$143)</f>
        <v>0</v>
      </c>
      <c r="K65" s="374">
        <f ca="1">SUMIF('DAILY CHAMP AYAM'!$C$10:$C$144,$C65,'DAILY CHAMP AYAM'!$R$10:$R$143)</f>
        <v>0</v>
      </c>
      <c r="L65" s="374">
        <f ca="1">SUMIF('DAILY CHAMP AYAM'!$C$10:$C$144,$C65,'DAILY CHAMP AYAM'!$S$10:$S$143)</f>
        <v>0</v>
      </c>
      <c r="M65" s="374">
        <f ca="1">SUMIF('DAILY CHAMP AYAM'!$C$10:$C$144,$C65,'DAILY CHAMP AYAM'!$T$10:$T$143)</f>
        <v>0</v>
      </c>
      <c r="N65" s="374">
        <f ca="1">SUMIF('DAILY CHAMP AYAM'!$C$10:$C$144,$C65,'DAILY CHAMP AYAM'!$U$10:$U$143)</f>
        <v>0</v>
      </c>
      <c r="O65" s="374">
        <f ca="1">SUMIF('DAILY CHAMP AYAM'!$C$10:$C$144,$C65,'DAILY CHAMP AYAM'!$V$10:$V$143)</f>
        <v>0</v>
      </c>
      <c r="P65" s="374">
        <f ca="1">SUMIF('DAILY CHAMP AYAM'!$C$10:$C$144,$C65,'DAILY CHAMP AYAM'!$W$10:$W$143)</f>
        <v>0</v>
      </c>
      <c r="Q65" s="374">
        <f ca="1">SUMIF('DAILY CHAMP AYAM'!$C$10:$C$144,$C65,'DAILY CHAMP AYAM'!$X$10:$X$143)</f>
        <v>0</v>
      </c>
      <c r="R65" s="374">
        <f t="shared" ca="1" si="28"/>
        <v>0</v>
      </c>
      <c r="S65" s="376" t="e">
        <f t="shared" ca="1" si="27"/>
        <v>#DIV/0!</v>
      </c>
      <c r="T65" s="381"/>
      <c r="U65" s="502">
        <f ca="1">SUM(R65:R65)</f>
        <v>0</v>
      </c>
      <c r="V65" s="504"/>
      <c r="W65" s="378"/>
      <c r="X65" s="530"/>
      <c r="Y65" s="530"/>
      <c r="Z65" s="530"/>
      <c r="AA65" s="530"/>
    </row>
    <row r="66" spans="2:27" ht="16.5">
      <c r="B66" s="733"/>
      <c r="C66" s="371"/>
      <c r="D66" s="372"/>
      <c r="E66" s="373"/>
      <c r="F66" s="379"/>
      <c r="G66" s="379"/>
      <c r="H66" s="379"/>
      <c r="I66" s="379"/>
      <c r="J66" s="379"/>
      <c r="K66" s="379"/>
      <c r="L66" s="379"/>
      <c r="M66" s="379"/>
      <c r="N66" s="379"/>
      <c r="O66" s="379"/>
      <c r="P66" s="379"/>
      <c r="Q66" s="379"/>
      <c r="R66" s="374"/>
      <c r="S66" s="380"/>
      <c r="T66" s="381"/>
      <c r="U66" s="404"/>
      <c r="V66" s="405"/>
      <c r="W66" s="401"/>
      <c r="X66" s="530"/>
      <c r="Y66" s="530"/>
      <c r="Z66" s="530"/>
      <c r="AA66" s="530"/>
    </row>
    <row r="67" spans="2:27" ht="16.5">
      <c r="B67" s="734"/>
      <c r="C67" s="385" t="s">
        <v>118</v>
      </c>
      <c r="D67" s="386">
        <f t="shared" ref="D67:R67" si="29">SUM(D56:D66)</f>
        <v>4717</v>
      </c>
      <c r="E67" s="387">
        <f t="shared" si="29"/>
        <v>15452.891999999998</v>
      </c>
      <c r="F67" s="388">
        <f t="shared" ca="1" si="29"/>
        <v>51.91</v>
      </c>
      <c r="G67" s="388">
        <f t="shared" ca="1" si="29"/>
        <v>100.98</v>
      </c>
      <c r="H67" s="388">
        <f t="shared" si="29"/>
        <v>26.299999999999997</v>
      </c>
      <c r="I67" s="388">
        <f t="shared" ca="1" si="29"/>
        <v>127.13000000000002</v>
      </c>
      <c r="J67" s="388">
        <f t="shared" ca="1" si="29"/>
        <v>3.41</v>
      </c>
      <c r="K67" s="388">
        <f t="shared" ca="1" si="29"/>
        <v>10.95</v>
      </c>
      <c r="L67" s="388">
        <f t="shared" ca="1" si="29"/>
        <v>5.3</v>
      </c>
      <c r="M67" s="388">
        <f t="shared" ca="1" si="29"/>
        <v>12.770000000000001</v>
      </c>
      <c r="N67" s="388">
        <f t="shared" ca="1" si="29"/>
        <v>0</v>
      </c>
      <c r="O67" s="388">
        <f t="shared" ca="1" si="29"/>
        <v>0</v>
      </c>
      <c r="P67" s="388">
        <f t="shared" ca="1" si="29"/>
        <v>0</v>
      </c>
      <c r="Q67" s="388">
        <f t="shared" ca="1" si="29"/>
        <v>0</v>
      </c>
      <c r="R67" s="388">
        <f t="shared" ca="1" si="29"/>
        <v>338.75</v>
      </c>
      <c r="S67" s="389"/>
      <c r="T67" s="402"/>
      <c r="U67" s="388"/>
      <c r="V67" s="389"/>
      <c r="W67" s="389"/>
      <c r="X67" s="530"/>
      <c r="Y67" s="530"/>
      <c r="Z67" s="530"/>
      <c r="AA67" s="530"/>
    </row>
    <row r="68" spans="2:27" ht="16.5">
      <c r="B68" s="406"/>
      <c r="C68" s="393" t="s">
        <v>114</v>
      </c>
      <c r="D68" s="394"/>
      <c r="E68" s="395"/>
      <c r="F68" s="396">
        <f ca="1">+F67/$E67</f>
        <v>3.3592417522881803E-3</v>
      </c>
      <c r="G68" s="396">
        <f t="shared" ref="G68:Q68" ca="1" si="30">+G67/$E67</f>
        <v>6.5346991359287324E-3</v>
      </c>
      <c r="H68" s="396">
        <f t="shared" si="30"/>
        <v>1.7019467941664253E-3</v>
      </c>
      <c r="I68" s="396">
        <f t="shared" ca="1" si="30"/>
        <v>8.2269390092158824E-3</v>
      </c>
      <c r="J68" s="396">
        <f t="shared" ca="1" si="30"/>
        <v>2.2067066798887874E-4</v>
      </c>
      <c r="K68" s="396">
        <f t="shared" ca="1" si="30"/>
        <v>7.0860522418716195E-4</v>
      </c>
      <c r="L68" s="396">
        <f t="shared" ca="1" si="30"/>
        <v>3.4297787106775873E-4</v>
      </c>
      <c r="M68" s="396">
        <f t="shared" ca="1" si="30"/>
        <v>8.2638253085571319E-4</v>
      </c>
      <c r="N68" s="396">
        <f t="shared" ca="1" si="30"/>
        <v>0</v>
      </c>
      <c r="O68" s="396">
        <f t="shared" ca="1" si="30"/>
        <v>0</v>
      </c>
      <c r="P68" s="396">
        <f t="shared" ca="1" si="30"/>
        <v>0</v>
      </c>
      <c r="Q68" s="396">
        <f t="shared" ca="1" si="30"/>
        <v>0</v>
      </c>
      <c r="R68" s="482">
        <f ca="1">+R67/$E67</f>
        <v>2.192146298569873E-2</v>
      </c>
      <c r="S68" s="399"/>
      <c r="T68" s="402"/>
      <c r="U68" s="400"/>
      <c r="V68" s="389"/>
      <c r="W68" s="389"/>
      <c r="X68" s="530"/>
      <c r="Y68" s="530"/>
      <c r="Z68" s="530"/>
      <c r="AA68" s="530"/>
    </row>
    <row r="69" spans="2:27" ht="16.5">
      <c r="B69" s="732" t="s">
        <v>179</v>
      </c>
      <c r="C69" s="474" t="str">
        <f>+'HASIL PROD'!B158</f>
        <v>QG15701</v>
      </c>
      <c r="D69" s="372">
        <f>SUMIF('HASIL PROD'!$B$4:$B$343,C69,'HASIL PROD'!$H$4:$H$343)</f>
        <v>483</v>
      </c>
      <c r="E69" s="373">
        <f t="shared" ref="E69:E78" si="31">+D69*3.276</f>
        <v>1582.308</v>
      </c>
      <c r="F69" s="374">
        <f ca="1">SUMIF('DAILY CHAMP AYAM'!$C$10:$C$144,$C69,'DAILY CHAMP AYAM'!$K$10:$K$143)</f>
        <v>4.2</v>
      </c>
      <c r="G69" s="374">
        <f ca="1">SUMIF('DAILY CHAMP AYAM'!$C$10:$C$144,$C69,'DAILY CHAMP AYAM'!$L$10:$L$143)</f>
        <v>8.5500000000000007</v>
      </c>
      <c r="H69" s="374">
        <f>SUMIF('DAILY CHAMP AYAM'!$C$10:$C$144,$C69,'DAILY CHAMP AYAM'!$M$9:$N$143)</f>
        <v>0</v>
      </c>
      <c r="I69" s="374">
        <f ca="1">SUMIF('DAILY CHAMP AYAM'!$C$10:$C$144,$C69,'DAILY CHAMP AYAM'!$O$10:$O$143)</f>
        <v>8.15</v>
      </c>
      <c r="J69" s="374">
        <f ca="1">SUMIF('DAILY CHAMP AYAM'!$C$10:$C$144,$C69,'DAILY CHAMP AYAM'!$P$10:$P$143)</f>
        <v>0.3</v>
      </c>
      <c r="K69" s="374">
        <f ca="1">SUMIF('DAILY CHAMP AYAM'!$C$10:$C$144,$C69,'DAILY CHAMP AYAM'!$R$10:$R$143)</f>
        <v>0</v>
      </c>
      <c r="L69" s="374">
        <f ca="1">SUMIF('DAILY CHAMP AYAM'!$C$10:$C$144,$C69,'DAILY CHAMP AYAM'!$S$10:$S$143)</f>
        <v>0</v>
      </c>
      <c r="M69" s="374">
        <f ca="1">SUMIF('DAILY CHAMP AYAM'!$C$10:$C$144,$C69,'DAILY CHAMP AYAM'!$T$10:$T$143)</f>
        <v>1.4</v>
      </c>
      <c r="N69" s="374">
        <f ca="1">SUMIF('DAILY CHAMP AYAM'!$C$10:$C$144,$C69,'DAILY CHAMP AYAM'!$U$10:$U$143)</f>
        <v>0</v>
      </c>
      <c r="O69" s="374">
        <f ca="1">SUMIF('DAILY CHAMP AYAM'!$C$10:$C$144,$C69,'DAILY CHAMP AYAM'!$V$10:$V$143)</f>
        <v>0</v>
      </c>
      <c r="P69" s="374">
        <f ca="1">SUMIF('DAILY CHAMP AYAM'!$C$10:$C$144,$C69,'DAILY CHAMP AYAM'!$W$10:$W$143)</f>
        <v>0</v>
      </c>
      <c r="Q69" s="374">
        <f ca="1">SUMIF('DAILY CHAMP AYAM'!$C$10:$C$144,$C69,'DAILY CHAMP AYAM'!$X$10:$X$143)</f>
        <v>0</v>
      </c>
      <c r="R69" s="374">
        <f t="shared" ref="R69:R76" ca="1" si="32">+SUM(F69:Q69)</f>
        <v>22.599999999999998</v>
      </c>
      <c r="S69" s="376">
        <f t="shared" ref="S69:S78" ca="1" si="33">+R69/E69</f>
        <v>1.4282933537591922E-2</v>
      </c>
      <c r="T69" s="381"/>
      <c r="U69" s="741">
        <f ca="1">SUM(R69:R72)</f>
        <v>137.66</v>
      </c>
      <c r="V69" s="748">
        <f ca="1">+U69/(SUM(E69:E72))</f>
        <v>2.2139492634750801E-2</v>
      </c>
      <c r="W69" s="735" t="s">
        <v>339</v>
      </c>
      <c r="X69" s="727" t="s">
        <v>319</v>
      </c>
      <c r="Y69" s="727" t="s">
        <v>312</v>
      </c>
      <c r="Z69" s="727" t="s">
        <v>313</v>
      </c>
      <c r="AA69" s="727" t="s">
        <v>314</v>
      </c>
    </row>
    <row r="70" spans="2:27" ht="16.5">
      <c r="B70" s="733"/>
      <c r="C70" s="474" t="str">
        <f>+'HASIL PROD'!B159</f>
        <v>QG15702</v>
      </c>
      <c r="D70" s="372">
        <f>SUMIF('HASIL PROD'!$B$4:$B$343,C70,'HASIL PROD'!$H$4:$H$343)</f>
        <v>483</v>
      </c>
      <c r="E70" s="373">
        <f t="shared" si="31"/>
        <v>1582.308</v>
      </c>
      <c r="F70" s="374">
        <f ca="1">SUMIF('DAILY CHAMP AYAM'!$C$10:$C$144,$C70,'DAILY CHAMP AYAM'!$K$10:$K$143)</f>
        <v>5.55</v>
      </c>
      <c r="G70" s="374">
        <f ca="1">SUMIF('DAILY CHAMP AYAM'!$C$10:$C$144,$C70,'DAILY CHAMP AYAM'!$L$10:$L$143)</f>
        <v>10.28</v>
      </c>
      <c r="H70" s="374">
        <f>SUMIF('DAILY CHAMP AYAM'!$C$10:$C$144,$C70,'DAILY CHAMP AYAM'!$M$9:$N$143)</f>
        <v>0</v>
      </c>
      <c r="I70" s="374">
        <f ca="1">SUMIF('DAILY CHAMP AYAM'!$C$10:$C$144,$C70,'DAILY CHAMP AYAM'!$O$10:$O$143)</f>
        <v>24.35</v>
      </c>
      <c r="J70" s="374">
        <f ca="1">SUMIF('DAILY CHAMP AYAM'!$C$10:$C$144,$C70,'DAILY CHAMP AYAM'!$P$10:$P$143)</f>
        <v>0.7</v>
      </c>
      <c r="K70" s="374">
        <f ca="1">SUMIF('DAILY CHAMP AYAM'!$C$10:$C$144,$C70,'DAILY CHAMP AYAM'!$R$10:$R$143)</f>
        <v>0.4</v>
      </c>
      <c r="L70" s="374">
        <f ca="1">SUMIF('DAILY CHAMP AYAM'!$C$10:$C$144,$C70,'DAILY CHAMP AYAM'!$S$10:$S$143)</f>
        <v>0</v>
      </c>
      <c r="M70" s="374">
        <f ca="1">SUMIF('DAILY CHAMP AYAM'!$C$10:$C$144,$C70,'DAILY CHAMP AYAM'!$T$10:$T$143)</f>
        <v>2.2999999999999998</v>
      </c>
      <c r="N70" s="374">
        <f ca="1">SUMIF('DAILY CHAMP AYAM'!$C$10:$C$144,$C70,'DAILY CHAMP AYAM'!$U$10:$U$143)</f>
        <v>0</v>
      </c>
      <c r="O70" s="374">
        <f ca="1">SUMIF('DAILY CHAMP AYAM'!$C$10:$C$144,$C70,'DAILY CHAMP AYAM'!$V$10:$V$143)</f>
        <v>0</v>
      </c>
      <c r="P70" s="374">
        <f ca="1">SUMIF('DAILY CHAMP AYAM'!$C$10:$C$144,$C70,'DAILY CHAMP AYAM'!$W$10:$W$143)</f>
        <v>0</v>
      </c>
      <c r="Q70" s="374">
        <f ca="1">SUMIF('DAILY CHAMP AYAM'!$C$10:$C$144,$C70,'DAILY CHAMP AYAM'!$X$10:$X$143)</f>
        <v>0</v>
      </c>
      <c r="R70" s="374">
        <f t="shared" ca="1" si="32"/>
        <v>43.58</v>
      </c>
      <c r="S70" s="376">
        <f t="shared" ca="1" si="33"/>
        <v>2.7542046175586546E-2</v>
      </c>
      <c r="T70" s="381"/>
      <c r="U70" s="742"/>
      <c r="V70" s="749"/>
      <c r="W70" s="736"/>
      <c r="X70" s="728"/>
      <c r="Y70" s="728"/>
      <c r="Z70" s="728"/>
      <c r="AA70" s="728"/>
    </row>
    <row r="71" spans="2:27" ht="16.5">
      <c r="B71" s="733"/>
      <c r="C71" s="474" t="str">
        <f>+'HASIL PROD'!B160</f>
        <v>QG15703</v>
      </c>
      <c r="D71" s="372">
        <f>SUMIF('HASIL PROD'!$B$4:$B$343,C71,'HASIL PROD'!$H$4:$H$343)</f>
        <v>498</v>
      </c>
      <c r="E71" s="373">
        <f t="shared" si="31"/>
        <v>1631.4479999999999</v>
      </c>
      <c r="F71" s="374">
        <f ca="1">SUMIF('DAILY CHAMP AYAM'!$C$10:$C$144,$C71,'DAILY CHAMP AYAM'!$K$10:$K$143)</f>
        <v>7.6</v>
      </c>
      <c r="G71" s="374">
        <f ca="1">SUMIF('DAILY CHAMP AYAM'!$C$10:$C$144,$C71,'DAILY CHAMP AYAM'!$L$10:$L$143)</f>
        <v>11.45</v>
      </c>
      <c r="H71" s="374">
        <f>SUMIF('DAILY CHAMP AYAM'!$C$10:$C$144,$C71,'DAILY CHAMP AYAM'!$M$9:$N$143)</f>
        <v>1.7</v>
      </c>
      <c r="I71" s="374">
        <f ca="1">SUMIF('DAILY CHAMP AYAM'!$C$10:$C$144,$C71,'DAILY CHAMP AYAM'!$O$10:$O$143)</f>
        <v>22.32</v>
      </c>
      <c r="J71" s="374">
        <f ca="1">SUMIF('DAILY CHAMP AYAM'!$C$10:$C$144,$C71,'DAILY CHAMP AYAM'!$P$10:$P$143)</f>
        <v>0.38</v>
      </c>
      <c r="K71" s="374">
        <f ca="1">SUMIF('DAILY CHAMP AYAM'!$C$10:$C$144,$C71,'DAILY CHAMP AYAM'!$R$10:$R$143)</f>
        <v>0</v>
      </c>
      <c r="L71" s="374">
        <f ca="1">SUMIF('DAILY CHAMP AYAM'!$C$10:$C$144,$C71,'DAILY CHAMP AYAM'!$S$10:$S$143)</f>
        <v>0</v>
      </c>
      <c r="M71" s="374">
        <f ca="1">SUMIF('DAILY CHAMP AYAM'!$C$10:$C$144,$C71,'DAILY CHAMP AYAM'!$T$10:$T$143)</f>
        <v>1.1000000000000001</v>
      </c>
      <c r="N71" s="374">
        <f ca="1">SUMIF('DAILY CHAMP AYAM'!$C$10:$C$144,$C71,'DAILY CHAMP AYAM'!$U$10:$U$143)</f>
        <v>0</v>
      </c>
      <c r="O71" s="374">
        <f ca="1">SUMIF('DAILY CHAMP AYAM'!$C$10:$C$144,$C71,'DAILY CHAMP AYAM'!$V$10:$V$143)</f>
        <v>0</v>
      </c>
      <c r="P71" s="374">
        <f ca="1">SUMIF('DAILY CHAMP AYAM'!$C$10:$C$144,$C71,'DAILY CHAMP AYAM'!$W$10:$W$143)</f>
        <v>0</v>
      </c>
      <c r="Q71" s="374">
        <f ca="1">SUMIF('DAILY CHAMP AYAM'!$C$10:$C$144,$C71,'DAILY CHAMP AYAM'!$X$10:$X$143)</f>
        <v>0</v>
      </c>
      <c r="R71" s="374">
        <f t="shared" ca="1" si="32"/>
        <v>44.55</v>
      </c>
      <c r="S71" s="376">
        <f t="shared" ca="1" si="33"/>
        <v>2.7307030319078513E-2</v>
      </c>
      <c r="T71" s="381"/>
      <c r="U71" s="742"/>
      <c r="V71" s="749"/>
      <c r="W71" s="736"/>
      <c r="X71" s="728"/>
      <c r="Y71" s="728"/>
      <c r="Z71" s="728"/>
      <c r="AA71" s="728"/>
    </row>
    <row r="72" spans="2:27" ht="16.5">
      <c r="B72" s="733"/>
      <c r="C72" s="474" t="str">
        <f>+'HASIL PROD'!B161</f>
        <v>QG15704</v>
      </c>
      <c r="D72" s="372">
        <f>SUMIF('HASIL PROD'!$B$4:$B$343,C72,'HASIL PROD'!$H$4:$H$343)</f>
        <v>434</v>
      </c>
      <c r="E72" s="373">
        <f t="shared" si="31"/>
        <v>1421.7839999999999</v>
      </c>
      <c r="F72" s="374">
        <f ca="1">SUMIF('DAILY CHAMP AYAM'!$C$10:$C$144,$C72,'DAILY CHAMP AYAM'!$K$10:$K$143)</f>
        <v>6.4</v>
      </c>
      <c r="G72" s="374">
        <f ca="1">SUMIF('DAILY CHAMP AYAM'!$C$10:$C$144,$C72,'DAILY CHAMP AYAM'!$L$10:$L$143)</f>
        <v>9.1</v>
      </c>
      <c r="H72" s="374">
        <f>SUMIF('DAILY CHAMP AYAM'!$C$10:$C$144,$C72,'DAILY CHAMP AYAM'!$M$9:$N$143)</f>
        <v>0</v>
      </c>
      <c r="I72" s="374">
        <f ca="1">SUMIF('DAILY CHAMP AYAM'!$C$10:$C$144,$C72,'DAILY CHAMP AYAM'!$O$10:$O$143)</f>
        <v>7.85</v>
      </c>
      <c r="J72" s="374">
        <f ca="1">SUMIF('DAILY CHAMP AYAM'!$C$10:$C$144,$C72,'DAILY CHAMP AYAM'!$P$10:$P$143)</f>
        <v>0.7</v>
      </c>
      <c r="K72" s="374">
        <f ca="1">SUMIF('DAILY CHAMP AYAM'!$C$10:$C$144,$C72,'DAILY CHAMP AYAM'!$R$10:$R$143)</f>
        <v>1.1000000000000001</v>
      </c>
      <c r="L72" s="374">
        <f ca="1">SUMIF('DAILY CHAMP AYAM'!$C$10:$C$144,$C72,'DAILY CHAMP AYAM'!$S$10:$S$143)</f>
        <v>0.4</v>
      </c>
      <c r="M72" s="374">
        <f ca="1">SUMIF('DAILY CHAMP AYAM'!$C$10:$C$144,$C72,'DAILY CHAMP AYAM'!$T$10:$T$143)</f>
        <v>1.38</v>
      </c>
      <c r="N72" s="374">
        <f ca="1">SUMIF('DAILY CHAMP AYAM'!$C$10:$C$144,$C72,'DAILY CHAMP AYAM'!$U$10:$U$143)</f>
        <v>0</v>
      </c>
      <c r="O72" s="374">
        <f ca="1">SUMIF('DAILY CHAMP AYAM'!$C$10:$C$144,$C72,'DAILY CHAMP AYAM'!$V$10:$V$143)</f>
        <v>0</v>
      </c>
      <c r="P72" s="374">
        <f ca="1">SUMIF('DAILY CHAMP AYAM'!$C$10:$C$144,$C72,'DAILY CHAMP AYAM'!$W$10:$W$143)</f>
        <v>0</v>
      </c>
      <c r="Q72" s="374">
        <f ca="1">SUMIF('DAILY CHAMP AYAM'!$C$10:$C$144,$C72,'DAILY CHAMP AYAM'!$X$10:$X$143)</f>
        <v>0</v>
      </c>
      <c r="R72" s="374">
        <f t="shared" ca="1" si="32"/>
        <v>26.93</v>
      </c>
      <c r="S72" s="376">
        <f t="shared" ca="1" si="33"/>
        <v>1.8940992443296591E-2</v>
      </c>
      <c r="T72" s="381"/>
      <c r="U72" s="743"/>
      <c r="V72" s="750"/>
      <c r="W72" s="737"/>
      <c r="X72" s="729"/>
      <c r="Y72" s="729"/>
      <c r="Z72" s="729"/>
      <c r="AA72" s="729"/>
    </row>
    <row r="73" spans="2:27" ht="16.5">
      <c r="B73" s="733"/>
      <c r="C73" s="474" t="str">
        <f>+'HASIL PROD'!B162</f>
        <v>QG15705</v>
      </c>
      <c r="D73" s="372">
        <f>SUMIF('HASIL PROD'!$B$4:$B$343,C73,'HASIL PROD'!$H$4:$H$343)</f>
        <v>561</v>
      </c>
      <c r="E73" s="373">
        <f t="shared" si="31"/>
        <v>1837.8359999999998</v>
      </c>
      <c r="F73" s="374">
        <f ca="1">SUMIF('DAILY CHAMP AYAM'!$C$10:$C$144,$C73,'DAILY CHAMP AYAM'!$K$10:$K$143)</f>
        <v>3.45</v>
      </c>
      <c r="G73" s="374">
        <f ca="1">SUMIF('DAILY CHAMP AYAM'!$C$10:$C$144,$C73,'DAILY CHAMP AYAM'!$L$10:$L$143)</f>
        <v>8.75</v>
      </c>
      <c r="H73" s="374">
        <f>SUMIF('DAILY CHAMP AYAM'!$C$10:$C$144,$C73,'DAILY CHAMP AYAM'!$M$9:$N$143)</f>
        <v>0</v>
      </c>
      <c r="I73" s="374">
        <f ca="1">SUMIF('DAILY CHAMP AYAM'!$C$10:$C$144,$C73,'DAILY CHAMP AYAM'!$O$10:$O$143)</f>
        <v>15.48</v>
      </c>
      <c r="J73" s="374">
        <f ca="1">SUMIF('DAILY CHAMP AYAM'!$C$10:$C$144,$C73,'DAILY CHAMP AYAM'!$P$10:$P$143)</f>
        <v>0.5</v>
      </c>
      <c r="K73" s="374">
        <f ca="1">SUMIF('DAILY CHAMP AYAM'!$C$10:$C$144,$C73,'DAILY CHAMP AYAM'!$R$10:$R$143)</f>
        <v>0.35</v>
      </c>
      <c r="L73" s="374">
        <f ca="1">SUMIF('DAILY CHAMP AYAM'!$C$10:$C$144,$C73,'DAILY CHAMP AYAM'!$S$10:$S$143)</f>
        <v>0</v>
      </c>
      <c r="M73" s="374">
        <f ca="1">SUMIF('DAILY CHAMP AYAM'!$C$10:$C$144,$C73,'DAILY CHAMP AYAM'!$T$10:$T$143)</f>
        <v>1.2</v>
      </c>
      <c r="N73" s="374">
        <f ca="1">SUMIF('DAILY CHAMP AYAM'!$C$10:$C$144,$C73,'DAILY CHAMP AYAM'!$U$10:$U$143)</f>
        <v>0</v>
      </c>
      <c r="O73" s="374">
        <f ca="1">SUMIF('DAILY CHAMP AYAM'!$C$10:$C$144,$C73,'DAILY CHAMP AYAM'!$V$10:$V$143)</f>
        <v>0</v>
      </c>
      <c r="P73" s="374">
        <f ca="1">SUMIF('DAILY CHAMP AYAM'!$C$10:$C$144,$C73,'DAILY CHAMP AYAM'!$W$10:$W$143)</f>
        <v>0</v>
      </c>
      <c r="Q73" s="374">
        <f ca="1">SUMIF('DAILY CHAMP AYAM'!$C$10:$C$144,$C73,'DAILY CHAMP AYAM'!$X$10:$X$143)</f>
        <v>0</v>
      </c>
      <c r="R73" s="374">
        <f t="shared" ca="1" si="32"/>
        <v>29.73</v>
      </c>
      <c r="S73" s="376">
        <f t="shared" ca="1" si="33"/>
        <v>1.6176633823692648E-2</v>
      </c>
      <c r="T73" s="381"/>
      <c r="U73" s="741">
        <f ca="1">SUM(R73:R77)</f>
        <v>170.24199999999999</v>
      </c>
      <c r="V73" s="748">
        <f ca="1">+U73/(SUM(E73:E77))</f>
        <v>1.9091264682741534E-2</v>
      </c>
      <c r="W73" s="735" t="s">
        <v>341</v>
      </c>
      <c r="X73" s="727" t="s">
        <v>315</v>
      </c>
      <c r="Y73" s="727" t="s">
        <v>316</v>
      </c>
      <c r="Z73" s="727" t="s">
        <v>317</v>
      </c>
      <c r="AA73" s="727" t="s">
        <v>318</v>
      </c>
    </row>
    <row r="74" spans="2:27" ht="16.5">
      <c r="B74" s="733"/>
      <c r="C74" s="474" t="str">
        <f>+'HASIL PROD'!B163</f>
        <v>QG15706</v>
      </c>
      <c r="D74" s="372">
        <f>SUMIF('HASIL PROD'!$B$4:$B$343,C74,'HASIL PROD'!$H$4:$H$343)</f>
        <v>567</v>
      </c>
      <c r="E74" s="373">
        <f t="shared" si="31"/>
        <v>1857.492</v>
      </c>
      <c r="F74" s="374">
        <f ca="1">SUMIF('DAILY CHAMP AYAM'!$C$10:$C$144,$C74,'DAILY CHAMP AYAM'!$K$10:$K$143)</f>
        <v>7.58</v>
      </c>
      <c r="G74" s="374">
        <f ca="1">SUMIF('DAILY CHAMP AYAM'!$C$10:$C$144,$C74,'DAILY CHAMP AYAM'!$L$10:$L$143)</f>
        <v>8.629999999999999</v>
      </c>
      <c r="H74" s="374">
        <f>SUMIF('DAILY CHAMP AYAM'!$C$10:$C$144,$C74,'DAILY CHAMP AYAM'!$M$9:$N$143)</f>
        <v>0</v>
      </c>
      <c r="I74" s="374">
        <f ca="1">SUMIF('DAILY CHAMP AYAM'!$C$10:$C$144,$C74,'DAILY CHAMP AYAM'!$O$10:$O$143)</f>
        <v>16.689999999999998</v>
      </c>
      <c r="J74" s="374">
        <f ca="1">SUMIF('DAILY CHAMP AYAM'!$C$10:$C$144,$C74,'DAILY CHAMP AYAM'!$P$10:$P$143)</f>
        <v>4.2000000000000003E-2</v>
      </c>
      <c r="K74" s="374">
        <f ca="1">SUMIF('DAILY CHAMP AYAM'!$C$10:$C$144,$C74,'DAILY CHAMP AYAM'!$R$10:$R$143)</f>
        <v>0.34</v>
      </c>
      <c r="L74" s="374">
        <f ca="1">SUMIF('DAILY CHAMP AYAM'!$C$10:$C$144,$C74,'DAILY CHAMP AYAM'!$S$10:$S$143)</f>
        <v>1.1000000000000001</v>
      </c>
      <c r="M74" s="374">
        <f ca="1">SUMIF('DAILY CHAMP AYAM'!$C$10:$C$144,$C74,'DAILY CHAMP AYAM'!$T$10:$T$143)</f>
        <v>2.11</v>
      </c>
      <c r="N74" s="374">
        <f ca="1">SUMIF('DAILY CHAMP AYAM'!$C$10:$C$144,$C74,'DAILY CHAMP AYAM'!$U$10:$U$143)</f>
        <v>0</v>
      </c>
      <c r="O74" s="374">
        <f ca="1">SUMIF('DAILY CHAMP AYAM'!$C$10:$C$144,$C74,'DAILY CHAMP AYAM'!$V$10:$V$143)</f>
        <v>0</v>
      </c>
      <c r="P74" s="374">
        <f ca="1">SUMIF('DAILY CHAMP AYAM'!$C$10:$C$144,$C74,'DAILY CHAMP AYAM'!$W$10:$W$143)</f>
        <v>0</v>
      </c>
      <c r="Q74" s="374">
        <f ca="1">SUMIF('DAILY CHAMP AYAM'!$C$10:$C$144,$C74,'DAILY CHAMP AYAM'!$X$10:$X$143)</f>
        <v>0</v>
      </c>
      <c r="R74" s="374">
        <f t="shared" ca="1" si="32"/>
        <v>36.492000000000004</v>
      </c>
      <c r="S74" s="376">
        <f t="shared" ca="1" si="33"/>
        <v>1.9645845042670442E-2</v>
      </c>
      <c r="T74" s="381"/>
      <c r="U74" s="742"/>
      <c r="V74" s="749"/>
      <c r="W74" s="736"/>
      <c r="X74" s="728"/>
      <c r="Y74" s="728"/>
      <c r="Z74" s="728"/>
      <c r="AA74" s="728"/>
    </row>
    <row r="75" spans="2:27" ht="16.5">
      <c r="B75" s="733"/>
      <c r="C75" s="474" t="str">
        <f>+'HASIL PROD'!B164</f>
        <v>QG15707</v>
      </c>
      <c r="D75" s="372">
        <f>SUMIF('HASIL PROD'!$B$4:$B$343,C75,'HASIL PROD'!$H$4:$H$343)</f>
        <v>543</v>
      </c>
      <c r="E75" s="373">
        <f t="shared" si="31"/>
        <v>1778.8679999999999</v>
      </c>
      <c r="F75" s="374">
        <f ca="1">SUMIF('DAILY CHAMP AYAM'!$C$10:$C$144,$C75,'DAILY CHAMP AYAM'!$K$10:$K$143)</f>
        <v>4.2</v>
      </c>
      <c r="G75" s="374">
        <f ca="1">SUMIF('DAILY CHAMP AYAM'!$C$10:$C$144,$C75,'DAILY CHAMP AYAM'!$L$10:$L$143)</f>
        <v>9.66</v>
      </c>
      <c r="H75" s="374">
        <f>SUMIF('DAILY CHAMP AYAM'!$C$10:$C$144,$C75,'DAILY CHAMP AYAM'!$M$9:$N$143)</f>
        <v>0</v>
      </c>
      <c r="I75" s="374">
        <f ca="1">SUMIF('DAILY CHAMP AYAM'!$C$10:$C$144,$C75,'DAILY CHAMP AYAM'!$O$10:$O$143)</f>
        <v>23</v>
      </c>
      <c r="J75" s="374">
        <f ca="1">SUMIF('DAILY CHAMP AYAM'!$C$10:$C$144,$C75,'DAILY CHAMP AYAM'!$P$10:$P$143)</f>
        <v>0.3</v>
      </c>
      <c r="K75" s="374">
        <f ca="1">SUMIF('DAILY CHAMP AYAM'!$C$10:$C$144,$C75,'DAILY CHAMP AYAM'!$R$10:$R$143)</f>
        <v>0</v>
      </c>
      <c r="L75" s="374">
        <f ca="1">SUMIF('DAILY CHAMP AYAM'!$C$10:$C$144,$C75,'DAILY CHAMP AYAM'!$S$10:$S$143)</f>
        <v>0.28000000000000003</v>
      </c>
      <c r="M75" s="374">
        <f ca="1">SUMIF('DAILY CHAMP AYAM'!$C$10:$C$144,$C75,'DAILY CHAMP AYAM'!$T$10:$T$143)</f>
        <v>2.58</v>
      </c>
      <c r="N75" s="374">
        <f ca="1">SUMIF('DAILY CHAMP AYAM'!$C$10:$C$144,$C75,'DAILY CHAMP AYAM'!$U$10:$U$143)</f>
        <v>0</v>
      </c>
      <c r="O75" s="374">
        <f ca="1">SUMIF('DAILY CHAMP AYAM'!$C$10:$C$144,$C75,'DAILY CHAMP AYAM'!$V$10:$V$143)</f>
        <v>0</v>
      </c>
      <c r="P75" s="374">
        <f ca="1">SUMIF('DAILY CHAMP AYAM'!$C$10:$C$144,$C75,'DAILY CHAMP AYAM'!$W$10:$W$143)</f>
        <v>0</v>
      </c>
      <c r="Q75" s="374">
        <f ca="1">SUMIF('DAILY CHAMP AYAM'!$C$10:$C$144,$C75,'DAILY CHAMP AYAM'!$X$10:$X$143)</f>
        <v>0</v>
      </c>
      <c r="R75" s="374">
        <f t="shared" ca="1" si="32"/>
        <v>40.019999999999996</v>
      </c>
      <c r="S75" s="376">
        <f t="shared" ca="1" si="33"/>
        <v>2.2497453436679953E-2</v>
      </c>
      <c r="T75" s="381"/>
      <c r="U75" s="742"/>
      <c r="V75" s="749"/>
      <c r="W75" s="736"/>
      <c r="X75" s="728"/>
      <c r="Y75" s="728"/>
      <c r="Z75" s="728"/>
      <c r="AA75" s="728"/>
    </row>
    <row r="76" spans="2:27" ht="16.5">
      <c r="B76" s="733"/>
      <c r="C76" s="474" t="str">
        <f>+'HASIL PROD'!B165</f>
        <v>QG15708</v>
      </c>
      <c r="D76" s="372">
        <f>SUMIF('HASIL PROD'!$B$4:$B$343,C76,'HASIL PROD'!$H$4:$H$343)</f>
        <v>623</v>
      </c>
      <c r="E76" s="373">
        <f t="shared" si="31"/>
        <v>2040.9479999999999</v>
      </c>
      <c r="F76" s="374">
        <f ca="1">SUMIF('DAILY CHAMP AYAM'!$C$10:$C$144,$C76,'DAILY CHAMP AYAM'!$K$10:$K$143)</f>
        <v>8.42</v>
      </c>
      <c r="G76" s="374">
        <f ca="1">SUMIF('DAILY CHAMP AYAM'!$C$10:$C$144,$C76,'DAILY CHAMP AYAM'!$L$10:$L$143)</f>
        <v>10.44</v>
      </c>
      <c r="H76" s="374">
        <f>SUMIF('DAILY CHAMP AYAM'!$C$10:$C$144,$C76,'DAILY CHAMP AYAM'!$M$9:$N$143)</f>
        <v>0.1</v>
      </c>
      <c r="I76" s="374">
        <f ca="1">SUMIF('DAILY CHAMP AYAM'!$C$10:$C$144,$C76,'DAILY CHAMP AYAM'!$O$10:$O$143)</f>
        <v>17.78</v>
      </c>
      <c r="J76" s="374">
        <f ca="1">SUMIF('DAILY CHAMP AYAM'!$C$10:$C$144,$C76,'DAILY CHAMP AYAM'!$P$10:$P$143)</f>
        <v>0.28000000000000003</v>
      </c>
      <c r="K76" s="374">
        <f ca="1">SUMIF('DAILY CHAMP AYAM'!$C$10:$C$144,$C76,'DAILY CHAMP AYAM'!$R$10:$R$143)</f>
        <v>0.72</v>
      </c>
      <c r="L76" s="374">
        <f ca="1">SUMIF('DAILY CHAMP AYAM'!$C$10:$C$144,$C76,'DAILY CHAMP AYAM'!$S$10:$S$143)</f>
        <v>3.46</v>
      </c>
      <c r="M76" s="374">
        <f ca="1">SUMIF('DAILY CHAMP AYAM'!$C$10:$C$144,$C76,'DAILY CHAMP AYAM'!$T$10:$T$143)</f>
        <v>2.2599999999999998</v>
      </c>
      <c r="N76" s="374">
        <f ca="1">SUMIF('DAILY CHAMP AYAM'!$C$10:$C$144,$C76,'DAILY CHAMP AYAM'!$U$10:$U$143)</f>
        <v>0</v>
      </c>
      <c r="O76" s="374">
        <f ca="1">SUMIF('DAILY CHAMP AYAM'!$C$10:$C$144,$C76,'DAILY CHAMP AYAM'!$V$10:$V$143)</f>
        <v>0</v>
      </c>
      <c r="P76" s="374">
        <f ca="1">SUMIF('DAILY CHAMP AYAM'!$C$10:$C$144,$C76,'DAILY CHAMP AYAM'!$W$10:$W$143)</f>
        <v>0</v>
      </c>
      <c r="Q76" s="374">
        <f ca="1">SUMIF('DAILY CHAMP AYAM'!$C$10:$C$144,$C76,'DAILY CHAMP AYAM'!$X$10:$X$143)</f>
        <v>0</v>
      </c>
      <c r="R76" s="374">
        <f t="shared" ca="1" si="32"/>
        <v>43.46</v>
      </c>
      <c r="S76" s="376">
        <f t="shared" ca="1" si="33"/>
        <v>2.129402610943542E-2</v>
      </c>
      <c r="T76" s="381"/>
      <c r="U76" s="742"/>
      <c r="V76" s="749"/>
      <c r="W76" s="736"/>
      <c r="X76" s="728"/>
      <c r="Y76" s="728"/>
      <c r="Z76" s="728"/>
      <c r="AA76" s="728"/>
    </row>
    <row r="77" spans="2:27" ht="16.5">
      <c r="B77" s="733"/>
      <c r="C77" s="474" t="str">
        <f>+'HASIL PROD'!B166</f>
        <v>QG15709</v>
      </c>
      <c r="D77" s="372">
        <f>SUMIF('HASIL PROD'!$B$4:$B$343,C77,'HASIL PROD'!$H$4:$H$343)</f>
        <v>428</v>
      </c>
      <c r="E77" s="373">
        <f t="shared" si="31"/>
        <v>1402.1279999999999</v>
      </c>
      <c r="F77" s="374">
        <f ca="1">SUMIF('DAILY CHAMP AYAM'!$C$10:$C$144,$C77,'DAILY CHAMP AYAM'!$K$10:$K$143)</f>
        <v>2.08</v>
      </c>
      <c r="G77" s="374">
        <f ca="1">SUMIF('DAILY CHAMP AYAM'!$C$10:$C$144,$C77,'DAILY CHAMP AYAM'!$L$10:$L$143)</f>
        <v>6.7</v>
      </c>
      <c r="H77" s="374">
        <f>SUMIF('DAILY CHAMP AYAM'!$C$10:$C$144,$C77,'DAILY CHAMP AYAM'!$M$9:$N$143)</f>
        <v>0</v>
      </c>
      <c r="I77" s="374">
        <f ca="1">SUMIF('DAILY CHAMP AYAM'!$C$10:$C$144,$C77,'DAILY CHAMP AYAM'!$O$10:$O$143)</f>
        <v>6.9</v>
      </c>
      <c r="J77" s="374">
        <f ca="1">SUMIF('DAILY CHAMP AYAM'!$C$10:$C$144,$C77,'DAILY CHAMP AYAM'!$P$10:$P$143)</f>
        <v>0.18</v>
      </c>
      <c r="K77" s="374">
        <f ca="1">SUMIF('DAILY CHAMP AYAM'!$C$10:$C$144,$C77,'DAILY CHAMP AYAM'!$R$10:$R$143)</f>
        <v>1.3</v>
      </c>
      <c r="L77" s="374">
        <f ca="1">SUMIF('DAILY CHAMP AYAM'!$C$10:$C$144,$C77,'DAILY CHAMP AYAM'!$S$10:$S$143)</f>
        <v>2.16</v>
      </c>
      <c r="M77" s="374">
        <f ca="1">SUMIF('DAILY CHAMP AYAM'!$C$10:$C$144,$C77,'DAILY CHAMP AYAM'!$T$10:$T$143)</f>
        <v>1.22</v>
      </c>
      <c r="N77" s="374">
        <f ca="1">SUMIF('DAILY CHAMP AYAM'!$C$10:$C$144,$C77,'DAILY CHAMP AYAM'!$U$10:$U$143)</f>
        <v>0</v>
      </c>
      <c r="O77" s="374">
        <f ca="1">SUMIF('DAILY CHAMP AYAM'!$C$10:$C$144,$C77,'DAILY CHAMP AYAM'!$V$10:$V$143)</f>
        <v>0</v>
      </c>
      <c r="P77" s="374">
        <f ca="1">SUMIF('DAILY CHAMP AYAM'!$C$10:$C$144,$C77,'DAILY CHAMP AYAM'!$W$10:$W$143)</f>
        <v>0</v>
      </c>
      <c r="Q77" s="374">
        <f ca="1">SUMIF('DAILY CHAMP AYAM'!$C$10:$C$144,$C77,'DAILY CHAMP AYAM'!$X$10:$X$143)</f>
        <v>0</v>
      </c>
      <c r="R77" s="374">
        <f t="shared" ref="R77:R78" ca="1" si="34">+SUM(F77:Q77)</f>
        <v>20.54</v>
      </c>
      <c r="S77" s="376">
        <f t="shared" ca="1" si="33"/>
        <v>1.4649161845423527E-2</v>
      </c>
      <c r="T77" s="381"/>
      <c r="U77" s="743"/>
      <c r="V77" s="750"/>
      <c r="W77" s="737"/>
      <c r="X77" s="729"/>
      <c r="Y77" s="729"/>
      <c r="Z77" s="729"/>
      <c r="AA77" s="729"/>
    </row>
    <row r="78" spans="2:27" ht="16.5">
      <c r="B78" s="733"/>
      <c r="C78" s="474">
        <f>+'HASIL PROD'!B167</f>
        <v>0</v>
      </c>
      <c r="D78" s="372">
        <f>SUMIF('HASIL PROD'!$B$4:$B$343,C78,'HASIL PROD'!$H$4:$H$343)</f>
        <v>0</v>
      </c>
      <c r="E78" s="373">
        <f t="shared" si="31"/>
        <v>0</v>
      </c>
      <c r="F78" s="374">
        <f ca="1">SUMIF('DAILY CHAMP AYAM'!$C$10:$C$144,$C78,'DAILY CHAMP AYAM'!$K$10:$K$143)</f>
        <v>0</v>
      </c>
      <c r="G78" s="374">
        <f ca="1">SUMIF('DAILY CHAMP AYAM'!$C$10:$C$144,$C78,'DAILY CHAMP AYAM'!$L$10:$L$143)</f>
        <v>0</v>
      </c>
      <c r="H78" s="374">
        <f>SUMIF('DAILY CHAMP AYAM'!$C$10:$C$144,$C78,'DAILY CHAMP AYAM'!$M$9:$N$143)</f>
        <v>0</v>
      </c>
      <c r="I78" s="374">
        <f ca="1">SUMIF('DAILY CHAMP AYAM'!$C$10:$C$144,$C78,'DAILY CHAMP AYAM'!$O$10:$O$143)</f>
        <v>0</v>
      </c>
      <c r="J78" s="374">
        <f ca="1">SUMIF('DAILY CHAMP AYAM'!$C$10:$C$144,$C78,'DAILY CHAMP AYAM'!$P$10:$P$143)</f>
        <v>0</v>
      </c>
      <c r="K78" s="374">
        <f ca="1">SUMIF('DAILY CHAMP AYAM'!$C$10:$C$144,$C78,'DAILY CHAMP AYAM'!$R$10:$R$143)</f>
        <v>0</v>
      </c>
      <c r="L78" s="374">
        <f ca="1">SUMIF('DAILY CHAMP AYAM'!$C$10:$C$144,$C78,'DAILY CHAMP AYAM'!$S$10:$S$143)</f>
        <v>0</v>
      </c>
      <c r="M78" s="374">
        <f ca="1">SUMIF('DAILY CHAMP AYAM'!$C$10:$C$144,$C78,'DAILY CHAMP AYAM'!$T$10:$T$143)</f>
        <v>0</v>
      </c>
      <c r="N78" s="374">
        <f ca="1">SUMIF('DAILY CHAMP AYAM'!$C$10:$C$144,$C78,'DAILY CHAMP AYAM'!$U$10:$U$143)</f>
        <v>0</v>
      </c>
      <c r="O78" s="374">
        <f ca="1">SUMIF('DAILY CHAMP AYAM'!$C$10:$C$144,$C78,'DAILY CHAMP AYAM'!$V$10:$V$143)</f>
        <v>0</v>
      </c>
      <c r="P78" s="374">
        <f ca="1">SUMIF('DAILY CHAMP AYAM'!$C$10:$C$144,$C78,'DAILY CHAMP AYAM'!$W$10:$W$143)</f>
        <v>0</v>
      </c>
      <c r="Q78" s="374">
        <f ca="1">SUMIF('DAILY CHAMP AYAM'!$C$10:$C$144,$C78,'DAILY CHAMP AYAM'!$X$10:$X$143)</f>
        <v>0</v>
      </c>
      <c r="R78" s="374">
        <f t="shared" ca="1" si="34"/>
        <v>0</v>
      </c>
      <c r="S78" s="376" t="e">
        <f t="shared" ca="1" si="33"/>
        <v>#DIV/0!</v>
      </c>
      <c r="T78" s="381"/>
      <c r="U78" s="503"/>
      <c r="V78" s="505"/>
      <c r="W78" s="501"/>
      <c r="X78" s="530"/>
      <c r="Y78" s="530"/>
      <c r="Z78" s="530"/>
      <c r="AA78" s="530"/>
    </row>
    <row r="79" spans="2:27" ht="16.5">
      <c r="B79" s="733"/>
      <c r="C79" s="371"/>
      <c r="D79" s="372"/>
      <c r="E79" s="373"/>
      <c r="F79" s="379"/>
      <c r="G79" s="379"/>
      <c r="H79" s="379"/>
      <c r="I79" s="379"/>
      <c r="J79" s="379"/>
      <c r="K79" s="379"/>
      <c r="L79" s="379"/>
      <c r="M79" s="379"/>
      <c r="N79" s="379"/>
      <c r="O79" s="379"/>
      <c r="P79" s="379"/>
      <c r="Q79" s="379"/>
      <c r="R79" s="374"/>
      <c r="S79" s="380"/>
      <c r="T79" s="381"/>
      <c r="U79" s="404"/>
      <c r="V79" s="405"/>
      <c r="W79" s="401"/>
      <c r="X79" s="530"/>
      <c r="Y79" s="530"/>
      <c r="Z79" s="530"/>
      <c r="AA79" s="530"/>
    </row>
    <row r="80" spans="2:27" ht="16.5">
      <c r="B80" s="734"/>
      <c r="C80" s="385" t="s">
        <v>118</v>
      </c>
      <c r="D80" s="386">
        <f t="shared" ref="D80:R80" si="35">SUM(D69:D79)</f>
        <v>4620</v>
      </c>
      <c r="E80" s="387">
        <f t="shared" si="35"/>
        <v>15135.12</v>
      </c>
      <c r="F80" s="388">
        <f t="shared" ca="1" si="35"/>
        <v>49.480000000000004</v>
      </c>
      <c r="G80" s="388">
        <f t="shared" ca="1" si="35"/>
        <v>83.559999999999988</v>
      </c>
      <c r="H80" s="388">
        <f t="shared" si="35"/>
        <v>1.8</v>
      </c>
      <c r="I80" s="388">
        <f t="shared" ca="1" si="35"/>
        <v>142.52000000000001</v>
      </c>
      <c r="J80" s="388">
        <f t="shared" ca="1" si="35"/>
        <v>3.3820000000000001</v>
      </c>
      <c r="K80" s="388">
        <f t="shared" ca="1" si="35"/>
        <v>4.21</v>
      </c>
      <c r="L80" s="388">
        <f t="shared" ca="1" si="35"/>
        <v>7.4</v>
      </c>
      <c r="M80" s="388">
        <f t="shared" ca="1" si="35"/>
        <v>15.55</v>
      </c>
      <c r="N80" s="388">
        <f t="shared" ca="1" si="35"/>
        <v>0</v>
      </c>
      <c r="O80" s="388">
        <f t="shared" ca="1" si="35"/>
        <v>0</v>
      </c>
      <c r="P80" s="388">
        <f t="shared" ca="1" si="35"/>
        <v>0</v>
      </c>
      <c r="Q80" s="388">
        <f t="shared" ca="1" si="35"/>
        <v>0</v>
      </c>
      <c r="R80" s="388">
        <f t="shared" ca="1" si="35"/>
        <v>307.90199999999999</v>
      </c>
      <c r="S80" s="389"/>
      <c r="T80" s="402"/>
      <c r="U80" s="388"/>
      <c r="V80" s="389"/>
      <c r="W80" s="389"/>
      <c r="X80" s="530"/>
      <c r="Y80" s="530"/>
      <c r="Z80" s="530"/>
      <c r="AA80" s="530"/>
    </row>
    <row r="81" spans="2:27" ht="16.5">
      <c r="B81" s="406"/>
      <c r="C81" s="393" t="s">
        <v>114</v>
      </c>
      <c r="D81" s="394"/>
      <c r="E81" s="395"/>
      <c r="F81" s="396">
        <f ca="1">+F80/$E80</f>
        <v>3.2692175549318405E-3</v>
      </c>
      <c r="G81" s="396">
        <f t="shared" ref="G81:Q81" ca="1" si="36">+G80/$E80</f>
        <v>5.5209340923626626E-3</v>
      </c>
      <c r="H81" s="396">
        <f t="shared" si="36"/>
        <v>1.1892869035726178E-4</v>
      </c>
      <c r="I81" s="396">
        <f t="shared" ca="1" si="36"/>
        <v>9.4165094165094172E-3</v>
      </c>
      <c r="J81" s="396">
        <f t="shared" ca="1" si="36"/>
        <v>2.2345379488236631E-4</v>
      </c>
      <c r="K81" s="396">
        <f t="shared" ca="1" si="36"/>
        <v>2.7816099244670669E-4</v>
      </c>
      <c r="L81" s="396">
        <f t="shared" ca="1" si="36"/>
        <v>4.889290603576318E-4</v>
      </c>
      <c r="M81" s="396">
        <f t="shared" ca="1" si="36"/>
        <v>1.027411741697456E-3</v>
      </c>
      <c r="N81" s="396">
        <f t="shared" ca="1" si="36"/>
        <v>0</v>
      </c>
      <c r="O81" s="396">
        <f t="shared" ca="1" si="36"/>
        <v>0</v>
      </c>
      <c r="P81" s="396">
        <f t="shared" ca="1" si="36"/>
        <v>0</v>
      </c>
      <c r="Q81" s="396">
        <f t="shared" ca="1" si="36"/>
        <v>0</v>
      </c>
      <c r="R81" s="482">
        <f ca="1">+R80/$E80</f>
        <v>2.0343545343545343E-2</v>
      </c>
      <c r="S81" s="399"/>
      <c r="T81" s="402"/>
      <c r="U81" s="400"/>
      <c r="V81" s="389"/>
      <c r="W81" s="389"/>
      <c r="X81" s="530"/>
      <c r="Y81" s="530"/>
      <c r="Z81" s="530"/>
      <c r="AA81" s="530"/>
    </row>
    <row r="82" spans="2:27" ht="16.5">
      <c r="B82" s="732" t="s">
        <v>179</v>
      </c>
      <c r="C82" s="474" t="str">
        <f>+'HASIL PROD'!B169</f>
        <v>QG16701</v>
      </c>
      <c r="D82" s="372">
        <f>SUMIF('HASIL PROD'!$B$4:$B$343,C82,'HASIL PROD'!$H$4:$H$343)</f>
        <v>462</v>
      </c>
      <c r="E82" s="373">
        <f t="shared" ref="E82:E91" si="37">+D82*3.276</f>
        <v>1513.5119999999999</v>
      </c>
      <c r="F82" s="374">
        <f ca="1">SUMIF('DAILY CHAMP AYAM'!$C$10:$C$144,$C82,'DAILY CHAMP AYAM'!$K$10:$K$143)</f>
        <v>1.6</v>
      </c>
      <c r="G82" s="374">
        <f ca="1">SUMIF('DAILY CHAMP AYAM'!$C$10:$C$144,$C82,'DAILY CHAMP AYAM'!$L$10:$L$143)</f>
        <v>3.45</v>
      </c>
      <c r="H82" s="374">
        <f>SUMIF('DAILY CHAMP AYAM'!$C$10:$C$144,$C82,'DAILY CHAMP AYAM'!$M$9:$N$143)</f>
        <v>0</v>
      </c>
      <c r="I82" s="374">
        <f ca="1">SUMIF('DAILY CHAMP AYAM'!$C$10:$C$144,$C82,'DAILY CHAMP AYAM'!$O$10:$O$143)</f>
        <v>2.72</v>
      </c>
      <c r="J82" s="374">
        <f ca="1">SUMIF('DAILY CHAMP AYAM'!$C$10:$C$144,$C82,'DAILY CHAMP AYAM'!$P$10:$P$143)</f>
        <v>0.6</v>
      </c>
      <c r="K82" s="374">
        <f ca="1">SUMIF('DAILY CHAMP AYAM'!$C$10:$C$144,$C82,'DAILY CHAMP AYAM'!$R$10:$R$143)</f>
        <v>1.38</v>
      </c>
      <c r="L82" s="374">
        <f ca="1">SUMIF('DAILY CHAMP AYAM'!$C$10:$C$144,$C82,'DAILY CHAMP AYAM'!$S$10:$S$143)</f>
        <v>0</v>
      </c>
      <c r="M82" s="374">
        <f ca="1">SUMIF('DAILY CHAMP AYAM'!$C$10:$C$144,$C82,'DAILY CHAMP AYAM'!$T$10:$T$143)</f>
        <v>1.9</v>
      </c>
      <c r="N82" s="374">
        <f ca="1">SUMIF('DAILY CHAMP AYAM'!$C$10:$C$144,$C82,'DAILY CHAMP AYAM'!$U$10:$U$143)</f>
        <v>0</v>
      </c>
      <c r="O82" s="374">
        <f ca="1">SUMIF('DAILY CHAMP AYAM'!$C$10:$C$144,$C82,'DAILY CHAMP AYAM'!$V$10:$V$143)</f>
        <v>0</v>
      </c>
      <c r="P82" s="374">
        <f ca="1">SUMIF('DAILY CHAMP AYAM'!$C$10:$C$144,$C82,'DAILY CHAMP AYAM'!$W$10:$W$143)</f>
        <v>0</v>
      </c>
      <c r="Q82" s="374">
        <f ca="1">SUMIF('DAILY CHAMP AYAM'!$C$10:$C$144,$C82,'DAILY CHAMP AYAM'!$X$10:$X$143)</f>
        <v>0</v>
      </c>
      <c r="R82" s="374">
        <f t="shared" ref="R82:R89" ca="1" si="38">+SUM(F82:Q82)</f>
        <v>11.65</v>
      </c>
      <c r="S82" s="376">
        <f t="shared" ref="S82:S91" ca="1" si="39">+R82/E82</f>
        <v>7.6973291259005549E-3</v>
      </c>
      <c r="T82" s="381"/>
      <c r="U82" s="507">
        <f ca="1">SUM(R82:R82)</f>
        <v>11.65</v>
      </c>
      <c r="V82" s="508">
        <f ca="1">+U82/(SUM(E82:E82))</f>
        <v>7.6973291259005549E-3</v>
      </c>
      <c r="W82" s="378" t="s">
        <v>338</v>
      </c>
      <c r="X82" s="530" t="s">
        <v>312</v>
      </c>
      <c r="Y82" s="530" t="s">
        <v>313</v>
      </c>
      <c r="Z82" s="530" t="s">
        <v>314</v>
      </c>
      <c r="AA82" s="530"/>
    </row>
    <row r="83" spans="2:27" ht="16.5">
      <c r="B83" s="733"/>
      <c r="C83" s="474" t="str">
        <f>+'HASIL PROD'!B170</f>
        <v>QG16702</v>
      </c>
      <c r="D83" s="372">
        <f>SUMIF('HASIL PROD'!$B$4:$B$343,C83,'HASIL PROD'!$H$4:$H$343)</f>
        <v>0</v>
      </c>
      <c r="E83" s="373">
        <f t="shared" si="37"/>
        <v>0</v>
      </c>
      <c r="F83" s="374">
        <f ca="1">SUMIF('DAILY CHAMP AYAM'!$C$10:$C$144,$C83,'DAILY CHAMP AYAM'!$K$10:$K$143)</f>
        <v>0</v>
      </c>
      <c r="G83" s="374">
        <f ca="1">SUMIF('DAILY CHAMP AYAM'!$C$10:$C$144,$C83,'DAILY CHAMP AYAM'!$L$10:$L$143)</f>
        <v>0</v>
      </c>
      <c r="H83" s="374">
        <f>SUMIF('DAILY CHAMP AYAM'!$C$10:$C$144,$C83,'DAILY CHAMP AYAM'!$M$9:$N$143)</f>
        <v>0</v>
      </c>
      <c r="I83" s="374">
        <f ca="1">SUMIF('DAILY CHAMP AYAM'!$C$10:$C$144,$C83,'DAILY CHAMP AYAM'!$O$10:$O$143)</f>
        <v>0</v>
      </c>
      <c r="J83" s="374">
        <f ca="1">SUMIF('DAILY CHAMP AYAM'!$C$10:$C$144,$C83,'DAILY CHAMP AYAM'!$P$10:$P$143)</f>
        <v>0</v>
      </c>
      <c r="K83" s="374">
        <f ca="1">SUMIF('DAILY CHAMP AYAM'!$C$10:$C$144,$C83,'DAILY CHAMP AYAM'!$R$10:$R$143)</f>
        <v>0</v>
      </c>
      <c r="L83" s="374">
        <f ca="1">SUMIF('DAILY CHAMP AYAM'!$C$10:$C$144,$C83,'DAILY CHAMP AYAM'!$S$10:$S$143)</f>
        <v>0</v>
      </c>
      <c r="M83" s="374">
        <f ca="1">SUMIF('DAILY CHAMP AYAM'!$C$10:$C$144,$C83,'DAILY CHAMP AYAM'!$T$10:$T$143)</f>
        <v>0</v>
      </c>
      <c r="N83" s="374">
        <f ca="1">SUMIF('DAILY CHAMP AYAM'!$C$10:$C$144,$C83,'DAILY CHAMP AYAM'!$U$10:$U$143)</f>
        <v>0</v>
      </c>
      <c r="O83" s="374">
        <f ca="1">SUMIF('DAILY CHAMP AYAM'!$C$10:$C$144,$C83,'DAILY CHAMP AYAM'!$V$10:$V$143)</f>
        <v>0</v>
      </c>
      <c r="P83" s="374">
        <f ca="1">SUMIF('DAILY CHAMP AYAM'!$C$10:$C$144,$C83,'DAILY CHAMP AYAM'!$W$10:$W$143)</f>
        <v>0</v>
      </c>
      <c r="Q83" s="374">
        <f ca="1">SUMIF('DAILY CHAMP AYAM'!$C$10:$C$144,$C83,'DAILY CHAMP AYAM'!$X$10:$X$143)</f>
        <v>0</v>
      </c>
      <c r="R83" s="374">
        <f t="shared" ca="1" si="38"/>
        <v>0</v>
      </c>
      <c r="S83" s="376" t="e">
        <f t="shared" ca="1" si="39"/>
        <v>#DIV/0!</v>
      </c>
      <c r="T83" s="381"/>
      <c r="U83" s="404"/>
      <c r="V83" s="405"/>
      <c r="W83" s="378"/>
      <c r="X83" s="530"/>
      <c r="Y83" s="530"/>
      <c r="Z83" s="530"/>
      <c r="AA83" s="530"/>
    </row>
    <row r="84" spans="2:27" ht="16.5">
      <c r="B84" s="733"/>
      <c r="C84" s="474" t="str">
        <f>+'HASIL PROD'!B171</f>
        <v>QG16703</v>
      </c>
      <c r="D84" s="372">
        <f>SUMIF('HASIL PROD'!$B$4:$B$343,C84,'HASIL PROD'!$H$4:$H$343)</f>
        <v>0</v>
      </c>
      <c r="E84" s="373">
        <f t="shared" si="37"/>
        <v>0</v>
      </c>
      <c r="F84" s="374">
        <f ca="1">SUMIF('DAILY CHAMP AYAM'!$C$10:$C$144,$C84,'DAILY CHAMP AYAM'!$K$10:$K$143)</f>
        <v>0</v>
      </c>
      <c r="G84" s="374">
        <f ca="1">SUMIF('DAILY CHAMP AYAM'!$C$10:$C$144,$C84,'DAILY CHAMP AYAM'!$L$10:$L$143)</f>
        <v>0</v>
      </c>
      <c r="H84" s="374">
        <f>SUMIF('DAILY CHAMP AYAM'!$C$10:$C$144,$C84,'DAILY CHAMP AYAM'!$M$9:$N$143)</f>
        <v>0</v>
      </c>
      <c r="I84" s="374">
        <f ca="1">SUMIF('DAILY CHAMP AYAM'!$C$10:$C$144,$C84,'DAILY CHAMP AYAM'!$O$10:$O$143)</f>
        <v>0</v>
      </c>
      <c r="J84" s="374">
        <f ca="1">SUMIF('DAILY CHAMP AYAM'!$C$10:$C$144,$C84,'DAILY CHAMP AYAM'!$P$10:$P$143)</f>
        <v>0</v>
      </c>
      <c r="K84" s="374">
        <f ca="1">SUMIF('DAILY CHAMP AYAM'!$C$10:$C$144,$C84,'DAILY CHAMP AYAM'!$R$10:$R$143)</f>
        <v>0</v>
      </c>
      <c r="L84" s="374">
        <f ca="1">SUMIF('DAILY CHAMP AYAM'!$C$10:$C$144,$C84,'DAILY CHAMP AYAM'!$S$10:$S$143)</f>
        <v>0</v>
      </c>
      <c r="M84" s="374">
        <f ca="1">SUMIF('DAILY CHAMP AYAM'!$C$10:$C$144,$C84,'DAILY CHAMP AYAM'!$T$10:$T$143)</f>
        <v>0</v>
      </c>
      <c r="N84" s="374">
        <f ca="1">SUMIF('DAILY CHAMP AYAM'!$C$10:$C$144,$C84,'DAILY CHAMP AYAM'!$U$10:$U$143)</f>
        <v>0</v>
      </c>
      <c r="O84" s="374">
        <f ca="1">SUMIF('DAILY CHAMP AYAM'!$C$10:$C$144,$C84,'DAILY CHAMP AYAM'!$V$10:$V$143)</f>
        <v>0</v>
      </c>
      <c r="P84" s="374">
        <f ca="1">SUMIF('DAILY CHAMP AYAM'!$C$10:$C$144,$C84,'DAILY CHAMP AYAM'!$W$10:$W$143)</f>
        <v>0</v>
      </c>
      <c r="Q84" s="374">
        <f ca="1">SUMIF('DAILY CHAMP AYAM'!$C$10:$C$144,$C84,'DAILY CHAMP AYAM'!$X$10:$X$143)</f>
        <v>0</v>
      </c>
      <c r="R84" s="374">
        <f t="shared" ca="1" si="38"/>
        <v>0</v>
      </c>
      <c r="S84" s="376" t="e">
        <f t="shared" ca="1" si="39"/>
        <v>#DIV/0!</v>
      </c>
      <c r="T84" s="381"/>
      <c r="U84" s="404"/>
      <c r="V84" s="405"/>
      <c r="W84" s="378"/>
      <c r="X84" s="530"/>
      <c r="Y84" s="530"/>
      <c r="Z84" s="530"/>
      <c r="AA84" s="530"/>
    </row>
    <row r="85" spans="2:27" ht="16.5">
      <c r="B85" s="733"/>
      <c r="C85" s="474" t="str">
        <f>+'HASIL PROD'!B172</f>
        <v>QG16704</v>
      </c>
      <c r="D85" s="372">
        <f>SUMIF('HASIL PROD'!$B$4:$B$343,C85,'HASIL PROD'!$H$4:$H$343)</f>
        <v>0</v>
      </c>
      <c r="E85" s="373">
        <f t="shared" si="37"/>
        <v>0</v>
      </c>
      <c r="F85" s="374">
        <f ca="1">SUMIF('DAILY CHAMP AYAM'!$C$10:$C$144,$C85,'DAILY CHAMP AYAM'!$K$10:$K$143)</f>
        <v>0</v>
      </c>
      <c r="G85" s="374">
        <f ca="1">SUMIF('DAILY CHAMP AYAM'!$C$10:$C$144,$C85,'DAILY CHAMP AYAM'!$L$10:$L$143)</f>
        <v>0</v>
      </c>
      <c r="H85" s="374">
        <f>SUMIF('DAILY CHAMP AYAM'!$C$10:$C$144,$C85,'DAILY CHAMP AYAM'!$M$9:$N$143)</f>
        <v>0</v>
      </c>
      <c r="I85" s="374">
        <f ca="1">SUMIF('DAILY CHAMP AYAM'!$C$10:$C$144,$C85,'DAILY CHAMP AYAM'!$O$10:$O$143)</f>
        <v>0</v>
      </c>
      <c r="J85" s="374">
        <f ca="1">SUMIF('DAILY CHAMP AYAM'!$C$10:$C$144,$C85,'DAILY CHAMP AYAM'!$P$10:$P$143)</f>
        <v>0</v>
      </c>
      <c r="K85" s="374">
        <f ca="1">SUMIF('DAILY CHAMP AYAM'!$C$10:$C$144,$C85,'DAILY CHAMP AYAM'!$R$10:$R$143)</f>
        <v>0</v>
      </c>
      <c r="L85" s="374">
        <f ca="1">SUMIF('DAILY CHAMP AYAM'!$C$10:$C$144,$C85,'DAILY CHAMP AYAM'!$S$10:$S$143)</f>
        <v>0</v>
      </c>
      <c r="M85" s="374">
        <f ca="1">SUMIF('DAILY CHAMP AYAM'!$C$10:$C$144,$C85,'DAILY CHAMP AYAM'!$T$10:$T$143)</f>
        <v>0</v>
      </c>
      <c r="N85" s="374">
        <f ca="1">SUMIF('DAILY CHAMP AYAM'!$C$10:$C$144,$C85,'DAILY CHAMP AYAM'!$U$10:$U$143)</f>
        <v>0</v>
      </c>
      <c r="O85" s="374">
        <f ca="1">SUMIF('DAILY CHAMP AYAM'!$C$10:$C$144,$C85,'DAILY CHAMP AYAM'!$V$10:$V$143)</f>
        <v>0</v>
      </c>
      <c r="P85" s="374">
        <f ca="1">SUMIF('DAILY CHAMP AYAM'!$C$10:$C$144,$C85,'DAILY CHAMP AYAM'!$W$10:$W$143)</f>
        <v>0</v>
      </c>
      <c r="Q85" s="374">
        <f ca="1">SUMIF('DAILY CHAMP AYAM'!$C$10:$C$144,$C85,'DAILY CHAMP AYAM'!$X$10:$X$143)</f>
        <v>0</v>
      </c>
      <c r="R85" s="374">
        <f t="shared" ca="1" si="38"/>
        <v>0</v>
      </c>
      <c r="S85" s="376" t="e">
        <f t="shared" ca="1" si="39"/>
        <v>#DIV/0!</v>
      </c>
      <c r="T85" s="381"/>
      <c r="U85" s="404"/>
      <c r="V85" s="405"/>
      <c r="W85" s="378"/>
      <c r="X85" s="530"/>
      <c r="Y85" s="530"/>
      <c r="Z85" s="530"/>
      <c r="AA85" s="530"/>
    </row>
    <row r="86" spans="2:27" ht="16.5">
      <c r="B86" s="733"/>
      <c r="C86" s="474" t="str">
        <f>+'HASIL PROD'!B173</f>
        <v>QG16705</v>
      </c>
      <c r="D86" s="372">
        <f>SUMIF('HASIL PROD'!$B$4:$B$343,C86,'HASIL PROD'!$H$4:$H$343)</f>
        <v>0</v>
      </c>
      <c r="E86" s="373">
        <f t="shared" si="37"/>
        <v>0</v>
      </c>
      <c r="F86" s="374">
        <f ca="1">SUMIF('DAILY CHAMP AYAM'!$C$10:$C$144,$C86,'DAILY CHAMP AYAM'!$K$10:$K$143)</f>
        <v>0</v>
      </c>
      <c r="G86" s="374">
        <f ca="1">SUMIF('DAILY CHAMP AYAM'!$C$10:$C$144,$C86,'DAILY CHAMP AYAM'!$L$10:$L$143)</f>
        <v>0</v>
      </c>
      <c r="H86" s="374">
        <f>SUMIF('DAILY CHAMP AYAM'!$C$10:$C$144,$C86,'DAILY CHAMP AYAM'!$M$9:$N$143)</f>
        <v>0</v>
      </c>
      <c r="I86" s="374">
        <f ca="1">SUMIF('DAILY CHAMP AYAM'!$C$10:$C$144,$C86,'DAILY CHAMP AYAM'!$O$10:$O$143)</f>
        <v>0</v>
      </c>
      <c r="J86" s="374">
        <f ca="1">SUMIF('DAILY CHAMP AYAM'!$C$10:$C$144,$C86,'DAILY CHAMP AYAM'!$P$10:$P$143)</f>
        <v>0</v>
      </c>
      <c r="K86" s="374">
        <f ca="1">SUMIF('DAILY CHAMP AYAM'!$C$10:$C$144,$C86,'DAILY CHAMP AYAM'!$R$10:$R$143)</f>
        <v>0</v>
      </c>
      <c r="L86" s="374">
        <f ca="1">SUMIF('DAILY CHAMP AYAM'!$C$10:$C$144,$C86,'DAILY CHAMP AYAM'!$S$10:$S$143)</f>
        <v>0</v>
      </c>
      <c r="M86" s="374">
        <f ca="1">SUMIF('DAILY CHAMP AYAM'!$C$10:$C$144,$C86,'DAILY CHAMP AYAM'!$T$10:$T$143)</f>
        <v>0</v>
      </c>
      <c r="N86" s="374">
        <f ca="1">SUMIF('DAILY CHAMP AYAM'!$C$10:$C$144,$C86,'DAILY CHAMP AYAM'!$U$10:$U$143)</f>
        <v>0</v>
      </c>
      <c r="O86" s="374">
        <f ca="1">SUMIF('DAILY CHAMP AYAM'!$C$10:$C$144,$C86,'DAILY CHAMP AYAM'!$V$10:$V$143)</f>
        <v>0</v>
      </c>
      <c r="P86" s="374">
        <f ca="1">SUMIF('DAILY CHAMP AYAM'!$C$10:$C$144,$C86,'DAILY CHAMP AYAM'!$W$10:$W$143)</f>
        <v>0</v>
      </c>
      <c r="Q86" s="374">
        <f ca="1">SUMIF('DAILY CHAMP AYAM'!$C$10:$C$144,$C86,'DAILY CHAMP AYAM'!$X$10:$X$143)</f>
        <v>0</v>
      </c>
      <c r="R86" s="374">
        <f t="shared" ca="1" si="38"/>
        <v>0</v>
      </c>
      <c r="S86" s="376" t="e">
        <f t="shared" ca="1" si="39"/>
        <v>#DIV/0!</v>
      </c>
      <c r="T86" s="381"/>
      <c r="U86" s="404">
        <f ca="1">SUM(R86:R90)</f>
        <v>0</v>
      </c>
      <c r="V86" s="405"/>
      <c r="W86" s="378"/>
      <c r="X86" s="530"/>
      <c r="Y86" s="530"/>
      <c r="Z86" s="530"/>
      <c r="AA86" s="530"/>
    </row>
    <row r="87" spans="2:27" ht="16.5">
      <c r="B87" s="733"/>
      <c r="C87" s="474" t="str">
        <f>+'HASIL PROD'!B174</f>
        <v>QG16706</v>
      </c>
      <c r="D87" s="372">
        <f>SUMIF('HASIL PROD'!$B$4:$B$343,C87,'HASIL PROD'!$H$4:$H$343)</f>
        <v>0</v>
      </c>
      <c r="E87" s="373">
        <f t="shared" si="37"/>
        <v>0</v>
      </c>
      <c r="F87" s="374">
        <f ca="1">SUMIF('DAILY CHAMP AYAM'!$C$10:$C$144,$C87,'DAILY CHAMP AYAM'!$K$10:$K$143)</f>
        <v>0</v>
      </c>
      <c r="G87" s="374">
        <f ca="1">SUMIF('DAILY CHAMP AYAM'!$C$10:$C$144,$C87,'DAILY CHAMP AYAM'!$L$10:$L$143)</f>
        <v>0</v>
      </c>
      <c r="H87" s="374">
        <f>SUMIF('DAILY CHAMP AYAM'!$C$10:$C$144,$C87,'DAILY CHAMP AYAM'!$M$9:$N$143)</f>
        <v>0</v>
      </c>
      <c r="I87" s="374">
        <f ca="1">SUMIF('DAILY CHAMP AYAM'!$C$10:$C$144,$C87,'DAILY CHAMP AYAM'!$O$10:$O$143)</f>
        <v>0</v>
      </c>
      <c r="J87" s="374">
        <f ca="1">SUMIF('DAILY CHAMP AYAM'!$C$10:$C$144,$C87,'DAILY CHAMP AYAM'!$P$10:$P$143)</f>
        <v>0</v>
      </c>
      <c r="K87" s="374">
        <f ca="1">SUMIF('DAILY CHAMP AYAM'!$C$10:$C$144,$C87,'DAILY CHAMP AYAM'!$R$10:$R$143)</f>
        <v>0</v>
      </c>
      <c r="L87" s="374">
        <f ca="1">SUMIF('DAILY CHAMP AYAM'!$C$10:$C$144,$C87,'DAILY CHAMP AYAM'!$S$10:$S$143)</f>
        <v>0</v>
      </c>
      <c r="M87" s="374">
        <f ca="1">SUMIF('DAILY CHAMP AYAM'!$C$10:$C$144,$C87,'DAILY CHAMP AYAM'!$T$10:$T$143)</f>
        <v>0</v>
      </c>
      <c r="N87" s="374">
        <f ca="1">SUMIF('DAILY CHAMP AYAM'!$C$10:$C$144,$C87,'DAILY CHAMP AYAM'!$U$10:$U$143)</f>
        <v>0</v>
      </c>
      <c r="O87" s="374">
        <f ca="1">SUMIF('DAILY CHAMP AYAM'!$C$10:$C$144,$C87,'DAILY CHAMP AYAM'!$V$10:$V$143)</f>
        <v>0</v>
      </c>
      <c r="P87" s="374">
        <f ca="1">SUMIF('DAILY CHAMP AYAM'!$C$10:$C$144,$C87,'DAILY CHAMP AYAM'!$W$10:$W$143)</f>
        <v>0</v>
      </c>
      <c r="Q87" s="374">
        <f ca="1">SUMIF('DAILY CHAMP AYAM'!$C$10:$C$144,$C87,'DAILY CHAMP AYAM'!$X$10:$X$143)</f>
        <v>0</v>
      </c>
      <c r="R87" s="374">
        <f t="shared" ca="1" si="38"/>
        <v>0</v>
      </c>
      <c r="S87" s="376" t="e">
        <f t="shared" ca="1" si="39"/>
        <v>#DIV/0!</v>
      </c>
      <c r="T87" s="381"/>
      <c r="U87" s="404"/>
      <c r="V87" s="405"/>
      <c r="W87" s="378"/>
      <c r="X87" s="530"/>
      <c r="Y87" s="530"/>
      <c r="Z87" s="530"/>
      <c r="AA87" s="530"/>
    </row>
    <row r="88" spans="2:27" ht="16.5">
      <c r="B88" s="733"/>
      <c r="C88" s="474" t="str">
        <f>+'HASIL PROD'!B175</f>
        <v>QG16707</v>
      </c>
      <c r="D88" s="372">
        <f>SUMIF('HASIL PROD'!$B$4:$B$343,C88,'HASIL PROD'!$H$4:$H$343)</f>
        <v>0</v>
      </c>
      <c r="E88" s="373">
        <f t="shared" si="37"/>
        <v>0</v>
      </c>
      <c r="F88" s="374">
        <f ca="1">SUMIF('DAILY CHAMP AYAM'!$C$10:$C$144,$C88,'DAILY CHAMP AYAM'!$K$10:$K$143)</f>
        <v>0</v>
      </c>
      <c r="G88" s="374">
        <f ca="1">SUMIF('DAILY CHAMP AYAM'!$C$10:$C$144,$C88,'DAILY CHAMP AYAM'!$L$10:$L$143)</f>
        <v>0</v>
      </c>
      <c r="H88" s="374">
        <f>SUMIF('DAILY CHAMP AYAM'!$C$10:$C$144,$C88,'DAILY CHAMP AYAM'!$M$9:$N$143)</f>
        <v>0</v>
      </c>
      <c r="I88" s="374">
        <f ca="1">SUMIF('DAILY CHAMP AYAM'!$C$10:$C$144,$C88,'DAILY CHAMP AYAM'!$O$10:$O$143)</f>
        <v>0</v>
      </c>
      <c r="J88" s="374">
        <f ca="1">SUMIF('DAILY CHAMP AYAM'!$C$10:$C$144,$C88,'DAILY CHAMP AYAM'!$P$10:$P$143)</f>
        <v>0</v>
      </c>
      <c r="K88" s="374">
        <f ca="1">SUMIF('DAILY CHAMP AYAM'!$C$10:$C$144,$C88,'DAILY CHAMP AYAM'!$R$10:$R$143)</f>
        <v>0</v>
      </c>
      <c r="L88" s="374">
        <f ca="1">SUMIF('DAILY CHAMP AYAM'!$C$10:$C$144,$C88,'DAILY CHAMP AYAM'!$S$10:$S$143)</f>
        <v>0</v>
      </c>
      <c r="M88" s="374">
        <f ca="1">SUMIF('DAILY CHAMP AYAM'!$C$10:$C$144,$C88,'DAILY CHAMP AYAM'!$T$10:$T$143)</f>
        <v>0</v>
      </c>
      <c r="N88" s="374">
        <f ca="1">SUMIF('DAILY CHAMP AYAM'!$C$10:$C$144,$C88,'DAILY CHAMP AYAM'!$U$10:$U$143)</f>
        <v>0</v>
      </c>
      <c r="O88" s="374">
        <f ca="1">SUMIF('DAILY CHAMP AYAM'!$C$10:$C$144,$C88,'DAILY CHAMP AYAM'!$V$10:$V$143)</f>
        <v>0</v>
      </c>
      <c r="P88" s="374">
        <f ca="1">SUMIF('DAILY CHAMP AYAM'!$C$10:$C$144,$C88,'DAILY CHAMP AYAM'!$W$10:$W$143)</f>
        <v>0</v>
      </c>
      <c r="Q88" s="374">
        <f ca="1">SUMIF('DAILY CHAMP AYAM'!$C$10:$C$144,$C88,'DAILY CHAMP AYAM'!$X$10:$X$143)</f>
        <v>0</v>
      </c>
      <c r="R88" s="374">
        <f t="shared" ca="1" si="38"/>
        <v>0</v>
      </c>
      <c r="S88" s="376" t="e">
        <f t="shared" ca="1" si="39"/>
        <v>#DIV/0!</v>
      </c>
      <c r="T88" s="381"/>
      <c r="U88" s="404"/>
      <c r="V88" s="405"/>
      <c r="W88" s="378"/>
      <c r="X88" s="530"/>
      <c r="Y88" s="530"/>
      <c r="Z88" s="530"/>
      <c r="AA88" s="530"/>
    </row>
    <row r="89" spans="2:27" ht="16.5">
      <c r="B89" s="733"/>
      <c r="C89" s="474" t="str">
        <f>+'HASIL PROD'!B176</f>
        <v>QG16708</v>
      </c>
      <c r="D89" s="372">
        <f>SUMIF('HASIL PROD'!$B$4:$B$343,C89,'HASIL PROD'!$H$4:$H$343)</f>
        <v>0</v>
      </c>
      <c r="E89" s="373">
        <f t="shared" si="37"/>
        <v>0</v>
      </c>
      <c r="F89" s="374">
        <f ca="1">SUMIF('DAILY CHAMP AYAM'!$C$10:$C$144,$C89,'DAILY CHAMP AYAM'!$K$10:$K$143)</f>
        <v>0</v>
      </c>
      <c r="G89" s="374">
        <f ca="1">SUMIF('DAILY CHAMP AYAM'!$C$10:$C$144,$C89,'DAILY CHAMP AYAM'!$L$10:$L$143)</f>
        <v>0</v>
      </c>
      <c r="H89" s="374">
        <f>SUMIF('DAILY CHAMP AYAM'!$C$10:$C$144,$C89,'DAILY CHAMP AYAM'!$M$9:$N$143)</f>
        <v>0</v>
      </c>
      <c r="I89" s="374">
        <f ca="1">SUMIF('DAILY CHAMP AYAM'!$C$10:$C$144,$C89,'DAILY CHAMP AYAM'!$O$10:$O$143)</f>
        <v>0</v>
      </c>
      <c r="J89" s="374">
        <f ca="1">SUMIF('DAILY CHAMP AYAM'!$C$10:$C$144,$C89,'DAILY CHAMP AYAM'!$P$10:$P$143)</f>
        <v>0</v>
      </c>
      <c r="K89" s="374">
        <f ca="1">SUMIF('DAILY CHAMP AYAM'!$C$10:$C$144,$C89,'DAILY CHAMP AYAM'!$R$10:$R$143)</f>
        <v>0</v>
      </c>
      <c r="L89" s="374">
        <f ca="1">SUMIF('DAILY CHAMP AYAM'!$C$10:$C$144,$C89,'DAILY CHAMP AYAM'!$S$10:$S$143)</f>
        <v>0</v>
      </c>
      <c r="M89" s="374">
        <f ca="1">SUMIF('DAILY CHAMP AYAM'!$C$10:$C$144,$C89,'DAILY CHAMP AYAM'!$T$10:$T$143)</f>
        <v>0</v>
      </c>
      <c r="N89" s="374">
        <f ca="1">SUMIF('DAILY CHAMP AYAM'!$C$10:$C$144,$C89,'DAILY CHAMP AYAM'!$U$10:$U$143)</f>
        <v>0</v>
      </c>
      <c r="O89" s="374">
        <f ca="1">SUMIF('DAILY CHAMP AYAM'!$C$10:$C$144,$C89,'DAILY CHAMP AYAM'!$V$10:$V$143)</f>
        <v>0</v>
      </c>
      <c r="P89" s="374">
        <f ca="1">SUMIF('DAILY CHAMP AYAM'!$C$10:$C$144,$C89,'DAILY CHAMP AYAM'!$W$10:$W$143)</f>
        <v>0</v>
      </c>
      <c r="Q89" s="374">
        <f ca="1">SUMIF('DAILY CHAMP AYAM'!$C$10:$C$144,$C89,'DAILY CHAMP AYAM'!$X$10:$X$143)</f>
        <v>0</v>
      </c>
      <c r="R89" s="374">
        <f t="shared" ca="1" si="38"/>
        <v>0</v>
      </c>
      <c r="S89" s="376" t="e">
        <f t="shared" ca="1" si="39"/>
        <v>#DIV/0!</v>
      </c>
      <c r="T89" s="381"/>
      <c r="U89" s="404"/>
      <c r="V89" s="405"/>
      <c r="W89" s="378"/>
      <c r="X89" s="530"/>
      <c r="Y89" s="530"/>
      <c r="Z89" s="530"/>
      <c r="AA89" s="530"/>
    </row>
    <row r="90" spans="2:27" ht="16.5">
      <c r="B90" s="733"/>
      <c r="C90" s="474" t="str">
        <f>+'HASIL PROD'!B177</f>
        <v>QG16709</v>
      </c>
      <c r="D90" s="372">
        <f>SUMIF('HASIL PROD'!$B$4:$B$343,C90,'HASIL PROD'!$H$4:$H$343)</f>
        <v>0</v>
      </c>
      <c r="E90" s="373">
        <f t="shared" si="37"/>
        <v>0</v>
      </c>
      <c r="F90" s="374">
        <f ca="1">SUMIF('DAILY CHAMP AYAM'!$C$10:$C$144,$C90,'DAILY CHAMP AYAM'!$K$10:$K$143)</f>
        <v>0</v>
      </c>
      <c r="G90" s="374">
        <f ca="1">SUMIF('DAILY CHAMP AYAM'!$C$10:$C$144,$C90,'DAILY CHAMP AYAM'!$L$10:$L$143)</f>
        <v>0</v>
      </c>
      <c r="H90" s="374">
        <f>SUMIF('DAILY CHAMP AYAM'!$C$10:$C$144,$C90,'DAILY CHAMP AYAM'!$M$9:$N$143)</f>
        <v>0</v>
      </c>
      <c r="I90" s="374">
        <f ca="1">SUMIF('DAILY CHAMP AYAM'!$C$10:$C$144,$C90,'DAILY CHAMP AYAM'!$O$10:$O$143)</f>
        <v>0</v>
      </c>
      <c r="J90" s="374">
        <f ca="1">SUMIF('DAILY CHAMP AYAM'!$C$10:$C$144,$C90,'DAILY CHAMP AYAM'!$P$10:$P$143)</f>
        <v>0</v>
      </c>
      <c r="K90" s="374">
        <f ca="1">SUMIF('DAILY CHAMP AYAM'!$C$10:$C$144,$C90,'DAILY CHAMP AYAM'!$R$10:$R$143)</f>
        <v>0</v>
      </c>
      <c r="L90" s="374">
        <f ca="1">SUMIF('DAILY CHAMP AYAM'!$C$10:$C$144,$C90,'DAILY CHAMP AYAM'!$S$10:$S$143)</f>
        <v>0</v>
      </c>
      <c r="M90" s="374">
        <f ca="1">SUMIF('DAILY CHAMP AYAM'!$C$10:$C$144,$C90,'DAILY CHAMP AYAM'!$T$10:$T$143)</f>
        <v>0</v>
      </c>
      <c r="N90" s="374">
        <f ca="1">SUMIF('DAILY CHAMP AYAM'!$C$10:$C$144,$C90,'DAILY CHAMP AYAM'!$U$10:$U$143)</f>
        <v>0</v>
      </c>
      <c r="O90" s="374">
        <f ca="1">SUMIF('DAILY CHAMP AYAM'!$C$10:$C$144,$C90,'DAILY CHAMP AYAM'!$V$10:$V$143)</f>
        <v>0</v>
      </c>
      <c r="P90" s="374">
        <f ca="1">SUMIF('DAILY CHAMP AYAM'!$C$10:$C$144,$C90,'DAILY CHAMP AYAM'!$W$10:$W$143)</f>
        <v>0</v>
      </c>
      <c r="Q90" s="374">
        <f ca="1">SUMIF('DAILY CHAMP AYAM'!$C$10:$C$144,$C90,'DAILY CHAMP AYAM'!$X$10:$X$143)</f>
        <v>0</v>
      </c>
      <c r="R90" s="374">
        <f t="shared" ref="R90:R91" ca="1" si="40">+SUM(F90:Q90)</f>
        <v>0</v>
      </c>
      <c r="S90" s="376" t="e">
        <f t="shared" ca="1" si="39"/>
        <v>#DIV/0!</v>
      </c>
      <c r="T90" s="381"/>
      <c r="U90" s="404"/>
      <c r="V90" s="405"/>
      <c r="W90" s="378"/>
      <c r="X90" s="530"/>
      <c r="Y90" s="530"/>
      <c r="Z90" s="530"/>
      <c r="AA90" s="530"/>
    </row>
    <row r="91" spans="2:27" ht="16.5">
      <c r="B91" s="733"/>
      <c r="C91" s="474">
        <f>+'HASIL PROD'!B178</f>
        <v>0</v>
      </c>
      <c r="D91" s="372">
        <f>SUMIF('HASIL PROD'!$B$4:$B$343,C91,'HASIL PROD'!$H$4:$H$343)</f>
        <v>0</v>
      </c>
      <c r="E91" s="373">
        <f t="shared" si="37"/>
        <v>0</v>
      </c>
      <c r="F91" s="374">
        <f ca="1">SUMIF('DAILY CHAMP AYAM'!$C$10:$C$144,$C91,'DAILY CHAMP AYAM'!$K$10:$K$143)</f>
        <v>0</v>
      </c>
      <c r="G91" s="374">
        <f ca="1">SUMIF('DAILY CHAMP AYAM'!$C$10:$C$144,$C91,'DAILY CHAMP AYAM'!$L$10:$L$143)</f>
        <v>0</v>
      </c>
      <c r="H91" s="374">
        <f>SUMIF('DAILY CHAMP AYAM'!$C$10:$C$144,$C91,'DAILY CHAMP AYAM'!$M$9:$N$143)</f>
        <v>0</v>
      </c>
      <c r="I91" s="374">
        <f ca="1">SUMIF('DAILY CHAMP AYAM'!$C$10:$C$144,$C91,'DAILY CHAMP AYAM'!$O$10:$O$143)</f>
        <v>0</v>
      </c>
      <c r="J91" s="374">
        <f ca="1">SUMIF('DAILY CHAMP AYAM'!$C$10:$C$144,$C91,'DAILY CHAMP AYAM'!$P$10:$P$143)</f>
        <v>0</v>
      </c>
      <c r="K91" s="374">
        <f ca="1">SUMIF('DAILY CHAMP AYAM'!$C$10:$C$144,$C91,'DAILY CHAMP AYAM'!$R$10:$R$143)</f>
        <v>0</v>
      </c>
      <c r="L91" s="374">
        <f ca="1">SUMIF('DAILY CHAMP AYAM'!$C$10:$C$144,$C91,'DAILY CHAMP AYAM'!$S$10:$S$143)</f>
        <v>0</v>
      </c>
      <c r="M91" s="374">
        <f ca="1">SUMIF('DAILY CHAMP AYAM'!$C$10:$C$144,$C91,'DAILY CHAMP AYAM'!$T$10:$T$143)</f>
        <v>0</v>
      </c>
      <c r="N91" s="374">
        <f ca="1">SUMIF('DAILY CHAMP AYAM'!$C$10:$C$144,$C91,'DAILY CHAMP AYAM'!$U$10:$U$143)</f>
        <v>0</v>
      </c>
      <c r="O91" s="374">
        <f ca="1">SUMIF('DAILY CHAMP AYAM'!$C$10:$C$144,$C91,'DAILY CHAMP AYAM'!$V$10:$V$143)</f>
        <v>0</v>
      </c>
      <c r="P91" s="374">
        <f ca="1">SUMIF('DAILY CHAMP AYAM'!$C$10:$C$144,$C91,'DAILY CHAMP AYAM'!$W$10:$W$143)</f>
        <v>0</v>
      </c>
      <c r="Q91" s="374">
        <f ca="1">SUMIF('DAILY CHAMP AYAM'!$C$10:$C$144,$C91,'DAILY CHAMP AYAM'!$X$10:$X$143)</f>
        <v>0</v>
      </c>
      <c r="R91" s="374">
        <f t="shared" ca="1" si="40"/>
        <v>0</v>
      </c>
      <c r="S91" s="376" t="e">
        <f t="shared" ca="1" si="39"/>
        <v>#DIV/0!</v>
      </c>
      <c r="T91" s="381"/>
      <c r="U91" s="598"/>
      <c r="V91" s="599"/>
      <c r="W91" s="600"/>
      <c r="X91" s="530"/>
      <c r="Y91" s="530"/>
      <c r="Z91" s="530"/>
      <c r="AA91" s="530"/>
    </row>
    <row r="92" spans="2:27" ht="16.5">
      <c r="B92" s="733"/>
      <c r="C92" s="371"/>
      <c r="D92" s="372"/>
      <c r="E92" s="373"/>
      <c r="F92" s="379"/>
      <c r="G92" s="379"/>
      <c r="H92" s="379"/>
      <c r="I92" s="379"/>
      <c r="J92" s="379"/>
      <c r="K92" s="379"/>
      <c r="L92" s="379"/>
      <c r="M92" s="379"/>
      <c r="N92" s="379"/>
      <c r="O92" s="379"/>
      <c r="P92" s="379"/>
      <c r="Q92" s="379"/>
      <c r="R92" s="374"/>
      <c r="S92" s="380"/>
      <c r="T92" s="381"/>
      <c r="U92" s="404"/>
      <c r="V92" s="405"/>
      <c r="W92" s="401"/>
      <c r="X92" s="530"/>
      <c r="Y92" s="530"/>
      <c r="Z92" s="530"/>
      <c r="AA92" s="530"/>
    </row>
    <row r="93" spans="2:27" ht="16.5">
      <c r="B93" s="734"/>
      <c r="C93" s="385" t="s">
        <v>118</v>
      </c>
      <c r="D93" s="386">
        <f t="shared" ref="D93:R93" si="41">SUM(D82:D92)</f>
        <v>462</v>
      </c>
      <c r="E93" s="387">
        <f t="shared" si="41"/>
        <v>1513.5119999999999</v>
      </c>
      <c r="F93" s="388">
        <f t="shared" ca="1" si="41"/>
        <v>1.6</v>
      </c>
      <c r="G93" s="388">
        <f t="shared" ca="1" si="41"/>
        <v>3.45</v>
      </c>
      <c r="H93" s="388">
        <f t="shared" si="41"/>
        <v>0</v>
      </c>
      <c r="I93" s="388">
        <f t="shared" ca="1" si="41"/>
        <v>2.72</v>
      </c>
      <c r="J93" s="388">
        <f t="shared" ca="1" si="41"/>
        <v>0.6</v>
      </c>
      <c r="K93" s="388">
        <f t="shared" ca="1" si="41"/>
        <v>1.38</v>
      </c>
      <c r="L93" s="388">
        <f t="shared" ca="1" si="41"/>
        <v>0</v>
      </c>
      <c r="M93" s="388">
        <f t="shared" ca="1" si="41"/>
        <v>1.9</v>
      </c>
      <c r="N93" s="388">
        <f t="shared" ca="1" si="41"/>
        <v>0</v>
      </c>
      <c r="O93" s="388">
        <f t="shared" ca="1" si="41"/>
        <v>0</v>
      </c>
      <c r="P93" s="388">
        <f t="shared" ca="1" si="41"/>
        <v>0</v>
      </c>
      <c r="Q93" s="388">
        <f t="shared" ca="1" si="41"/>
        <v>0</v>
      </c>
      <c r="R93" s="388">
        <f t="shared" ca="1" si="41"/>
        <v>11.65</v>
      </c>
      <c r="S93" s="389"/>
      <c r="T93" s="402"/>
      <c r="U93" s="388"/>
      <c r="V93" s="389"/>
      <c r="W93" s="389"/>
      <c r="X93" s="530"/>
      <c r="Y93" s="530"/>
      <c r="Z93" s="530"/>
      <c r="AA93" s="530"/>
    </row>
    <row r="94" spans="2:27" ht="16.5">
      <c r="B94" s="406"/>
      <c r="C94" s="393" t="s">
        <v>114</v>
      </c>
      <c r="D94" s="394"/>
      <c r="E94" s="395"/>
      <c r="F94" s="396">
        <f ca="1">+F93/$E93</f>
        <v>1.0571439142867715E-3</v>
      </c>
      <c r="G94" s="396">
        <f t="shared" ref="G94:Q94" ca="1" si="42">+G93/$E93</f>
        <v>2.2794665651808513E-3</v>
      </c>
      <c r="H94" s="396">
        <f t="shared" si="42"/>
        <v>0</v>
      </c>
      <c r="I94" s="396">
        <f t="shared" ca="1" si="42"/>
        <v>1.7971446542875116E-3</v>
      </c>
      <c r="J94" s="396">
        <f t="shared" ca="1" si="42"/>
        <v>3.9642896785753928E-4</v>
      </c>
      <c r="K94" s="396">
        <f t="shared" ca="1" si="42"/>
        <v>9.1178662607234028E-4</v>
      </c>
      <c r="L94" s="396">
        <f t="shared" ca="1" si="42"/>
        <v>0</v>
      </c>
      <c r="M94" s="396">
        <f t="shared" ca="1" si="42"/>
        <v>1.2553583982155411E-3</v>
      </c>
      <c r="N94" s="396">
        <f t="shared" ca="1" si="42"/>
        <v>0</v>
      </c>
      <c r="O94" s="396">
        <f t="shared" ca="1" si="42"/>
        <v>0</v>
      </c>
      <c r="P94" s="396">
        <f t="shared" ca="1" si="42"/>
        <v>0</v>
      </c>
      <c r="Q94" s="396">
        <f t="shared" ca="1" si="42"/>
        <v>0</v>
      </c>
      <c r="R94" s="482">
        <f ca="1">+R93/$E93</f>
        <v>7.6973291259005549E-3</v>
      </c>
      <c r="S94" s="399"/>
      <c r="T94" s="402"/>
      <c r="U94" s="400"/>
      <c r="V94" s="389"/>
      <c r="W94" s="389"/>
      <c r="X94" s="530"/>
      <c r="Y94" s="530"/>
      <c r="Z94" s="530"/>
      <c r="AA94" s="530"/>
    </row>
    <row r="95" spans="2:27" ht="16.5">
      <c r="B95" s="732" t="s">
        <v>179</v>
      </c>
      <c r="C95" s="474" t="str">
        <f>+'HASIL PROD'!B180</f>
        <v>QG17701</v>
      </c>
      <c r="D95" s="372">
        <f>SUMIF('HASIL PROD'!$B$4:$B$343,C95,'HASIL PROD'!$H$4:$H$343)</f>
        <v>571</v>
      </c>
      <c r="E95" s="373">
        <f t="shared" ref="E95:E104" si="43">+D95*3.276</f>
        <v>1870.5959999999998</v>
      </c>
      <c r="F95" s="374">
        <f ca="1">SUMIF('DAILY CHAMP AYAM'!$C$10:$C$144,$C95,'DAILY CHAMP AYAM'!$K$10:$K$143)</f>
        <v>2.8</v>
      </c>
      <c r="G95" s="374">
        <f ca="1">SUMIF('DAILY CHAMP AYAM'!$C$10:$C$144,$C95,'DAILY CHAMP AYAM'!$L$10:$L$143)</f>
        <v>6.45</v>
      </c>
      <c r="H95" s="374">
        <f>SUMIF('DAILY CHAMP AYAM'!$C$10:$C$144,$C95,'DAILY CHAMP AYAM'!$M$9:$N$143)</f>
        <v>3.7</v>
      </c>
      <c r="I95" s="374">
        <f ca="1">SUMIF('DAILY CHAMP AYAM'!$C$10:$C$144,$C95,'DAILY CHAMP AYAM'!$O$10:$O$143)</f>
        <v>5.6</v>
      </c>
      <c r="J95" s="374">
        <f ca="1">SUMIF('DAILY CHAMP AYAM'!$C$10:$C$144,$C95,'DAILY CHAMP AYAM'!$P$10:$P$143)</f>
        <v>0.6</v>
      </c>
      <c r="K95" s="374">
        <f ca="1">SUMIF('DAILY CHAMP AYAM'!$C$10:$C$144,$C95,'DAILY CHAMP AYAM'!$R$10:$R$143)</f>
        <v>2.2999999999999998</v>
      </c>
      <c r="L95" s="374">
        <f ca="1">SUMIF('DAILY CHAMP AYAM'!$C$10:$C$144,$C95,'DAILY CHAMP AYAM'!$S$10:$S$143)</f>
        <v>1.55</v>
      </c>
      <c r="M95" s="374">
        <f ca="1">SUMIF('DAILY CHAMP AYAM'!$C$10:$C$144,$C95,'DAILY CHAMP AYAM'!$T$10:$T$143)</f>
        <v>1.18</v>
      </c>
      <c r="N95" s="374">
        <f ca="1">SUMIF('DAILY CHAMP AYAM'!$C$10:$C$144,$C95,'DAILY CHAMP AYAM'!$U$10:$U$143)</f>
        <v>0</v>
      </c>
      <c r="O95" s="374">
        <f ca="1">SUMIF('DAILY CHAMP AYAM'!$C$10:$C$144,$C95,'DAILY CHAMP AYAM'!$V$10:$V$143)</f>
        <v>0</v>
      </c>
      <c r="P95" s="374">
        <f ca="1">SUMIF('DAILY CHAMP AYAM'!$C$10:$C$144,$C95,'DAILY CHAMP AYAM'!$W$10:$W$143)</f>
        <v>0</v>
      </c>
      <c r="Q95" s="374">
        <f ca="1">SUMIF('DAILY CHAMP AYAM'!$C$10:$C$144,$C95,'DAILY CHAMP AYAM'!$X$10:$X$143)</f>
        <v>0</v>
      </c>
      <c r="R95" s="374">
        <f t="shared" ref="R95:R102" ca="1" si="44">+SUM(F95:Q95)</f>
        <v>24.18</v>
      </c>
      <c r="S95" s="376">
        <f t="shared" ref="S95:S104" ca="1" si="45">+R95/E95</f>
        <v>1.2926361437744976E-2</v>
      </c>
      <c r="T95" s="381"/>
      <c r="U95" s="738">
        <f ca="1">SUM(R95:R96)</f>
        <v>44.16</v>
      </c>
      <c r="V95" s="747">
        <f ca="1">+U95/(SUM(E95:E96))</f>
        <v>1.2998894387515411E-2</v>
      </c>
      <c r="W95" s="740" t="s">
        <v>338</v>
      </c>
      <c r="X95" s="727" t="s">
        <v>312</v>
      </c>
      <c r="Y95" s="727" t="s">
        <v>313</v>
      </c>
      <c r="Z95" s="727" t="s">
        <v>314</v>
      </c>
      <c r="AA95" s="530"/>
    </row>
    <row r="96" spans="2:27" ht="16.5">
      <c r="B96" s="733"/>
      <c r="C96" s="474" t="str">
        <f>+'HASIL PROD'!B181</f>
        <v>QG17702</v>
      </c>
      <c r="D96" s="372">
        <f>SUMIF('HASIL PROD'!$B$4:$B$343,C96,'HASIL PROD'!$H$4:$H$343)</f>
        <v>466</v>
      </c>
      <c r="E96" s="373">
        <f t="shared" si="43"/>
        <v>1526.616</v>
      </c>
      <c r="F96" s="374">
        <f ca="1">SUMIF('DAILY CHAMP AYAM'!$C$10:$C$144,$C96,'DAILY CHAMP AYAM'!$K$10:$K$143)</f>
        <v>3.1</v>
      </c>
      <c r="G96" s="374">
        <f ca="1">SUMIF('DAILY CHAMP AYAM'!$C$10:$C$144,$C96,'DAILY CHAMP AYAM'!$L$10:$L$143)</f>
        <v>8.1999999999999993</v>
      </c>
      <c r="H96" s="374">
        <f>SUMIF('DAILY CHAMP AYAM'!$C$10:$C$144,$C96,'DAILY CHAMP AYAM'!$M$9:$N$143)</f>
        <v>2.27</v>
      </c>
      <c r="I96" s="374">
        <f ca="1">SUMIF('DAILY CHAMP AYAM'!$C$10:$C$144,$C96,'DAILY CHAMP AYAM'!$O$10:$O$143)</f>
        <v>4.3499999999999996</v>
      </c>
      <c r="J96" s="374">
        <f ca="1">SUMIF('DAILY CHAMP AYAM'!$C$10:$C$144,$C96,'DAILY CHAMP AYAM'!$P$10:$P$143)</f>
        <v>0</v>
      </c>
      <c r="K96" s="374">
        <f ca="1">SUMIF('DAILY CHAMP AYAM'!$C$10:$C$144,$C96,'DAILY CHAMP AYAM'!$R$10:$R$143)</f>
        <v>0.88</v>
      </c>
      <c r="L96" s="374">
        <f ca="1">SUMIF('DAILY CHAMP AYAM'!$C$10:$C$144,$C96,'DAILY CHAMP AYAM'!$S$10:$S$143)</f>
        <v>0.4</v>
      </c>
      <c r="M96" s="374">
        <f ca="1">SUMIF('DAILY CHAMP AYAM'!$C$10:$C$144,$C96,'DAILY CHAMP AYAM'!$T$10:$T$143)</f>
        <v>0.78</v>
      </c>
      <c r="N96" s="374">
        <f ca="1">SUMIF('DAILY CHAMP AYAM'!$C$10:$C$144,$C96,'DAILY CHAMP AYAM'!$U$10:$U$143)</f>
        <v>0</v>
      </c>
      <c r="O96" s="374">
        <f ca="1">SUMIF('DAILY CHAMP AYAM'!$C$10:$C$144,$C96,'DAILY CHAMP AYAM'!$V$10:$V$143)</f>
        <v>0</v>
      </c>
      <c r="P96" s="374">
        <f ca="1">SUMIF('DAILY CHAMP AYAM'!$C$10:$C$144,$C96,'DAILY CHAMP AYAM'!$W$10:$W$143)</f>
        <v>0</v>
      </c>
      <c r="Q96" s="374">
        <f ca="1">SUMIF('DAILY CHAMP AYAM'!$C$10:$C$144,$C96,'DAILY CHAMP AYAM'!$X$10:$X$143)</f>
        <v>0</v>
      </c>
      <c r="R96" s="374">
        <f t="shared" ca="1" si="44"/>
        <v>19.979999999999997</v>
      </c>
      <c r="S96" s="376">
        <f t="shared" ca="1" si="45"/>
        <v>1.308777059850021E-2</v>
      </c>
      <c r="T96" s="381"/>
      <c r="U96" s="738"/>
      <c r="V96" s="747"/>
      <c r="W96" s="740"/>
      <c r="X96" s="729"/>
      <c r="Y96" s="729"/>
      <c r="Z96" s="729"/>
      <c r="AA96" s="530"/>
    </row>
    <row r="97" spans="2:27" ht="16.5">
      <c r="B97" s="733"/>
      <c r="C97" s="474" t="str">
        <f>+'HASIL PROD'!B182</f>
        <v>QG17703</v>
      </c>
      <c r="D97" s="372">
        <f>SUMIF('HASIL PROD'!$B$4:$B$343,C97,'HASIL PROD'!$H$4:$H$343)</f>
        <v>0</v>
      </c>
      <c r="E97" s="373">
        <f t="shared" si="43"/>
        <v>0</v>
      </c>
      <c r="F97" s="374">
        <f ca="1">SUMIF('DAILY CHAMP AYAM'!$C$10:$C$144,$C97,'DAILY CHAMP AYAM'!$K$10:$K$143)</f>
        <v>0</v>
      </c>
      <c r="G97" s="374">
        <f ca="1">SUMIF('DAILY CHAMP AYAM'!$C$10:$C$144,$C97,'DAILY CHAMP AYAM'!$L$10:$L$143)</f>
        <v>0</v>
      </c>
      <c r="H97" s="374">
        <f>SUMIF('DAILY CHAMP AYAM'!$C$10:$C$144,$C97,'DAILY CHAMP AYAM'!$M$9:$N$143)</f>
        <v>0</v>
      </c>
      <c r="I97" s="374">
        <f ca="1">SUMIF('DAILY CHAMP AYAM'!$C$10:$C$144,$C97,'DAILY CHAMP AYAM'!$O$10:$O$143)</f>
        <v>0</v>
      </c>
      <c r="J97" s="374">
        <f ca="1">SUMIF('DAILY CHAMP AYAM'!$C$10:$C$144,$C97,'DAILY CHAMP AYAM'!$P$10:$P$143)</f>
        <v>0</v>
      </c>
      <c r="K97" s="374">
        <f ca="1">SUMIF('DAILY CHAMP AYAM'!$C$10:$C$144,$C97,'DAILY CHAMP AYAM'!$R$10:$R$143)</f>
        <v>0</v>
      </c>
      <c r="L97" s="374">
        <f ca="1">SUMIF('DAILY CHAMP AYAM'!$C$10:$C$144,$C97,'DAILY CHAMP AYAM'!$S$10:$S$143)</f>
        <v>0</v>
      </c>
      <c r="M97" s="374">
        <f ca="1">SUMIF('DAILY CHAMP AYAM'!$C$10:$C$144,$C97,'DAILY CHAMP AYAM'!$T$10:$T$143)</f>
        <v>0</v>
      </c>
      <c r="N97" s="374">
        <f ca="1">SUMIF('DAILY CHAMP AYAM'!$C$10:$C$144,$C97,'DAILY CHAMP AYAM'!$U$10:$U$143)</f>
        <v>0</v>
      </c>
      <c r="O97" s="374">
        <f ca="1">SUMIF('DAILY CHAMP AYAM'!$C$10:$C$144,$C97,'DAILY CHAMP AYAM'!$V$10:$V$143)</f>
        <v>0</v>
      </c>
      <c r="P97" s="374">
        <f ca="1">SUMIF('DAILY CHAMP AYAM'!$C$10:$C$144,$C97,'DAILY CHAMP AYAM'!$W$10:$W$143)</f>
        <v>0</v>
      </c>
      <c r="Q97" s="374">
        <f ca="1">SUMIF('DAILY CHAMP AYAM'!$C$10:$C$144,$C97,'DAILY CHAMP AYAM'!$X$10:$X$143)</f>
        <v>0</v>
      </c>
      <c r="R97" s="374">
        <f t="shared" ca="1" si="44"/>
        <v>0</v>
      </c>
      <c r="S97" s="376" t="e">
        <f t="shared" ca="1" si="45"/>
        <v>#DIV/0!</v>
      </c>
      <c r="T97" s="381"/>
      <c r="U97" s="404"/>
      <c r="V97" s="405"/>
      <c r="W97" s="378"/>
      <c r="X97" s="530"/>
      <c r="Y97" s="530"/>
      <c r="Z97" s="530"/>
      <c r="AA97" s="530"/>
    </row>
    <row r="98" spans="2:27" ht="16.5">
      <c r="B98" s="733"/>
      <c r="C98" s="474" t="str">
        <f>+'HASIL PROD'!B183</f>
        <v>QG17704</v>
      </c>
      <c r="D98" s="372">
        <f>SUMIF('HASIL PROD'!$B$4:$B$343,C98,'HASIL PROD'!$H$4:$H$343)</f>
        <v>0</v>
      </c>
      <c r="E98" s="373">
        <f t="shared" si="43"/>
        <v>0</v>
      </c>
      <c r="F98" s="374">
        <f ca="1">SUMIF('DAILY CHAMP AYAM'!$C$10:$C$144,$C98,'DAILY CHAMP AYAM'!$K$10:$K$143)</f>
        <v>0</v>
      </c>
      <c r="G98" s="374">
        <f ca="1">SUMIF('DAILY CHAMP AYAM'!$C$10:$C$144,$C98,'DAILY CHAMP AYAM'!$L$10:$L$143)</f>
        <v>0</v>
      </c>
      <c r="H98" s="374">
        <f>SUMIF('DAILY CHAMP AYAM'!$C$10:$C$144,$C98,'DAILY CHAMP AYAM'!$M$9:$N$143)</f>
        <v>0</v>
      </c>
      <c r="I98" s="374">
        <f ca="1">SUMIF('DAILY CHAMP AYAM'!$C$10:$C$144,$C98,'DAILY CHAMP AYAM'!$O$10:$O$143)</f>
        <v>0</v>
      </c>
      <c r="J98" s="374">
        <f ca="1">SUMIF('DAILY CHAMP AYAM'!$C$10:$C$144,$C98,'DAILY CHAMP AYAM'!$P$10:$P$143)</f>
        <v>0</v>
      </c>
      <c r="K98" s="374">
        <f ca="1">SUMIF('DAILY CHAMP AYAM'!$C$10:$C$144,$C98,'DAILY CHAMP AYAM'!$R$10:$R$143)</f>
        <v>0</v>
      </c>
      <c r="L98" s="374">
        <f ca="1">SUMIF('DAILY CHAMP AYAM'!$C$10:$C$144,$C98,'DAILY CHAMP AYAM'!$S$10:$S$143)</f>
        <v>0</v>
      </c>
      <c r="M98" s="374">
        <f ca="1">SUMIF('DAILY CHAMP AYAM'!$C$10:$C$144,$C98,'DAILY CHAMP AYAM'!$T$10:$T$143)</f>
        <v>0</v>
      </c>
      <c r="N98" s="374">
        <f ca="1">SUMIF('DAILY CHAMP AYAM'!$C$10:$C$144,$C98,'DAILY CHAMP AYAM'!$U$10:$U$143)</f>
        <v>0</v>
      </c>
      <c r="O98" s="374">
        <f ca="1">SUMIF('DAILY CHAMP AYAM'!$C$10:$C$144,$C98,'DAILY CHAMP AYAM'!$V$10:$V$143)</f>
        <v>0</v>
      </c>
      <c r="P98" s="374">
        <f ca="1">SUMIF('DAILY CHAMP AYAM'!$C$10:$C$144,$C98,'DAILY CHAMP AYAM'!$W$10:$W$143)</f>
        <v>0</v>
      </c>
      <c r="Q98" s="374">
        <f ca="1">SUMIF('DAILY CHAMP AYAM'!$C$10:$C$144,$C98,'DAILY CHAMP AYAM'!$X$10:$X$143)</f>
        <v>0</v>
      </c>
      <c r="R98" s="374">
        <f t="shared" ca="1" si="44"/>
        <v>0</v>
      </c>
      <c r="S98" s="376" t="e">
        <f t="shared" ca="1" si="45"/>
        <v>#DIV/0!</v>
      </c>
      <c r="T98" s="381"/>
      <c r="U98" s="404"/>
      <c r="V98" s="405"/>
      <c r="W98" s="378"/>
      <c r="X98" s="530"/>
      <c r="Y98" s="530"/>
      <c r="Z98" s="530"/>
      <c r="AA98" s="530"/>
    </row>
    <row r="99" spans="2:27" ht="16.5">
      <c r="B99" s="733"/>
      <c r="C99" s="474" t="str">
        <f>+'HASIL PROD'!B184</f>
        <v>QG17705</v>
      </c>
      <c r="D99" s="372">
        <f>SUMIF('HASIL PROD'!$B$4:$B$343,C99,'HASIL PROD'!$H$4:$H$343)</f>
        <v>0</v>
      </c>
      <c r="E99" s="373">
        <f t="shared" si="43"/>
        <v>0</v>
      </c>
      <c r="F99" s="374">
        <f ca="1">SUMIF('DAILY CHAMP AYAM'!$C$10:$C$144,$C99,'DAILY CHAMP AYAM'!$K$10:$K$143)</f>
        <v>0</v>
      </c>
      <c r="G99" s="374">
        <f ca="1">SUMIF('DAILY CHAMP AYAM'!$C$10:$C$144,$C99,'DAILY CHAMP AYAM'!$L$10:$L$143)</f>
        <v>0</v>
      </c>
      <c r="H99" s="374">
        <f>SUMIF('DAILY CHAMP AYAM'!$C$10:$C$144,$C99,'DAILY CHAMP AYAM'!$M$9:$N$143)</f>
        <v>0</v>
      </c>
      <c r="I99" s="374">
        <f ca="1">SUMIF('DAILY CHAMP AYAM'!$C$10:$C$144,$C99,'DAILY CHAMP AYAM'!$O$10:$O$143)</f>
        <v>0</v>
      </c>
      <c r="J99" s="374">
        <f ca="1">SUMIF('DAILY CHAMP AYAM'!$C$10:$C$144,$C99,'DAILY CHAMP AYAM'!$P$10:$P$143)</f>
        <v>0</v>
      </c>
      <c r="K99" s="374">
        <f ca="1">SUMIF('DAILY CHAMP AYAM'!$C$10:$C$144,$C99,'DAILY CHAMP AYAM'!$R$10:$R$143)</f>
        <v>0</v>
      </c>
      <c r="L99" s="374">
        <f ca="1">SUMIF('DAILY CHAMP AYAM'!$C$10:$C$144,$C99,'DAILY CHAMP AYAM'!$S$10:$S$143)</f>
        <v>0</v>
      </c>
      <c r="M99" s="374">
        <f ca="1">SUMIF('DAILY CHAMP AYAM'!$C$10:$C$144,$C99,'DAILY CHAMP AYAM'!$T$10:$T$143)</f>
        <v>0</v>
      </c>
      <c r="N99" s="374">
        <f ca="1">SUMIF('DAILY CHAMP AYAM'!$C$10:$C$144,$C99,'DAILY CHAMP AYAM'!$U$10:$U$143)</f>
        <v>0</v>
      </c>
      <c r="O99" s="374">
        <f ca="1">SUMIF('DAILY CHAMP AYAM'!$C$10:$C$144,$C99,'DAILY CHAMP AYAM'!$V$10:$V$143)</f>
        <v>0</v>
      </c>
      <c r="P99" s="374">
        <f ca="1">SUMIF('DAILY CHAMP AYAM'!$C$10:$C$144,$C99,'DAILY CHAMP AYAM'!$W$10:$W$143)</f>
        <v>0</v>
      </c>
      <c r="Q99" s="374">
        <f ca="1">SUMIF('DAILY CHAMP AYAM'!$C$10:$C$144,$C99,'DAILY CHAMP AYAM'!$X$10:$X$143)</f>
        <v>0</v>
      </c>
      <c r="R99" s="374">
        <f t="shared" ca="1" si="44"/>
        <v>0</v>
      </c>
      <c r="S99" s="376" t="e">
        <f t="shared" ca="1" si="45"/>
        <v>#DIV/0!</v>
      </c>
      <c r="T99" s="381"/>
      <c r="U99" s="404">
        <f ca="1">SUM(R99:R103)</f>
        <v>0</v>
      </c>
      <c r="V99" s="405"/>
      <c r="W99" s="378"/>
      <c r="X99" s="530"/>
      <c r="Y99" s="530"/>
      <c r="Z99" s="530"/>
      <c r="AA99" s="530"/>
    </row>
    <row r="100" spans="2:27" ht="16.5">
      <c r="B100" s="733"/>
      <c r="C100" s="474">
        <f>+'HASIL PROD'!B185</f>
        <v>0</v>
      </c>
      <c r="D100" s="372">
        <f>SUMIF('HASIL PROD'!$B$4:$B$343,C100,'HASIL PROD'!$H$4:$H$343)</f>
        <v>0</v>
      </c>
      <c r="E100" s="373">
        <f t="shared" si="43"/>
        <v>0</v>
      </c>
      <c r="F100" s="374">
        <f ca="1">SUMIF('DAILY CHAMP AYAM'!$C$10:$C$144,$C100,'DAILY CHAMP AYAM'!$K$10:$K$143)</f>
        <v>0</v>
      </c>
      <c r="G100" s="374">
        <f ca="1">SUMIF('DAILY CHAMP AYAM'!$C$10:$C$144,$C100,'DAILY CHAMP AYAM'!$L$10:$L$143)</f>
        <v>0</v>
      </c>
      <c r="H100" s="374">
        <f>SUMIF('DAILY CHAMP AYAM'!$C$10:$C$144,$C100,'DAILY CHAMP AYAM'!$M$9:$N$143)</f>
        <v>0</v>
      </c>
      <c r="I100" s="374">
        <f ca="1">SUMIF('DAILY CHAMP AYAM'!$C$10:$C$144,$C100,'DAILY CHAMP AYAM'!$O$10:$O$143)</f>
        <v>0</v>
      </c>
      <c r="J100" s="374">
        <f ca="1">SUMIF('DAILY CHAMP AYAM'!$C$10:$C$144,$C100,'DAILY CHAMP AYAM'!$P$10:$P$143)</f>
        <v>0</v>
      </c>
      <c r="K100" s="374">
        <f ca="1">SUMIF('DAILY CHAMP AYAM'!$C$10:$C$144,$C100,'DAILY CHAMP AYAM'!$R$10:$R$143)</f>
        <v>0</v>
      </c>
      <c r="L100" s="374">
        <f ca="1">SUMIF('DAILY CHAMP AYAM'!$C$10:$C$144,$C100,'DAILY CHAMP AYAM'!$S$10:$S$143)</f>
        <v>0</v>
      </c>
      <c r="M100" s="374">
        <f ca="1">SUMIF('DAILY CHAMP AYAM'!$C$10:$C$144,$C100,'DAILY CHAMP AYAM'!$T$10:$T$143)</f>
        <v>0</v>
      </c>
      <c r="N100" s="374">
        <f ca="1">SUMIF('DAILY CHAMP AYAM'!$C$10:$C$144,$C100,'DAILY CHAMP AYAM'!$U$10:$U$143)</f>
        <v>0</v>
      </c>
      <c r="O100" s="374">
        <f ca="1">SUMIF('DAILY CHAMP AYAM'!$C$10:$C$144,$C100,'DAILY CHAMP AYAM'!$V$10:$V$143)</f>
        <v>0</v>
      </c>
      <c r="P100" s="374">
        <f ca="1">SUMIF('DAILY CHAMP AYAM'!$C$10:$C$144,$C100,'DAILY CHAMP AYAM'!$W$10:$W$143)</f>
        <v>0</v>
      </c>
      <c r="Q100" s="374">
        <f ca="1">SUMIF('DAILY CHAMP AYAM'!$C$10:$C$144,$C100,'DAILY CHAMP AYAM'!$X$10:$X$143)</f>
        <v>0</v>
      </c>
      <c r="R100" s="374">
        <f t="shared" ca="1" si="44"/>
        <v>0</v>
      </c>
      <c r="S100" s="376" t="e">
        <f t="shared" ca="1" si="45"/>
        <v>#DIV/0!</v>
      </c>
      <c r="T100" s="381"/>
      <c r="U100" s="404"/>
      <c r="V100" s="405"/>
      <c r="W100" s="378"/>
      <c r="X100" s="530"/>
      <c r="Y100" s="530"/>
      <c r="Z100" s="530"/>
      <c r="AA100" s="530"/>
    </row>
    <row r="101" spans="2:27" ht="16.5">
      <c r="B101" s="733"/>
      <c r="C101" s="474">
        <f>+'HASIL PROD'!B186</f>
        <v>0</v>
      </c>
      <c r="D101" s="372">
        <f>SUMIF('HASIL PROD'!$B$4:$B$343,C101,'HASIL PROD'!$H$4:$H$343)</f>
        <v>0</v>
      </c>
      <c r="E101" s="373">
        <f t="shared" si="43"/>
        <v>0</v>
      </c>
      <c r="F101" s="374">
        <f ca="1">SUMIF('DAILY CHAMP AYAM'!$C$10:$C$144,$C101,'DAILY CHAMP AYAM'!$K$10:$K$143)</f>
        <v>0</v>
      </c>
      <c r="G101" s="374">
        <f ca="1">SUMIF('DAILY CHAMP AYAM'!$C$10:$C$144,$C101,'DAILY CHAMP AYAM'!$L$10:$L$143)</f>
        <v>0</v>
      </c>
      <c r="H101" s="374">
        <f>SUMIF('DAILY CHAMP AYAM'!$C$10:$C$144,$C101,'DAILY CHAMP AYAM'!$M$9:$N$143)</f>
        <v>0</v>
      </c>
      <c r="I101" s="374">
        <f ca="1">SUMIF('DAILY CHAMP AYAM'!$C$10:$C$144,$C101,'DAILY CHAMP AYAM'!$O$10:$O$143)</f>
        <v>0</v>
      </c>
      <c r="J101" s="374">
        <f ca="1">SUMIF('DAILY CHAMP AYAM'!$C$10:$C$144,$C101,'DAILY CHAMP AYAM'!$P$10:$P$143)</f>
        <v>0</v>
      </c>
      <c r="K101" s="374">
        <f ca="1">SUMIF('DAILY CHAMP AYAM'!$C$10:$C$144,$C101,'DAILY CHAMP AYAM'!$R$10:$R$143)</f>
        <v>0</v>
      </c>
      <c r="L101" s="374">
        <f ca="1">SUMIF('DAILY CHAMP AYAM'!$C$10:$C$144,$C101,'DAILY CHAMP AYAM'!$S$10:$S$143)</f>
        <v>0</v>
      </c>
      <c r="M101" s="374">
        <f ca="1">SUMIF('DAILY CHAMP AYAM'!$C$10:$C$144,$C101,'DAILY CHAMP AYAM'!$T$10:$T$143)</f>
        <v>0</v>
      </c>
      <c r="N101" s="374">
        <f ca="1">SUMIF('DAILY CHAMP AYAM'!$C$10:$C$144,$C101,'DAILY CHAMP AYAM'!$U$10:$U$143)</f>
        <v>0</v>
      </c>
      <c r="O101" s="374">
        <f ca="1">SUMIF('DAILY CHAMP AYAM'!$C$10:$C$144,$C101,'DAILY CHAMP AYAM'!$V$10:$V$143)</f>
        <v>0</v>
      </c>
      <c r="P101" s="374">
        <f ca="1">SUMIF('DAILY CHAMP AYAM'!$C$10:$C$144,$C101,'DAILY CHAMP AYAM'!$W$10:$W$143)</f>
        <v>0</v>
      </c>
      <c r="Q101" s="374">
        <f ca="1">SUMIF('DAILY CHAMP AYAM'!$C$10:$C$144,$C101,'DAILY CHAMP AYAM'!$X$10:$X$143)</f>
        <v>0</v>
      </c>
      <c r="R101" s="374">
        <f t="shared" ca="1" si="44"/>
        <v>0</v>
      </c>
      <c r="S101" s="376" t="e">
        <f t="shared" ca="1" si="45"/>
        <v>#DIV/0!</v>
      </c>
      <c r="T101" s="381"/>
      <c r="U101" s="404"/>
      <c r="V101" s="405"/>
      <c r="W101" s="378"/>
      <c r="X101" s="530"/>
      <c r="Y101" s="530"/>
      <c r="Z101" s="530"/>
      <c r="AA101" s="530"/>
    </row>
    <row r="102" spans="2:27" ht="16.5">
      <c r="B102" s="733"/>
      <c r="C102" s="474">
        <f>+'HASIL PROD'!B187</f>
        <v>0</v>
      </c>
      <c r="D102" s="372">
        <f>SUMIF('HASIL PROD'!$B$4:$B$343,C102,'HASIL PROD'!$H$4:$H$343)</f>
        <v>0</v>
      </c>
      <c r="E102" s="373">
        <f t="shared" si="43"/>
        <v>0</v>
      </c>
      <c r="F102" s="374">
        <f ca="1">SUMIF('DAILY CHAMP AYAM'!$C$10:$C$144,$C102,'DAILY CHAMP AYAM'!$K$10:$K$143)</f>
        <v>0</v>
      </c>
      <c r="G102" s="374">
        <f ca="1">SUMIF('DAILY CHAMP AYAM'!$C$10:$C$144,$C102,'DAILY CHAMP AYAM'!$L$10:$L$143)</f>
        <v>0</v>
      </c>
      <c r="H102" s="374">
        <f>SUMIF('DAILY CHAMP AYAM'!$C$10:$C$144,$C102,'DAILY CHAMP AYAM'!$M$9:$N$143)</f>
        <v>0</v>
      </c>
      <c r="I102" s="374">
        <f ca="1">SUMIF('DAILY CHAMP AYAM'!$C$10:$C$144,$C102,'DAILY CHAMP AYAM'!$O$10:$O$143)</f>
        <v>0</v>
      </c>
      <c r="J102" s="374">
        <f ca="1">SUMIF('DAILY CHAMP AYAM'!$C$10:$C$144,$C102,'DAILY CHAMP AYAM'!$P$10:$P$143)</f>
        <v>0</v>
      </c>
      <c r="K102" s="374">
        <f ca="1">SUMIF('DAILY CHAMP AYAM'!$C$10:$C$144,$C102,'DAILY CHAMP AYAM'!$R$10:$R$143)</f>
        <v>0</v>
      </c>
      <c r="L102" s="374">
        <f ca="1">SUMIF('DAILY CHAMP AYAM'!$C$10:$C$144,$C102,'DAILY CHAMP AYAM'!$S$10:$S$143)</f>
        <v>0</v>
      </c>
      <c r="M102" s="374">
        <f ca="1">SUMIF('DAILY CHAMP AYAM'!$C$10:$C$144,$C102,'DAILY CHAMP AYAM'!$T$10:$T$143)</f>
        <v>0</v>
      </c>
      <c r="N102" s="374">
        <f ca="1">SUMIF('DAILY CHAMP AYAM'!$C$10:$C$144,$C102,'DAILY CHAMP AYAM'!$U$10:$U$143)</f>
        <v>0</v>
      </c>
      <c r="O102" s="374">
        <f ca="1">SUMIF('DAILY CHAMP AYAM'!$C$10:$C$144,$C102,'DAILY CHAMP AYAM'!$V$10:$V$143)</f>
        <v>0</v>
      </c>
      <c r="P102" s="374">
        <f ca="1">SUMIF('DAILY CHAMP AYAM'!$C$10:$C$144,$C102,'DAILY CHAMP AYAM'!$W$10:$W$143)</f>
        <v>0</v>
      </c>
      <c r="Q102" s="374">
        <f ca="1">SUMIF('DAILY CHAMP AYAM'!$C$10:$C$144,$C102,'DAILY CHAMP AYAM'!$X$10:$X$143)</f>
        <v>0</v>
      </c>
      <c r="R102" s="374">
        <f t="shared" ca="1" si="44"/>
        <v>0</v>
      </c>
      <c r="S102" s="376" t="e">
        <f t="shared" ca="1" si="45"/>
        <v>#DIV/0!</v>
      </c>
      <c r="T102" s="381"/>
      <c r="U102" s="404"/>
      <c r="V102" s="405"/>
      <c r="W102" s="378"/>
      <c r="X102" s="530"/>
      <c r="Y102" s="530"/>
      <c r="Z102" s="530"/>
      <c r="AA102" s="530"/>
    </row>
    <row r="103" spans="2:27" ht="16.5">
      <c r="B103" s="733"/>
      <c r="C103" s="474">
        <f>+'HASIL PROD'!B188</f>
        <v>0</v>
      </c>
      <c r="D103" s="372">
        <f>SUMIF('HASIL PROD'!$B$4:$B$343,C103,'HASIL PROD'!$H$4:$H$343)</f>
        <v>0</v>
      </c>
      <c r="E103" s="373">
        <f t="shared" si="43"/>
        <v>0</v>
      </c>
      <c r="F103" s="374">
        <f ca="1">SUMIF('DAILY CHAMP AYAM'!$C$10:$C$144,$C103,'DAILY CHAMP AYAM'!$K$10:$K$143)</f>
        <v>0</v>
      </c>
      <c r="G103" s="374">
        <f ca="1">SUMIF('DAILY CHAMP AYAM'!$C$10:$C$144,$C103,'DAILY CHAMP AYAM'!$L$10:$L$143)</f>
        <v>0</v>
      </c>
      <c r="H103" s="374">
        <f>SUMIF('DAILY CHAMP AYAM'!$C$10:$C$144,$C103,'DAILY CHAMP AYAM'!$M$9:$N$143)</f>
        <v>0</v>
      </c>
      <c r="I103" s="374">
        <f ca="1">SUMIF('DAILY CHAMP AYAM'!$C$10:$C$144,$C103,'DAILY CHAMP AYAM'!$O$10:$O$143)</f>
        <v>0</v>
      </c>
      <c r="J103" s="374">
        <f ca="1">SUMIF('DAILY CHAMP AYAM'!$C$10:$C$144,$C103,'DAILY CHAMP AYAM'!$P$10:$P$143)</f>
        <v>0</v>
      </c>
      <c r="K103" s="374">
        <f ca="1">SUMIF('DAILY CHAMP AYAM'!$C$10:$C$144,$C103,'DAILY CHAMP AYAM'!$R$10:$R$143)</f>
        <v>0</v>
      </c>
      <c r="L103" s="374">
        <f ca="1">SUMIF('DAILY CHAMP AYAM'!$C$10:$C$144,$C103,'DAILY CHAMP AYAM'!$S$10:$S$143)</f>
        <v>0</v>
      </c>
      <c r="M103" s="374">
        <f ca="1">SUMIF('DAILY CHAMP AYAM'!$C$10:$C$144,$C103,'DAILY CHAMP AYAM'!$T$10:$T$143)</f>
        <v>0</v>
      </c>
      <c r="N103" s="374">
        <f ca="1">SUMIF('DAILY CHAMP AYAM'!$C$10:$C$144,$C103,'DAILY CHAMP AYAM'!$U$10:$U$143)</f>
        <v>0</v>
      </c>
      <c r="O103" s="374">
        <f ca="1">SUMIF('DAILY CHAMP AYAM'!$C$10:$C$144,$C103,'DAILY CHAMP AYAM'!$V$10:$V$143)</f>
        <v>0</v>
      </c>
      <c r="P103" s="374">
        <f ca="1">SUMIF('DAILY CHAMP AYAM'!$C$10:$C$144,$C103,'DAILY CHAMP AYAM'!$W$10:$W$143)</f>
        <v>0</v>
      </c>
      <c r="Q103" s="374">
        <f ca="1">SUMIF('DAILY CHAMP AYAM'!$C$10:$C$144,$C103,'DAILY CHAMP AYAM'!$X$10:$X$143)</f>
        <v>0</v>
      </c>
      <c r="R103" s="374">
        <f t="shared" ref="R103:R104" ca="1" si="46">+SUM(F103:Q103)</f>
        <v>0</v>
      </c>
      <c r="S103" s="376" t="e">
        <f t="shared" ca="1" si="45"/>
        <v>#DIV/0!</v>
      </c>
      <c r="T103" s="381"/>
      <c r="U103" s="404"/>
      <c r="V103" s="405"/>
      <c r="W103" s="378"/>
      <c r="X103" s="530"/>
      <c r="Y103" s="530"/>
      <c r="Z103" s="530"/>
      <c r="AA103" s="530"/>
    </row>
    <row r="104" spans="2:27" ht="16.5">
      <c r="B104" s="733"/>
      <c r="C104" s="474">
        <f>+'HASIL PROD'!B189</f>
        <v>0</v>
      </c>
      <c r="D104" s="372">
        <f>SUMIF('HASIL PROD'!$B$4:$B$343,C104,'HASIL PROD'!$H$4:$H$343)</f>
        <v>0</v>
      </c>
      <c r="E104" s="373">
        <f t="shared" si="43"/>
        <v>0</v>
      </c>
      <c r="F104" s="374">
        <f ca="1">SUMIF('DAILY CHAMP AYAM'!$C$10:$C$144,$C104,'DAILY CHAMP AYAM'!$K$10:$K$143)</f>
        <v>0</v>
      </c>
      <c r="G104" s="374">
        <f ca="1">SUMIF('DAILY CHAMP AYAM'!$C$10:$C$144,$C104,'DAILY CHAMP AYAM'!$L$10:$L$143)</f>
        <v>0</v>
      </c>
      <c r="H104" s="374">
        <f>SUMIF('DAILY CHAMP AYAM'!$C$10:$C$144,$C104,'DAILY CHAMP AYAM'!$M$9:$N$143)</f>
        <v>0</v>
      </c>
      <c r="I104" s="374">
        <f ca="1">SUMIF('DAILY CHAMP AYAM'!$C$10:$C$144,$C104,'DAILY CHAMP AYAM'!$O$10:$O$143)</f>
        <v>0</v>
      </c>
      <c r="J104" s="374">
        <f ca="1">SUMIF('DAILY CHAMP AYAM'!$C$10:$C$144,$C104,'DAILY CHAMP AYAM'!$P$10:$P$143)</f>
        <v>0</v>
      </c>
      <c r="K104" s="374">
        <f ca="1">SUMIF('DAILY CHAMP AYAM'!$C$10:$C$144,$C104,'DAILY CHAMP AYAM'!$R$10:$R$143)</f>
        <v>0</v>
      </c>
      <c r="L104" s="374">
        <f ca="1">SUMIF('DAILY CHAMP AYAM'!$C$10:$C$144,$C104,'DAILY CHAMP AYAM'!$S$10:$S$143)</f>
        <v>0</v>
      </c>
      <c r="M104" s="374">
        <f ca="1">SUMIF('DAILY CHAMP AYAM'!$C$10:$C$144,$C104,'DAILY CHAMP AYAM'!$T$10:$T$143)</f>
        <v>0</v>
      </c>
      <c r="N104" s="374">
        <f ca="1">SUMIF('DAILY CHAMP AYAM'!$C$10:$C$144,$C104,'DAILY CHAMP AYAM'!$U$10:$U$143)</f>
        <v>0</v>
      </c>
      <c r="O104" s="374">
        <f ca="1">SUMIF('DAILY CHAMP AYAM'!$C$10:$C$144,$C104,'DAILY CHAMP AYAM'!$V$10:$V$143)</f>
        <v>0</v>
      </c>
      <c r="P104" s="374">
        <f ca="1">SUMIF('DAILY CHAMP AYAM'!$C$10:$C$144,$C104,'DAILY CHAMP AYAM'!$W$10:$W$143)</f>
        <v>0</v>
      </c>
      <c r="Q104" s="374">
        <f ca="1">SUMIF('DAILY CHAMP AYAM'!$C$10:$C$144,$C104,'DAILY CHAMP AYAM'!$X$10:$X$143)</f>
        <v>0</v>
      </c>
      <c r="R104" s="374">
        <f t="shared" ca="1" si="46"/>
        <v>0</v>
      </c>
      <c r="S104" s="376" t="e">
        <f t="shared" ca="1" si="45"/>
        <v>#DIV/0!</v>
      </c>
      <c r="T104" s="381"/>
      <c r="U104" s="509"/>
      <c r="V104" s="510"/>
      <c r="W104" s="506"/>
      <c r="X104" s="530"/>
      <c r="Y104" s="530"/>
      <c r="Z104" s="530"/>
      <c r="AA104" s="530"/>
    </row>
    <row r="105" spans="2:27" ht="16.5">
      <c r="B105" s="733"/>
      <c r="C105" s="371"/>
      <c r="D105" s="372"/>
      <c r="E105" s="373"/>
      <c r="F105" s="379"/>
      <c r="G105" s="379"/>
      <c r="H105" s="379"/>
      <c r="I105" s="379"/>
      <c r="J105" s="379"/>
      <c r="K105" s="379"/>
      <c r="L105" s="379"/>
      <c r="M105" s="379"/>
      <c r="N105" s="379"/>
      <c r="O105" s="379"/>
      <c r="P105" s="379"/>
      <c r="Q105" s="379"/>
      <c r="R105" s="374"/>
      <c r="S105" s="380"/>
      <c r="T105" s="381"/>
      <c r="U105" s="404"/>
      <c r="V105" s="405"/>
      <c r="W105" s="401"/>
      <c r="X105" s="530"/>
      <c r="Y105" s="530"/>
      <c r="Z105" s="530"/>
      <c r="AA105" s="530"/>
    </row>
    <row r="106" spans="2:27" ht="16.5">
      <c r="B106" s="734"/>
      <c r="C106" s="385" t="s">
        <v>118</v>
      </c>
      <c r="D106" s="386">
        <f t="shared" ref="D106:R106" si="47">SUM(D95:D105)</f>
        <v>1037</v>
      </c>
      <c r="E106" s="387">
        <f t="shared" si="47"/>
        <v>3397.2119999999995</v>
      </c>
      <c r="F106" s="388">
        <f t="shared" ca="1" si="47"/>
        <v>5.9</v>
      </c>
      <c r="G106" s="388">
        <f t="shared" ca="1" si="47"/>
        <v>14.649999999999999</v>
      </c>
      <c r="H106" s="388">
        <f t="shared" si="47"/>
        <v>5.9700000000000006</v>
      </c>
      <c r="I106" s="388">
        <f t="shared" ca="1" si="47"/>
        <v>9.9499999999999993</v>
      </c>
      <c r="J106" s="388">
        <f t="shared" ca="1" si="47"/>
        <v>0.6</v>
      </c>
      <c r="K106" s="388">
        <f t="shared" ca="1" si="47"/>
        <v>3.1799999999999997</v>
      </c>
      <c r="L106" s="388">
        <f t="shared" ca="1" si="47"/>
        <v>1.9500000000000002</v>
      </c>
      <c r="M106" s="388">
        <f t="shared" ca="1" si="47"/>
        <v>1.96</v>
      </c>
      <c r="N106" s="388">
        <f t="shared" ca="1" si="47"/>
        <v>0</v>
      </c>
      <c r="O106" s="388">
        <f t="shared" ca="1" si="47"/>
        <v>0</v>
      </c>
      <c r="P106" s="388">
        <f t="shared" ca="1" si="47"/>
        <v>0</v>
      </c>
      <c r="Q106" s="388">
        <f t="shared" ca="1" si="47"/>
        <v>0</v>
      </c>
      <c r="R106" s="388">
        <f t="shared" ca="1" si="47"/>
        <v>44.16</v>
      </c>
      <c r="S106" s="389"/>
      <c r="T106" s="402"/>
      <c r="U106" s="388"/>
      <c r="V106" s="389"/>
      <c r="W106" s="389"/>
      <c r="X106" s="530"/>
      <c r="Y106" s="530"/>
      <c r="Z106" s="530"/>
      <c r="AA106" s="530"/>
    </row>
    <row r="107" spans="2:27" ht="16.5">
      <c r="B107" s="406"/>
      <c r="C107" s="393" t="s">
        <v>114</v>
      </c>
      <c r="D107" s="394"/>
      <c r="E107" s="395"/>
      <c r="F107" s="396">
        <f ca="1">+F106/$E106</f>
        <v>1.7367182265928653E-3</v>
      </c>
      <c r="G107" s="396">
        <f t="shared" ref="G107:Q107" ca="1" si="48">+G106/$E106</f>
        <v>4.3123596643365207E-3</v>
      </c>
      <c r="H107" s="396">
        <f t="shared" si="48"/>
        <v>1.7573233580948147E-3</v>
      </c>
      <c r="I107" s="396">
        <f t="shared" ca="1" si="48"/>
        <v>2.9288722634913571E-3</v>
      </c>
      <c r="J107" s="396">
        <f t="shared" ca="1" si="48"/>
        <v>1.766154128738507E-4</v>
      </c>
      <c r="K107" s="396">
        <f t="shared" ca="1" si="48"/>
        <v>9.3606168823140857E-4</v>
      </c>
      <c r="L107" s="396">
        <f t="shared" ca="1" si="48"/>
        <v>5.7400009184001483E-4</v>
      </c>
      <c r="M107" s="396">
        <f t="shared" ca="1" si="48"/>
        <v>5.7694368205457895E-4</v>
      </c>
      <c r="N107" s="396">
        <f t="shared" ca="1" si="48"/>
        <v>0</v>
      </c>
      <c r="O107" s="396">
        <f t="shared" ca="1" si="48"/>
        <v>0</v>
      </c>
      <c r="P107" s="396">
        <f t="shared" ca="1" si="48"/>
        <v>0</v>
      </c>
      <c r="Q107" s="396">
        <f t="shared" ca="1" si="48"/>
        <v>0</v>
      </c>
      <c r="R107" s="482">
        <f ca="1">+R106/$E106</f>
        <v>1.2998894387515411E-2</v>
      </c>
      <c r="S107" s="399"/>
      <c r="T107" s="402"/>
      <c r="U107" s="400"/>
      <c r="V107" s="389"/>
      <c r="W107" s="389"/>
      <c r="X107" s="530"/>
      <c r="Y107" s="530"/>
      <c r="Z107" s="530"/>
      <c r="AA107" s="530"/>
    </row>
    <row r="110" spans="2:27">
      <c r="C110" s="558" t="s">
        <v>118</v>
      </c>
      <c r="D110" s="559"/>
      <c r="E110" s="560">
        <f>+E15+E28+E41+E54+E67+E80+E93+E106</f>
        <v>67053.168000000005</v>
      </c>
      <c r="F110" s="560">
        <f t="shared" ref="F110:Q110" ca="1" si="49">+F15+F28+F41+F54+F67+F80+F93+F106</f>
        <v>208.75</v>
      </c>
      <c r="G110" s="560">
        <f t="shared" ca="1" si="49"/>
        <v>339.47999999999996</v>
      </c>
      <c r="H110" s="560">
        <f t="shared" si="49"/>
        <v>34.07</v>
      </c>
      <c r="I110" s="560">
        <f t="shared" ca="1" si="49"/>
        <v>429.68</v>
      </c>
      <c r="J110" s="560">
        <f t="shared" ca="1" si="49"/>
        <v>17.262000000000004</v>
      </c>
      <c r="K110" s="560">
        <f t="shared" ca="1" si="49"/>
        <v>25.68</v>
      </c>
      <c r="L110" s="560">
        <f t="shared" ca="1" si="49"/>
        <v>37.660000000000004</v>
      </c>
      <c r="M110" s="560">
        <f t="shared" ca="1" si="49"/>
        <v>54.8</v>
      </c>
      <c r="N110" s="560">
        <f t="shared" ca="1" si="49"/>
        <v>0</v>
      </c>
      <c r="O110" s="560">
        <f t="shared" ca="1" si="49"/>
        <v>0</v>
      </c>
      <c r="P110" s="560">
        <f t="shared" ca="1" si="49"/>
        <v>0</v>
      </c>
      <c r="Q110" s="560">
        <f t="shared" ca="1" si="49"/>
        <v>0</v>
      </c>
      <c r="R110" s="561">
        <f ca="1">SUM(F110:Q110)</f>
        <v>1147.3820000000001</v>
      </c>
    </row>
    <row r="111" spans="2:27">
      <c r="C111" s="562" t="s">
        <v>114</v>
      </c>
      <c r="D111" s="559"/>
      <c r="E111" s="563"/>
      <c r="F111" s="564">
        <f ca="1">+F110/$E$110</f>
        <v>3.1132011540453983E-3</v>
      </c>
      <c r="G111" s="564">
        <f t="shared" ref="G111:Q111" ca="1" si="50">+G110/$E$110</f>
        <v>5.0628480372470986E-3</v>
      </c>
      <c r="H111" s="564">
        <f t="shared" si="50"/>
        <v>5.0810425541713406E-4</v>
      </c>
      <c r="I111" s="564">
        <f t="shared" ca="1" si="50"/>
        <v>6.4080492065639611E-3</v>
      </c>
      <c r="J111" s="564">
        <f t="shared" ca="1" si="50"/>
        <v>2.5743750093955298E-4</v>
      </c>
      <c r="K111" s="564">
        <f t="shared" ca="1" si="50"/>
        <v>3.8297966771681834E-4</v>
      </c>
      <c r="L111" s="564">
        <f t="shared" ca="1" si="50"/>
        <v>5.6164385849748373E-4</v>
      </c>
      <c r="M111" s="564">
        <f t="shared" ca="1" si="50"/>
        <v>8.1726190774461234E-4</v>
      </c>
      <c r="N111" s="564">
        <f t="shared" ca="1" si="50"/>
        <v>0</v>
      </c>
      <c r="O111" s="564">
        <f t="shared" ca="1" si="50"/>
        <v>0</v>
      </c>
      <c r="P111" s="564">
        <f t="shared" ca="1" si="50"/>
        <v>0</v>
      </c>
      <c r="Q111" s="564">
        <f t="shared" ca="1" si="50"/>
        <v>0</v>
      </c>
      <c r="R111" s="565">
        <f ca="1">+R110/$E$110</f>
        <v>1.7111525588172059E-2</v>
      </c>
    </row>
  </sheetData>
  <mergeCells count="88">
    <mergeCell ref="AA33:AA37"/>
    <mergeCell ref="X56:X59"/>
    <mergeCell ref="Y56:Y59"/>
    <mergeCell ref="Z56:Z59"/>
    <mergeCell ref="AA56:AA59"/>
    <mergeCell ref="X33:X37"/>
    <mergeCell ref="Y33:Y37"/>
    <mergeCell ref="Z33:Z37"/>
    <mergeCell ref="X22:X25"/>
    <mergeCell ref="Y22:Y25"/>
    <mergeCell ref="Z22:Z25"/>
    <mergeCell ref="AA22:AA25"/>
    <mergeCell ref="X30:X32"/>
    <mergeCell ref="Y30:Y32"/>
    <mergeCell ref="Z30:Z32"/>
    <mergeCell ref="X1:AA3"/>
    <mergeCell ref="AC1:AJ1"/>
    <mergeCell ref="X17:X20"/>
    <mergeCell ref="Y17:Y20"/>
    <mergeCell ref="Z17:Z20"/>
    <mergeCell ref="B95:B106"/>
    <mergeCell ref="W95:W96"/>
    <mergeCell ref="U95:U96"/>
    <mergeCell ref="V95:V96"/>
    <mergeCell ref="B56:B67"/>
    <mergeCell ref="W56:W59"/>
    <mergeCell ref="U56:U59"/>
    <mergeCell ref="V56:V59"/>
    <mergeCell ref="U60:U63"/>
    <mergeCell ref="V60:V63"/>
    <mergeCell ref="W60:W63"/>
    <mergeCell ref="B82:B93"/>
    <mergeCell ref="B69:B80"/>
    <mergeCell ref="U69:U72"/>
    <mergeCell ref="V69:V72"/>
    <mergeCell ref="W69:W72"/>
    <mergeCell ref="B1:S1"/>
    <mergeCell ref="U1:V2"/>
    <mergeCell ref="W1:W3"/>
    <mergeCell ref="B2:B3"/>
    <mergeCell ref="C2:C3"/>
    <mergeCell ref="D2:E2"/>
    <mergeCell ref="F2:F3"/>
    <mergeCell ref="G2:G3"/>
    <mergeCell ref="H2:H3"/>
    <mergeCell ref="I2:I3"/>
    <mergeCell ref="R2:R3"/>
    <mergeCell ref="S2:S3"/>
    <mergeCell ref="J2:J3"/>
    <mergeCell ref="K2:K3"/>
    <mergeCell ref="L2:N2"/>
    <mergeCell ref="O2:O3"/>
    <mergeCell ref="P2:P3"/>
    <mergeCell ref="Q2:Q3"/>
    <mergeCell ref="B4:B15"/>
    <mergeCell ref="B17:B28"/>
    <mergeCell ref="U17:U20"/>
    <mergeCell ref="V17:V20"/>
    <mergeCell ref="W17:W20"/>
    <mergeCell ref="U22:U25"/>
    <mergeCell ref="V22:V25"/>
    <mergeCell ref="W22:W25"/>
    <mergeCell ref="U73:U77"/>
    <mergeCell ref="V73:V77"/>
    <mergeCell ref="W73:W77"/>
    <mergeCell ref="B30:B41"/>
    <mergeCell ref="U30:U32"/>
    <mergeCell ref="V30:V32"/>
    <mergeCell ref="W30:W32"/>
    <mergeCell ref="U33:U37"/>
    <mergeCell ref="V33:V37"/>
    <mergeCell ref="W33:W37"/>
    <mergeCell ref="B43:B54"/>
    <mergeCell ref="X95:X96"/>
    <mergeCell ref="Y95:Y96"/>
    <mergeCell ref="Z95:Z96"/>
    <mergeCell ref="X73:X77"/>
    <mergeCell ref="Y73:Y77"/>
    <mergeCell ref="Z73:Z77"/>
    <mergeCell ref="AA60:AA63"/>
    <mergeCell ref="AA73:AA77"/>
    <mergeCell ref="X69:X72"/>
    <mergeCell ref="Y69:Y72"/>
    <mergeCell ref="Z69:Z72"/>
    <mergeCell ref="AA69:AA72"/>
    <mergeCell ref="X60:X63"/>
    <mergeCell ref="Y60:Y63"/>
    <mergeCell ref="Z60:Z63"/>
  </mergeCells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>
  <sheetPr>
    <tabColor rgb="FFFF6600"/>
  </sheetPr>
  <dimension ref="B1:AJ33"/>
  <sheetViews>
    <sheetView zoomScale="70" zoomScaleNormal="70" workbookViewId="0">
      <pane xSplit="3" ySplit="3" topLeftCell="I4" activePane="bottomRight" state="frozen"/>
      <selection pane="topRight" activeCell="D1" sqref="D1"/>
      <selection pane="bottomLeft" activeCell="A4" sqref="A4"/>
      <selection pane="bottomRight" activeCell="T1" sqref="T1"/>
    </sheetView>
  </sheetViews>
  <sheetFormatPr defaultRowHeight="15"/>
  <cols>
    <col min="1" max="1" width="11.42578125" customWidth="1"/>
    <col min="3" max="3" width="18.42578125" customWidth="1"/>
    <col min="4" max="4" width="9.140625" style="410"/>
    <col min="5" max="5" width="16.140625" style="411" customWidth="1"/>
    <col min="6" max="11" width="15.140625" customWidth="1"/>
    <col min="12" max="14" width="13.85546875" customWidth="1"/>
    <col min="15" max="17" width="15.140625" customWidth="1"/>
    <col min="18" max="18" width="9.5703125" customWidth="1"/>
    <col min="19" max="19" width="10.42578125" style="412" customWidth="1"/>
    <col min="20" max="20" width="2.28515625" style="329" customWidth="1"/>
    <col min="21" max="21" width="9.7109375" bestFit="1" customWidth="1"/>
    <col min="22" max="22" width="10.28515625" style="412" customWidth="1"/>
    <col min="23" max="23" width="16.85546875" customWidth="1"/>
    <col min="24" max="27" width="10.5703125" customWidth="1"/>
    <col min="29" max="36" width="12" customWidth="1"/>
  </cols>
  <sheetData>
    <row r="1" spans="2:36" ht="21.75" customHeight="1" thickBot="1">
      <c r="B1" s="754" t="s">
        <v>165</v>
      </c>
      <c r="C1" s="755"/>
      <c r="D1" s="755"/>
      <c r="E1" s="755"/>
      <c r="F1" s="755"/>
      <c r="G1" s="755"/>
      <c r="H1" s="755"/>
      <c r="I1" s="755"/>
      <c r="J1" s="755"/>
      <c r="K1" s="755"/>
      <c r="L1" s="755"/>
      <c r="M1" s="755"/>
      <c r="N1" s="755"/>
      <c r="O1" s="755"/>
      <c r="P1" s="755"/>
      <c r="Q1" s="755"/>
      <c r="R1" s="755"/>
      <c r="S1" s="756"/>
      <c r="T1" s="366"/>
      <c r="U1" s="759" t="s">
        <v>166</v>
      </c>
      <c r="V1" s="760"/>
      <c r="W1" s="763" t="s">
        <v>342</v>
      </c>
      <c r="X1" s="759" t="s">
        <v>343</v>
      </c>
      <c r="Y1" s="767"/>
      <c r="Z1" s="767"/>
      <c r="AA1" s="760"/>
      <c r="AC1" s="780" t="s">
        <v>337</v>
      </c>
      <c r="AD1" s="781"/>
      <c r="AE1" s="781"/>
      <c r="AF1" s="781"/>
      <c r="AG1" s="781"/>
      <c r="AH1" s="781"/>
      <c r="AI1" s="781"/>
      <c r="AJ1" s="782"/>
    </row>
    <row r="2" spans="2:36" ht="17.25" customHeight="1" thickBot="1">
      <c r="B2" s="763" t="s">
        <v>167</v>
      </c>
      <c r="C2" s="763" t="s">
        <v>168</v>
      </c>
      <c r="D2" s="776" t="s">
        <v>157</v>
      </c>
      <c r="E2" s="777"/>
      <c r="F2" s="763" t="s">
        <v>169</v>
      </c>
      <c r="G2" s="763" t="s">
        <v>17</v>
      </c>
      <c r="H2" s="763" t="s">
        <v>170</v>
      </c>
      <c r="I2" s="763" t="s">
        <v>171</v>
      </c>
      <c r="J2" s="763" t="s">
        <v>60</v>
      </c>
      <c r="K2" s="763" t="s">
        <v>172</v>
      </c>
      <c r="L2" s="785" t="s">
        <v>173</v>
      </c>
      <c r="M2" s="786"/>
      <c r="N2" s="787"/>
      <c r="O2" s="763" t="s">
        <v>56</v>
      </c>
      <c r="P2" s="763" t="s">
        <v>20</v>
      </c>
      <c r="Q2" s="763" t="s">
        <v>218</v>
      </c>
      <c r="R2" s="763" t="s">
        <v>118</v>
      </c>
      <c r="S2" s="783" t="s">
        <v>174</v>
      </c>
      <c r="T2" s="367"/>
      <c r="U2" s="761"/>
      <c r="V2" s="762"/>
      <c r="W2" s="764"/>
      <c r="X2" s="769"/>
      <c r="Y2" s="770"/>
      <c r="Z2" s="770"/>
      <c r="AA2" s="771"/>
      <c r="AC2" s="593" t="s">
        <v>315</v>
      </c>
      <c r="AD2" s="593" t="s">
        <v>316</v>
      </c>
      <c r="AE2" s="593" t="s">
        <v>317</v>
      </c>
      <c r="AF2" s="593" t="s">
        <v>318</v>
      </c>
      <c r="AG2" s="593" t="s">
        <v>312</v>
      </c>
      <c r="AH2" s="593" t="s">
        <v>319</v>
      </c>
      <c r="AI2" s="593" t="s">
        <v>314</v>
      </c>
      <c r="AJ2" s="593" t="s">
        <v>313</v>
      </c>
    </row>
    <row r="3" spans="2:36" ht="17.25" thickBot="1">
      <c r="B3" s="765"/>
      <c r="C3" s="765"/>
      <c r="D3" s="368" t="s">
        <v>3</v>
      </c>
      <c r="E3" s="369" t="s">
        <v>4</v>
      </c>
      <c r="F3" s="765"/>
      <c r="G3" s="765"/>
      <c r="H3" s="765"/>
      <c r="I3" s="765"/>
      <c r="J3" s="765"/>
      <c r="K3" s="765"/>
      <c r="L3" s="553" t="s">
        <v>175</v>
      </c>
      <c r="M3" s="553" t="s">
        <v>176</v>
      </c>
      <c r="N3" s="553" t="s">
        <v>177</v>
      </c>
      <c r="O3" s="765"/>
      <c r="P3" s="765"/>
      <c r="Q3" s="765"/>
      <c r="R3" s="765"/>
      <c r="S3" s="784"/>
      <c r="T3" s="370"/>
      <c r="U3" s="491" t="s">
        <v>4</v>
      </c>
      <c r="V3" s="552" t="s">
        <v>114</v>
      </c>
      <c r="W3" s="765"/>
      <c r="X3" s="761"/>
      <c r="Y3" s="772"/>
      <c r="Z3" s="772"/>
      <c r="AA3" s="762"/>
      <c r="AC3" s="594">
        <f t="shared" ref="AC3:AJ3" ca="1" si="0">SUMPRODUCT(($V$4:$V$300&gt;1%)*($X$4:$AA$300=AC$2))</f>
        <v>1</v>
      </c>
      <c r="AD3" s="594">
        <f t="shared" ca="1" si="0"/>
        <v>1</v>
      </c>
      <c r="AE3" s="594">
        <f t="shared" ca="1" si="0"/>
        <v>1</v>
      </c>
      <c r="AF3" s="594">
        <f t="shared" ca="1" si="0"/>
        <v>1</v>
      </c>
      <c r="AG3" s="594">
        <f t="shared" ca="1" si="0"/>
        <v>2</v>
      </c>
      <c r="AH3" s="594">
        <f t="shared" ca="1" si="0"/>
        <v>2</v>
      </c>
      <c r="AI3" s="594">
        <f t="shared" ca="1" si="0"/>
        <v>2</v>
      </c>
      <c r="AJ3" s="594">
        <f t="shared" ca="1" si="0"/>
        <v>2</v>
      </c>
    </row>
    <row r="4" spans="2:36" ht="30">
      <c r="B4" s="788" t="s">
        <v>269</v>
      </c>
      <c r="C4" s="474" t="str">
        <f>+'HASIL PROD'!B158</f>
        <v>QG15701</v>
      </c>
      <c r="D4" s="372">
        <f>SUMIF('HASIL PROD'!$B$4:$B$343,C4,'HASIL PROD'!$M$4:$M$343)</f>
        <v>449</v>
      </c>
      <c r="E4" s="373">
        <f>+D4*3.276</f>
        <v>1470.924</v>
      </c>
      <c r="F4" s="374">
        <f ca="1">SUMIF('DAILY CHAMP SAPI'!$C$10:$C$144,$C4,'DAILY CHAMP SAPI'!$K$10:$K$143)</f>
        <v>6.3</v>
      </c>
      <c r="G4" s="374">
        <f ca="1">SUMIF('DAILY CHAMP SAPI'!$C$10:$C$144,$C4,'DAILY CHAMP SAPI'!$L$10:$L$143)</f>
        <v>7.2</v>
      </c>
      <c r="H4" s="374">
        <f>SUMIF('DAILY CHAMP SAPI'!$C$10:$C$144,$C4,'DAILY CHAMP SAPI'!$M$9:$N$143)</f>
        <v>0</v>
      </c>
      <c r="I4" s="374">
        <f ca="1">SUMIF('DAILY CHAMP SAPI'!$C$10:$C$144,$C4,'DAILY CHAMP SAPI'!$O$10:$O$143)</f>
        <v>9.9</v>
      </c>
      <c r="J4" s="374">
        <f ca="1">SUMIF('DAILY CHAMP SAPI'!$C$10:$C$144,$C4,'DAILY CHAMP SAPI'!$P$10:$P$143)</f>
        <v>0</v>
      </c>
      <c r="K4" s="374">
        <f ca="1">SUMIF('DAILY CHAMP SAPI'!$C$10:$C$144,$C4,'DAILY CHAMP SAPI'!$R$10:$R$143)</f>
        <v>1</v>
      </c>
      <c r="L4" s="374">
        <f ca="1">SUMIF('DAILY CHAMP SAPI'!$C$10:$C$144,$C4,'DAILY CHAMP SAPI'!$S$10:$S$143)</f>
        <v>9.1999999999999993</v>
      </c>
      <c r="M4" s="374">
        <f ca="1">SUMIF('DAILY CHAMP SAPI'!$C$10:$C$144,$C4,'DAILY CHAMP SAPI'!$T$10:$T$143)</f>
        <v>3.02</v>
      </c>
      <c r="N4" s="374">
        <f ca="1">SUMIF('DAILY CHAMP SAPI'!$C$10:$C$144,$C4,'DAILY CHAMP SAPI'!$U$10:$U$143)</f>
        <v>0</v>
      </c>
      <c r="O4" s="374">
        <f ca="1">SUMIF('DAILY CHAMP SAPI'!$C$10:$C$144,$C4,'DAILY CHAMP SAPI'!$V$10:$V$143)</f>
        <v>0</v>
      </c>
      <c r="P4" s="374">
        <f ca="1">SUMIF('DAILY CHAMP SAPI'!$C$10:$C$144,$C4,'DAILY CHAMP SAPI'!$W$10:$W$143)</f>
        <v>0</v>
      </c>
      <c r="Q4" s="374">
        <f ca="1">SUMIF('DAILY CHAMP SAPI'!$C$10:$C$144,$C4,'DAILY CHAMP SAPI'!$X$10:$X$143)</f>
        <v>0</v>
      </c>
      <c r="R4" s="375">
        <f ca="1">+SUM(F4:Q4)</f>
        <v>36.619999999999997</v>
      </c>
      <c r="S4" s="376">
        <f ca="1">+R4/E4</f>
        <v>2.4895915764512645E-2</v>
      </c>
      <c r="T4" s="398"/>
      <c r="U4" s="545">
        <f ca="1">SUM(R4:R4)</f>
        <v>36.619999999999997</v>
      </c>
      <c r="V4" s="550">
        <f ca="1">+U4/(SUM(E4:E4))</f>
        <v>2.4895915764512645E-2</v>
      </c>
      <c r="W4" s="378" t="s">
        <v>339</v>
      </c>
      <c r="X4" s="595" t="s">
        <v>319</v>
      </c>
      <c r="Y4" s="595" t="s">
        <v>312</v>
      </c>
      <c r="Z4" s="595" t="s">
        <v>313</v>
      </c>
      <c r="AA4" s="595" t="s">
        <v>314</v>
      </c>
    </row>
    <row r="5" spans="2:36" ht="16.5">
      <c r="B5" s="733"/>
      <c r="C5" s="474" t="str">
        <f>+'HASIL PROD'!B159</f>
        <v>QG15702</v>
      </c>
      <c r="D5" s="372">
        <f>SUMIF('HASIL PROD'!$B$4:$B$343,C5,'HASIL PROD'!$M$4:$M$343)</f>
        <v>0</v>
      </c>
      <c r="E5" s="373">
        <f t="shared" ref="E5:E12" si="1">+D5*3.276</f>
        <v>0</v>
      </c>
      <c r="F5" s="374">
        <f ca="1">SUMIF('DAILY CHAMP SAPI'!$C$10:$C$144,$C5,'DAILY CHAMP SAPI'!$K$10:$K$143)</f>
        <v>0</v>
      </c>
      <c r="G5" s="374">
        <f ca="1">SUMIF('DAILY CHAMP SAPI'!$C$10:$C$144,$C5,'DAILY CHAMP SAPI'!$L$10:$L$143)</f>
        <v>0</v>
      </c>
      <c r="H5" s="374">
        <f>SUMIF('DAILY CHAMP SAPI'!$C$10:$C$144,$C5,'DAILY CHAMP SAPI'!$M$9:$N$143)</f>
        <v>0</v>
      </c>
      <c r="I5" s="374">
        <f ca="1">SUMIF('DAILY CHAMP SAPI'!$C$10:$C$144,$C5,'DAILY CHAMP SAPI'!$O$10:$O$143)</f>
        <v>0</v>
      </c>
      <c r="J5" s="374">
        <f ca="1">SUMIF('DAILY CHAMP SAPI'!$C$10:$C$144,$C5,'DAILY CHAMP SAPI'!$P$10:$P$143)</f>
        <v>0</v>
      </c>
      <c r="K5" s="374">
        <f ca="1">SUMIF('DAILY CHAMP SAPI'!$C$10:$C$144,$C5,'DAILY CHAMP SAPI'!$R$10:$R$143)</f>
        <v>0</v>
      </c>
      <c r="L5" s="374">
        <f ca="1">SUMIF('DAILY CHAMP SAPI'!$C$10:$C$144,$C5,'DAILY CHAMP SAPI'!$S$10:$S$143)</f>
        <v>0</v>
      </c>
      <c r="M5" s="374">
        <f ca="1">SUMIF('DAILY CHAMP SAPI'!$C$10:$C$144,$C5,'DAILY CHAMP SAPI'!$T$10:$T$143)</f>
        <v>0</v>
      </c>
      <c r="N5" s="374">
        <f ca="1">SUMIF('DAILY CHAMP SAPI'!$C$10:$C$144,$C5,'DAILY CHAMP SAPI'!$U$10:$U$143)</f>
        <v>0</v>
      </c>
      <c r="O5" s="374">
        <f ca="1">SUMIF('DAILY CHAMP SAPI'!$C$10:$C$144,$C5,'DAILY CHAMP SAPI'!$V$10:$V$143)</f>
        <v>0</v>
      </c>
      <c r="P5" s="374">
        <f ca="1">SUMIF('DAILY CHAMP SAPI'!$C$10:$C$144,$C5,'DAILY CHAMP SAPI'!$W$10:$W$143)</f>
        <v>0</v>
      </c>
      <c r="Q5" s="374">
        <f ca="1">SUMIF('DAILY CHAMP SAPI'!$C$10:$C$144,$C5,'DAILY CHAMP SAPI'!$X$10:$X$143)</f>
        <v>0</v>
      </c>
      <c r="R5" s="375">
        <f t="shared" ref="R5:R13" ca="1" si="2">+SUM(F5:Q5)</f>
        <v>0</v>
      </c>
      <c r="S5" s="376" t="e">
        <f t="shared" ref="S5:S13" ca="1" si="3">+R5/E5</f>
        <v>#DIV/0!</v>
      </c>
      <c r="T5" s="398"/>
      <c r="U5" s="551">
        <f t="shared" ref="U5:U13" ca="1" si="4">SUM(R5:R5)</f>
        <v>0</v>
      </c>
      <c r="V5" s="547"/>
      <c r="W5" s="549"/>
      <c r="X5" s="530"/>
      <c r="Y5" s="530"/>
      <c r="Z5" s="530"/>
      <c r="AA5" s="530"/>
    </row>
    <row r="6" spans="2:36" ht="16.5">
      <c r="B6" s="733"/>
      <c r="C6" s="474" t="str">
        <f>+'HASIL PROD'!B160</f>
        <v>QG15703</v>
      </c>
      <c r="D6" s="372">
        <f>SUMIF('HASIL PROD'!$B$4:$B$343,C6,'HASIL PROD'!$M$4:$M$343)</f>
        <v>0</v>
      </c>
      <c r="E6" s="373">
        <f t="shared" si="1"/>
        <v>0</v>
      </c>
      <c r="F6" s="374">
        <f ca="1">SUMIF('DAILY CHAMP SAPI'!$C$10:$C$144,$C6,'DAILY CHAMP SAPI'!$K$10:$K$143)</f>
        <v>0</v>
      </c>
      <c r="G6" s="374">
        <f ca="1">SUMIF('DAILY CHAMP SAPI'!$C$10:$C$144,$C6,'DAILY CHAMP SAPI'!$L$10:$L$143)</f>
        <v>0</v>
      </c>
      <c r="H6" s="374">
        <f>SUMIF('DAILY CHAMP SAPI'!$C$10:$C$144,$C6,'DAILY CHAMP SAPI'!$M$9:$N$143)</f>
        <v>0</v>
      </c>
      <c r="I6" s="374">
        <f ca="1">SUMIF('DAILY CHAMP SAPI'!$C$10:$C$144,$C6,'DAILY CHAMP SAPI'!$O$10:$O$143)</f>
        <v>0</v>
      </c>
      <c r="J6" s="374">
        <f ca="1">SUMIF('DAILY CHAMP SAPI'!$C$10:$C$144,$C6,'DAILY CHAMP SAPI'!$P$10:$P$143)</f>
        <v>0</v>
      </c>
      <c r="K6" s="374">
        <f ca="1">SUMIF('DAILY CHAMP SAPI'!$C$10:$C$144,$C6,'DAILY CHAMP SAPI'!$R$10:$R$143)</f>
        <v>0</v>
      </c>
      <c r="L6" s="374">
        <f ca="1">SUMIF('DAILY CHAMP SAPI'!$C$10:$C$144,$C6,'DAILY CHAMP SAPI'!$S$10:$S$143)</f>
        <v>0</v>
      </c>
      <c r="M6" s="374">
        <f ca="1">SUMIF('DAILY CHAMP SAPI'!$C$10:$C$144,$C6,'DAILY CHAMP SAPI'!$T$10:$T$143)</f>
        <v>0</v>
      </c>
      <c r="N6" s="374">
        <f ca="1">SUMIF('DAILY CHAMP SAPI'!$C$10:$C$144,$C6,'DAILY CHAMP SAPI'!$U$10:$U$143)</f>
        <v>0</v>
      </c>
      <c r="O6" s="374">
        <f ca="1">SUMIF('DAILY CHAMP SAPI'!$C$10:$C$144,$C6,'DAILY CHAMP SAPI'!$V$10:$V$143)</f>
        <v>0</v>
      </c>
      <c r="P6" s="374">
        <f ca="1">SUMIF('DAILY CHAMP SAPI'!$C$10:$C$144,$C6,'DAILY CHAMP SAPI'!$W$10:$W$143)</f>
        <v>0</v>
      </c>
      <c r="Q6" s="374">
        <f ca="1">SUMIF('DAILY CHAMP SAPI'!$C$10:$C$144,$C6,'DAILY CHAMP SAPI'!$X$10:$X$143)</f>
        <v>0</v>
      </c>
      <c r="R6" s="375">
        <f t="shared" ca="1" si="2"/>
        <v>0</v>
      </c>
      <c r="S6" s="376" t="e">
        <f t="shared" ca="1" si="3"/>
        <v>#DIV/0!</v>
      </c>
      <c r="T6" s="398"/>
      <c r="U6" s="551">
        <f t="shared" ca="1" si="4"/>
        <v>0</v>
      </c>
      <c r="V6" s="547"/>
      <c r="W6" s="549"/>
      <c r="X6" s="530"/>
      <c r="Y6" s="530"/>
      <c r="Z6" s="530"/>
      <c r="AA6" s="530"/>
    </row>
    <row r="7" spans="2:36" ht="16.5">
      <c r="B7" s="733"/>
      <c r="C7" s="474" t="str">
        <f>+'HASIL PROD'!B161</f>
        <v>QG15704</v>
      </c>
      <c r="D7" s="372">
        <f>SUMIF('HASIL PROD'!$B$4:$B$343,C7,'HASIL PROD'!$M$4:$M$343)</f>
        <v>0</v>
      </c>
      <c r="E7" s="373">
        <f t="shared" si="1"/>
        <v>0</v>
      </c>
      <c r="F7" s="374">
        <f ca="1">SUMIF('DAILY CHAMP SAPI'!$C$10:$C$144,$C7,'DAILY CHAMP SAPI'!$K$10:$K$143)</f>
        <v>0</v>
      </c>
      <c r="G7" s="374">
        <f ca="1">SUMIF('DAILY CHAMP SAPI'!$C$10:$C$144,$C7,'DAILY CHAMP SAPI'!$L$10:$L$143)</f>
        <v>0</v>
      </c>
      <c r="H7" s="374">
        <f>SUMIF('DAILY CHAMP SAPI'!$C$10:$C$144,$C7,'DAILY CHAMP SAPI'!$M$9:$N$143)</f>
        <v>0</v>
      </c>
      <c r="I7" s="374">
        <f ca="1">SUMIF('DAILY CHAMP SAPI'!$C$10:$C$144,$C7,'DAILY CHAMP SAPI'!$O$10:$O$143)</f>
        <v>0</v>
      </c>
      <c r="J7" s="374">
        <f ca="1">SUMIF('DAILY CHAMP SAPI'!$C$10:$C$144,$C7,'DAILY CHAMP SAPI'!$P$10:$P$143)</f>
        <v>0</v>
      </c>
      <c r="K7" s="374">
        <f ca="1">SUMIF('DAILY CHAMP SAPI'!$C$10:$C$144,$C7,'DAILY CHAMP SAPI'!$R$10:$R$143)</f>
        <v>0</v>
      </c>
      <c r="L7" s="374">
        <f ca="1">SUMIF('DAILY CHAMP SAPI'!$C$10:$C$144,$C7,'DAILY CHAMP SAPI'!$S$10:$S$143)</f>
        <v>0</v>
      </c>
      <c r="M7" s="374">
        <f ca="1">SUMIF('DAILY CHAMP SAPI'!$C$10:$C$144,$C7,'DAILY CHAMP SAPI'!$T$10:$T$143)</f>
        <v>0</v>
      </c>
      <c r="N7" s="374">
        <f ca="1">SUMIF('DAILY CHAMP SAPI'!$C$10:$C$144,$C7,'DAILY CHAMP SAPI'!$U$10:$U$143)</f>
        <v>0</v>
      </c>
      <c r="O7" s="374">
        <f ca="1">SUMIF('DAILY CHAMP SAPI'!$C$10:$C$144,$C7,'DAILY CHAMP SAPI'!$V$10:$V$143)</f>
        <v>0</v>
      </c>
      <c r="P7" s="374">
        <f ca="1">SUMIF('DAILY CHAMP SAPI'!$C$10:$C$144,$C7,'DAILY CHAMP SAPI'!$W$10:$W$143)</f>
        <v>0</v>
      </c>
      <c r="Q7" s="374">
        <f ca="1">SUMIF('DAILY CHAMP SAPI'!$C$10:$C$144,$C7,'DAILY CHAMP SAPI'!$X$10:$X$143)</f>
        <v>0</v>
      </c>
      <c r="R7" s="375">
        <f t="shared" ca="1" si="2"/>
        <v>0</v>
      </c>
      <c r="S7" s="376" t="e">
        <f t="shared" ca="1" si="3"/>
        <v>#DIV/0!</v>
      </c>
      <c r="T7" s="398"/>
      <c r="U7" s="551">
        <f t="shared" ca="1" si="4"/>
        <v>0</v>
      </c>
      <c r="V7" s="547"/>
      <c r="W7" s="549"/>
      <c r="X7" s="530"/>
      <c r="Y7" s="530"/>
      <c r="Z7" s="530"/>
      <c r="AA7" s="530"/>
    </row>
    <row r="8" spans="2:36" ht="16.5">
      <c r="B8" s="733"/>
      <c r="C8" s="474" t="str">
        <f>+'HASIL PROD'!B162</f>
        <v>QG15705</v>
      </c>
      <c r="D8" s="372">
        <f>SUMIF('HASIL PROD'!$B$4:$B$343,C8,'HASIL PROD'!$M$4:$M$343)</f>
        <v>0</v>
      </c>
      <c r="E8" s="373">
        <f t="shared" si="1"/>
        <v>0</v>
      </c>
      <c r="F8" s="374">
        <f ca="1">SUMIF('DAILY CHAMP SAPI'!$C$10:$C$144,$C8,'DAILY CHAMP SAPI'!$K$10:$K$143)</f>
        <v>0</v>
      </c>
      <c r="G8" s="374">
        <f ca="1">SUMIF('DAILY CHAMP SAPI'!$C$10:$C$144,$C8,'DAILY CHAMP SAPI'!$L$10:$L$143)</f>
        <v>0</v>
      </c>
      <c r="H8" s="374">
        <f>SUMIF('DAILY CHAMP SAPI'!$C$10:$C$144,$C8,'DAILY CHAMP SAPI'!$M$9:$N$143)</f>
        <v>0</v>
      </c>
      <c r="I8" s="374">
        <f ca="1">SUMIF('DAILY CHAMP SAPI'!$C$10:$C$144,$C8,'DAILY CHAMP SAPI'!$O$10:$O$143)</f>
        <v>0</v>
      </c>
      <c r="J8" s="374">
        <f ca="1">SUMIF('DAILY CHAMP SAPI'!$C$10:$C$144,$C8,'DAILY CHAMP SAPI'!$P$10:$P$143)</f>
        <v>0</v>
      </c>
      <c r="K8" s="374">
        <f ca="1">SUMIF('DAILY CHAMP SAPI'!$C$10:$C$144,$C8,'DAILY CHAMP SAPI'!$R$10:$R$143)</f>
        <v>0</v>
      </c>
      <c r="L8" s="374">
        <f ca="1">SUMIF('DAILY CHAMP SAPI'!$C$10:$C$144,$C8,'DAILY CHAMP SAPI'!$S$10:$S$143)</f>
        <v>0</v>
      </c>
      <c r="M8" s="374">
        <f ca="1">SUMIF('DAILY CHAMP SAPI'!$C$10:$C$144,$C8,'DAILY CHAMP SAPI'!$T$10:$T$143)</f>
        <v>0</v>
      </c>
      <c r="N8" s="374">
        <f ca="1">SUMIF('DAILY CHAMP SAPI'!$C$10:$C$144,$C8,'DAILY CHAMP SAPI'!$U$10:$U$143)</f>
        <v>0</v>
      </c>
      <c r="O8" s="374">
        <f ca="1">SUMIF('DAILY CHAMP SAPI'!$C$10:$C$144,$C8,'DAILY CHAMP SAPI'!$V$10:$V$143)</f>
        <v>0</v>
      </c>
      <c r="P8" s="374">
        <f ca="1">SUMIF('DAILY CHAMP SAPI'!$C$10:$C$144,$C8,'DAILY CHAMP SAPI'!$W$10:$W$143)</f>
        <v>0</v>
      </c>
      <c r="Q8" s="374">
        <f ca="1">SUMIF('DAILY CHAMP SAPI'!$C$10:$C$144,$C8,'DAILY CHAMP SAPI'!$X$10:$X$143)</f>
        <v>0</v>
      </c>
      <c r="R8" s="375">
        <f t="shared" ca="1" si="2"/>
        <v>0</v>
      </c>
      <c r="S8" s="376" t="e">
        <f t="shared" ca="1" si="3"/>
        <v>#DIV/0!</v>
      </c>
      <c r="T8" s="398"/>
      <c r="U8" s="551">
        <f t="shared" ca="1" si="4"/>
        <v>0</v>
      </c>
      <c r="V8" s="547"/>
      <c r="W8" s="549"/>
      <c r="X8" s="530"/>
      <c r="Y8" s="530"/>
      <c r="Z8" s="530"/>
      <c r="AA8" s="530"/>
    </row>
    <row r="9" spans="2:36" ht="16.5">
      <c r="B9" s="733"/>
      <c r="C9" s="474" t="str">
        <f>+'HASIL PROD'!B163</f>
        <v>QG15706</v>
      </c>
      <c r="D9" s="372">
        <f>SUMIF('HASIL PROD'!$B$4:$B$343,C9,'HASIL PROD'!$M$4:$M$343)</f>
        <v>0</v>
      </c>
      <c r="E9" s="373">
        <f t="shared" si="1"/>
        <v>0</v>
      </c>
      <c r="F9" s="374">
        <f ca="1">SUMIF('DAILY CHAMP SAPI'!$C$10:$C$144,$C9,'DAILY CHAMP SAPI'!$K$10:$K$143)</f>
        <v>0</v>
      </c>
      <c r="G9" s="374">
        <f ca="1">SUMIF('DAILY CHAMP SAPI'!$C$10:$C$144,$C9,'DAILY CHAMP SAPI'!$L$10:$L$143)</f>
        <v>0</v>
      </c>
      <c r="H9" s="374">
        <f>SUMIF('DAILY CHAMP SAPI'!$C$10:$C$144,$C9,'DAILY CHAMP SAPI'!$M$9:$N$143)</f>
        <v>0</v>
      </c>
      <c r="I9" s="374">
        <f ca="1">SUMIF('DAILY CHAMP SAPI'!$C$10:$C$144,$C9,'DAILY CHAMP SAPI'!$O$10:$O$143)</f>
        <v>0</v>
      </c>
      <c r="J9" s="374">
        <f ca="1">SUMIF('DAILY CHAMP SAPI'!$C$10:$C$144,$C9,'DAILY CHAMP SAPI'!$P$10:$P$143)</f>
        <v>0</v>
      </c>
      <c r="K9" s="374">
        <f ca="1">SUMIF('DAILY CHAMP SAPI'!$C$10:$C$144,$C9,'DAILY CHAMP SAPI'!$R$10:$R$143)</f>
        <v>0</v>
      </c>
      <c r="L9" s="374">
        <f ca="1">SUMIF('DAILY CHAMP SAPI'!$C$10:$C$144,$C9,'DAILY CHAMP SAPI'!$S$10:$S$143)</f>
        <v>0</v>
      </c>
      <c r="M9" s="374">
        <f ca="1">SUMIF('DAILY CHAMP SAPI'!$C$10:$C$144,$C9,'DAILY CHAMP SAPI'!$T$10:$T$143)</f>
        <v>0</v>
      </c>
      <c r="N9" s="374">
        <f ca="1">SUMIF('DAILY CHAMP SAPI'!$C$10:$C$144,$C9,'DAILY CHAMP SAPI'!$U$10:$U$143)</f>
        <v>0</v>
      </c>
      <c r="O9" s="374">
        <f ca="1">SUMIF('DAILY CHAMP SAPI'!$C$10:$C$144,$C9,'DAILY CHAMP SAPI'!$V$10:$V$143)</f>
        <v>0</v>
      </c>
      <c r="P9" s="374">
        <f ca="1">SUMIF('DAILY CHAMP SAPI'!$C$10:$C$144,$C9,'DAILY CHAMP SAPI'!$W$10:$W$143)</f>
        <v>0</v>
      </c>
      <c r="Q9" s="374">
        <f ca="1">SUMIF('DAILY CHAMP SAPI'!$C$10:$C$144,$C9,'DAILY CHAMP SAPI'!$X$10:$X$143)</f>
        <v>0</v>
      </c>
      <c r="R9" s="375">
        <f t="shared" ca="1" si="2"/>
        <v>0</v>
      </c>
      <c r="S9" s="376" t="e">
        <f t="shared" ca="1" si="3"/>
        <v>#DIV/0!</v>
      </c>
      <c r="T9" s="398"/>
      <c r="U9" s="551">
        <f t="shared" ca="1" si="4"/>
        <v>0</v>
      </c>
      <c r="V9" s="547"/>
      <c r="W9" s="549"/>
      <c r="X9" s="530"/>
      <c r="Y9" s="530"/>
      <c r="Z9" s="530"/>
      <c r="AA9" s="530"/>
    </row>
    <row r="10" spans="2:36" ht="16.5">
      <c r="B10" s="733"/>
      <c r="C10" s="474" t="str">
        <f>+'HASIL PROD'!B164</f>
        <v>QG15707</v>
      </c>
      <c r="D10" s="372">
        <f>SUMIF('HASIL PROD'!$B$4:$B$343,C10,'HASIL PROD'!$M$4:$M$343)</f>
        <v>0</v>
      </c>
      <c r="E10" s="373">
        <f>+D10*3.276</f>
        <v>0</v>
      </c>
      <c r="F10" s="374">
        <f ca="1">SUMIF('DAILY CHAMP SAPI'!$C$10:$C$144,$C10,'DAILY CHAMP SAPI'!$K$10:$K$143)</f>
        <v>0</v>
      </c>
      <c r="G10" s="374">
        <f ca="1">SUMIF('DAILY CHAMP SAPI'!$C$10:$C$144,$C10,'DAILY CHAMP SAPI'!$L$10:$L$143)</f>
        <v>0</v>
      </c>
      <c r="H10" s="374">
        <f>SUMIF('DAILY CHAMP SAPI'!$C$10:$C$144,$C10,'DAILY CHAMP SAPI'!$M$9:$N$143)</f>
        <v>0</v>
      </c>
      <c r="I10" s="374">
        <f ca="1">SUMIF('DAILY CHAMP SAPI'!$C$10:$C$144,$C10,'DAILY CHAMP SAPI'!$O$10:$O$143)</f>
        <v>0</v>
      </c>
      <c r="J10" s="374">
        <f ca="1">SUMIF('DAILY CHAMP SAPI'!$C$10:$C$144,$C10,'DAILY CHAMP SAPI'!$P$10:$P$143)</f>
        <v>0</v>
      </c>
      <c r="K10" s="374">
        <f ca="1">SUMIF('DAILY CHAMP SAPI'!$C$10:$C$144,$C10,'DAILY CHAMP SAPI'!$R$10:$R$143)</f>
        <v>0</v>
      </c>
      <c r="L10" s="374">
        <f ca="1">SUMIF('DAILY CHAMP SAPI'!$C$10:$C$144,$C10,'DAILY CHAMP SAPI'!$S$10:$S$143)</f>
        <v>0</v>
      </c>
      <c r="M10" s="374">
        <f ca="1">SUMIF('DAILY CHAMP SAPI'!$C$10:$C$144,$C10,'DAILY CHAMP SAPI'!$T$10:$T$143)</f>
        <v>0</v>
      </c>
      <c r="N10" s="374">
        <f ca="1">SUMIF('DAILY CHAMP SAPI'!$C$10:$C$144,$C10,'DAILY CHAMP SAPI'!$U$10:$U$143)</f>
        <v>0</v>
      </c>
      <c r="O10" s="374">
        <f ca="1">SUMIF('DAILY CHAMP SAPI'!$C$10:$C$144,$C10,'DAILY CHAMP SAPI'!$V$10:$V$143)</f>
        <v>0</v>
      </c>
      <c r="P10" s="374">
        <f ca="1">SUMIF('DAILY CHAMP SAPI'!$C$10:$C$144,$C10,'DAILY CHAMP SAPI'!$W$10:$W$143)</f>
        <v>0</v>
      </c>
      <c r="Q10" s="374">
        <f ca="1">SUMIF('DAILY CHAMP SAPI'!$C$10:$C$144,$C10,'DAILY CHAMP SAPI'!$X$10:$X$143)</f>
        <v>0</v>
      </c>
      <c r="R10" s="375">
        <f t="shared" ca="1" si="2"/>
        <v>0</v>
      </c>
      <c r="S10" s="376" t="e">
        <f t="shared" ca="1" si="3"/>
        <v>#DIV/0!</v>
      </c>
      <c r="T10" s="398"/>
      <c r="U10" s="551">
        <f t="shared" ca="1" si="4"/>
        <v>0</v>
      </c>
      <c r="V10" s="547"/>
      <c r="W10" s="549"/>
      <c r="X10" s="530"/>
      <c r="Y10" s="530"/>
      <c r="Z10" s="530"/>
      <c r="AA10" s="530"/>
    </row>
    <row r="11" spans="2:36" ht="16.5">
      <c r="B11" s="733"/>
      <c r="C11" s="474" t="str">
        <f>+'HASIL PROD'!B165</f>
        <v>QG15708</v>
      </c>
      <c r="D11" s="372">
        <f>SUMIF('HASIL PROD'!$B$4:$B$343,C11,'HASIL PROD'!$M$4:$M$343)</f>
        <v>0</v>
      </c>
      <c r="E11" s="373">
        <f t="shared" si="1"/>
        <v>0</v>
      </c>
      <c r="F11" s="374">
        <f ca="1">SUMIF('DAILY CHAMP SAPI'!$C$10:$C$144,$C11,'DAILY CHAMP SAPI'!$K$10:$K$143)</f>
        <v>0</v>
      </c>
      <c r="G11" s="374">
        <f ca="1">SUMIF('DAILY CHAMP SAPI'!$C$10:$C$144,$C11,'DAILY CHAMP SAPI'!$L$10:$L$143)</f>
        <v>0</v>
      </c>
      <c r="H11" s="374">
        <f>SUMIF('DAILY CHAMP SAPI'!$C$10:$C$144,$C11,'DAILY CHAMP SAPI'!$M$9:$N$143)</f>
        <v>0</v>
      </c>
      <c r="I11" s="374">
        <f ca="1">SUMIF('DAILY CHAMP SAPI'!$C$10:$C$144,$C11,'DAILY CHAMP SAPI'!$O$10:$O$143)</f>
        <v>0</v>
      </c>
      <c r="J11" s="374">
        <f ca="1">SUMIF('DAILY CHAMP SAPI'!$C$10:$C$144,$C11,'DAILY CHAMP SAPI'!$P$10:$P$143)</f>
        <v>0</v>
      </c>
      <c r="K11" s="374">
        <f ca="1">SUMIF('DAILY CHAMP SAPI'!$C$10:$C$144,$C11,'DAILY CHAMP SAPI'!$R$10:$R$143)</f>
        <v>0</v>
      </c>
      <c r="L11" s="374">
        <f ca="1">SUMIF('DAILY CHAMP SAPI'!$C$10:$C$144,$C11,'DAILY CHAMP SAPI'!$S$10:$S$143)</f>
        <v>0</v>
      </c>
      <c r="M11" s="374">
        <f ca="1">SUMIF('DAILY CHAMP SAPI'!$C$10:$C$144,$C11,'DAILY CHAMP SAPI'!$T$10:$T$143)</f>
        <v>0</v>
      </c>
      <c r="N11" s="374">
        <f ca="1">SUMIF('DAILY CHAMP SAPI'!$C$10:$C$144,$C11,'DAILY CHAMP SAPI'!$U$10:$U$143)</f>
        <v>0</v>
      </c>
      <c r="O11" s="374">
        <f ca="1">SUMIF('DAILY CHAMP SAPI'!$C$10:$C$144,$C11,'DAILY CHAMP SAPI'!$V$10:$V$143)</f>
        <v>0</v>
      </c>
      <c r="P11" s="374">
        <f ca="1">SUMIF('DAILY CHAMP SAPI'!$C$10:$C$144,$C11,'DAILY CHAMP SAPI'!$W$10:$W$143)</f>
        <v>0</v>
      </c>
      <c r="Q11" s="374">
        <f ca="1">SUMIF('DAILY CHAMP SAPI'!$C$10:$C$144,$C11,'DAILY CHAMP SAPI'!$X$10:$X$143)</f>
        <v>0</v>
      </c>
      <c r="R11" s="375">
        <f t="shared" ca="1" si="2"/>
        <v>0</v>
      </c>
      <c r="S11" s="376" t="e">
        <f t="shared" ca="1" si="3"/>
        <v>#DIV/0!</v>
      </c>
      <c r="T11" s="398"/>
      <c r="U11" s="551">
        <f t="shared" ca="1" si="4"/>
        <v>0</v>
      </c>
      <c r="V11" s="547"/>
      <c r="W11" s="549"/>
      <c r="X11" s="530"/>
      <c r="Y11" s="530"/>
      <c r="Z11" s="530"/>
      <c r="AA11" s="530"/>
    </row>
    <row r="12" spans="2:36" ht="16.5">
      <c r="B12" s="733"/>
      <c r="C12" s="474" t="str">
        <f>+'HASIL PROD'!B166</f>
        <v>QG15709</v>
      </c>
      <c r="D12" s="372">
        <f>SUMIF('HASIL PROD'!$B$4:$B$343,C12,'HASIL PROD'!$M$4:$M$343)</f>
        <v>0</v>
      </c>
      <c r="E12" s="373">
        <f t="shared" si="1"/>
        <v>0</v>
      </c>
      <c r="F12" s="374">
        <f ca="1">SUMIF('DAILY CHAMP SAPI'!$C$10:$C$144,$C12,'DAILY CHAMP SAPI'!$K$10:$K$143)</f>
        <v>0</v>
      </c>
      <c r="G12" s="374">
        <f ca="1">SUMIF('DAILY CHAMP SAPI'!$C$10:$C$144,$C12,'DAILY CHAMP SAPI'!$L$10:$L$143)</f>
        <v>0</v>
      </c>
      <c r="H12" s="374">
        <f>SUMIF('DAILY CHAMP SAPI'!$C$10:$C$144,$C12,'DAILY CHAMP SAPI'!$M$9:$N$143)</f>
        <v>0</v>
      </c>
      <c r="I12" s="374">
        <f ca="1">SUMIF('DAILY CHAMP SAPI'!$C$10:$C$144,$C12,'DAILY CHAMP SAPI'!$O$10:$O$143)</f>
        <v>0</v>
      </c>
      <c r="J12" s="374">
        <f ca="1">SUMIF('DAILY CHAMP SAPI'!$C$10:$C$144,$C12,'DAILY CHAMP SAPI'!$P$10:$P$143)</f>
        <v>0</v>
      </c>
      <c r="K12" s="374">
        <f ca="1">SUMIF('DAILY CHAMP SAPI'!$C$10:$C$144,$C12,'DAILY CHAMP SAPI'!$R$10:$R$143)</f>
        <v>0</v>
      </c>
      <c r="L12" s="374">
        <f ca="1">SUMIF('DAILY CHAMP SAPI'!$C$10:$C$144,$C12,'DAILY CHAMP SAPI'!$S$10:$S$143)</f>
        <v>0</v>
      </c>
      <c r="M12" s="374">
        <f ca="1">SUMIF('DAILY CHAMP SAPI'!$C$10:$C$144,$C12,'DAILY CHAMP SAPI'!$T$10:$T$143)</f>
        <v>0</v>
      </c>
      <c r="N12" s="374">
        <f ca="1">SUMIF('DAILY CHAMP SAPI'!$C$10:$C$144,$C12,'DAILY CHAMP SAPI'!$U$10:$U$143)</f>
        <v>0</v>
      </c>
      <c r="O12" s="374">
        <f ca="1">SUMIF('DAILY CHAMP SAPI'!$C$10:$C$144,$C12,'DAILY CHAMP SAPI'!$V$10:$V$143)</f>
        <v>0</v>
      </c>
      <c r="P12" s="374">
        <f ca="1">SUMIF('DAILY CHAMP SAPI'!$C$10:$C$144,$C12,'DAILY CHAMP SAPI'!$W$10:$W$143)</f>
        <v>0</v>
      </c>
      <c r="Q12" s="374">
        <f ca="1">SUMIF('DAILY CHAMP SAPI'!$C$10:$C$144,$C12,'DAILY CHAMP SAPI'!$X$10:$X$143)</f>
        <v>0</v>
      </c>
      <c r="R12" s="375">
        <f t="shared" ca="1" si="2"/>
        <v>0</v>
      </c>
      <c r="S12" s="376" t="e">
        <f t="shared" ca="1" si="3"/>
        <v>#DIV/0!</v>
      </c>
      <c r="T12" s="398"/>
      <c r="U12" s="551">
        <f t="shared" ca="1" si="4"/>
        <v>0</v>
      </c>
      <c r="V12" s="547"/>
      <c r="W12" s="549"/>
      <c r="X12" s="530"/>
      <c r="Y12" s="530"/>
      <c r="Z12" s="530"/>
      <c r="AA12" s="530"/>
    </row>
    <row r="13" spans="2:36" ht="16.5">
      <c r="B13" s="733"/>
      <c r="C13" s="474">
        <f>+'HASIL PROD'!B167</f>
        <v>0</v>
      </c>
      <c r="D13" s="372">
        <f>SUMIF('HASIL PROD'!$B$4:$B$343,C13,'HASIL PROD'!$M$4:$M$343)</f>
        <v>0</v>
      </c>
      <c r="E13" s="373"/>
      <c r="F13" s="374">
        <f ca="1">SUMIF('DAILY CHAMP SAPI'!$C$10:$C$144,$C13,'DAILY CHAMP SAPI'!$K$10:$K$143)</f>
        <v>0</v>
      </c>
      <c r="G13" s="374">
        <f ca="1">SUMIF('DAILY CHAMP SAPI'!$C$10:$C$144,$C13,'DAILY CHAMP SAPI'!$L$10:$L$143)</f>
        <v>0</v>
      </c>
      <c r="H13" s="374">
        <f>SUMIF('DAILY CHAMP SAPI'!$C$10:$C$144,$C13,'DAILY CHAMP SAPI'!$M$9:$N$143)</f>
        <v>0</v>
      </c>
      <c r="I13" s="374">
        <f ca="1">SUMIF('DAILY CHAMP SAPI'!$C$10:$C$144,$C13,'DAILY CHAMP SAPI'!$O$10:$O$143)</f>
        <v>0</v>
      </c>
      <c r="J13" s="374">
        <f ca="1">SUMIF('DAILY CHAMP SAPI'!$C$10:$C$144,$C13,'DAILY CHAMP SAPI'!$P$10:$P$143)</f>
        <v>0</v>
      </c>
      <c r="K13" s="374">
        <f ca="1">SUMIF('DAILY CHAMP SAPI'!$C$10:$C$144,$C13,'DAILY CHAMP SAPI'!$R$10:$R$143)</f>
        <v>0</v>
      </c>
      <c r="L13" s="374">
        <f ca="1">SUMIF('DAILY CHAMP SAPI'!$C$10:$C$144,$C13,'DAILY CHAMP SAPI'!$S$10:$S$143)</f>
        <v>0</v>
      </c>
      <c r="M13" s="374">
        <f ca="1">SUMIF('DAILY CHAMP SAPI'!$C$10:$C$144,$C13,'DAILY CHAMP SAPI'!$T$10:$T$143)</f>
        <v>0</v>
      </c>
      <c r="N13" s="374">
        <f ca="1">SUMIF('DAILY CHAMP SAPI'!$C$10:$C$144,$C13,'DAILY CHAMP SAPI'!$U$10:$U$143)</f>
        <v>0</v>
      </c>
      <c r="O13" s="374">
        <f ca="1">SUMIF('DAILY CHAMP SAPI'!$C$10:$C$144,$C13,'DAILY CHAMP SAPI'!$V$10:$V$143)</f>
        <v>0</v>
      </c>
      <c r="P13" s="374">
        <f ca="1">SUMIF('DAILY CHAMP SAPI'!$C$10:$C$144,$C13,'DAILY CHAMP SAPI'!$W$10:$W$143)</f>
        <v>0</v>
      </c>
      <c r="Q13" s="374">
        <f ca="1">SUMIF('DAILY CHAMP SAPI'!$C$10:$C$144,$C13,'DAILY CHAMP SAPI'!$X$10:$X$143)</f>
        <v>0</v>
      </c>
      <c r="R13" s="375">
        <f t="shared" ca="1" si="2"/>
        <v>0</v>
      </c>
      <c r="S13" s="376" t="e">
        <f t="shared" ca="1" si="3"/>
        <v>#DIV/0!</v>
      </c>
      <c r="T13" s="398"/>
      <c r="U13" s="551">
        <f t="shared" ca="1" si="4"/>
        <v>0</v>
      </c>
      <c r="V13" s="547"/>
      <c r="W13" s="549"/>
      <c r="X13" s="530"/>
      <c r="Y13" s="530"/>
      <c r="Z13" s="530"/>
      <c r="AA13" s="530"/>
    </row>
    <row r="14" spans="2:36" ht="16.5">
      <c r="B14" s="733"/>
      <c r="C14" s="371"/>
      <c r="D14" s="372"/>
      <c r="E14" s="373"/>
      <c r="F14" s="374"/>
      <c r="G14" s="374"/>
      <c r="H14" s="374"/>
      <c r="I14" s="374"/>
      <c r="J14" s="374"/>
      <c r="K14" s="374"/>
      <c r="L14" s="374"/>
      <c r="M14" s="374"/>
      <c r="N14" s="374"/>
      <c r="O14" s="374"/>
      <c r="P14" s="374"/>
      <c r="Q14" s="374"/>
      <c r="R14" s="375"/>
      <c r="S14" s="376"/>
      <c r="T14" s="398"/>
      <c r="U14" s="546"/>
      <c r="V14" s="547"/>
      <c r="W14" s="549"/>
      <c r="X14" s="530"/>
      <c r="Y14" s="530"/>
      <c r="Z14" s="530"/>
      <c r="AA14" s="530"/>
    </row>
    <row r="15" spans="2:36" ht="16.5">
      <c r="B15" s="734"/>
      <c r="C15" s="385" t="s">
        <v>118</v>
      </c>
      <c r="D15" s="386">
        <f t="shared" ref="D15:R15" si="5">SUM(D4:D14)</f>
        <v>449</v>
      </c>
      <c r="E15" s="387">
        <f t="shared" si="5"/>
        <v>1470.924</v>
      </c>
      <c r="F15" s="388">
        <f t="shared" ca="1" si="5"/>
        <v>6.3</v>
      </c>
      <c r="G15" s="388">
        <f t="shared" ca="1" si="5"/>
        <v>7.2</v>
      </c>
      <c r="H15" s="388">
        <f t="shared" si="5"/>
        <v>0</v>
      </c>
      <c r="I15" s="388">
        <f t="shared" ca="1" si="5"/>
        <v>9.9</v>
      </c>
      <c r="J15" s="388">
        <f t="shared" ca="1" si="5"/>
        <v>0</v>
      </c>
      <c r="K15" s="388">
        <f t="shared" ca="1" si="5"/>
        <v>1</v>
      </c>
      <c r="L15" s="388">
        <f t="shared" ca="1" si="5"/>
        <v>9.1999999999999993</v>
      </c>
      <c r="M15" s="388">
        <f t="shared" ca="1" si="5"/>
        <v>3.02</v>
      </c>
      <c r="N15" s="388">
        <f t="shared" ca="1" si="5"/>
        <v>0</v>
      </c>
      <c r="O15" s="388">
        <f t="shared" ca="1" si="5"/>
        <v>0</v>
      </c>
      <c r="P15" s="388">
        <f t="shared" ca="1" si="5"/>
        <v>0</v>
      </c>
      <c r="Q15" s="388">
        <f t="shared" ca="1" si="5"/>
        <v>0</v>
      </c>
      <c r="R15" s="388">
        <f t="shared" ca="1" si="5"/>
        <v>36.619999999999997</v>
      </c>
      <c r="S15" s="389"/>
      <c r="T15" s="390"/>
      <c r="U15" s="388"/>
      <c r="V15" s="389"/>
      <c r="W15" s="391"/>
      <c r="X15" s="530"/>
      <c r="Y15" s="530"/>
      <c r="Z15" s="530"/>
      <c r="AA15" s="530"/>
    </row>
    <row r="16" spans="2:36" ht="16.5">
      <c r="B16" s="392"/>
      <c r="C16" s="393" t="s">
        <v>114</v>
      </c>
      <c r="D16" s="394"/>
      <c r="E16" s="395"/>
      <c r="F16" s="396">
        <f ca="1">+F15/$E15</f>
        <v>4.2830221003940377E-3</v>
      </c>
      <c r="G16" s="396">
        <f t="shared" ref="G16:Q16" ca="1" si="6">+G15/$E15</f>
        <v>4.8948824004503297E-3</v>
      </c>
      <c r="H16" s="396">
        <f t="shared" si="6"/>
        <v>0</v>
      </c>
      <c r="I16" s="396">
        <f t="shared" ca="1" si="6"/>
        <v>6.730463300619203E-3</v>
      </c>
      <c r="J16" s="396">
        <f t="shared" ca="1" si="6"/>
        <v>0</v>
      </c>
      <c r="K16" s="396">
        <f t="shared" ca="1" si="6"/>
        <v>6.7984477784032349E-4</v>
      </c>
      <c r="L16" s="396">
        <f t="shared" ca="1" si="6"/>
        <v>6.254571956130976E-3</v>
      </c>
      <c r="M16" s="396">
        <f t="shared" ca="1" si="6"/>
        <v>2.0531312290777769E-3</v>
      </c>
      <c r="N16" s="396">
        <f t="shared" ca="1" si="6"/>
        <v>0</v>
      </c>
      <c r="O16" s="396">
        <f t="shared" ca="1" si="6"/>
        <v>0</v>
      </c>
      <c r="P16" s="396">
        <f t="shared" ca="1" si="6"/>
        <v>0</v>
      </c>
      <c r="Q16" s="396">
        <f t="shared" ca="1" si="6"/>
        <v>0</v>
      </c>
      <c r="R16" s="482">
        <f ca="1">+R15/$E15</f>
        <v>2.4895915764512645E-2</v>
      </c>
      <c r="S16" s="399"/>
      <c r="T16" s="390"/>
      <c r="U16" s="400"/>
      <c r="V16" s="389"/>
      <c r="W16" s="391"/>
      <c r="X16" s="530"/>
      <c r="Y16" s="530"/>
      <c r="Z16" s="530"/>
      <c r="AA16" s="530"/>
    </row>
    <row r="17" spans="2:27" ht="16.5" customHeight="1">
      <c r="B17" s="732" t="s">
        <v>269</v>
      </c>
      <c r="C17" s="474" t="str">
        <f>+'HASIL PROD'!B169</f>
        <v>QG16701</v>
      </c>
      <c r="D17" s="372">
        <f>SUMIF('HASIL PROD'!$B$4:$B$343,C17,'HASIL PROD'!$M$4:$M$343)</f>
        <v>524</v>
      </c>
      <c r="E17" s="373">
        <f t="shared" ref="E17:E26" si="7">+D17*3.276</f>
        <v>1716.6239999999998</v>
      </c>
      <c r="F17" s="374">
        <f ca="1">SUMIF('DAILY CHAMP SAPI'!$C$10:$C$144,$C17,'DAILY CHAMP SAPI'!$K$10:$K$143)</f>
        <v>4.1100000000000003</v>
      </c>
      <c r="G17" s="374">
        <f ca="1">SUMIF('DAILY CHAMP SAPI'!$C$10:$C$144,$C17,'DAILY CHAMP SAPI'!$L$10:$L$143)</f>
        <v>8.84</v>
      </c>
      <c r="H17" s="374">
        <f>SUMIF('DAILY CHAMP SAPI'!$C$10:$C$144,$C17,'DAILY CHAMP SAPI'!$M$9:$N$143)</f>
        <v>0.2</v>
      </c>
      <c r="I17" s="374">
        <f ca="1">SUMIF('DAILY CHAMP SAPI'!$C$10:$C$144,$C17,'DAILY CHAMP SAPI'!$O$10:$O$143)</f>
        <v>4.8</v>
      </c>
      <c r="J17" s="374">
        <f ca="1">SUMIF('DAILY CHAMP SAPI'!$C$10:$C$144,$C17,'DAILY CHAMP SAPI'!$P$10:$P$143)</f>
        <v>0.54</v>
      </c>
      <c r="K17" s="374">
        <f ca="1">SUMIF('DAILY CHAMP SAPI'!$C$10:$C$144,$C17,'DAILY CHAMP SAPI'!$R$10:$R$143)</f>
        <v>0.9</v>
      </c>
      <c r="L17" s="374">
        <f ca="1">SUMIF('DAILY CHAMP SAPI'!$C$10:$C$144,$C17,'DAILY CHAMP SAPI'!$S$10:$S$143)</f>
        <v>0</v>
      </c>
      <c r="M17" s="374">
        <f ca="1">SUMIF('DAILY CHAMP SAPI'!$C$10:$C$144,$C17,'DAILY CHAMP SAPI'!$T$10:$T$143)</f>
        <v>4.2</v>
      </c>
      <c r="N17" s="374">
        <f ca="1">SUMIF('DAILY CHAMP SAPI'!$C$10:$C$144,$C17,'DAILY CHAMP SAPI'!$U$10:$U$143)</f>
        <v>0</v>
      </c>
      <c r="O17" s="374">
        <f ca="1">SUMIF('DAILY CHAMP SAPI'!$C$10:$C$144,$C17,'DAILY CHAMP SAPI'!$V$10:$V$143)</f>
        <v>0</v>
      </c>
      <c r="P17" s="374">
        <f ca="1">SUMIF('DAILY CHAMP SAPI'!$C$10:$C$144,$C17,'DAILY CHAMP SAPI'!$W$10:$W$143)</f>
        <v>0</v>
      </c>
      <c r="Q17" s="374">
        <f ca="1">SUMIF('DAILY CHAMP SAPI'!$C$10:$C$144,$C17,'DAILY CHAMP SAPI'!$X$10:$X$143)</f>
        <v>0</v>
      </c>
      <c r="R17" s="375">
        <f t="shared" ref="R17:R26" ca="1" si="8">+SUM(F17:Q17)</f>
        <v>23.589999999999996</v>
      </c>
      <c r="S17" s="376">
        <f t="shared" ref="S17:S26" ca="1" si="9">+R17/E17</f>
        <v>1.3742089123768512E-2</v>
      </c>
      <c r="T17" s="381"/>
      <c r="U17" s="741">
        <f ca="1">SUM(R17:R20)</f>
        <v>94.06</v>
      </c>
      <c r="V17" s="748">
        <f ca="1">+U17/(SUM(E17:E20))</f>
        <v>1.448629854280712E-2</v>
      </c>
      <c r="W17" s="735" t="s">
        <v>339</v>
      </c>
      <c r="X17" s="530" t="s">
        <v>319</v>
      </c>
      <c r="Y17" s="530" t="s">
        <v>312</v>
      </c>
      <c r="Z17" s="530" t="s">
        <v>313</v>
      </c>
      <c r="AA17" s="530" t="s">
        <v>314</v>
      </c>
    </row>
    <row r="18" spans="2:27" ht="16.5">
      <c r="B18" s="733"/>
      <c r="C18" s="474" t="str">
        <f>+'HASIL PROD'!B170</f>
        <v>QG16702</v>
      </c>
      <c r="D18" s="372">
        <f>SUMIF('HASIL PROD'!$B$4:$B$343,C18,'HASIL PROD'!$M$4:$M$343)</f>
        <v>510</v>
      </c>
      <c r="E18" s="373">
        <f t="shared" si="7"/>
        <v>1670.76</v>
      </c>
      <c r="F18" s="374">
        <f ca="1">SUMIF('DAILY CHAMP SAPI'!$C$10:$C$144,$C18,'DAILY CHAMP SAPI'!$K$10:$K$143)</f>
        <v>3.25</v>
      </c>
      <c r="G18" s="374">
        <f ca="1">SUMIF('DAILY CHAMP SAPI'!$C$10:$C$144,$C18,'DAILY CHAMP SAPI'!$L$10:$L$143)</f>
        <v>7.12</v>
      </c>
      <c r="H18" s="374">
        <f>SUMIF('DAILY CHAMP SAPI'!$C$10:$C$144,$C18,'DAILY CHAMP SAPI'!$M$9:$N$143)</f>
        <v>0</v>
      </c>
      <c r="I18" s="374">
        <f ca="1">SUMIF('DAILY CHAMP SAPI'!$C$10:$C$144,$C18,'DAILY CHAMP SAPI'!$O$10:$O$143)</f>
        <v>7.78</v>
      </c>
      <c r="J18" s="374">
        <f ca="1">SUMIF('DAILY CHAMP SAPI'!$C$10:$C$144,$C18,'DAILY CHAMP SAPI'!$P$10:$P$143)</f>
        <v>0.7</v>
      </c>
      <c r="K18" s="374">
        <f ca="1">SUMIF('DAILY CHAMP SAPI'!$C$10:$C$144,$C18,'DAILY CHAMP SAPI'!$R$10:$R$143)</f>
        <v>0.74</v>
      </c>
      <c r="L18" s="374">
        <f ca="1">SUMIF('DAILY CHAMP SAPI'!$C$10:$C$144,$C18,'DAILY CHAMP SAPI'!$S$10:$S$143)</f>
        <v>0</v>
      </c>
      <c r="M18" s="374">
        <f ca="1">SUMIF('DAILY CHAMP SAPI'!$C$10:$C$144,$C18,'DAILY CHAMP SAPI'!$T$10:$T$143)</f>
        <v>2.2400000000000002</v>
      </c>
      <c r="N18" s="374">
        <f ca="1">SUMIF('DAILY CHAMP SAPI'!$C$10:$C$144,$C18,'DAILY CHAMP SAPI'!$U$10:$U$143)</f>
        <v>0</v>
      </c>
      <c r="O18" s="374">
        <f ca="1">SUMIF('DAILY CHAMP SAPI'!$C$10:$C$144,$C18,'DAILY CHAMP SAPI'!$V$10:$V$143)</f>
        <v>0</v>
      </c>
      <c r="P18" s="374">
        <f ca="1">SUMIF('DAILY CHAMP SAPI'!$C$10:$C$144,$C18,'DAILY CHAMP SAPI'!$W$10:$W$143)</f>
        <v>0</v>
      </c>
      <c r="Q18" s="374">
        <f ca="1">SUMIF('DAILY CHAMP SAPI'!$C$10:$C$144,$C18,'DAILY CHAMP SAPI'!$X$10:$X$143)</f>
        <v>0</v>
      </c>
      <c r="R18" s="375">
        <f t="shared" ca="1" si="8"/>
        <v>21.83</v>
      </c>
      <c r="S18" s="376">
        <f t="shared" ca="1" si="9"/>
        <v>1.3065910124733654E-2</v>
      </c>
      <c r="T18" s="381"/>
      <c r="U18" s="742"/>
      <c r="V18" s="749"/>
      <c r="W18" s="736"/>
      <c r="X18" s="530"/>
      <c r="Y18" s="530"/>
      <c r="Z18" s="530"/>
      <c r="AA18" s="530"/>
    </row>
    <row r="19" spans="2:27" ht="16.5">
      <c r="B19" s="733"/>
      <c r="C19" s="474" t="str">
        <f>+'HASIL PROD'!B171</f>
        <v>QG16703</v>
      </c>
      <c r="D19" s="372">
        <f>SUMIF('HASIL PROD'!$B$4:$B$343,C19,'HASIL PROD'!$M$4:$M$343)</f>
        <v>475</v>
      </c>
      <c r="E19" s="373">
        <f t="shared" si="7"/>
        <v>1556.1</v>
      </c>
      <c r="F19" s="374">
        <f ca="1">SUMIF('DAILY CHAMP SAPI'!$C$10:$C$144,$C19,'DAILY CHAMP SAPI'!$K$10:$K$143)</f>
        <v>2.38</v>
      </c>
      <c r="G19" s="374">
        <f ca="1">SUMIF('DAILY CHAMP SAPI'!$C$10:$C$144,$C19,'DAILY CHAMP SAPI'!$L$10:$L$143)</f>
        <v>6.4</v>
      </c>
      <c r="H19" s="374">
        <f>SUMIF('DAILY CHAMP SAPI'!$C$10:$C$144,$C19,'DAILY CHAMP SAPI'!$M$9:$N$143)</f>
        <v>0</v>
      </c>
      <c r="I19" s="374">
        <f ca="1">SUMIF('DAILY CHAMP SAPI'!$C$10:$C$144,$C19,'DAILY CHAMP SAPI'!$O$10:$O$143)</f>
        <v>13.18</v>
      </c>
      <c r="J19" s="374">
        <f ca="1">SUMIF('DAILY CHAMP SAPI'!$C$10:$C$144,$C19,'DAILY CHAMP SAPI'!$P$10:$P$143)</f>
        <v>0.38</v>
      </c>
      <c r="K19" s="374">
        <f ca="1">SUMIF('DAILY CHAMP SAPI'!$C$10:$C$144,$C19,'DAILY CHAMP SAPI'!$R$10:$R$143)</f>
        <v>0.84</v>
      </c>
      <c r="L19" s="374">
        <f ca="1">SUMIF('DAILY CHAMP SAPI'!$C$10:$C$144,$C19,'DAILY CHAMP SAPI'!$S$10:$S$143)</f>
        <v>0</v>
      </c>
      <c r="M19" s="374">
        <f ca="1">SUMIF('DAILY CHAMP SAPI'!$C$10:$C$144,$C19,'DAILY CHAMP SAPI'!$T$10:$T$143)</f>
        <v>3.68</v>
      </c>
      <c r="N19" s="374">
        <f ca="1">SUMIF('DAILY CHAMP SAPI'!$C$10:$C$144,$C19,'DAILY CHAMP SAPI'!$U$10:$U$143)</f>
        <v>0.4</v>
      </c>
      <c r="O19" s="374">
        <f ca="1">SUMIF('DAILY CHAMP SAPI'!$C$10:$C$144,$C19,'DAILY CHAMP SAPI'!$V$10:$V$143)</f>
        <v>0</v>
      </c>
      <c r="P19" s="374">
        <f ca="1">SUMIF('DAILY CHAMP SAPI'!$C$10:$C$144,$C19,'DAILY CHAMP SAPI'!$W$10:$W$143)</f>
        <v>0</v>
      </c>
      <c r="Q19" s="374">
        <f ca="1">SUMIF('DAILY CHAMP SAPI'!$C$10:$C$144,$C19,'DAILY CHAMP SAPI'!$X$10:$X$143)</f>
        <v>0</v>
      </c>
      <c r="R19" s="375">
        <f t="shared" ca="1" si="8"/>
        <v>27.259999999999998</v>
      </c>
      <c r="S19" s="376">
        <f t="shared" ca="1" si="9"/>
        <v>1.7518154360259622E-2</v>
      </c>
      <c r="T19" s="381"/>
      <c r="U19" s="742"/>
      <c r="V19" s="749"/>
      <c r="W19" s="736"/>
      <c r="X19" s="530"/>
      <c r="Y19" s="530"/>
      <c r="Z19" s="530"/>
      <c r="AA19" s="530"/>
    </row>
    <row r="20" spans="2:27" ht="16.5">
      <c r="B20" s="733"/>
      <c r="C20" s="474" t="str">
        <f>+'HASIL PROD'!B172</f>
        <v>QG16704</v>
      </c>
      <c r="D20" s="372">
        <f>SUMIF('HASIL PROD'!$B$4:$B$343,C20,'HASIL PROD'!$M$4:$M$343)</f>
        <v>473</v>
      </c>
      <c r="E20" s="373">
        <f t="shared" si="7"/>
        <v>1549.548</v>
      </c>
      <c r="F20" s="374">
        <f ca="1">SUMIF('DAILY CHAMP SAPI'!$C$10:$C$144,$C20,'DAILY CHAMP SAPI'!$K$10:$K$143)</f>
        <v>2.58</v>
      </c>
      <c r="G20" s="374">
        <f ca="1">SUMIF('DAILY CHAMP SAPI'!$C$10:$C$144,$C20,'DAILY CHAMP SAPI'!$L$10:$L$143)</f>
        <v>3.98</v>
      </c>
      <c r="H20" s="374">
        <f>SUMIF('DAILY CHAMP SAPI'!$C$10:$C$144,$C20,'DAILY CHAMP SAPI'!$M$9:$N$143)</f>
        <v>0.9</v>
      </c>
      <c r="I20" s="374">
        <f ca="1">SUMIF('DAILY CHAMP SAPI'!$C$10:$C$144,$C20,'DAILY CHAMP SAPI'!$O$10:$O$143)</f>
        <v>8.9600000000000009</v>
      </c>
      <c r="J20" s="374">
        <f ca="1">SUMIF('DAILY CHAMP SAPI'!$C$10:$C$144,$C20,'DAILY CHAMP SAPI'!$P$10:$P$143)</f>
        <v>0.4</v>
      </c>
      <c r="K20" s="374">
        <f ca="1">SUMIF('DAILY CHAMP SAPI'!$C$10:$C$144,$C20,'DAILY CHAMP SAPI'!$R$10:$R$143)</f>
        <v>1.1399999999999999</v>
      </c>
      <c r="L20" s="374">
        <f ca="1">SUMIF('DAILY CHAMP SAPI'!$C$10:$C$144,$C20,'DAILY CHAMP SAPI'!$S$10:$S$143)</f>
        <v>0</v>
      </c>
      <c r="M20" s="374">
        <f ca="1">SUMIF('DAILY CHAMP SAPI'!$C$10:$C$144,$C20,'DAILY CHAMP SAPI'!$T$10:$T$143)</f>
        <v>3.42</v>
      </c>
      <c r="N20" s="374">
        <f ca="1">SUMIF('DAILY CHAMP SAPI'!$C$10:$C$144,$C20,'DAILY CHAMP SAPI'!$U$10:$U$143)</f>
        <v>0</v>
      </c>
      <c r="O20" s="374">
        <f ca="1">SUMIF('DAILY CHAMP SAPI'!$C$10:$C$144,$C20,'DAILY CHAMP SAPI'!$V$10:$V$143)</f>
        <v>0</v>
      </c>
      <c r="P20" s="374">
        <f ca="1">SUMIF('DAILY CHAMP SAPI'!$C$10:$C$144,$C20,'DAILY CHAMP SAPI'!$W$10:$W$143)</f>
        <v>0</v>
      </c>
      <c r="Q20" s="374">
        <f ca="1">SUMIF('DAILY CHAMP SAPI'!$C$10:$C$144,$C20,'DAILY CHAMP SAPI'!$X$10:$X$143)</f>
        <v>0</v>
      </c>
      <c r="R20" s="375">
        <f t="shared" ca="1" si="8"/>
        <v>21.380000000000003</v>
      </c>
      <c r="S20" s="376">
        <f t="shared" ca="1" si="9"/>
        <v>1.3797571937106822E-2</v>
      </c>
      <c r="T20" s="381"/>
      <c r="U20" s="743"/>
      <c r="V20" s="750"/>
      <c r="W20" s="737"/>
      <c r="X20" s="530"/>
      <c r="Y20" s="530"/>
      <c r="Z20" s="530"/>
      <c r="AA20" s="530"/>
    </row>
    <row r="21" spans="2:27" ht="16.5">
      <c r="B21" s="733"/>
      <c r="C21" s="474" t="str">
        <f>+'HASIL PROD'!B173</f>
        <v>QG16705</v>
      </c>
      <c r="D21" s="372">
        <f>SUMIF('HASIL PROD'!$B$4:$B$343,C21,'HASIL PROD'!$M$4:$M$343)</f>
        <v>584</v>
      </c>
      <c r="E21" s="373">
        <f t="shared" si="7"/>
        <v>1913.184</v>
      </c>
      <c r="F21" s="374">
        <f ca="1">SUMIF('DAILY CHAMP SAPI'!$C$10:$C$144,$C21,'DAILY CHAMP SAPI'!$K$10:$K$143)</f>
        <v>7.5</v>
      </c>
      <c r="G21" s="374">
        <f ca="1">SUMIF('DAILY CHAMP SAPI'!$C$10:$C$144,$C21,'DAILY CHAMP SAPI'!$L$10:$L$143)</f>
        <v>10.8</v>
      </c>
      <c r="H21" s="374">
        <f>SUMIF('DAILY CHAMP SAPI'!$C$10:$C$144,$C21,'DAILY CHAMP SAPI'!$M$9:$N$143)</f>
        <v>0</v>
      </c>
      <c r="I21" s="374">
        <f ca="1">SUMIF('DAILY CHAMP SAPI'!$C$10:$C$144,$C21,'DAILY CHAMP SAPI'!$O$10:$O$143)</f>
        <v>7.22</v>
      </c>
      <c r="J21" s="374">
        <f ca="1">SUMIF('DAILY CHAMP SAPI'!$C$10:$C$144,$C21,'DAILY CHAMP SAPI'!$P$10:$P$143)</f>
        <v>0</v>
      </c>
      <c r="K21" s="374">
        <f ca="1">SUMIF('DAILY CHAMP SAPI'!$C$10:$C$144,$C21,'DAILY CHAMP SAPI'!$R$10:$R$143)</f>
        <v>0</v>
      </c>
      <c r="L21" s="374">
        <f ca="1">SUMIF('DAILY CHAMP SAPI'!$C$10:$C$144,$C21,'DAILY CHAMP SAPI'!$S$10:$S$143)</f>
        <v>1.1000000000000001</v>
      </c>
      <c r="M21" s="374">
        <f ca="1">SUMIF('DAILY CHAMP SAPI'!$C$10:$C$144,$C21,'DAILY CHAMP SAPI'!$T$10:$T$143)</f>
        <v>3.2</v>
      </c>
      <c r="N21" s="374">
        <f ca="1">SUMIF('DAILY CHAMP SAPI'!$C$10:$C$144,$C21,'DAILY CHAMP SAPI'!$U$10:$U$143)</f>
        <v>0.38</v>
      </c>
      <c r="O21" s="374">
        <f ca="1">SUMIF('DAILY CHAMP SAPI'!$C$10:$C$144,$C21,'DAILY CHAMP SAPI'!$V$10:$V$143)</f>
        <v>0</v>
      </c>
      <c r="P21" s="374">
        <f ca="1">SUMIF('DAILY CHAMP SAPI'!$C$10:$C$144,$C21,'DAILY CHAMP SAPI'!$W$10:$W$143)</f>
        <v>0</v>
      </c>
      <c r="Q21" s="374">
        <f ca="1">SUMIF('DAILY CHAMP SAPI'!$C$10:$C$144,$C21,'DAILY CHAMP SAPI'!$X$10:$X$143)</f>
        <v>0</v>
      </c>
      <c r="R21" s="375">
        <f t="shared" ca="1" si="8"/>
        <v>30.2</v>
      </c>
      <c r="S21" s="376">
        <f t="shared" ca="1" si="9"/>
        <v>1.5785204141368525E-2</v>
      </c>
      <c r="T21" s="381"/>
      <c r="U21" s="741">
        <f ca="1">SUM(R21:R25)</f>
        <v>149.01</v>
      </c>
      <c r="V21" s="748">
        <f ca="1">+U21/(SUM(E21:E25))</f>
        <v>1.5335585969436271E-2</v>
      </c>
      <c r="W21" s="735" t="s">
        <v>340</v>
      </c>
      <c r="X21" s="530" t="s">
        <v>315</v>
      </c>
      <c r="Y21" s="530" t="s">
        <v>316</v>
      </c>
      <c r="Z21" s="530" t="s">
        <v>317</v>
      </c>
      <c r="AA21" s="530" t="s">
        <v>318</v>
      </c>
    </row>
    <row r="22" spans="2:27" ht="16.5" customHeight="1">
      <c r="B22" s="733"/>
      <c r="C22" s="474" t="str">
        <f>+'HASIL PROD'!B174</f>
        <v>QG16706</v>
      </c>
      <c r="D22" s="372">
        <f>SUMIF('HASIL PROD'!$B$4:$B$343,C22,'HASIL PROD'!$M$4:$M$343)</f>
        <v>612</v>
      </c>
      <c r="E22" s="373">
        <f t="shared" si="7"/>
        <v>2004.9119999999998</v>
      </c>
      <c r="F22" s="374">
        <f ca="1">SUMIF('DAILY CHAMP SAPI'!$C$10:$C$144,$C22,'DAILY CHAMP SAPI'!$K$10:$K$143)</f>
        <v>12.7</v>
      </c>
      <c r="G22" s="374">
        <f ca="1">SUMIF('DAILY CHAMP SAPI'!$C$10:$C$144,$C22,'DAILY CHAMP SAPI'!$L$10:$L$143)</f>
        <v>9</v>
      </c>
      <c r="H22" s="374">
        <f>SUMIF('DAILY CHAMP SAPI'!$C$10:$C$144,$C22,'DAILY CHAMP SAPI'!$M$9:$N$143)</f>
        <v>0</v>
      </c>
      <c r="I22" s="374">
        <f ca="1">SUMIF('DAILY CHAMP SAPI'!$C$10:$C$144,$C22,'DAILY CHAMP SAPI'!$O$10:$O$143)</f>
        <v>10.8</v>
      </c>
      <c r="J22" s="374">
        <f ca="1">SUMIF('DAILY CHAMP SAPI'!$C$10:$C$144,$C22,'DAILY CHAMP SAPI'!$P$10:$P$143)</f>
        <v>0.5</v>
      </c>
      <c r="K22" s="374">
        <f ca="1">SUMIF('DAILY CHAMP SAPI'!$C$10:$C$144,$C22,'DAILY CHAMP SAPI'!$R$10:$R$143)</f>
        <v>0</v>
      </c>
      <c r="L22" s="374">
        <f ca="1">SUMIF('DAILY CHAMP SAPI'!$C$10:$C$144,$C22,'DAILY CHAMP SAPI'!$S$10:$S$143)</f>
        <v>0.26</v>
      </c>
      <c r="M22" s="374">
        <f ca="1">SUMIF('DAILY CHAMP SAPI'!$C$10:$C$144,$C22,'DAILY CHAMP SAPI'!$T$10:$T$143)</f>
        <v>3.46</v>
      </c>
      <c r="N22" s="374">
        <f ca="1">SUMIF('DAILY CHAMP SAPI'!$C$10:$C$144,$C22,'DAILY CHAMP SAPI'!$U$10:$U$143)</f>
        <v>0</v>
      </c>
      <c r="O22" s="374">
        <f ca="1">SUMIF('DAILY CHAMP SAPI'!$C$10:$C$144,$C22,'DAILY CHAMP SAPI'!$V$10:$V$143)</f>
        <v>0</v>
      </c>
      <c r="P22" s="374">
        <f ca="1">SUMIF('DAILY CHAMP SAPI'!$C$10:$C$144,$C22,'DAILY CHAMP SAPI'!$W$10:$W$143)</f>
        <v>0</v>
      </c>
      <c r="Q22" s="374">
        <f ca="1">SUMIF('DAILY CHAMP SAPI'!$C$10:$C$144,$C22,'DAILY CHAMP SAPI'!$X$10:$X$143)</f>
        <v>0</v>
      </c>
      <c r="R22" s="375">
        <f t="shared" ca="1" si="8"/>
        <v>36.72</v>
      </c>
      <c r="S22" s="376">
        <f t="shared" ca="1" si="9"/>
        <v>1.8315018315018316E-2</v>
      </c>
      <c r="T22" s="381"/>
      <c r="U22" s="742"/>
      <c r="V22" s="749"/>
      <c r="W22" s="736"/>
      <c r="X22" s="530"/>
      <c r="Y22" s="530"/>
      <c r="Z22" s="530"/>
      <c r="AA22" s="530"/>
    </row>
    <row r="23" spans="2:27" ht="16.5">
      <c r="B23" s="733"/>
      <c r="C23" s="474" t="str">
        <f>+'HASIL PROD'!B175</f>
        <v>QG16707</v>
      </c>
      <c r="D23" s="372">
        <f>SUMIF('HASIL PROD'!$B$4:$B$343,C23,'HASIL PROD'!$M$4:$M$343)</f>
        <v>586</v>
      </c>
      <c r="E23" s="373">
        <f t="shared" si="7"/>
        <v>1919.7359999999999</v>
      </c>
      <c r="F23" s="374">
        <f ca="1">SUMIF('DAILY CHAMP SAPI'!$C$10:$C$144,$C23,'DAILY CHAMP SAPI'!$K$10:$K$143)</f>
        <v>10.9</v>
      </c>
      <c r="G23" s="374">
        <f ca="1">SUMIF('DAILY CHAMP SAPI'!$C$10:$C$144,$C23,'DAILY CHAMP SAPI'!$L$10:$L$143)</f>
        <v>22.92</v>
      </c>
      <c r="H23" s="374">
        <f>SUMIF('DAILY CHAMP SAPI'!$C$10:$C$144,$C23,'DAILY CHAMP SAPI'!$M$9:$N$143)</f>
        <v>0</v>
      </c>
      <c r="I23" s="374">
        <f ca="1">SUMIF('DAILY CHAMP SAPI'!$C$10:$C$144,$C23,'DAILY CHAMP SAPI'!$O$10:$O$143)</f>
        <v>13.7</v>
      </c>
      <c r="J23" s="374">
        <f ca="1">SUMIF('DAILY CHAMP SAPI'!$C$10:$C$144,$C23,'DAILY CHAMP SAPI'!$P$10:$P$143)</f>
        <v>0.5</v>
      </c>
      <c r="K23" s="374">
        <f ca="1">SUMIF('DAILY CHAMP SAPI'!$C$10:$C$144,$C23,'DAILY CHAMP SAPI'!$R$10:$R$143)</f>
        <v>1.25</v>
      </c>
      <c r="L23" s="374">
        <f ca="1">SUMIF('DAILY CHAMP SAPI'!$C$10:$C$144,$C23,'DAILY CHAMP SAPI'!$S$10:$S$143)</f>
        <v>0.52</v>
      </c>
      <c r="M23" s="374">
        <f ca="1">SUMIF('DAILY CHAMP SAPI'!$C$10:$C$144,$C23,'DAILY CHAMP SAPI'!$T$10:$T$143)</f>
        <v>8.1</v>
      </c>
      <c r="N23" s="374">
        <f ca="1">SUMIF('DAILY CHAMP SAPI'!$C$10:$C$144,$C23,'DAILY CHAMP SAPI'!$U$10:$U$143)</f>
        <v>0</v>
      </c>
      <c r="O23" s="374">
        <f ca="1">SUMIF('DAILY CHAMP SAPI'!$C$10:$C$144,$C23,'DAILY CHAMP SAPI'!$V$10:$V$143)</f>
        <v>0</v>
      </c>
      <c r="P23" s="374">
        <f ca="1">SUMIF('DAILY CHAMP SAPI'!$C$10:$C$144,$C23,'DAILY CHAMP SAPI'!$W$10:$W$143)</f>
        <v>0</v>
      </c>
      <c r="Q23" s="374">
        <f ca="1">SUMIF('DAILY CHAMP SAPI'!$C$10:$C$144,$C23,'DAILY CHAMP SAPI'!$X$10:$X$143)</f>
        <v>0</v>
      </c>
      <c r="R23" s="375">
        <f t="shared" ca="1" si="8"/>
        <v>57.89</v>
      </c>
      <c r="S23" s="376">
        <f t="shared" ca="1" si="9"/>
        <v>3.0155188005017357E-2</v>
      </c>
      <c r="T23" s="381"/>
      <c r="U23" s="742"/>
      <c r="V23" s="749"/>
      <c r="W23" s="736"/>
      <c r="X23" s="530"/>
      <c r="Y23" s="530"/>
      <c r="Z23" s="530"/>
      <c r="AA23" s="530"/>
    </row>
    <row r="24" spans="2:27" ht="16.5">
      <c r="B24" s="733"/>
      <c r="C24" s="474" t="str">
        <f>+'HASIL PROD'!B176</f>
        <v>QG16708</v>
      </c>
      <c r="D24" s="372">
        <f>SUMIF('HASIL PROD'!$B$4:$B$343,C24,'HASIL PROD'!$M$4:$M$343)</f>
        <v>596</v>
      </c>
      <c r="E24" s="373">
        <f t="shared" si="7"/>
        <v>1952.4959999999999</v>
      </c>
      <c r="F24" s="374">
        <f ca="1">SUMIF('DAILY CHAMP SAPI'!$C$10:$C$144,$C24,'DAILY CHAMP SAPI'!$K$10:$K$143)</f>
        <v>4.4000000000000004</v>
      </c>
      <c r="G24" s="374">
        <f ca="1">SUMIF('DAILY CHAMP SAPI'!$C$10:$C$144,$C24,'DAILY CHAMP SAPI'!$L$10:$L$143)</f>
        <v>7.85</v>
      </c>
      <c r="H24" s="374">
        <f>SUMIF('DAILY CHAMP SAPI'!$C$10:$C$144,$C24,'DAILY CHAMP SAPI'!$M$9:$N$143)</f>
        <v>0</v>
      </c>
      <c r="I24" s="374">
        <f ca="1">SUMIF('DAILY CHAMP SAPI'!$C$10:$C$144,$C24,'DAILY CHAMP SAPI'!$O$10:$O$143)</f>
        <v>6.2</v>
      </c>
      <c r="J24" s="374">
        <f ca="1">SUMIF('DAILY CHAMP SAPI'!$C$10:$C$144,$C24,'DAILY CHAMP SAPI'!$P$10:$P$143)</f>
        <v>0.45</v>
      </c>
      <c r="K24" s="374">
        <f ca="1">SUMIF('DAILY CHAMP SAPI'!$C$10:$C$144,$C24,'DAILY CHAMP SAPI'!$R$10:$R$143)</f>
        <v>0.6</v>
      </c>
      <c r="L24" s="374">
        <f ca="1">SUMIF('DAILY CHAMP SAPI'!$C$10:$C$144,$C24,'DAILY CHAMP SAPI'!$S$10:$S$143)</f>
        <v>0.7</v>
      </c>
      <c r="M24" s="374">
        <f ca="1">SUMIF('DAILY CHAMP SAPI'!$C$10:$C$144,$C24,'DAILY CHAMP SAPI'!$T$10:$T$143)</f>
        <v>4</v>
      </c>
      <c r="N24" s="374">
        <f ca="1">SUMIF('DAILY CHAMP SAPI'!$C$10:$C$144,$C24,'DAILY CHAMP SAPI'!$U$10:$U$143)</f>
        <v>0</v>
      </c>
      <c r="O24" s="374">
        <f ca="1">SUMIF('DAILY CHAMP SAPI'!$C$10:$C$144,$C24,'DAILY CHAMP SAPI'!$V$10:$V$143)</f>
        <v>0</v>
      </c>
      <c r="P24" s="374">
        <f ca="1">SUMIF('DAILY CHAMP SAPI'!$C$10:$C$144,$C24,'DAILY CHAMP SAPI'!$W$10:$W$143)</f>
        <v>0</v>
      </c>
      <c r="Q24" s="374">
        <f ca="1">SUMIF('DAILY CHAMP SAPI'!$C$10:$C$144,$C24,'DAILY CHAMP SAPI'!$X$10:$X$143)</f>
        <v>0</v>
      </c>
      <c r="R24" s="375">
        <f t="shared" ca="1" si="8"/>
        <v>24.2</v>
      </c>
      <c r="S24" s="376">
        <f t="shared" ca="1" si="9"/>
        <v>1.2394391589022462E-2</v>
      </c>
      <c r="T24" s="381"/>
      <c r="U24" s="742"/>
      <c r="V24" s="749"/>
      <c r="W24" s="737"/>
      <c r="X24" s="530"/>
      <c r="Y24" s="530"/>
      <c r="Z24" s="530"/>
      <c r="AA24" s="530"/>
    </row>
    <row r="25" spans="2:27" ht="16.5">
      <c r="B25" s="733"/>
      <c r="C25" s="474" t="str">
        <f>+'HASIL PROD'!B177</f>
        <v>QG16709</v>
      </c>
      <c r="D25" s="372">
        <f>SUMIF('HASIL PROD'!$B$4:$B$343,C25,'HASIL PROD'!$M$4:$M$343)</f>
        <v>588</v>
      </c>
      <c r="E25" s="373">
        <f t="shared" si="7"/>
        <v>1926.2879999999998</v>
      </c>
      <c r="F25" s="374">
        <f ca="1">SUMIF('DAILY CHAMP SAPI'!$C$10:$C$144,$C25,'DAILY CHAMP SAPI'!$K$10:$K$143)</f>
        <v>0</v>
      </c>
      <c r="G25" s="374">
        <f ca="1">SUMIF('DAILY CHAMP SAPI'!$C$10:$C$144,$C25,'DAILY CHAMP SAPI'!$L$10:$L$143)</f>
        <v>0</v>
      </c>
      <c r="H25" s="374">
        <f>SUMIF('DAILY CHAMP SAPI'!$C$10:$C$144,$C25,'DAILY CHAMP SAPI'!$M$9:$N$143)</f>
        <v>0</v>
      </c>
      <c r="I25" s="374">
        <f ca="1">SUMIF('DAILY CHAMP SAPI'!$C$10:$C$144,$C25,'DAILY CHAMP SAPI'!$O$10:$O$143)</f>
        <v>0</v>
      </c>
      <c r="J25" s="374">
        <f ca="1">SUMIF('DAILY CHAMP SAPI'!$C$10:$C$144,$C25,'DAILY CHAMP SAPI'!$P$10:$P$143)</f>
        <v>0</v>
      </c>
      <c r="K25" s="374">
        <f ca="1">SUMIF('DAILY CHAMP SAPI'!$C$10:$C$144,$C25,'DAILY CHAMP SAPI'!$R$10:$R$143)</f>
        <v>0</v>
      </c>
      <c r="L25" s="374">
        <f ca="1">SUMIF('DAILY CHAMP SAPI'!$C$10:$C$144,$C25,'DAILY CHAMP SAPI'!$S$10:$S$143)</f>
        <v>0</v>
      </c>
      <c r="M25" s="374">
        <f ca="1">SUMIF('DAILY CHAMP SAPI'!$C$10:$C$144,$C25,'DAILY CHAMP SAPI'!$T$10:$T$143)</f>
        <v>0</v>
      </c>
      <c r="N25" s="374">
        <f ca="1">SUMIF('DAILY CHAMP SAPI'!$C$10:$C$144,$C25,'DAILY CHAMP SAPI'!$U$10:$U$143)</f>
        <v>0</v>
      </c>
      <c r="O25" s="374">
        <f ca="1">SUMIF('DAILY CHAMP SAPI'!$C$10:$C$144,$C25,'DAILY CHAMP SAPI'!$V$10:$V$143)</f>
        <v>0</v>
      </c>
      <c r="P25" s="374">
        <f ca="1">SUMIF('DAILY CHAMP SAPI'!$C$10:$C$144,$C25,'DAILY CHAMP SAPI'!$W$10:$W$143)</f>
        <v>0</v>
      </c>
      <c r="Q25" s="374">
        <f ca="1">SUMIF('DAILY CHAMP SAPI'!$C$10:$C$144,$C25,'DAILY CHAMP SAPI'!$X$10:$X$143)</f>
        <v>0</v>
      </c>
      <c r="R25" s="375">
        <f t="shared" ca="1" si="8"/>
        <v>0</v>
      </c>
      <c r="S25" s="376">
        <f t="shared" ca="1" si="9"/>
        <v>0</v>
      </c>
      <c r="T25" s="381"/>
      <c r="U25" s="743"/>
      <c r="V25" s="750"/>
      <c r="W25" s="401"/>
      <c r="X25" s="530"/>
      <c r="Y25" s="530"/>
      <c r="Z25" s="530"/>
      <c r="AA25" s="530"/>
    </row>
    <row r="26" spans="2:27" ht="16.5">
      <c r="B26" s="733"/>
      <c r="C26" s="474">
        <f>+'HASIL PROD'!B178</f>
        <v>0</v>
      </c>
      <c r="D26" s="372">
        <f>SUMIF('HASIL PROD'!$B$4:$B$343,C26,'HASIL PROD'!$M$4:$M$343)</f>
        <v>0</v>
      </c>
      <c r="E26" s="373">
        <f t="shared" si="7"/>
        <v>0</v>
      </c>
      <c r="F26" s="374">
        <f ca="1">SUMIF('DAILY CHAMP SAPI'!$C$10:$C$144,$C26,'DAILY CHAMP SAPI'!$K$10:$K$143)</f>
        <v>0</v>
      </c>
      <c r="G26" s="374">
        <f ca="1">SUMIF('DAILY CHAMP SAPI'!$C$10:$C$144,$C26,'DAILY CHAMP SAPI'!$L$10:$L$143)</f>
        <v>0</v>
      </c>
      <c r="H26" s="374">
        <f>SUMIF('DAILY CHAMP SAPI'!$C$10:$C$144,$C26,'DAILY CHAMP SAPI'!$M$9:$N$143)</f>
        <v>0</v>
      </c>
      <c r="I26" s="374">
        <f ca="1">SUMIF('DAILY CHAMP SAPI'!$C$10:$C$144,$C26,'DAILY CHAMP SAPI'!$O$10:$O$143)</f>
        <v>0</v>
      </c>
      <c r="J26" s="374">
        <f ca="1">SUMIF('DAILY CHAMP SAPI'!$C$10:$C$144,$C26,'DAILY CHAMP SAPI'!$P$10:$P$143)</f>
        <v>0</v>
      </c>
      <c r="K26" s="374">
        <f ca="1">SUMIF('DAILY CHAMP SAPI'!$C$10:$C$144,$C26,'DAILY CHAMP SAPI'!$R$10:$R$143)</f>
        <v>0</v>
      </c>
      <c r="L26" s="374">
        <f ca="1">SUMIF('DAILY CHAMP SAPI'!$C$10:$C$144,$C26,'DAILY CHAMP SAPI'!$S$10:$S$143)</f>
        <v>0</v>
      </c>
      <c r="M26" s="374">
        <f ca="1">SUMIF('DAILY CHAMP SAPI'!$C$10:$C$144,$C26,'DAILY CHAMP SAPI'!$T$10:$T$143)</f>
        <v>0</v>
      </c>
      <c r="N26" s="374">
        <f ca="1">SUMIF('DAILY CHAMP SAPI'!$C$10:$C$144,$C26,'DAILY CHAMP SAPI'!$U$10:$U$143)</f>
        <v>0</v>
      </c>
      <c r="O26" s="374">
        <f ca="1">SUMIF('DAILY CHAMP SAPI'!$C$10:$C$144,$C26,'DAILY CHAMP SAPI'!$V$10:$V$143)</f>
        <v>0</v>
      </c>
      <c r="P26" s="374">
        <f ca="1">SUMIF('DAILY CHAMP SAPI'!$C$10:$C$144,$C26,'DAILY CHAMP SAPI'!$W$10:$W$143)</f>
        <v>0</v>
      </c>
      <c r="Q26" s="374">
        <f ca="1">SUMIF('DAILY CHAMP SAPI'!$C$10:$C$144,$C26,'DAILY CHAMP SAPI'!$X$10:$X$143)</f>
        <v>0</v>
      </c>
      <c r="R26" s="375">
        <f t="shared" ca="1" si="8"/>
        <v>0</v>
      </c>
      <c r="S26" s="376" t="e">
        <f t="shared" ca="1" si="9"/>
        <v>#DIV/0!</v>
      </c>
      <c r="T26" s="381"/>
      <c r="U26" s="546"/>
      <c r="V26" s="548"/>
      <c r="W26" s="549"/>
      <c r="X26" s="530"/>
      <c r="Y26" s="530"/>
      <c r="Z26" s="530"/>
      <c r="AA26" s="530"/>
    </row>
    <row r="27" spans="2:27" ht="16.5">
      <c r="B27" s="733"/>
      <c r="C27" s="371"/>
      <c r="D27" s="372"/>
      <c r="E27" s="373"/>
      <c r="F27" s="374"/>
      <c r="G27" s="374"/>
      <c r="H27" s="374"/>
      <c r="I27" s="374"/>
      <c r="J27" s="374"/>
      <c r="K27" s="374"/>
      <c r="L27" s="374"/>
      <c r="M27" s="374"/>
      <c r="N27" s="374"/>
      <c r="O27" s="374"/>
      <c r="P27" s="374"/>
      <c r="Q27" s="374"/>
      <c r="R27" s="374"/>
      <c r="S27" s="380"/>
      <c r="T27" s="381"/>
      <c r="U27" s="382"/>
      <c r="V27" s="383"/>
      <c r="W27" s="401"/>
      <c r="X27" s="530"/>
      <c r="Y27" s="530"/>
      <c r="Z27" s="530"/>
      <c r="AA27" s="530"/>
    </row>
    <row r="28" spans="2:27" s="50" customFormat="1" ht="16.5">
      <c r="B28" s="734"/>
      <c r="C28" s="385" t="s">
        <v>118</v>
      </c>
      <c r="D28" s="386">
        <f t="shared" ref="D28:R28" si="10">SUM(D17:D27)</f>
        <v>4948</v>
      </c>
      <c r="E28" s="387">
        <f t="shared" si="10"/>
        <v>16209.648000000001</v>
      </c>
      <c r="F28" s="388">
        <f t="shared" ca="1" si="10"/>
        <v>47.819999999999993</v>
      </c>
      <c r="G28" s="388">
        <f t="shared" ca="1" si="10"/>
        <v>76.91</v>
      </c>
      <c r="H28" s="388">
        <f t="shared" si="10"/>
        <v>1.1000000000000001</v>
      </c>
      <c r="I28" s="388">
        <f t="shared" ca="1" si="10"/>
        <v>72.64</v>
      </c>
      <c r="J28" s="388">
        <f t="shared" ca="1" si="10"/>
        <v>3.47</v>
      </c>
      <c r="K28" s="388">
        <f t="shared" ca="1" si="10"/>
        <v>5.47</v>
      </c>
      <c r="L28" s="388">
        <f t="shared" ca="1" si="10"/>
        <v>2.58</v>
      </c>
      <c r="M28" s="388">
        <f t="shared" ca="1" si="10"/>
        <v>32.300000000000004</v>
      </c>
      <c r="N28" s="388">
        <f t="shared" ca="1" si="10"/>
        <v>0.78</v>
      </c>
      <c r="O28" s="388">
        <f t="shared" ca="1" si="10"/>
        <v>0</v>
      </c>
      <c r="P28" s="388">
        <f t="shared" ca="1" si="10"/>
        <v>0</v>
      </c>
      <c r="Q28" s="388">
        <f t="shared" ca="1" si="10"/>
        <v>0</v>
      </c>
      <c r="R28" s="388">
        <f t="shared" ca="1" si="10"/>
        <v>243.07</v>
      </c>
      <c r="S28" s="389"/>
      <c r="T28" s="402"/>
      <c r="U28" s="388"/>
      <c r="V28" s="389"/>
      <c r="W28" s="389"/>
      <c r="X28" s="544"/>
      <c r="Y28" s="544"/>
      <c r="Z28" s="544"/>
      <c r="AA28" s="544"/>
    </row>
    <row r="29" spans="2:27" s="50" customFormat="1" ht="16.5">
      <c r="B29" s="403"/>
      <c r="C29" s="393" t="s">
        <v>114</v>
      </c>
      <c r="D29" s="394"/>
      <c r="E29" s="395"/>
      <c r="F29" s="396">
        <f ca="1">+F28/$E28</f>
        <v>2.950094906440904E-3</v>
      </c>
      <c r="G29" s="396">
        <f t="shared" ref="G29:Q29" ca="1" si="11">+G28/$E28</f>
        <v>4.7447051286986612E-3</v>
      </c>
      <c r="H29" s="396">
        <f t="shared" si="11"/>
        <v>6.7860819679736416E-5</v>
      </c>
      <c r="I29" s="396">
        <f t="shared" ca="1" si="11"/>
        <v>4.4812817650327751E-3</v>
      </c>
      <c r="J29" s="396">
        <f t="shared" ca="1" si="11"/>
        <v>2.1407004026244124E-4</v>
      </c>
      <c r="K29" s="396">
        <f t="shared" ca="1" si="11"/>
        <v>3.3745334877105287E-4</v>
      </c>
      <c r="L29" s="396">
        <f t="shared" ca="1" si="11"/>
        <v>1.5916446797610903E-4</v>
      </c>
      <c r="M29" s="396">
        <f t="shared" ca="1" si="11"/>
        <v>1.9926404324140785E-3</v>
      </c>
      <c r="N29" s="396">
        <f t="shared" ca="1" si="11"/>
        <v>4.8119490318358544E-5</v>
      </c>
      <c r="O29" s="396">
        <f t="shared" ca="1" si="11"/>
        <v>0</v>
      </c>
      <c r="P29" s="396">
        <f t="shared" ca="1" si="11"/>
        <v>0</v>
      </c>
      <c r="Q29" s="396">
        <f t="shared" ca="1" si="11"/>
        <v>0</v>
      </c>
      <c r="R29" s="482">
        <f ca="1">+R28/$E28</f>
        <v>1.4995390399594117E-2</v>
      </c>
      <c r="S29" s="399"/>
      <c r="T29" s="402"/>
      <c r="U29" s="400"/>
      <c r="V29" s="389"/>
      <c r="W29" s="389"/>
      <c r="X29" s="544"/>
      <c r="Y29" s="544"/>
      <c r="Z29" s="544"/>
      <c r="AA29" s="544"/>
    </row>
    <row r="32" spans="2:27">
      <c r="C32" s="558" t="s">
        <v>118</v>
      </c>
      <c r="D32" s="559"/>
      <c r="E32" s="560">
        <f>+E15+E28</f>
        <v>17680.572</v>
      </c>
      <c r="F32" s="560">
        <f t="shared" ref="F32:Q32" ca="1" si="12">+F15+F28</f>
        <v>54.11999999999999</v>
      </c>
      <c r="G32" s="560">
        <f t="shared" ca="1" si="12"/>
        <v>84.11</v>
      </c>
      <c r="H32" s="560">
        <f t="shared" si="12"/>
        <v>1.1000000000000001</v>
      </c>
      <c r="I32" s="560">
        <f t="shared" ca="1" si="12"/>
        <v>82.54</v>
      </c>
      <c r="J32" s="560">
        <f t="shared" ca="1" si="12"/>
        <v>3.47</v>
      </c>
      <c r="K32" s="560">
        <f t="shared" ca="1" si="12"/>
        <v>6.47</v>
      </c>
      <c r="L32" s="560">
        <f t="shared" ca="1" si="12"/>
        <v>11.78</v>
      </c>
      <c r="M32" s="560">
        <f t="shared" ca="1" si="12"/>
        <v>35.320000000000007</v>
      </c>
      <c r="N32" s="560">
        <f t="shared" ca="1" si="12"/>
        <v>0.78</v>
      </c>
      <c r="O32" s="560">
        <f t="shared" ca="1" si="12"/>
        <v>0</v>
      </c>
      <c r="P32" s="560">
        <f t="shared" ca="1" si="12"/>
        <v>0</v>
      </c>
      <c r="Q32" s="560">
        <f t="shared" ca="1" si="12"/>
        <v>0</v>
      </c>
      <c r="R32" s="561">
        <f ca="1">SUM(F32:Q32)</f>
        <v>279.69</v>
      </c>
    </row>
    <row r="33" spans="3:18">
      <c r="C33" s="562" t="s">
        <v>114</v>
      </c>
      <c r="D33" s="559"/>
      <c r="E33" s="563"/>
      <c r="F33" s="564">
        <f ca="1">+F32/$E$32</f>
        <v>3.0609869409202366E-3</v>
      </c>
      <c r="G33" s="564">
        <f t="shared" ref="G33:R33" ca="1" si="13">+G32/$E$32</f>
        <v>4.7571990317960304E-3</v>
      </c>
      <c r="H33" s="564">
        <f t="shared" si="13"/>
        <v>6.2215181726021085E-5</v>
      </c>
      <c r="I33" s="564">
        <f t="shared" ca="1" si="13"/>
        <v>4.668400999696164E-3</v>
      </c>
      <c r="J33" s="564">
        <f t="shared" ca="1" si="13"/>
        <v>1.9626061871753925E-4</v>
      </c>
      <c r="K33" s="564">
        <f t="shared" ca="1" si="13"/>
        <v>3.6593838706123306E-4</v>
      </c>
      <c r="L33" s="564">
        <f t="shared" ca="1" si="13"/>
        <v>6.6626803702957117E-4</v>
      </c>
      <c r="M33" s="564">
        <f t="shared" ca="1" si="13"/>
        <v>1.9976729259664227E-3</v>
      </c>
      <c r="N33" s="564">
        <f t="shared" ca="1" si="13"/>
        <v>4.4116219769360407E-5</v>
      </c>
      <c r="O33" s="564">
        <f t="shared" ca="1" si="13"/>
        <v>0</v>
      </c>
      <c r="P33" s="564">
        <f t="shared" ca="1" si="13"/>
        <v>0</v>
      </c>
      <c r="Q33" s="564">
        <f t="shared" ca="1" si="13"/>
        <v>0</v>
      </c>
      <c r="R33" s="565">
        <f t="shared" ca="1" si="13"/>
        <v>1.5819058342682577E-2</v>
      </c>
    </row>
  </sheetData>
  <mergeCells count="28">
    <mergeCell ref="C2:C3"/>
    <mergeCell ref="D2:E2"/>
    <mergeCell ref="F2:F3"/>
    <mergeCell ref="G2:G3"/>
    <mergeCell ref="H2:H3"/>
    <mergeCell ref="W21:W24"/>
    <mergeCell ref="B4:B15"/>
    <mergeCell ref="B17:B28"/>
    <mergeCell ref="U17:U20"/>
    <mergeCell ref="V17:V20"/>
    <mergeCell ref="U21:U25"/>
    <mergeCell ref="V21:V25"/>
    <mergeCell ref="AC1:AJ1"/>
    <mergeCell ref="X1:AA3"/>
    <mergeCell ref="W17:W20"/>
    <mergeCell ref="R2:R3"/>
    <mergeCell ref="S2:S3"/>
    <mergeCell ref="W1:W3"/>
    <mergeCell ref="B1:S1"/>
    <mergeCell ref="I2:I3"/>
    <mergeCell ref="J2:J3"/>
    <mergeCell ref="K2:K3"/>
    <mergeCell ref="L2:N2"/>
    <mergeCell ref="O2:O3"/>
    <mergeCell ref="P2:P3"/>
    <mergeCell ref="Q2:Q3"/>
    <mergeCell ref="U1:V2"/>
    <mergeCell ref="B2:B3"/>
  </mergeCells>
  <pageMargins left="0.7" right="0.7" top="0.75" bottom="0.75" header="0.3" footer="0.3"/>
  <pageSetup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>
  <sheetPr>
    <tabColor rgb="FF0070C0"/>
  </sheetPr>
  <dimension ref="B2:P26"/>
  <sheetViews>
    <sheetView zoomScale="90" zoomScaleNormal="90" workbookViewId="0">
      <selection activeCell="O2" sqref="O2:O3"/>
    </sheetView>
  </sheetViews>
  <sheetFormatPr defaultRowHeight="16.5"/>
  <cols>
    <col min="1" max="1" width="9.140625" style="556"/>
    <col min="2" max="2" width="18.140625" style="556" customWidth="1"/>
    <col min="3" max="3" width="13.7109375" style="556" customWidth="1"/>
    <col min="4" max="15" width="14.7109375" style="556" customWidth="1"/>
    <col min="16" max="16" width="12.28515625" style="556" customWidth="1"/>
    <col min="17" max="16384" width="9.140625" style="556"/>
  </cols>
  <sheetData>
    <row r="2" spans="2:16">
      <c r="B2" s="791" t="s">
        <v>344</v>
      </c>
      <c r="C2" s="789" t="s">
        <v>157</v>
      </c>
      <c r="D2" s="789" t="s">
        <v>169</v>
      </c>
      <c r="E2" s="789" t="s">
        <v>17</v>
      </c>
      <c r="F2" s="789" t="s">
        <v>170</v>
      </c>
      <c r="G2" s="789" t="s">
        <v>171</v>
      </c>
      <c r="H2" s="789" t="s">
        <v>60</v>
      </c>
      <c r="I2" s="789" t="s">
        <v>172</v>
      </c>
      <c r="J2" s="789" t="s">
        <v>173</v>
      </c>
      <c r="K2" s="789"/>
      <c r="L2" s="789"/>
      <c r="M2" s="789" t="s">
        <v>56</v>
      </c>
      <c r="N2" s="789" t="s">
        <v>20</v>
      </c>
      <c r="O2" s="789" t="s">
        <v>218</v>
      </c>
      <c r="P2" s="789" t="s">
        <v>118</v>
      </c>
    </row>
    <row r="3" spans="2:16">
      <c r="B3" s="791"/>
      <c r="C3" s="789"/>
      <c r="D3" s="789"/>
      <c r="E3" s="789"/>
      <c r="F3" s="789"/>
      <c r="G3" s="789"/>
      <c r="H3" s="789"/>
      <c r="I3" s="789"/>
      <c r="J3" s="585" t="s">
        <v>175</v>
      </c>
      <c r="K3" s="585" t="s">
        <v>176</v>
      </c>
      <c r="L3" s="585" t="s">
        <v>177</v>
      </c>
      <c r="M3" s="789"/>
      <c r="N3" s="789"/>
      <c r="O3" s="789"/>
      <c r="P3" s="789"/>
    </row>
    <row r="4" spans="2:16">
      <c r="B4" s="384" t="s">
        <v>102</v>
      </c>
      <c r="C4" s="569">
        <f>+'DAILY FILLER OKEY'!E175</f>
        <v>150768.5</v>
      </c>
      <c r="D4" s="569">
        <f ca="1">+'DAILY FILLER OKEY'!F175</f>
        <v>191.28</v>
      </c>
      <c r="E4" s="569">
        <f ca="1">+'DAILY FILLER OKEY'!G175</f>
        <v>343.83</v>
      </c>
      <c r="F4" s="569">
        <f ca="1">+'DAILY FILLER OKEY'!H175</f>
        <v>13.639999999999999</v>
      </c>
      <c r="G4" s="569">
        <f ca="1">+'DAILY FILLER OKEY'!I175</f>
        <v>663.43999999999994</v>
      </c>
      <c r="H4" s="569">
        <f ca="1">+'DAILY FILLER OKEY'!J175</f>
        <v>37.65</v>
      </c>
      <c r="I4" s="569">
        <f ca="1">+'DAILY FILLER OKEY'!K175</f>
        <v>79.719999999999985</v>
      </c>
      <c r="J4" s="569">
        <f ca="1">+'DAILY FILLER OKEY'!L175</f>
        <v>29.130000000000003</v>
      </c>
      <c r="K4" s="569">
        <f ca="1">+'DAILY FILLER OKEY'!M175</f>
        <v>147.16999999999999</v>
      </c>
      <c r="L4" s="569">
        <f ca="1">+'DAILY FILLER OKEY'!N175</f>
        <v>1.5</v>
      </c>
      <c r="M4" s="569">
        <f ca="1">+'DAILY FILLER OKEY'!O175</f>
        <v>0.4</v>
      </c>
      <c r="N4" s="569">
        <f ca="1">+'DAILY FILLER OKEY'!P175</f>
        <v>0</v>
      </c>
      <c r="O4" s="569">
        <f ca="1">+'DAILY FILLER OKEY'!Q175</f>
        <v>4.8</v>
      </c>
      <c r="P4" s="570">
        <f ca="1">SUM(D4:O4)</f>
        <v>1512.5600000000004</v>
      </c>
    </row>
    <row r="5" spans="2:16">
      <c r="B5" s="566" t="s">
        <v>114</v>
      </c>
      <c r="C5" s="569"/>
      <c r="D5" s="571">
        <f ca="1">+'DAILY FILLER OKEY'!F176</f>
        <v>1.2687000268623752E-3</v>
      </c>
      <c r="E5" s="571">
        <f ca="1">+'DAILY FILLER OKEY'!G176</f>
        <v>2.2805161555629989E-3</v>
      </c>
      <c r="F5" s="571">
        <f ca="1">+'DAILY FILLER OKEY'!H176</f>
        <v>9.0469826256810927E-5</v>
      </c>
      <c r="G5" s="571">
        <f ca="1">+'DAILY FILLER OKEY'!I176</f>
        <v>4.4003886753532732E-3</v>
      </c>
      <c r="H5" s="571">
        <f ca="1">+'DAILY FILLER OKEY'!J176</f>
        <v>2.497205981355522E-4</v>
      </c>
      <c r="I5" s="571">
        <f ca="1">+'DAILY FILLER OKEY'!K176</f>
        <v>5.2875766489684508E-4</v>
      </c>
      <c r="J5" s="571">
        <f ca="1">+'DAILY FILLER OKEY'!L176</f>
        <v>1.9321012015109258E-4</v>
      </c>
      <c r="K5" s="571">
        <f ca="1">+'DAILY FILLER OKEY'!M176</f>
        <v>9.7613228227381706E-4</v>
      </c>
      <c r="L5" s="571">
        <f ca="1">+'DAILY FILLER OKEY'!N176</f>
        <v>9.9490278141654258E-6</v>
      </c>
      <c r="M5" s="571">
        <f ca="1">+'DAILY FILLER OKEY'!O176</f>
        <v>2.6530740837774468E-6</v>
      </c>
      <c r="N5" s="571">
        <f ca="1">+'DAILY FILLER OKEY'!P176</f>
        <v>0</v>
      </c>
      <c r="O5" s="571">
        <f ca="1">+'DAILY FILLER OKEY'!Q176</f>
        <v>3.1836889005329358E-5</v>
      </c>
      <c r="P5" s="572">
        <f ca="1">+'DAILY FILLER OKEY'!R176</f>
        <v>1.003233434039604E-2</v>
      </c>
    </row>
    <row r="6" spans="2:16">
      <c r="B6" s="567"/>
      <c r="C6" s="573"/>
      <c r="D6" s="574"/>
      <c r="E6" s="574"/>
      <c r="F6" s="574"/>
      <c r="G6" s="574"/>
      <c r="H6" s="574"/>
      <c r="I6" s="574"/>
      <c r="J6" s="574"/>
      <c r="K6" s="574"/>
      <c r="L6" s="574"/>
      <c r="M6" s="574"/>
      <c r="N6" s="574"/>
      <c r="O6" s="574"/>
      <c r="P6" s="575"/>
    </row>
    <row r="7" spans="2:16">
      <c r="B7" s="384" t="s">
        <v>41</v>
      </c>
      <c r="C7" s="569">
        <f>+'DAILY FILLER C. AYAM'!E110</f>
        <v>67053.168000000005</v>
      </c>
      <c r="D7" s="569">
        <f ca="1">+'DAILY FILLER C. AYAM'!F110</f>
        <v>208.75</v>
      </c>
      <c r="E7" s="569">
        <f ca="1">+'DAILY FILLER C. AYAM'!G110</f>
        <v>339.47999999999996</v>
      </c>
      <c r="F7" s="569">
        <f>+'DAILY FILLER C. AYAM'!H110</f>
        <v>34.07</v>
      </c>
      <c r="G7" s="569">
        <f ca="1">+'DAILY FILLER C. AYAM'!I110</f>
        <v>429.68</v>
      </c>
      <c r="H7" s="569">
        <f ca="1">+'DAILY FILLER C. AYAM'!J110</f>
        <v>17.262000000000004</v>
      </c>
      <c r="I7" s="569">
        <f ca="1">+'DAILY FILLER C. AYAM'!K110</f>
        <v>25.68</v>
      </c>
      <c r="J7" s="569">
        <f ca="1">+'DAILY FILLER C. AYAM'!L110</f>
        <v>37.660000000000004</v>
      </c>
      <c r="K7" s="569">
        <f ca="1">+'DAILY FILLER C. AYAM'!M110</f>
        <v>54.8</v>
      </c>
      <c r="L7" s="569">
        <f ca="1">+'DAILY FILLER C. AYAM'!N110</f>
        <v>0</v>
      </c>
      <c r="M7" s="569">
        <f ca="1">+'DAILY FILLER C. AYAM'!O110</f>
        <v>0</v>
      </c>
      <c r="N7" s="569">
        <f ca="1">+'DAILY FILLER C. AYAM'!P110</f>
        <v>0</v>
      </c>
      <c r="O7" s="569">
        <f ca="1">+'DAILY FILLER C. AYAM'!Q110</f>
        <v>0</v>
      </c>
      <c r="P7" s="570">
        <f ca="1">SUM(D7:O7)</f>
        <v>1147.3820000000001</v>
      </c>
    </row>
    <row r="8" spans="2:16">
      <c r="B8" s="566" t="s">
        <v>114</v>
      </c>
      <c r="C8" s="569"/>
      <c r="D8" s="571">
        <f ca="1">+'DAILY FILLER C. AYAM'!F111</f>
        <v>3.1132011540453983E-3</v>
      </c>
      <c r="E8" s="571">
        <f ca="1">+'DAILY FILLER C. AYAM'!G111</f>
        <v>5.0628480372470986E-3</v>
      </c>
      <c r="F8" s="571">
        <f>+'DAILY FILLER C. AYAM'!H111</f>
        <v>5.0810425541713406E-4</v>
      </c>
      <c r="G8" s="571">
        <f ca="1">+'DAILY FILLER C. AYAM'!I111</f>
        <v>6.4080492065639611E-3</v>
      </c>
      <c r="H8" s="571">
        <f ca="1">+'DAILY FILLER C. AYAM'!J111</f>
        <v>2.5743750093955298E-4</v>
      </c>
      <c r="I8" s="571">
        <f ca="1">+'DAILY FILLER C. AYAM'!K111</f>
        <v>3.8297966771681834E-4</v>
      </c>
      <c r="J8" s="571">
        <f ca="1">+'DAILY FILLER C. AYAM'!L111</f>
        <v>5.6164385849748373E-4</v>
      </c>
      <c r="K8" s="571">
        <f ca="1">+'DAILY FILLER C. AYAM'!M111</f>
        <v>8.1726190774461234E-4</v>
      </c>
      <c r="L8" s="571">
        <f ca="1">+'DAILY FILLER C. AYAM'!N111</f>
        <v>0</v>
      </c>
      <c r="M8" s="571">
        <f ca="1">+'DAILY FILLER C. AYAM'!O111</f>
        <v>0</v>
      </c>
      <c r="N8" s="571">
        <f ca="1">+'DAILY FILLER C. AYAM'!P111</f>
        <v>0</v>
      </c>
      <c r="O8" s="571">
        <f ca="1">+'DAILY FILLER C. AYAM'!Q111</f>
        <v>0</v>
      </c>
      <c r="P8" s="572">
        <f ca="1">+'DAILY FILLER C. AYAM'!R111</f>
        <v>1.7111525588172059E-2</v>
      </c>
    </row>
    <row r="9" spans="2:16">
      <c r="B9" s="568"/>
      <c r="C9" s="576"/>
      <c r="D9" s="577"/>
      <c r="E9" s="577"/>
      <c r="F9" s="577"/>
      <c r="G9" s="577"/>
      <c r="H9" s="577"/>
      <c r="I9" s="577"/>
      <c r="J9" s="577"/>
      <c r="K9" s="577"/>
      <c r="L9" s="577"/>
      <c r="M9" s="577"/>
      <c r="N9" s="577"/>
      <c r="O9" s="577"/>
      <c r="P9" s="578"/>
    </row>
    <row r="10" spans="2:16">
      <c r="B10" s="384" t="s">
        <v>214</v>
      </c>
      <c r="C10" s="569">
        <f>+'DAILY FILLER C. SAPI'!E32</f>
        <v>17680.572</v>
      </c>
      <c r="D10" s="569">
        <f ca="1">+'DAILY FILLER C. SAPI'!F32</f>
        <v>54.11999999999999</v>
      </c>
      <c r="E10" s="569">
        <f ca="1">+'DAILY FILLER C. SAPI'!G32</f>
        <v>84.11</v>
      </c>
      <c r="F10" s="569">
        <f>+'DAILY FILLER C. SAPI'!H32</f>
        <v>1.1000000000000001</v>
      </c>
      <c r="G10" s="569">
        <f ca="1">+'DAILY FILLER C. SAPI'!I32</f>
        <v>82.54</v>
      </c>
      <c r="H10" s="569">
        <f ca="1">+'DAILY FILLER C. SAPI'!J32</f>
        <v>3.47</v>
      </c>
      <c r="I10" s="569">
        <f ca="1">+'DAILY FILLER C. SAPI'!K32</f>
        <v>6.47</v>
      </c>
      <c r="J10" s="569">
        <f ca="1">+'DAILY FILLER C. SAPI'!L32</f>
        <v>11.78</v>
      </c>
      <c r="K10" s="569">
        <f ca="1">+'DAILY FILLER C. SAPI'!M32</f>
        <v>35.320000000000007</v>
      </c>
      <c r="L10" s="569">
        <f ca="1">+'DAILY FILLER C. SAPI'!N32</f>
        <v>0.78</v>
      </c>
      <c r="M10" s="569">
        <f ca="1">+'DAILY FILLER C. SAPI'!O32</f>
        <v>0</v>
      </c>
      <c r="N10" s="569">
        <f ca="1">+'DAILY FILLER C. SAPI'!P32</f>
        <v>0</v>
      </c>
      <c r="O10" s="569">
        <f ca="1">+'DAILY FILLER C. SAPI'!Q32</f>
        <v>0</v>
      </c>
      <c r="P10" s="570">
        <f ca="1">SUM(D10:O10)</f>
        <v>279.69</v>
      </c>
    </row>
    <row r="11" spans="2:16">
      <c r="B11" s="579" t="s">
        <v>114</v>
      </c>
      <c r="C11" s="580"/>
      <c r="D11" s="571">
        <f ca="1">+'DAILY FILLER C. SAPI'!F33</f>
        <v>3.0609869409202366E-3</v>
      </c>
      <c r="E11" s="571">
        <f ca="1">+'DAILY FILLER C. SAPI'!G33</f>
        <v>4.7571990317960304E-3</v>
      </c>
      <c r="F11" s="571">
        <f>+'DAILY FILLER C. SAPI'!H33</f>
        <v>6.2215181726021085E-5</v>
      </c>
      <c r="G11" s="571">
        <f ca="1">+'DAILY FILLER C. SAPI'!I33</f>
        <v>4.668400999696164E-3</v>
      </c>
      <c r="H11" s="571">
        <f ca="1">+'DAILY FILLER C. SAPI'!J33</f>
        <v>1.9626061871753925E-4</v>
      </c>
      <c r="I11" s="571">
        <f ca="1">+'DAILY FILLER C. SAPI'!K33</f>
        <v>3.6593838706123306E-4</v>
      </c>
      <c r="J11" s="571">
        <f ca="1">+'DAILY FILLER C. SAPI'!L33</f>
        <v>6.6626803702957117E-4</v>
      </c>
      <c r="K11" s="571">
        <f ca="1">+'DAILY FILLER C. SAPI'!M33</f>
        <v>1.9976729259664227E-3</v>
      </c>
      <c r="L11" s="571">
        <f ca="1">+'DAILY FILLER C. SAPI'!N33</f>
        <v>4.4116219769360407E-5</v>
      </c>
      <c r="M11" s="571">
        <f ca="1">+'DAILY FILLER C. SAPI'!O33</f>
        <v>0</v>
      </c>
      <c r="N11" s="571">
        <f ca="1">+'DAILY FILLER C. SAPI'!P33</f>
        <v>0</v>
      </c>
      <c r="O11" s="571">
        <f ca="1">+'DAILY FILLER C. SAPI'!Q33</f>
        <v>0</v>
      </c>
      <c r="P11" s="572">
        <f ca="1">+'DAILY FILLER C. SAPI'!R33</f>
        <v>1.5819058342682577E-2</v>
      </c>
    </row>
    <row r="12" spans="2:16">
      <c r="P12" s="554"/>
    </row>
    <row r="13" spans="2:16">
      <c r="B13" s="586" t="s">
        <v>118</v>
      </c>
      <c r="C13" s="587">
        <f>+C4+C7+C10</f>
        <v>235502.24</v>
      </c>
      <c r="D13" s="587">
        <f t="shared" ref="D13:O13" ca="1" si="0">+D4+D7+D10</f>
        <v>454.15</v>
      </c>
      <c r="E13" s="587">
        <f t="shared" ca="1" si="0"/>
        <v>767.42</v>
      </c>
      <c r="F13" s="587">
        <f t="shared" ca="1" si="0"/>
        <v>48.81</v>
      </c>
      <c r="G13" s="587">
        <f t="shared" ca="1" si="0"/>
        <v>1175.6599999999999</v>
      </c>
      <c r="H13" s="587">
        <f t="shared" ca="1" si="0"/>
        <v>58.382000000000005</v>
      </c>
      <c r="I13" s="587">
        <f t="shared" ca="1" si="0"/>
        <v>111.86999999999998</v>
      </c>
      <c r="J13" s="587">
        <f t="shared" ca="1" si="0"/>
        <v>78.570000000000007</v>
      </c>
      <c r="K13" s="587">
        <f t="shared" ca="1" si="0"/>
        <v>237.28999999999996</v>
      </c>
      <c r="L13" s="587">
        <f t="shared" ca="1" si="0"/>
        <v>2.2800000000000002</v>
      </c>
      <c r="M13" s="587">
        <f t="shared" ca="1" si="0"/>
        <v>0.4</v>
      </c>
      <c r="N13" s="587">
        <f t="shared" ca="1" si="0"/>
        <v>0</v>
      </c>
      <c r="O13" s="587">
        <f t="shared" ca="1" si="0"/>
        <v>4.8</v>
      </c>
      <c r="P13" s="587">
        <f ca="1">SUM(D13:O13)</f>
        <v>2939.6320000000005</v>
      </c>
    </row>
    <row r="14" spans="2:16">
      <c r="B14" s="588" t="s">
        <v>114</v>
      </c>
      <c r="C14" s="589"/>
      <c r="D14" s="590">
        <f ca="1">+D13/$C$13</f>
        <v>1.9284317635365168E-3</v>
      </c>
      <c r="E14" s="590">
        <f t="shared" ref="E14:O14" ca="1" si="1">+E13/$C$13</f>
        <v>3.2586526565522266E-3</v>
      </c>
      <c r="F14" s="590">
        <f t="shared" ca="1" si="1"/>
        <v>2.0725917511442782E-4</v>
      </c>
      <c r="G14" s="590">
        <f t="shared" ca="1" si="1"/>
        <v>4.9921393528995729E-3</v>
      </c>
      <c r="H14" s="590">
        <f t="shared" ca="1" si="1"/>
        <v>2.4790422375600338E-4</v>
      </c>
      <c r="I14" s="590">
        <f t="shared" ca="1" si="1"/>
        <v>4.7502732882710578E-4</v>
      </c>
      <c r="J14" s="590">
        <f t="shared" ca="1" si="1"/>
        <v>3.3362739989224738E-4</v>
      </c>
      <c r="K14" s="590">
        <f t="shared" ca="1" si="1"/>
        <v>1.0075912653739513E-3</v>
      </c>
      <c r="L14" s="590">
        <f t="shared" ca="1" si="1"/>
        <v>9.6814365757200462E-6</v>
      </c>
      <c r="M14" s="590">
        <f t="shared" ca="1" si="1"/>
        <v>1.6984976448631658E-6</v>
      </c>
      <c r="N14" s="590">
        <f t="shared" ca="1" si="1"/>
        <v>0</v>
      </c>
      <c r="O14" s="590">
        <f t="shared" ca="1" si="1"/>
        <v>2.0381971738357986E-5</v>
      </c>
      <c r="P14" s="591">
        <f ca="1">+P13/$C$13</f>
        <v>1.2482395071910997E-2</v>
      </c>
    </row>
    <row r="15" spans="2:16">
      <c r="B15" s="581"/>
      <c r="C15" s="582"/>
      <c r="D15" s="583"/>
      <c r="E15" s="583"/>
      <c r="F15" s="583"/>
      <c r="G15" s="583"/>
      <c r="H15" s="583"/>
      <c r="I15" s="583"/>
      <c r="J15" s="583"/>
      <c r="K15" s="583"/>
      <c r="L15" s="583"/>
      <c r="M15" s="583"/>
      <c r="N15" s="583"/>
      <c r="O15" s="583"/>
      <c r="P15" s="584"/>
    </row>
    <row r="16" spans="2:16">
      <c r="B16" s="581"/>
      <c r="C16" s="582"/>
      <c r="D16" s="583"/>
      <c r="E16" s="583"/>
      <c r="F16" s="583"/>
      <c r="G16" s="583"/>
      <c r="H16" s="583"/>
      <c r="I16" s="583"/>
      <c r="J16" s="583"/>
      <c r="K16" s="583"/>
      <c r="L16" s="583"/>
      <c r="M16" s="583"/>
      <c r="N16" s="583"/>
      <c r="O16" s="583"/>
      <c r="P16" s="584"/>
    </row>
    <row r="18" spans="2:10">
      <c r="B18" s="790" t="s">
        <v>344</v>
      </c>
      <c r="C18" s="790" t="s">
        <v>345</v>
      </c>
      <c r="D18" s="790"/>
      <c r="E18" s="790"/>
      <c r="F18" s="790"/>
      <c r="G18" s="790"/>
      <c r="H18" s="790"/>
      <c r="I18" s="790"/>
      <c r="J18" s="790"/>
    </row>
    <row r="19" spans="2:10">
      <c r="B19" s="790"/>
      <c r="C19" s="557" t="s">
        <v>315</v>
      </c>
      <c r="D19" s="557" t="s">
        <v>316</v>
      </c>
      <c r="E19" s="557" t="s">
        <v>317</v>
      </c>
      <c r="F19" s="557" t="s">
        <v>318</v>
      </c>
      <c r="G19" s="557" t="s">
        <v>312</v>
      </c>
      <c r="H19" s="557" t="s">
        <v>319</v>
      </c>
      <c r="I19" s="557" t="s">
        <v>314</v>
      </c>
      <c r="J19" s="557" t="s">
        <v>313</v>
      </c>
    </row>
    <row r="20" spans="2:10">
      <c r="B20" s="384" t="s">
        <v>102</v>
      </c>
      <c r="C20" s="555">
        <f ca="1">+'DAILY FILLER OKEY'!AC3</f>
        <v>5</v>
      </c>
      <c r="D20" s="555">
        <f ca="1">+'DAILY FILLER OKEY'!AD3</f>
        <v>3</v>
      </c>
      <c r="E20" s="555">
        <f ca="1">+'DAILY FILLER OKEY'!AE3</f>
        <v>3</v>
      </c>
      <c r="F20" s="555">
        <f ca="1">+'DAILY FILLER OKEY'!AF3</f>
        <v>5</v>
      </c>
      <c r="G20" s="555">
        <f ca="1">+'DAILY FILLER OKEY'!AG3</f>
        <v>10</v>
      </c>
      <c r="H20" s="555">
        <f ca="1">+'DAILY FILLER OKEY'!AH3</f>
        <v>8</v>
      </c>
      <c r="I20" s="555">
        <f ca="1">+'DAILY FILLER OKEY'!AI3</f>
        <v>6</v>
      </c>
      <c r="J20" s="555">
        <f ca="1">+'DAILY FILLER OKEY'!AJ3</f>
        <v>8</v>
      </c>
    </row>
    <row r="21" spans="2:10">
      <c r="B21" s="384" t="s">
        <v>41</v>
      </c>
      <c r="C21" s="555">
        <f ca="1">+'DAILY FILLER C. AYAM'!AC3</f>
        <v>3</v>
      </c>
      <c r="D21" s="555">
        <f ca="1">+'DAILY FILLER C. AYAM'!AD3</f>
        <v>3</v>
      </c>
      <c r="E21" s="555">
        <f ca="1">+'DAILY FILLER C. AYAM'!AE3</f>
        <v>3</v>
      </c>
      <c r="F21" s="555">
        <f ca="1">+'DAILY FILLER C. AYAM'!AF3</f>
        <v>3</v>
      </c>
      <c r="G21" s="555">
        <f ca="1">+'DAILY FILLER C. AYAM'!AG3</f>
        <v>8</v>
      </c>
      <c r="H21" s="555">
        <f ca="1">+'DAILY FILLER C. AYAM'!AH3</f>
        <v>5</v>
      </c>
      <c r="I21" s="555">
        <f ca="1">+'DAILY FILLER C. AYAM'!AI3</f>
        <v>8</v>
      </c>
      <c r="J21" s="555">
        <f ca="1">+'DAILY FILLER C. AYAM'!AJ3</f>
        <v>7</v>
      </c>
    </row>
    <row r="22" spans="2:10">
      <c r="B22" s="384" t="s">
        <v>214</v>
      </c>
      <c r="C22" s="555">
        <f ca="1">+'DAILY FILLER C. SAPI'!AC3</f>
        <v>1</v>
      </c>
      <c r="D22" s="555">
        <f ca="1">+'DAILY FILLER C. SAPI'!AD3</f>
        <v>1</v>
      </c>
      <c r="E22" s="555">
        <f ca="1">+'DAILY FILLER C. SAPI'!AE3</f>
        <v>1</v>
      </c>
      <c r="F22" s="555">
        <f ca="1">+'DAILY FILLER C. SAPI'!AF3</f>
        <v>1</v>
      </c>
      <c r="G22" s="555">
        <f ca="1">+'DAILY FILLER C. SAPI'!AG3</f>
        <v>2</v>
      </c>
      <c r="H22" s="555">
        <f ca="1">+'DAILY FILLER C. SAPI'!AH3</f>
        <v>2</v>
      </c>
      <c r="I22" s="555">
        <f ca="1">+'DAILY FILLER C. SAPI'!AI3</f>
        <v>2</v>
      </c>
      <c r="J22" s="555">
        <f ca="1">+'DAILY FILLER C. SAPI'!AJ3</f>
        <v>2</v>
      </c>
    </row>
    <row r="23" spans="2:10">
      <c r="B23" s="384"/>
      <c r="C23" s="555"/>
      <c r="D23" s="555"/>
      <c r="E23" s="555"/>
      <c r="F23" s="555"/>
      <c r="G23" s="555"/>
      <c r="H23" s="555"/>
      <c r="I23" s="555"/>
      <c r="J23" s="555"/>
    </row>
    <row r="24" spans="2:10">
      <c r="B24" s="586" t="s">
        <v>118</v>
      </c>
      <c r="C24" s="592">
        <f ca="1">SUM(C20:C23)</f>
        <v>9</v>
      </c>
      <c r="D24" s="592">
        <f t="shared" ref="D24:J24" ca="1" si="2">SUM(D20:D23)</f>
        <v>7</v>
      </c>
      <c r="E24" s="592">
        <f t="shared" ca="1" si="2"/>
        <v>7</v>
      </c>
      <c r="F24" s="592">
        <f t="shared" ca="1" si="2"/>
        <v>9</v>
      </c>
      <c r="G24" s="592">
        <f t="shared" ca="1" si="2"/>
        <v>20</v>
      </c>
      <c r="H24" s="592">
        <f t="shared" ca="1" si="2"/>
        <v>15</v>
      </c>
      <c r="I24" s="592">
        <f t="shared" ca="1" si="2"/>
        <v>16</v>
      </c>
      <c r="J24" s="592">
        <f t="shared" ca="1" si="2"/>
        <v>17</v>
      </c>
    </row>
    <row r="25" spans="2:10">
      <c r="B25" s="554" t="s">
        <v>346</v>
      </c>
    </row>
    <row r="26" spans="2:10">
      <c r="B26" s="554"/>
    </row>
  </sheetData>
  <mergeCells count="15">
    <mergeCell ref="P2:P3"/>
    <mergeCell ref="C18:J18"/>
    <mergeCell ref="B18:B19"/>
    <mergeCell ref="D2:D3"/>
    <mergeCell ref="E2:E3"/>
    <mergeCell ref="F2:F3"/>
    <mergeCell ref="G2:G3"/>
    <mergeCell ref="H2:H3"/>
    <mergeCell ref="I2:I3"/>
    <mergeCell ref="J2:L2"/>
    <mergeCell ref="M2:M3"/>
    <mergeCell ref="N2:N3"/>
    <mergeCell ref="O2:O3"/>
    <mergeCell ref="C2:C3"/>
    <mergeCell ref="B2:B3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selection sqref="A1:XFD1048576"/>
    </sheetView>
  </sheetViews>
  <sheetFormatPr defaultRowHeight="15"/>
  <sheetData/>
  <pageMargins left="0.7" right="0.7" top="0.75" bottom="0.75" header="0.3" footer="0.3"/>
  <pageSetup orientation="portrait" horizontalDpi="180" verticalDpi="180" r:id="rId1"/>
</worksheet>
</file>

<file path=xl/worksheets/sheet21.xml><?xml version="1.0" encoding="utf-8"?>
<worksheet xmlns="http://schemas.openxmlformats.org/spreadsheetml/2006/main" xmlns:r="http://schemas.openxmlformats.org/officeDocument/2006/relationships">
  <sheetPr codeName="Sheet25"/>
  <dimension ref="A1:AD112"/>
  <sheetViews>
    <sheetView workbookViewId="0">
      <selection activeCell="EE10" sqref="EE10"/>
    </sheetView>
  </sheetViews>
  <sheetFormatPr defaultRowHeight="16.5"/>
  <cols>
    <col min="1" max="15" width="12.5703125" style="137" customWidth="1"/>
    <col min="16" max="16" width="9.140625" style="137"/>
    <col min="17" max="23" width="13.28515625" style="137" customWidth="1"/>
    <col min="24" max="24" width="9.140625" style="137"/>
    <col min="25" max="29" width="12.42578125" style="137" customWidth="1"/>
    <col min="30" max="30" width="13.28515625" style="137" customWidth="1"/>
    <col min="31" max="16384" width="9.140625" style="137"/>
  </cols>
  <sheetData>
    <row r="1" spans="1:30">
      <c r="A1" s="136" t="s">
        <v>81</v>
      </c>
      <c r="I1" s="136" t="s">
        <v>44</v>
      </c>
      <c r="Q1" s="136" t="s">
        <v>66</v>
      </c>
      <c r="Y1" s="136" t="s">
        <v>102</v>
      </c>
    </row>
    <row r="2" spans="1:30" ht="15" customHeight="1">
      <c r="A2" s="138" t="s">
        <v>82</v>
      </c>
      <c r="B2" s="139"/>
      <c r="C2" s="139"/>
      <c r="D2" s="139"/>
      <c r="E2" s="139"/>
      <c r="F2" s="139"/>
      <c r="I2" s="138" t="s">
        <v>82</v>
      </c>
      <c r="J2" s="139"/>
      <c r="K2" s="139"/>
      <c r="L2" s="139"/>
      <c r="M2" s="139"/>
      <c r="N2" s="139"/>
      <c r="Q2" s="138" t="s">
        <v>82</v>
      </c>
      <c r="R2" s="139"/>
      <c r="S2" s="139"/>
      <c r="T2" s="139"/>
      <c r="U2" s="139"/>
      <c r="V2" s="139"/>
      <c r="Y2" s="138" t="s">
        <v>82</v>
      </c>
      <c r="Z2" s="139"/>
      <c r="AA2" s="139"/>
      <c r="AB2" s="139"/>
      <c r="AC2" s="139"/>
      <c r="AD2" s="139"/>
    </row>
    <row r="3" spans="1:30" ht="23.25" customHeight="1">
      <c r="A3" s="796" t="s">
        <v>83</v>
      </c>
      <c r="B3" s="800" t="s">
        <v>84</v>
      </c>
      <c r="C3" s="796" t="s">
        <v>85</v>
      </c>
      <c r="D3" s="793" t="s">
        <v>86</v>
      </c>
      <c r="E3" s="793" t="s">
        <v>87</v>
      </c>
      <c r="F3" s="794" t="s">
        <v>88</v>
      </c>
      <c r="I3" s="796" t="s">
        <v>83</v>
      </c>
      <c r="J3" s="800" t="s">
        <v>84</v>
      </c>
      <c r="K3" s="796" t="s">
        <v>85</v>
      </c>
      <c r="L3" s="793" t="s">
        <v>86</v>
      </c>
      <c r="M3" s="793" t="s">
        <v>87</v>
      </c>
      <c r="N3" s="794" t="s">
        <v>88</v>
      </c>
      <c r="Q3" s="796" t="s">
        <v>83</v>
      </c>
      <c r="R3" s="800" t="s">
        <v>84</v>
      </c>
      <c r="S3" s="796" t="s">
        <v>85</v>
      </c>
      <c r="T3" s="793" t="s">
        <v>86</v>
      </c>
      <c r="U3" s="793" t="s">
        <v>87</v>
      </c>
      <c r="V3" s="794" t="s">
        <v>88</v>
      </c>
      <c r="Y3" s="796" t="s">
        <v>83</v>
      </c>
      <c r="Z3" s="800" t="s">
        <v>84</v>
      </c>
      <c r="AA3" s="796" t="s">
        <v>85</v>
      </c>
      <c r="AB3" s="793" t="s">
        <v>86</v>
      </c>
      <c r="AC3" s="793" t="s">
        <v>87</v>
      </c>
      <c r="AD3" s="794" t="s">
        <v>88</v>
      </c>
    </row>
    <row r="4" spans="1:30" ht="23.25" customHeight="1">
      <c r="A4" s="797"/>
      <c r="B4" s="800"/>
      <c r="C4" s="797"/>
      <c r="D4" s="793"/>
      <c r="E4" s="793"/>
      <c r="F4" s="795"/>
      <c r="I4" s="797"/>
      <c r="J4" s="800"/>
      <c r="K4" s="797"/>
      <c r="L4" s="793"/>
      <c r="M4" s="793"/>
      <c r="N4" s="795"/>
      <c r="Q4" s="797"/>
      <c r="R4" s="800"/>
      <c r="S4" s="797"/>
      <c r="T4" s="793"/>
      <c r="U4" s="793"/>
      <c r="V4" s="795"/>
      <c r="Y4" s="797"/>
      <c r="Z4" s="800"/>
      <c r="AA4" s="797"/>
      <c r="AB4" s="793"/>
      <c r="AC4" s="793"/>
      <c r="AD4" s="795"/>
    </row>
    <row r="5" spans="1:30" ht="23.25" customHeight="1">
      <c r="A5" s="140" t="s">
        <v>89</v>
      </c>
      <c r="B5" s="148">
        <v>1666.76</v>
      </c>
      <c r="C5" s="141">
        <v>2.3E-2</v>
      </c>
      <c r="D5" s="141">
        <v>0.185</v>
      </c>
      <c r="E5" s="151">
        <v>1500</v>
      </c>
      <c r="F5" s="142">
        <f>+B5/C5*D5/E5</f>
        <v>8.9376985507246385</v>
      </c>
      <c r="I5" s="140" t="s">
        <v>89</v>
      </c>
      <c r="J5" s="148">
        <v>1752.06</v>
      </c>
      <c r="K5" s="141">
        <v>2.3E-2</v>
      </c>
      <c r="L5" s="141">
        <v>0.185</v>
      </c>
      <c r="M5" s="151">
        <v>1500</v>
      </c>
      <c r="N5" s="142">
        <f>+J5/K5*L5/M5</f>
        <v>9.3951043478260861</v>
      </c>
      <c r="Q5" s="140" t="s">
        <v>89</v>
      </c>
      <c r="R5" s="148">
        <v>1721.98</v>
      </c>
      <c r="S5" s="141">
        <v>2.3E-2</v>
      </c>
      <c r="T5" s="141">
        <v>0.185</v>
      </c>
      <c r="U5" s="151">
        <v>1500</v>
      </c>
      <c r="V5" s="142">
        <f>+R5/S5*T5/U5</f>
        <v>9.23380579710145</v>
      </c>
      <c r="Y5" s="140" t="s">
        <v>103</v>
      </c>
      <c r="Z5" s="148">
        <v>1578.68</v>
      </c>
      <c r="AA5" s="141">
        <v>1.4999999999999999E-2</v>
      </c>
      <c r="AB5" s="157">
        <v>0.15</v>
      </c>
      <c r="AC5" s="151">
        <v>1500</v>
      </c>
      <c r="AD5" s="146">
        <f>+Z5/AA5*AB5/AC5</f>
        <v>10.524533333333334</v>
      </c>
    </row>
    <row r="6" spans="1:30" ht="23.25" customHeight="1">
      <c r="A6" s="140" t="s">
        <v>101</v>
      </c>
      <c r="B6" s="148">
        <v>1666.76</v>
      </c>
      <c r="C6" s="141">
        <v>2.1000000000000001E-2</v>
      </c>
      <c r="D6" s="141">
        <v>0.185</v>
      </c>
      <c r="E6" s="151">
        <v>1500</v>
      </c>
      <c r="F6" s="142">
        <f>+B6/C6*D6/E6</f>
        <v>9.7889079365079361</v>
      </c>
      <c r="I6" s="140" t="s">
        <v>101</v>
      </c>
      <c r="J6" s="148">
        <v>1752.06</v>
      </c>
      <c r="K6" s="141">
        <v>2.1000000000000001E-2</v>
      </c>
      <c r="L6" s="141">
        <v>0.185</v>
      </c>
      <c r="M6" s="151">
        <v>1500</v>
      </c>
      <c r="N6" s="142">
        <f>+J6/K6*L6/M6</f>
        <v>10.289876190476189</v>
      </c>
      <c r="Q6" s="140" t="s">
        <v>101</v>
      </c>
      <c r="R6" s="148">
        <v>1721.98</v>
      </c>
      <c r="S6" s="141">
        <v>2.1000000000000001E-2</v>
      </c>
      <c r="T6" s="141">
        <v>0.185</v>
      </c>
      <c r="U6" s="151">
        <v>1500</v>
      </c>
      <c r="V6" s="142">
        <f>+R6/S6*T6/U6</f>
        <v>10.113215873015871</v>
      </c>
      <c r="Y6" s="140" t="s">
        <v>104</v>
      </c>
      <c r="Z6" s="148">
        <v>1578.68</v>
      </c>
      <c r="AA6" s="141">
        <v>1.2500000000000001E-2</v>
      </c>
      <c r="AB6" s="141">
        <v>0.125</v>
      </c>
      <c r="AC6" s="151">
        <v>1500</v>
      </c>
      <c r="AD6" s="146">
        <f>+Z6/AA6*AB6/AC6</f>
        <v>10.524533333333332</v>
      </c>
    </row>
    <row r="7" spans="1:30" ht="23.25" customHeight="1">
      <c r="A7" s="143"/>
      <c r="B7" s="149"/>
      <c r="C7" s="144"/>
      <c r="D7" s="144"/>
      <c r="E7" s="152"/>
      <c r="F7" s="145">
        <f>+F6*1500</f>
        <v>14683.361904761905</v>
      </c>
      <c r="G7" s="137">
        <f>+F7/D6</f>
        <v>79369.523809523816</v>
      </c>
      <c r="I7" s="143"/>
      <c r="J7" s="149"/>
      <c r="K7" s="144"/>
      <c r="L7" s="144"/>
      <c r="M7" s="152"/>
      <c r="N7" s="145">
        <f>+N6*1500</f>
        <v>15434.814285714283</v>
      </c>
      <c r="O7" s="137">
        <f>+N7/L6</f>
        <v>83431.428571428551</v>
      </c>
      <c r="Q7" s="143"/>
      <c r="R7" s="149"/>
      <c r="S7" s="144"/>
      <c r="T7" s="144"/>
      <c r="U7" s="152"/>
      <c r="V7" s="145">
        <f>+V6*1500</f>
        <v>15169.823809523807</v>
      </c>
      <c r="W7" s="137">
        <f>+V7/T6</f>
        <v>81999.047619047604</v>
      </c>
      <c r="Y7" s="143"/>
      <c r="Z7" s="149"/>
      <c r="AA7" s="144"/>
      <c r="AB7" s="144"/>
      <c r="AC7" s="152"/>
      <c r="AD7" s="145">
        <f>+AD6*1500</f>
        <v>15786.8</v>
      </c>
    </row>
    <row r="8" spans="1:30" ht="23.25" customHeight="1">
      <c r="A8" s="138" t="s">
        <v>90</v>
      </c>
      <c r="B8" s="150"/>
      <c r="C8" s="139"/>
      <c r="D8" s="139"/>
      <c r="E8" s="153"/>
      <c r="F8" s="139"/>
      <c r="G8" s="137">
        <f>+G7/24</f>
        <v>3307.0634920634925</v>
      </c>
      <c r="I8" s="138" t="s">
        <v>90</v>
      </c>
      <c r="J8" s="150"/>
      <c r="K8" s="139"/>
      <c r="L8" s="139"/>
      <c r="M8" s="153"/>
      <c r="N8" s="139"/>
      <c r="Q8" s="138" t="s">
        <v>90</v>
      </c>
      <c r="R8" s="150"/>
      <c r="S8" s="139"/>
      <c r="T8" s="139"/>
      <c r="U8" s="153"/>
      <c r="V8" s="139"/>
      <c r="Y8" s="138" t="s">
        <v>90</v>
      </c>
      <c r="Z8" s="150"/>
      <c r="AA8" s="139"/>
      <c r="AB8" s="139"/>
      <c r="AC8" s="153"/>
      <c r="AD8" s="139"/>
    </row>
    <row r="9" spans="1:30" ht="23.25" customHeight="1">
      <c r="A9" s="796" t="s">
        <v>83</v>
      </c>
      <c r="B9" s="798" t="s">
        <v>84</v>
      </c>
      <c r="C9" s="796" t="s">
        <v>85</v>
      </c>
      <c r="D9" s="796" t="s">
        <v>91</v>
      </c>
      <c r="E9" s="805" t="s">
        <v>92</v>
      </c>
      <c r="F9" s="799" t="s">
        <v>93</v>
      </c>
      <c r="G9" s="137">
        <f>+G8*3.312</f>
        <v>10952.994285714287</v>
      </c>
      <c r="I9" s="796" t="s">
        <v>83</v>
      </c>
      <c r="J9" s="798" t="s">
        <v>84</v>
      </c>
      <c r="K9" s="796" t="s">
        <v>85</v>
      </c>
      <c r="L9" s="796" t="s">
        <v>91</v>
      </c>
      <c r="M9" s="805" t="s">
        <v>92</v>
      </c>
      <c r="N9" s="799" t="s">
        <v>93</v>
      </c>
      <c r="Q9" s="796" t="s">
        <v>83</v>
      </c>
      <c r="R9" s="798" t="s">
        <v>84</v>
      </c>
      <c r="S9" s="796" t="s">
        <v>85</v>
      </c>
      <c r="T9" s="796" t="s">
        <v>91</v>
      </c>
      <c r="U9" s="792" t="s">
        <v>92</v>
      </c>
      <c r="V9" s="623" t="s">
        <v>93</v>
      </c>
      <c r="Y9" s="796" t="s">
        <v>83</v>
      </c>
      <c r="Z9" s="798" t="s">
        <v>84</v>
      </c>
      <c r="AA9" s="796" t="s">
        <v>85</v>
      </c>
      <c r="AB9" s="796" t="s">
        <v>91</v>
      </c>
      <c r="AC9" s="792" t="s">
        <v>92</v>
      </c>
      <c r="AD9" s="623" t="s">
        <v>93</v>
      </c>
    </row>
    <row r="10" spans="1:30" ht="23.25" customHeight="1">
      <c r="A10" s="797"/>
      <c r="B10" s="798"/>
      <c r="C10" s="797"/>
      <c r="D10" s="797"/>
      <c r="E10" s="805"/>
      <c r="F10" s="799"/>
      <c r="G10" s="137">
        <f>+G7*0.023</f>
        <v>1825.4990476190478</v>
      </c>
      <c r="I10" s="797"/>
      <c r="J10" s="798"/>
      <c r="K10" s="797"/>
      <c r="L10" s="797"/>
      <c r="M10" s="805"/>
      <c r="N10" s="799"/>
      <c r="Q10" s="797"/>
      <c r="R10" s="798"/>
      <c r="S10" s="797"/>
      <c r="T10" s="797"/>
      <c r="U10" s="792"/>
      <c r="V10" s="623"/>
      <c r="Y10" s="797"/>
      <c r="Z10" s="798"/>
      <c r="AA10" s="797"/>
      <c r="AB10" s="797"/>
      <c r="AC10" s="792"/>
      <c r="AD10" s="623"/>
    </row>
    <row r="11" spans="1:30" ht="23.25" customHeight="1">
      <c r="A11" s="140" t="s">
        <v>89</v>
      </c>
      <c r="B11" s="148">
        <v>1666.76</v>
      </c>
      <c r="C11" s="141">
        <v>2.3E-2</v>
      </c>
      <c r="D11" s="141">
        <v>3.1799999999999998E-4</v>
      </c>
      <c r="E11" s="154">
        <f>+B11/C11*D11</f>
        <v>23.044768695652174</v>
      </c>
      <c r="F11" s="142">
        <f>+E11/5</f>
        <v>4.6089537391304347</v>
      </c>
      <c r="G11" s="137">
        <f>+G10/3.312</f>
        <v>551.17724867724871</v>
      </c>
      <c r="I11" s="140" t="s">
        <v>89</v>
      </c>
      <c r="J11" s="148">
        <v>1752.06</v>
      </c>
      <c r="K11" s="141">
        <v>2.3E-2</v>
      </c>
      <c r="L11" s="141">
        <v>3.1799999999999998E-4</v>
      </c>
      <c r="M11" s="154">
        <f>+J11/K11*L11</f>
        <v>24.224133913043477</v>
      </c>
      <c r="N11" s="142">
        <f>+M11/5</f>
        <v>4.8448267826086955</v>
      </c>
      <c r="Q11" s="140" t="s">
        <v>89</v>
      </c>
      <c r="R11" s="148">
        <v>1721.98</v>
      </c>
      <c r="S11" s="141">
        <v>2.3E-2</v>
      </c>
      <c r="T11" s="141">
        <v>3.1799999999999998E-4</v>
      </c>
      <c r="U11" s="154">
        <f>+R11/S11*T11</f>
        <v>23.808245217391306</v>
      </c>
      <c r="V11" s="142">
        <f>+U11/5</f>
        <v>4.7616490434782612</v>
      </c>
      <c r="Y11" s="140" t="s">
        <v>103</v>
      </c>
      <c r="Z11" s="148">
        <v>1578.68</v>
      </c>
      <c r="AA11" s="141">
        <v>1.4999999999999999E-2</v>
      </c>
      <c r="AB11" s="141">
        <v>3.1799999999999998E-4</v>
      </c>
      <c r="AC11" s="154">
        <f>+Z11/AA11*AB11</f>
        <v>33.468015999999999</v>
      </c>
      <c r="AD11" s="142">
        <f>+AC11/5</f>
        <v>6.6936032000000001</v>
      </c>
    </row>
    <row r="12" spans="1:30" ht="23.25" customHeight="1">
      <c r="A12" s="140" t="s">
        <v>101</v>
      </c>
      <c r="B12" s="148">
        <v>1666.76</v>
      </c>
      <c r="C12" s="141">
        <v>2.1000000000000001E-2</v>
      </c>
      <c r="D12" s="141">
        <v>3.1799999999999998E-4</v>
      </c>
      <c r="E12" s="154">
        <f>+B12/C12*D12</f>
        <v>25.239508571428566</v>
      </c>
      <c r="F12" s="142">
        <f>+E12/5</f>
        <v>5.0479017142857128</v>
      </c>
      <c r="I12" s="140" t="s">
        <v>101</v>
      </c>
      <c r="J12" s="148">
        <v>1752.06</v>
      </c>
      <c r="K12" s="141">
        <v>2.1000000000000001E-2</v>
      </c>
      <c r="L12" s="141">
        <v>3.1799999999999998E-4</v>
      </c>
      <c r="M12" s="154">
        <f>+J12/K12*L12</f>
        <v>26.531194285714282</v>
      </c>
      <c r="N12" s="142">
        <f>+M12/5</f>
        <v>5.3062388571428567</v>
      </c>
      <c r="Q12" s="140" t="s">
        <v>101</v>
      </c>
      <c r="R12" s="148">
        <v>1721.98</v>
      </c>
      <c r="S12" s="141">
        <v>2.1000000000000001E-2</v>
      </c>
      <c r="T12" s="141">
        <v>3.1799999999999998E-4</v>
      </c>
      <c r="U12" s="154">
        <f>+R12/S12*T12</f>
        <v>26.075697142857141</v>
      </c>
      <c r="V12" s="142">
        <f>+U12/5</f>
        <v>5.2151394285714279</v>
      </c>
      <c r="Y12" s="140" t="s">
        <v>104</v>
      </c>
      <c r="Z12" s="148">
        <v>1578.68</v>
      </c>
      <c r="AA12" s="141">
        <v>1.2500000000000001E-2</v>
      </c>
      <c r="AB12" s="141">
        <v>3.1799999999999998E-4</v>
      </c>
      <c r="AC12" s="154">
        <f>+Z12/AA12*AB12</f>
        <v>40.161619199999997</v>
      </c>
      <c r="AD12" s="142">
        <f>+AC12/5</f>
        <v>8.0323238400000001</v>
      </c>
    </row>
    <row r="13" spans="1:30" ht="23.25" customHeight="1">
      <c r="B13" s="150"/>
      <c r="C13" s="139"/>
      <c r="D13" s="139"/>
      <c r="E13" s="153">
        <f>+E12/D12</f>
        <v>79369.523809523802</v>
      </c>
      <c r="F13" s="139">
        <f>+E13*C12</f>
        <v>1666.76</v>
      </c>
      <c r="J13" s="150"/>
      <c r="K13" s="139"/>
      <c r="L13" s="139"/>
      <c r="M13" s="153">
        <f>+M12/L12</f>
        <v>83431.428571428565</v>
      </c>
      <c r="N13" s="139"/>
      <c r="R13" s="150"/>
      <c r="S13" s="139"/>
      <c r="T13" s="139"/>
      <c r="U13" s="153">
        <f>+U12/T12</f>
        <v>81999.047619047618</v>
      </c>
      <c r="V13" s="139"/>
      <c r="Z13" s="150"/>
      <c r="AA13" s="139"/>
      <c r="AB13" s="139"/>
      <c r="AC13" s="153">
        <f>+AC12/AB12</f>
        <v>126294.39999999999</v>
      </c>
      <c r="AD13" s="139"/>
    </row>
    <row r="14" spans="1:30" ht="23.25" customHeight="1">
      <c r="A14" s="138" t="s">
        <v>94</v>
      </c>
      <c r="B14" s="150"/>
      <c r="C14" s="139"/>
      <c r="D14" s="139"/>
      <c r="E14" s="153"/>
      <c r="F14" s="139"/>
      <c r="I14" s="138" t="s">
        <v>94</v>
      </c>
      <c r="J14" s="150"/>
      <c r="K14" s="139"/>
      <c r="L14" s="139"/>
      <c r="M14" s="153"/>
      <c r="N14" s="139"/>
      <c r="Q14" s="138" t="s">
        <v>94</v>
      </c>
      <c r="R14" s="150"/>
      <c r="S14" s="139"/>
      <c r="T14" s="139"/>
      <c r="U14" s="153"/>
      <c r="V14" s="139"/>
      <c r="Y14" s="138" t="s">
        <v>107</v>
      </c>
      <c r="Z14" s="150"/>
      <c r="AA14" s="139"/>
      <c r="AB14" s="139"/>
      <c r="AC14" s="153"/>
      <c r="AD14" s="139"/>
    </row>
    <row r="15" spans="1:30" ht="23.25" customHeight="1">
      <c r="A15" s="796" t="s">
        <v>83</v>
      </c>
      <c r="B15" s="798" t="s">
        <v>84</v>
      </c>
      <c r="C15" s="796" t="s">
        <v>85</v>
      </c>
      <c r="D15" s="801" t="s">
        <v>95</v>
      </c>
      <c r="E15" s="805" t="s">
        <v>96</v>
      </c>
      <c r="F15" s="799" t="s">
        <v>97</v>
      </c>
      <c r="I15" s="796" t="s">
        <v>83</v>
      </c>
      <c r="J15" s="798" t="s">
        <v>84</v>
      </c>
      <c r="K15" s="796" t="s">
        <v>85</v>
      </c>
      <c r="L15" s="801" t="s">
        <v>95</v>
      </c>
      <c r="M15" s="805" t="s">
        <v>96</v>
      </c>
      <c r="N15" s="799" t="s">
        <v>97</v>
      </c>
      <c r="Q15" s="796" t="s">
        <v>83</v>
      </c>
      <c r="R15" s="798" t="s">
        <v>84</v>
      </c>
      <c r="S15" s="796" t="s">
        <v>85</v>
      </c>
      <c r="T15" s="801" t="s">
        <v>95</v>
      </c>
      <c r="U15" s="792" t="s">
        <v>96</v>
      </c>
      <c r="V15" s="623" t="s">
        <v>97</v>
      </c>
      <c r="Y15" s="796" t="s">
        <v>83</v>
      </c>
      <c r="Z15" s="798" t="s">
        <v>84</v>
      </c>
      <c r="AA15" s="796" t="s">
        <v>85</v>
      </c>
      <c r="AB15" s="801" t="s">
        <v>105</v>
      </c>
      <c r="AC15" s="792" t="s">
        <v>106</v>
      </c>
      <c r="AD15" s="623" t="s">
        <v>97</v>
      </c>
    </row>
    <row r="16" spans="1:30" ht="23.25" customHeight="1">
      <c r="A16" s="797"/>
      <c r="B16" s="798"/>
      <c r="C16" s="797"/>
      <c r="D16" s="802"/>
      <c r="E16" s="805"/>
      <c r="F16" s="799"/>
      <c r="I16" s="797"/>
      <c r="J16" s="798"/>
      <c r="K16" s="797"/>
      <c r="L16" s="802"/>
      <c r="M16" s="805"/>
      <c r="N16" s="799"/>
      <c r="Q16" s="797"/>
      <c r="R16" s="798"/>
      <c r="S16" s="797"/>
      <c r="T16" s="802"/>
      <c r="U16" s="792"/>
      <c r="V16" s="623"/>
      <c r="Y16" s="797"/>
      <c r="Z16" s="798"/>
      <c r="AA16" s="797"/>
      <c r="AB16" s="802"/>
      <c r="AC16" s="792"/>
      <c r="AD16" s="623"/>
    </row>
    <row r="17" spans="1:30" ht="23.25" customHeight="1">
      <c r="A17" s="140" t="s">
        <v>89</v>
      </c>
      <c r="B17" s="148">
        <v>1666.76</v>
      </c>
      <c r="C17" s="141">
        <v>2.3E-2</v>
      </c>
      <c r="D17" s="141">
        <v>26</v>
      </c>
      <c r="E17" s="154">
        <f>+B17/C17/D17</f>
        <v>2787.2240802675587</v>
      </c>
      <c r="F17" s="142">
        <f>+E17/6</f>
        <v>464.53734671125977</v>
      </c>
      <c r="I17" s="140" t="s">
        <v>89</v>
      </c>
      <c r="J17" s="148">
        <v>1752.06</v>
      </c>
      <c r="K17" s="141">
        <v>2.3E-2</v>
      </c>
      <c r="L17" s="141">
        <v>26</v>
      </c>
      <c r="M17" s="154">
        <f>+J17/K17/L17</f>
        <v>2929.8662207357856</v>
      </c>
      <c r="N17" s="142">
        <f>+M17/6</f>
        <v>488.31103678929759</v>
      </c>
      <c r="Q17" s="140" t="s">
        <v>89</v>
      </c>
      <c r="R17" s="148">
        <v>1721.98</v>
      </c>
      <c r="S17" s="141">
        <v>2.3E-2</v>
      </c>
      <c r="T17" s="141">
        <v>26</v>
      </c>
      <c r="U17" s="154">
        <f>+R17/S17/T17</f>
        <v>2879.5652173913045</v>
      </c>
      <c r="V17" s="142">
        <f>+U17/6</f>
        <v>479.92753623188406</v>
      </c>
      <c r="Y17" s="140" t="s">
        <v>103</v>
      </c>
      <c r="Z17" s="148">
        <v>1578.68</v>
      </c>
      <c r="AA17" s="141">
        <v>1.4999999999999999E-2</v>
      </c>
      <c r="AB17" s="141">
        <v>30</v>
      </c>
      <c r="AC17" s="154">
        <f>+Z17/AA17/AB17</f>
        <v>3508.1777777777779</v>
      </c>
      <c r="AD17" s="154">
        <f>+AC17/10</f>
        <v>350.81777777777779</v>
      </c>
    </row>
    <row r="18" spans="1:30" ht="23.25" customHeight="1">
      <c r="A18" s="140" t="s">
        <v>101</v>
      </c>
      <c r="B18" s="148">
        <v>1666.76</v>
      </c>
      <c r="C18" s="141">
        <v>2.1000000000000001E-2</v>
      </c>
      <c r="D18" s="141">
        <v>26</v>
      </c>
      <c r="E18" s="154">
        <f>+B18/C18/D18</f>
        <v>3052.6739926739924</v>
      </c>
      <c r="F18" s="142">
        <f>+E18/6</f>
        <v>508.77899877899875</v>
      </c>
      <c r="I18" s="140" t="s">
        <v>101</v>
      </c>
      <c r="J18" s="148">
        <v>1752.06</v>
      </c>
      <c r="K18" s="141">
        <v>2.1000000000000001E-2</v>
      </c>
      <c r="L18" s="141">
        <v>26</v>
      </c>
      <c r="M18" s="154">
        <f>+J18/K18/L18</f>
        <v>3208.9010989010985</v>
      </c>
      <c r="N18" s="142">
        <f>+M18/6</f>
        <v>534.81684981684975</v>
      </c>
      <c r="Q18" s="140" t="s">
        <v>101</v>
      </c>
      <c r="R18" s="148">
        <v>1721.98</v>
      </c>
      <c r="S18" s="141">
        <v>2.1000000000000001E-2</v>
      </c>
      <c r="T18" s="141">
        <v>26</v>
      </c>
      <c r="U18" s="154">
        <f>+R18/S18/T18</f>
        <v>3153.8095238095239</v>
      </c>
      <c r="V18" s="142">
        <f>+U18/6</f>
        <v>525.6349206349206</v>
      </c>
      <c r="Y18" s="140" t="s">
        <v>104</v>
      </c>
      <c r="Z18" s="148">
        <v>1578.68</v>
      </c>
      <c r="AA18" s="141">
        <v>1.2500000000000001E-2</v>
      </c>
      <c r="AB18" s="141">
        <v>30</v>
      </c>
      <c r="AC18" s="154">
        <f>+Z18/AA18/AB18</f>
        <v>4209.8133333333335</v>
      </c>
      <c r="AD18" s="154">
        <f>+AC18/10</f>
        <v>420.98133333333334</v>
      </c>
    </row>
    <row r="19" spans="1:30" ht="23.25" customHeight="1">
      <c r="B19" s="150"/>
      <c r="C19" s="139"/>
      <c r="D19" s="139"/>
      <c r="E19" s="153"/>
      <c r="F19" s="139"/>
      <c r="J19" s="150"/>
      <c r="K19" s="139"/>
      <c r="L19" s="139"/>
      <c r="M19" s="153"/>
      <c r="N19" s="139"/>
      <c r="R19" s="150"/>
      <c r="S19" s="139"/>
      <c r="T19" s="139"/>
      <c r="U19" s="153"/>
      <c r="V19" s="139"/>
    </row>
    <row r="20" spans="1:30" ht="23.25" customHeight="1">
      <c r="A20" s="138" t="s">
        <v>98</v>
      </c>
      <c r="B20" s="150"/>
      <c r="C20" s="139"/>
      <c r="D20" s="139"/>
      <c r="E20" s="153"/>
      <c r="F20" s="139"/>
      <c r="I20" s="138" t="s">
        <v>98</v>
      </c>
      <c r="J20" s="150"/>
      <c r="K20" s="139"/>
      <c r="L20" s="139"/>
      <c r="M20" s="153"/>
      <c r="N20" s="139"/>
      <c r="Q20" s="138" t="s">
        <v>98</v>
      </c>
      <c r="R20" s="150"/>
      <c r="S20" s="139"/>
      <c r="T20" s="139"/>
      <c r="U20" s="153"/>
      <c r="V20" s="139"/>
    </row>
    <row r="21" spans="1:30" ht="23.25" customHeight="1">
      <c r="A21" s="796" t="s">
        <v>83</v>
      </c>
      <c r="B21" s="798" t="s">
        <v>84</v>
      </c>
      <c r="C21" s="796" t="s">
        <v>85</v>
      </c>
      <c r="D21" s="801" t="s">
        <v>95</v>
      </c>
      <c r="E21" s="804" t="s">
        <v>96</v>
      </c>
      <c r="F21" s="793" t="s">
        <v>99</v>
      </c>
      <c r="G21" s="799" t="s">
        <v>100</v>
      </c>
      <c r="I21" s="796" t="s">
        <v>83</v>
      </c>
      <c r="J21" s="798" t="s">
        <v>84</v>
      </c>
      <c r="K21" s="796" t="s">
        <v>85</v>
      </c>
      <c r="L21" s="801" t="s">
        <v>95</v>
      </c>
      <c r="M21" s="804" t="s">
        <v>96</v>
      </c>
      <c r="N21" s="793" t="s">
        <v>99</v>
      </c>
      <c r="O21" s="799" t="s">
        <v>100</v>
      </c>
      <c r="Q21" s="796" t="s">
        <v>83</v>
      </c>
      <c r="R21" s="798" t="s">
        <v>84</v>
      </c>
      <c r="S21" s="796" t="s">
        <v>85</v>
      </c>
      <c r="T21" s="801" t="s">
        <v>95</v>
      </c>
      <c r="U21" s="803" t="s">
        <v>96</v>
      </c>
      <c r="V21" s="800" t="s">
        <v>99</v>
      </c>
      <c r="W21" s="799" t="s">
        <v>100</v>
      </c>
    </row>
    <row r="22" spans="1:30" ht="23.25" customHeight="1">
      <c r="A22" s="797"/>
      <c r="B22" s="798"/>
      <c r="C22" s="797"/>
      <c r="D22" s="802"/>
      <c r="E22" s="804"/>
      <c r="F22" s="793"/>
      <c r="G22" s="799"/>
      <c r="I22" s="797"/>
      <c r="J22" s="798"/>
      <c r="K22" s="797"/>
      <c r="L22" s="802"/>
      <c r="M22" s="804"/>
      <c r="N22" s="793"/>
      <c r="O22" s="799"/>
      <c r="Q22" s="797"/>
      <c r="R22" s="798"/>
      <c r="S22" s="797"/>
      <c r="T22" s="802"/>
      <c r="U22" s="803"/>
      <c r="V22" s="800"/>
      <c r="W22" s="799"/>
    </row>
    <row r="23" spans="1:30" ht="23.25" customHeight="1">
      <c r="A23" s="140" t="s">
        <v>89</v>
      </c>
      <c r="B23" s="148">
        <v>1666.76</v>
      </c>
      <c r="C23" s="141">
        <v>2.3E-2</v>
      </c>
      <c r="D23" s="141">
        <v>26</v>
      </c>
      <c r="E23" s="151">
        <f>+B23/C23/D23</f>
        <v>2787.2240802675587</v>
      </c>
      <c r="F23" s="147">
        <v>5.8819999999999999E-4</v>
      </c>
      <c r="G23" s="146">
        <f>+E23*F23</f>
        <v>1.639445204013378</v>
      </c>
      <c r="I23" s="140" t="s">
        <v>89</v>
      </c>
      <c r="J23" s="148">
        <v>1752.06</v>
      </c>
      <c r="K23" s="141">
        <v>2.3E-2</v>
      </c>
      <c r="L23" s="141">
        <v>26</v>
      </c>
      <c r="M23" s="151">
        <f>+J23/K23/L23</f>
        <v>2929.8662207357856</v>
      </c>
      <c r="N23" s="147">
        <v>5.8819999999999999E-4</v>
      </c>
      <c r="O23" s="146">
        <f>+M23*N23</f>
        <v>1.7233473110367892</v>
      </c>
      <c r="Q23" s="140" t="s">
        <v>89</v>
      </c>
      <c r="R23" s="148">
        <v>1721.98</v>
      </c>
      <c r="S23" s="141">
        <v>2.3E-2</v>
      </c>
      <c r="T23" s="141">
        <v>26</v>
      </c>
      <c r="U23" s="151">
        <f>+R23/S23/T23</f>
        <v>2879.5652173913045</v>
      </c>
      <c r="V23" s="147">
        <v>5.8819999999999999E-4</v>
      </c>
      <c r="W23" s="146">
        <f>+U23*V23</f>
        <v>1.6937602608695652</v>
      </c>
    </row>
    <row r="24" spans="1:30" ht="23.25" customHeight="1">
      <c r="A24" s="140" t="s">
        <v>101</v>
      </c>
      <c r="B24" s="148">
        <v>1666.76</v>
      </c>
      <c r="C24" s="141">
        <v>2.1000000000000001E-2</v>
      </c>
      <c r="D24" s="141">
        <v>26</v>
      </c>
      <c r="E24" s="151">
        <f>+B24/C24/D24</f>
        <v>3052.6739926739924</v>
      </c>
      <c r="F24" s="147">
        <v>5.8819999999999999E-4</v>
      </c>
      <c r="G24" s="146">
        <f>+E24*F24</f>
        <v>1.7955828424908422</v>
      </c>
      <c r="I24" s="140" t="s">
        <v>101</v>
      </c>
      <c r="J24" s="148">
        <v>1752.06</v>
      </c>
      <c r="K24" s="141">
        <v>2.1000000000000001E-2</v>
      </c>
      <c r="L24" s="141">
        <v>26</v>
      </c>
      <c r="M24" s="151">
        <f>+J24/K24/L24</f>
        <v>3208.9010989010985</v>
      </c>
      <c r="N24" s="147">
        <v>5.8819999999999999E-4</v>
      </c>
      <c r="O24" s="146">
        <f>+M24*N24</f>
        <v>1.8874756263736261</v>
      </c>
      <c r="Q24" s="140" t="s">
        <v>101</v>
      </c>
      <c r="R24" s="148">
        <v>1721.98</v>
      </c>
      <c r="S24" s="141">
        <v>2.1000000000000001E-2</v>
      </c>
      <c r="T24" s="141">
        <v>26</v>
      </c>
      <c r="U24" s="151">
        <f>+R24/S24/T24</f>
        <v>3153.8095238095239</v>
      </c>
      <c r="V24" s="147">
        <v>5.8819999999999999E-4</v>
      </c>
      <c r="W24" s="146">
        <f>+U24*V24</f>
        <v>1.8550707619047619</v>
      </c>
    </row>
    <row r="25" spans="1:30">
      <c r="E25" s="155"/>
      <c r="J25" s="156"/>
      <c r="M25" s="155"/>
    </row>
    <row r="26" spans="1:30">
      <c r="E26" s="155"/>
      <c r="J26" s="156"/>
      <c r="M26" s="155"/>
    </row>
    <row r="27" spans="1:30">
      <c r="E27" s="155"/>
      <c r="J27" s="156"/>
      <c r="M27" s="155"/>
    </row>
    <row r="28" spans="1:30">
      <c r="E28" s="155"/>
      <c r="J28" s="156"/>
      <c r="M28" s="155"/>
    </row>
    <row r="29" spans="1:30">
      <c r="E29" s="155"/>
      <c r="J29" s="156"/>
      <c r="M29" s="155"/>
    </row>
    <row r="30" spans="1:30">
      <c r="E30" s="155"/>
      <c r="J30" s="156"/>
      <c r="M30" s="155"/>
    </row>
    <row r="31" spans="1:30">
      <c r="E31" s="155"/>
      <c r="J31" s="156"/>
      <c r="M31" s="155"/>
    </row>
    <row r="32" spans="1:30">
      <c r="E32" s="155"/>
      <c r="J32" s="156"/>
      <c r="M32" s="155"/>
    </row>
    <row r="33" spans="5:13">
      <c r="E33" s="155"/>
      <c r="J33" s="156"/>
      <c r="M33" s="155"/>
    </row>
    <row r="34" spans="5:13">
      <c r="E34" s="155"/>
      <c r="J34" s="156"/>
      <c r="M34" s="155"/>
    </row>
    <row r="35" spans="5:13">
      <c r="E35" s="155"/>
      <c r="J35" s="156"/>
      <c r="M35" s="155"/>
    </row>
    <row r="36" spans="5:13">
      <c r="E36" s="155"/>
      <c r="J36" s="156"/>
      <c r="M36" s="155"/>
    </row>
    <row r="37" spans="5:13">
      <c r="E37" s="155"/>
      <c r="J37" s="156"/>
      <c r="M37" s="155"/>
    </row>
    <row r="38" spans="5:13" ht="15" customHeight="1">
      <c r="E38" s="155"/>
      <c r="J38" s="156"/>
      <c r="M38" s="155"/>
    </row>
    <row r="39" spans="5:13" ht="15" customHeight="1">
      <c r="E39" s="155"/>
      <c r="J39" s="156"/>
      <c r="M39" s="155"/>
    </row>
    <row r="40" spans="5:13" ht="12.75" customHeight="1">
      <c r="E40" s="155"/>
      <c r="J40" s="156"/>
      <c r="M40" s="155"/>
    </row>
    <row r="41" spans="5:13" ht="14.25" customHeight="1">
      <c r="E41" s="155"/>
      <c r="J41" s="156"/>
      <c r="M41" s="155"/>
    </row>
    <row r="42" spans="5:13">
      <c r="E42" s="155"/>
      <c r="J42" s="156"/>
      <c r="M42" s="155"/>
    </row>
    <row r="43" spans="5:13">
      <c r="E43" s="155"/>
      <c r="J43" s="156"/>
      <c r="M43" s="155"/>
    </row>
    <row r="44" spans="5:13">
      <c r="E44" s="155"/>
      <c r="J44" s="156"/>
      <c r="M44" s="155"/>
    </row>
    <row r="45" spans="5:13">
      <c r="E45" s="155"/>
      <c r="J45" s="156"/>
      <c r="M45" s="155"/>
    </row>
    <row r="46" spans="5:13">
      <c r="E46" s="155"/>
      <c r="J46" s="156"/>
      <c r="M46" s="155"/>
    </row>
    <row r="47" spans="5:13">
      <c r="E47" s="155"/>
      <c r="J47" s="156"/>
      <c r="M47" s="155"/>
    </row>
    <row r="48" spans="5:13">
      <c r="E48" s="155"/>
      <c r="J48" s="156"/>
      <c r="M48" s="155"/>
    </row>
    <row r="49" spans="5:13">
      <c r="E49" s="155"/>
      <c r="J49" s="156"/>
      <c r="M49" s="155"/>
    </row>
    <row r="50" spans="5:13">
      <c r="E50" s="155"/>
      <c r="J50" s="156"/>
      <c r="M50" s="155"/>
    </row>
    <row r="51" spans="5:13">
      <c r="E51" s="155"/>
      <c r="J51" s="156"/>
      <c r="M51" s="155"/>
    </row>
    <row r="52" spans="5:13">
      <c r="E52" s="155"/>
      <c r="J52" s="156"/>
      <c r="M52" s="155"/>
    </row>
    <row r="53" spans="5:13">
      <c r="E53" s="155"/>
      <c r="J53" s="156"/>
      <c r="M53" s="155"/>
    </row>
    <row r="54" spans="5:13">
      <c r="E54" s="155"/>
      <c r="J54" s="156"/>
      <c r="M54" s="155"/>
    </row>
    <row r="55" spans="5:13">
      <c r="E55" s="155"/>
      <c r="J55" s="156"/>
      <c r="M55" s="155"/>
    </row>
    <row r="56" spans="5:13">
      <c r="E56" s="155"/>
      <c r="J56" s="156"/>
      <c r="M56" s="155"/>
    </row>
    <row r="57" spans="5:13">
      <c r="E57" s="155"/>
      <c r="J57" s="156"/>
      <c r="M57" s="155"/>
    </row>
    <row r="58" spans="5:13">
      <c r="E58" s="155"/>
      <c r="J58" s="156"/>
      <c r="M58" s="155"/>
    </row>
    <row r="59" spans="5:13">
      <c r="E59" s="155"/>
      <c r="J59" s="156"/>
      <c r="M59" s="155"/>
    </row>
    <row r="60" spans="5:13">
      <c r="E60" s="155"/>
      <c r="J60" s="156"/>
      <c r="M60" s="155"/>
    </row>
    <row r="61" spans="5:13">
      <c r="E61" s="155"/>
      <c r="J61" s="156"/>
      <c r="M61" s="155"/>
    </row>
    <row r="62" spans="5:13">
      <c r="E62" s="155"/>
      <c r="J62" s="156"/>
      <c r="M62" s="155"/>
    </row>
    <row r="63" spans="5:13">
      <c r="E63" s="155"/>
      <c r="J63" s="156"/>
      <c r="M63" s="155"/>
    </row>
    <row r="64" spans="5:13">
      <c r="E64" s="155"/>
      <c r="J64" s="156"/>
      <c r="M64" s="155"/>
    </row>
    <row r="65" spans="5:13">
      <c r="E65" s="155"/>
      <c r="J65" s="156"/>
      <c r="M65" s="155"/>
    </row>
    <row r="66" spans="5:13">
      <c r="J66" s="156"/>
    </row>
    <row r="67" spans="5:13">
      <c r="J67" s="156"/>
    </row>
    <row r="68" spans="5:13">
      <c r="J68" s="156"/>
    </row>
    <row r="69" spans="5:13">
      <c r="J69" s="156"/>
    </row>
    <row r="70" spans="5:13">
      <c r="J70" s="156"/>
    </row>
    <row r="74" spans="5:13" ht="15" customHeight="1"/>
    <row r="76" spans="5:13" ht="12.75" customHeight="1"/>
    <row r="110" ht="15" customHeight="1"/>
    <row r="112" ht="12.75" customHeight="1"/>
  </sheetData>
  <mergeCells count="93">
    <mergeCell ref="A3:A4"/>
    <mergeCell ref="B3:B4"/>
    <mergeCell ref="C3:C4"/>
    <mergeCell ref="D3:D4"/>
    <mergeCell ref="R3:R4"/>
    <mergeCell ref="S3:S4"/>
    <mergeCell ref="T3:T4"/>
    <mergeCell ref="U3:U4"/>
    <mergeCell ref="V3:V4"/>
    <mergeCell ref="E3:E4"/>
    <mergeCell ref="F3:F4"/>
    <mergeCell ref="I3:I4"/>
    <mergeCell ref="J3:J4"/>
    <mergeCell ref="K3:K4"/>
    <mergeCell ref="A9:A10"/>
    <mergeCell ref="B9:B10"/>
    <mergeCell ref="C9:C10"/>
    <mergeCell ref="D9:D10"/>
    <mergeCell ref="E9:E10"/>
    <mergeCell ref="F9:F10"/>
    <mergeCell ref="I9:I10"/>
    <mergeCell ref="J9:J10"/>
    <mergeCell ref="K9:K10"/>
    <mergeCell ref="L9:L10"/>
    <mergeCell ref="F15:F16"/>
    <mergeCell ref="I15:I16"/>
    <mergeCell ref="J15:J16"/>
    <mergeCell ref="K15:K16"/>
    <mergeCell ref="L15:L16"/>
    <mergeCell ref="A15:A16"/>
    <mergeCell ref="B15:B16"/>
    <mergeCell ref="C15:C16"/>
    <mergeCell ref="D15:D16"/>
    <mergeCell ref="E15:E16"/>
    <mergeCell ref="A21:A22"/>
    <mergeCell ref="B21:B22"/>
    <mergeCell ref="C21:C22"/>
    <mergeCell ref="D21:D22"/>
    <mergeCell ref="E21:E22"/>
    <mergeCell ref="F21:F22"/>
    <mergeCell ref="G21:G22"/>
    <mergeCell ref="I21:I22"/>
    <mergeCell ref="J21:J22"/>
    <mergeCell ref="K21:K22"/>
    <mergeCell ref="L21:L22"/>
    <mergeCell ref="M21:M22"/>
    <mergeCell ref="N21:N22"/>
    <mergeCell ref="O21:O22"/>
    <mergeCell ref="Q3:Q4"/>
    <mergeCell ref="Q9:Q10"/>
    <mergeCell ref="Q15:Q16"/>
    <mergeCell ref="Q21:Q22"/>
    <mergeCell ref="M9:M10"/>
    <mergeCell ref="N9:N10"/>
    <mergeCell ref="M15:M16"/>
    <mergeCell ref="N15:N16"/>
    <mergeCell ref="L3:L4"/>
    <mergeCell ref="M3:M4"/>
    <mergeCell ref="N3:N4"/>
    <mergeCell ref="R9:R10"/>
    <mergeCell ref="S9:S10"/>
    <mergeCell ref="T9:T10"/>
    <mergeCell ref="U9:U10"/>
    <mergeCell ref="V9:V10"/>
    <mergeCell ref="R15:R16"/>
    <mergeCell ref="S15:S16"/>
    <mergeCell ref="T15:T16"/>
    <mergeCell ref="U15:U16"/>
    <mergeCell ref="V15:V16"/>
    <mergeCell ref="R21:R22"/>
    <mergeCell ref="S21:S22"/>
    <mergeCell ref="T21:T22"/>
    <mergeCell ref="U21:U22"/>
    <mergeCell ref="V21:V22"/>
    <mergeCell ref="W21:W22"/>
    <mergeCell ref="Y3:Y4"/>
    <mergeCell ref="Z3:Z4"/>
    <mergeCell ref="AA3:AA4"/>
    <mergeCell ref="AB3:AB4"/>
    <mergeCell ref="Y15:Y16"/>
    <mergeCell ref="Z15:Z16"/>
    <mergeCell ref="AA15:AA16"/>
    <mergeCell ref="AB15:AB16"/>
    <mergeCell ref="AC15:AC16"/>
    <mergeCell ref="AD15:AD16"/>
    <mergeCell ref="AC3:AC4"/>
    <mergeCell ref="AD3:AD4"/>
    <mergeCell ref="Y9:Y10"/>
    <mergeCell ref="Z9:Z10"/>
    <mergeCell ref="AA9:AA10"/>
    <mergeCell ref="AB9:AB10"/>
    <mergeCell ref="AC9:AC10"/>
    <mergeCell ref="AD9:AD1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21</vt:i4>
      </vt:variant>
      <vt:variant>
        <vt:lpstr>Named Ranges</vt:lpstr>
      </vt:variant>
      <vt:variant>
        <vt:i4>6</vt:i4>
      </vt:variant>
    </vt:vector>
  </HeadingPairs>
  <TitlesOfParts>
    <vt:vector size="27" baseType="lpstr">
      <vt:lpstr>HASIL PROD</vt:lpstr>
      <vt:lpstr>Actual VS SAP</vt:lpstr>
      <vt:lpstr>RIJECT COOKING</vt:lpstr>
      <vt:lpstr>DAILY OKEY AYAM</vt:lpstr>
      <vt:lpstr>DAILY CHAMP AYAM</vt:lpstr>
      <vt:lpstr>DAILY CHAMP SAPI</vt:lpstr>
      <vt:lpstr>DAILY CHAMP OTAK-OTAK</vt:lpstr>
      <vt:lpstr>DAILY FIESTA</vt:lpstr>
      <vt:lpstr>BSTB</vt:lpstr>
      <vt:lpstr>REKAPAN OKEY AYAM</vt:lpstr>
      <vt:lpstr>REKAPAN CHAMP AYAM</vt:lpstr>
      <vt:lpstr>REKAPAN CHAMP SAPI</vt:lpstr>
      <vt:lpstr>REKAPAN CHAMP OTAK-OTAK</vt:lpstr>
      <vt:lpstr>REKAPAN FIESTA</vt:lpstr>
      <vt:lpstr>ALL SORTASI</vt:lpstr>
      <vt:lpstr>DAILY FILLER OKEY</vt:lpstr>
      <vt:lpstr>DAILY FILLER C. AYAM</vt:lpstr>
      <vt:lpstr>DAILY FILLER C. SAPI</vt:lpstr>
      <vt:lpstr>SUMMARY FILLER</vt:lpstr>
      <vt:lpstr>Sheet2</vt:lpstr>
      <vt:lpstr>STD DRY</vt:lpstr>
      <vt:lpstr>'DAILY CHAMP AYAM'!Print_Area</vt:lpstr>
      <vt:lpstr>'DAILY CHAMP OTAK-OTAK'!Print_Area</vt:lpstr>
      <vt:lpstr>'DAILY CHAMP SAPI'!Print_Area</vt:lpstr>
      <vt:lpstr>'DAILY FIESTA'!Print_Area</vt:lpstr>
      <vt:lpstr>'DAILY OKEY AYAM'!Print_Area</vt:lpstr>
      <vt:lpstr>'HASIL PROD'!Print_Area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GITA-CPI BERBEK</cp:lastModifiedBy>
  <cp:lastPrinted>2023-02-21T06:44:13Z</cp:lastPrinted>
  <dcterms:created xsi:type="dcterms:W3CDTF">2013-02-26T02:46:53Z</dcterms:created>
  <dcterms:modified xsi:type="dcterms:W3CDTF">2026-08-04T04:57:02Z</dcterms:modified>
</cp:coreProperties>
</file>