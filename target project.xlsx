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activeTab="5"/>
  </bookViews>
  <sheets>
    <sheet name="TARGET" sheetId="1" r:id="rId1"/>
    <sheet name="Sheet2" sheetId="2" r:id="rId2"/>
    <sheet name="PPR-PVDC&amp;WIRE." sheetId="3" r:id="rId3"/>
    <sheet name="09" sheetId="4" r:id="rId4"/>
    <sheet name="SUMMARY" sheetId="5" r:id="rId5"/>
    <sheet name="Sheet6" sheetId="6" r:id="rId6"/>
  </sheets>
  <externalReferences>
    <externalReference r:id="rId7"/>
    <externalReference r:id="rId8"/>
  </externalReferences>
  <definedNames>
    <definedName name="\a">#N/A</definedName>
    <definedName name="_">#REF!</definedName>
    <definedName name="_1">#REF!</definedName>
    <definedName name="_Fill" hidden="1">#REF!</definedName>
    <definedName name="_GOTO_N1_">#REF!</definedName>
    <definedName name="_Key1" hidden="1">#REF!</definedName>
    <definedName name="_Key2" hidden="1">#REF!</definedName>
    <definedName name="_Sort" hidden="1">#REF!</definedName>
    <definedName name="A">#N/A</definedName>
    <definedName name="az">#REF!</definedName>
    <definedName name="capexjellybean">#REF!</definedName>
    <definedName name="COMBINE">#N/A</definedName>
    <definedName name="DOWNTIME">#REF!</definedName>
    <definedName name="Dummy_Area">#REF!</definedName>
    <definedName name="Excel_BuiltIn__FilterDatabase_2">#REF!</definedName>
    <definedName name="grf">#REF!</definedName>
    <definedName name="KODE">#REF!</definedName>
    <definedName name="MENU">#N/A</definedName>
    <definedName name="NAMA_PRODUK">#REF!</definedName>
    <definedName name="_xlnm.Print_Area" localSheetId="4">SUMMARY!#REF!</definedName>
    <definedName name="_xlnm.Print_Area">#REF!</definedName>
    <definedName name="Print_Area_MI">#REF!</definedName>
    <definedName name="zz">#REF!</definedName>
  </definedNames>
  <calcPr calcId="124519"/>
</workbook>
</file>

<file path=xl/calcChain.xml><?xml version="1.0" encoding="utf-8"?>
<calcChain xmlns="http://schemas.openxmlformats.org/spreadsheetml/2006/main">
  <c r="E81" i="5"/>
  <c r="E80"/>
  <c r="E79"/>
  <c r="E78"/>
  <c r="E77"/>
  <c r="F76"/>
  <c r="F82" s="1"/>
  <c r="G82" s="1"/>
  <c r="H82" s="1"/>
  <c r="E76"/>
  <c r="E82" s="1"/>
  <c r="E72"/>
  <c r="E71"/>
  <c r="F70"/>
  <c r="E70"/>
  <c r="E69"/>
  <c r="F68"/>
  <c r="G68" s="1"/>
  <c r="H68" s="1"/>
  <c r="E68"/>
  <c r="F67"/>
  <c r="F73" s="1"/>
  <c r="E67"/>
  <c r="E73" s="1"/>
  <c r="E63"/>
  <c r="E62"/>
  <c r="E61"/>
  <c r="E60"/>
  <c r="E59"/>
  <c r="F58"/>
  <c r="E58"/>
  <c r="E64" s="1"/>
  <c r="E54"/>
  <c r="E53"/>
  <c r="E52"/>
  <c r="E51"/>
  <c r="E50"/>
  <c r="F49"/>
  <c r="E49"/>
  <c r="E55" s="1"/>
  <c r="E45"/>
  <c r="E44"/>
  <c r="E43"/>
  <c r="E42"/>
  <c r="E41"/>
  <c r="F40"/>
  <c r="F46" s="1"/>
  <c r="G46" s="1"/>
  <c r="H46" s="1"/>
  <c r="E40"/>
  <c r="E46" s="1"/>
  <c r="E36"/>
  <c r="E35"/>
  <c r="E34"/>
  <c r="E33"/>
  <c r="E32"/>
  <c r="F31"/>
  <c r="E31"/>
  <c r="E37" s="1"/>
  <c r="E27"/>
  <c r="E26"/>
  <c r="E25"/>
  <c r="E24"/>
  <c r="E23"/>
  <c r="F22"/>
  <c r="E22"/>
  <c r="E28" s="1"/>
  <c r="E18"/>
  <c r="E17"/>
  <c r="E16"/>
  <c r="E15"/>
  <c r="E14"/>
  <c r="F13"/>
  <c r="E13"/>
  <c r="E19" s="1"/>
  <c r="E9"/>
  <c r="E8"/>
  <c r="E7"/>
  <c r="E6"/>
  <c r="E5"/>
  <c r="F4"/>
  <c r="F10" s="1"/>
  <c r="G10" s="1"/>
  <c r="H10" s="1"/>
  <c r="E4"/>
  <c r="E10" s="1"/>
  <c r="H82" i="4"/>
  <c r="I82" s="1"/>
  <c r="G82"/>
  <c r="F82"/>
  <c r="G78"/>
  <c r="H78" s="1"/>
  <c r="I78" s="1"/>
  <c r="G77"/>
  <c r="H77" s="1"/>
  <c r="I77" s="1"/>
  <c r="I76"/>
  <c r="H76"/>
  <c r="J76" s="1"/>
  <c r="H73"/>
  <c r="I73" s="1"/>
  <c r="G73"/>
  <c r="F73"/>
  <c r="G69"/>
  <c r="H69" s="1"/>
  <c r="I69" s="1"/>
  <c r="G68"/>
  <c r="H68" s="1"/>
  <c r="I68" s="1"/>
  <c r="J67"/>
  <c r="I67"/>
  <c r="H67"/>
  <c r="H64"/>
  <c r="I64" s="1"/>
  <c r="G64"/>
  <c r="F64"/>
  <c r="G60"/>
  <c r="H60" s="1"/>
  <c r="I60" s="1"/>
  <c r="G59"/>
  <c r="H59" s="1"/>
  <c r="I59" s="1"/>
  <c r="I58"/>
  <c r="H58"/>
  <c r="J58" s="1"/>
  <c r="H55"/>
  <c r="I55" s="1"/>
  <c r="G55"/>
  <c r="F55"/>
  <c r="G51"/>
  <c r="H51" s="1"/>
  <c r="I51" s="1"/>
  <c r="G50"/>
  <c r="H50" s="1"/>
  <c r="I50" s="1"/>
  <c r="I49"/>
  <c r="H49"/>
  <c r="J49" s="1"/>
  <c r="H46"/>
  <c r="I46" s="1"/>
  <c r="G46"/>
  <c r="F46"/>
  <c r="G42"/>
  <c r="H42" s="1"/>
  <c r="I42" s="1"/>
  <c r="G41"/>
  <c r="H41" s="1"/>
  <c r="I41" s="1"/>
  <c r="I40"/>
  <c r="H40"/>
  <c r="J40" s="1"/>
  <c r="H37"/>
  <c r="I37" s="1"/>
  <c r="G37"/>
  <c r="F37"/>
  <c r="G33"/>
  <c r="H33" s="1"/>
  <c r="I33" s="1"/>
  <c r="G32"/>
  <c r="H32" s="1"/>
  <c r="I32" s="1"/>
  <c r="I31"/>
  <c r="H31"/>
  <c r="J31" s="1"/>
  <c r="H28"/>
  <c r="I28" s="1"/>
  <c r="G28"/>
  <c r="F28"/>
  <c r="G24"/>
  <c r="H24" s="1"/>
  <c r="I24" s="1"/>
  <c r="G23"/>
  <c r="H23" s="1"/>
  <c r="I23" s="1"/>
  <c r="I22"/>
  <c r="H22"/>
  <c r="J22" s="1"/>
  <c r="H19"/>
  <c r="I19" s="1"/>
  <c r="G19"/>
  <c r="J19" s="1"/>
  <c r="F19"/>
  <c r="G15"/>
  <c r="H15" s="1"/>
  <c r="I15" s="1"/>
  <c r="G14"/>
  <c r="H14" s="1"/>
  <c r="I14" s="1"/>
  <c r="I13"/>
  <c r="H13"/>
  <c r="J13" s="1"/>
  <c r="F10"/>
  <c r="G4"/>
  <c r="G10" s="1"/>
  <c r="H10" s="1"/>
  <c r="I10" s="1"/>
  <c r="B2"/>
  <c r="B1"/>
  <c r="DJ24" i="3"/>
  <c r="DK24" s="1"/>
  <c r="DI24"/>
  <c r="DG24"/>
  <c r="DC24"/>
  <c r="CY24"/>
  <c r="CU24"/>
  <c r="CQ24"/>
  <c r="CM24"/>
  <c r="CI24"/>
  <c r="CD24"/>
  <c r="BZ24"/>
  <c r="BV24"/>
  <c r="BR24"/>
  <c r="BN24"/>
  <c r="BI24"/>
  <c r="BH24"/>
  <c r="BJ24" s="1"/>
  <c r="BF24"/>
  <c r="BB24"/>
  <c r="AX24"/>
  <c r="AT24"/>
  <c r="AP24"/>
  <c r="Y24"/>
  <c r="U24"/>
  <c r="Q24"/>
  <c r="M24"/>
  <c r="DJ22"/>
  <c r="DI22"/>
  <c r="DK22" s="1"/>
  <c r="DG22"/>
  <c r="DC22"/>
  <c r="CY22"/>
  <c r="CU22"/>
  <c r="CQ22"/>
  <c r="CM22"/>
  <c r="CI22"/>
  <c r="CD22"/>
  <c r="BZ22"/>
  <c r="BV22"/>
  <c r="BR22"/>
  <c r="BN22"/>
  <c r="BI22"/>
  <c r="BJ22" s="1"/>
  <c r="BH22"/>
  <c r="BF22"/>
  <c r="BB22"/>
  <c r="AX22"/>
  <c r="AT22"/>
  <c r="AP22"/>
  <c r="Y22"/>
  <c r="U22"/>
  <c r="Q22"/>
  <c r="M22"/>
  <c r="DJ20"/>
  <c r="DK20" s="1"/>
  <c r="DI20"/>
  <c r="DG20"/>
  <c r="DC20"/>
  <c r="CY20"/>
  <c r="CU20"/>
  <c r="CQ20"/>
  <c r="CM20"/>
  <c r="CI20"/>
  <c r="CD20"/>
  <c r="BZ20"/>
  <c r="BV20"/>
  <c r="BR20"/>
  <c r="BN20"/>
  <c r="BI20"/>
  <c r="BH20"/>
  <c r="BJ20" s="1"/>
  <c r="BF20"/>
  <c r="BB20"/>
  <c r="AX20"/>
  <c r="AT20"/>
  <c r="AP20"/>
  <c r="Y20"/>
  <c r="U20"/>
  <c r="Q20"/>
  <c r="M20"/>
  <c r="DJ18"/>
  <c r="DI18"/>
  <c r="DK18" s="1"/>
  <c r="DG18"/>
  <c r="DC18"/>
  <c r="CY18"/>
  <c r="CU18"/>
  <c r="CQ18"/>
  <c r="CM18"/>
  <c r="CI18"/>
  <c r="CD18"/>
  <c r="BZ18"/>
  <c r="BV18"/>
  <c r="BR18"/>
  <c r="BN18"/>
  <c r="BI18"/>
  <c r="BJ18" s="1"/>
  <c r="BH18"/>
  <c r="BF18"/>
  <c r="BB18"/>
  <c r="AX18"/>
  <c r="AT18"/>
  <c r="AP18"/>
  <c r="Y18"/>
  <c r="U18"/>
  <c r="Q18"/>
  <c r="M18"/>
  <c r="DJ16"/>
  <c r="DK16" s="1"/>
  <c r="DI16"/>
  <c r="DG16"/>
  <c r="DC16"/>
  <c r="CY16"/>
  <c r="CU16"/>
  <c r="CQ16"/>
  <c r="CM16"/>
  <c r="CI16"/>
  <c r="CD16"/>
  <c r="BZ16"/>
  <c r="BV16"/>
  <c r="BR16"/>
  <c r="BN16"/>
  <c r="BI16"/>
  <c r="BH16"/>
  <c r="BJ16" s="1"/>
  <c r="BF16"/>
  <c r="BB16"/>
  <c r="AX16"/>
  <c r="AT16"/>
  <c r="AP16"/>
  <c r="Y16"/>
  <c r="U16"/>
  <c r="Q16"/>
  <c r="M16"/>
  <c r="DJ14"/>
  <c r="DI14"/>
  <c r="DK14" s="1"/>
  <c r="DG14"/>
  <c r="DC14"/>
  <c r="CY14"/>
  <c r="CU14"/>
  <c r="CQ14"/>
  <c r="CM14"/>
  <c r="CI14"/>
  <c r="CD14"/>
  <c r="BZ14"/>
  <c r="BV14"/>
  <c r="BR14"/>
  <c r="BN14"/>
  <c r="BI14"/>
  <c r="BJ14" s="1"/>
  <c r="BH14"/>
  <c r="BF14"/>
  <c r="BB14"/>
  <c r="AX14"/>
  <c r="AT14"/>
  <c r="AP14"/>
  <c r="Y14"/>
  <c r="U14"/>
  <c r="Q14"/>
  <c r="M14"/>
  <c r="DJ12"/>
  <c r="DK12" s="1"/>
  <c r="DI12"/>
  <c r="DG12"/>
  <c r="DC12"/>
  <c r="CY12"/>
  <c r="CU12"/>
  <c r="CQ12"/>
  <c r="CM12"/>
  <c r="CI12"/>
  <c r="CD12"/>
  <c r="BZ12"/>
  <c r="BV12"/>
  <c r="BR12"/>
  <c r="BN12"/>
  <c r="BI12"/>
  <c r="BH12"/>
  <c r="BJ12" s="1"/>
  <c r="BF12"/>
  <c r="BB12"/>
  <c r="AX12"/>
  <c r="AT12"/>
  <c r="AP12"/>
  <c r="Y12"/>
  <c r="U12"/>
  <c r="Q12"/>
  <c r="M12"/>
  <c r="DJ10"/>
  <c r="DI10"/>
  <c r="DK10" s="1"/>
  <c r="DG10"/>
  <c r="DC10"/>
  <c r="CY10"/>
  <c r="CU10"/>
  <c r="CQ10"/>
  <c r="CM10"/>
  <c r="CI10"/>
  <c r="CD10"/>
  <c r="BZ10"/>
  <c r="BV10"/>
  <c r="BR10"/>
  <c r="BN10"/>
  <c r="BI10"/>
  <c r="BJ10" s="1"/>
  <c r="BH10"/>
  <c r="BF10"/>
  <c r="BB10"/>
  <c r="AX10"/>
  <c r="AT10"/>
  <c r="AP10"/>
  <c r="Y10"/>
  <c r="U10"/>
  <c r="Q10"/>
  <c r="M10"/>
  <c r="G73" i="5" l="1"/>
  <c r="G4"/>
  <c r="F5"/>
  <c r="I10"/>
  <c r="F15"/>
  <c r="F19"/>
  <c r="G19" s="1"/>
  <c r="H19" s="1"/>
  <c r="G40"/>
  <c r="H40" s="1"/>
  <c r="F41"/>
  <c r="I46"/>
  <c r="F51"/>
  <c r="F55"/>
  <c r="G55" s="1"/>
  <c r="H55" s="1"/>
  <c r="I68"/>
  <c r="G70"/>
  <c r="H70" s="1"/>
  <c r="F71"/>
  <c r="G76"/>
  <c r="H76" s="1"/>
  <c r="F77"/>
  <c r="I82"/>
  <c r="G13"/>
  <c r="H13" s="1"/>
  <c r="F14"/>
  <c r="I19"/>
  <c r="F24"/>
  <c r="F28"/>
  <c r="G28" s="1"/>
  <c r="H28" s="1"/>
  <c r="G49"/>
  <c r="H49" s="1"/>
  <c r="F50"/>
  <c r="I55"/>
  <c r="F60"/>
  <c r="F64"/>
  <c r="G64" s="1"/>
  <c r="H64" s="1"/>
  <c r="I4"/>
  <c r="G22"/>
  <c r="H22" s="1"/>
  <c r="F23"/>
  <c r="F33"/>
  <c r="F37"/>
  <c r="G37" s="1"/>
  <c r="H37" s="1"/>
  <c r="I40"/>
  <c r="G58"/>
  <c r="H58" s="1"/>
  <c r="F59"/>
  <c r="F69"/>
  <c r="I76"/>
  <c r="F6"/>
  <c r="F7" s="1"/>
  <c r="F8" s="1"/>
  <c r="F9" s="1"/>
  <c r="G31"/>
  <c r="H31" s="1"/>
  <c r="F32"/>
  <c r="F42"/>
  <c r="G67"/>
  <c r="F78"/>
  <c r="G5" i="4"/>
  <c r="G6"/>
  <c r="G7" s="1"/>
  <c r="G8" s="1"/>
  <c r="G9" s="1"/>
  <c r="J10"/>
  <c r="G16"/>
  <c r="G25"/>
  <c r="J28"/>
  <c r="G34"/>
  <c r="J37"/>
  <c r="G43"/>
  <c r="J46"/>
  <c r="G52"/>
  <c r="J55"/>
  <c r="G61"/>
  <c r="J64"/>
  <c r="G70"/>
  <c r="J73"/>
  <c r="G79"/>
  <c r="J82"/>
  <c r="J7"/>
  <c r="J14"/>
  <c r="J15"/>
  <c r="J23"/>
  <c r="J24"/>
  <c r="J32"/>
  <c r="J33"/>
  <c r="J41"/>
  <c r="J42"/>
  <c r="J50"/>
  <c r="J51"/>
  <c r="J59"/>
  <c r="J60"/>
  <c r="J68"/>
  <c r="J69"/>
  <c r="J77"/>
  <c r="J78"/>
  <c r="H4"/>
  <c r="I4" s="1"/>
  <c r="H6"/>
  <c r="I6" s="1"/>
  <c r="H7"/>
  <c r="I7" s="1"/>
  <c r="H8"/>
  <c r="I8" s="1"/>
  <c r="H9"/>
  <c r="I9" s="1"/>
  <c r="G32" i="5" l="1"/>
  <c r="H32" s="1"/>
  <c r="G69"/>
  <c r="H69" s="1"/>
  <c r="I50"/>
  <c r="G50"/>
  <c r="H50" s="1"/>
  <c r="I24"/>
  <c r="F25"/>
  <c r="G24"/>
  <c r="H24" s="1"/>
  <c r="F52"/>
  <c r="G51"/>
  <c r="H51" s="1"/>
  <c r="G5"/>
  <c r="H5" s="1"/>
  <c r="I22"/>
  <c r="I70"/>
  <c r="I13"/>
  <c r="F43"/>
  <c r="G42"/>
  <c r="H42" s="1"/>
  <c r="F72"/>
  <c r="G71"/>
  <c r="H71" s="1"/>
  <c r="I71"/>
  <c r="I37"/>
  <c r="I49"/>
  <c r="H67"/>
  <c r="I67"/>
  <c r="I23"/>
  <c r="G23"/>
  <c r="H23" s="1"/>
  <c r="F61"/>
  <c r="G60"/>
  <c r="H60" s="1"/>
  <c r="G14"/>
  <c r="H14" s="1"/>
  <c r="G41"/>
  <c r="H41" s="1"/>
  <c r="I41"/>
  <c r="F16"/>
  <c r="G15"/>
  <c r="H15" s="1"/>
  <c r="I15"/>
  <c r="I73"/>
  <c r="H73"/>
  <c r="I31"/>
  <c r="I58"/>
  <c r="I28"/>
  <c r="F79"/>
  <c r="G78"/>
  <c r="H78" s="1"/>
  <c r="I78"/>
  <c r="I59"/>
  <c r="G59"/>
  <c r="H59" s="1"/>
  <c r="F34"/>
  <c r="G33"/>
  <c r="H33" s="1"/>
  <c r="G77"/>
  <c r="H77" s="1"/>
  <c r="I77"/>
  <c r="G9"/>
  <c r="H9" s="1"/>
  <c r="I7"/>
  <c r="H4"/>
  <c r="G6"/>
  <c r="H6" s="1"/>
  <c r="I9"/>
  <c r="G7"/>
  <c r="H7" s="1"/>
  <c r="G8"/>
  <c r="H8" s="1"/>
  <c r="I6"/>
  <c r="I64"/>
  <c r="H79" i="4"/>
  <c r="I79" s="1"/>
  <c r="G80"/>
  <c r="H61"/>
  <c r="I61" s="1"/>
  <c r="J61"/>
  <c r="G62"/>
  <c r="H43"/>
  <c r="I43" s="1"/>
  <c r="G44"/>
  <c r="H25"/>
  <c r="I25" s="1"/>
  <c r="G26"/>
  <c r="H5"/>
  <c r="I5" s="1"/>
  <c r="J8"/>
  <c r="H70"/>
  <c r="I70" s="1"/>
  <c r="J70"/>
  <c r="G71"/>
  <c r="H52"/>
  <c r="I52" s="1"/>
  <c r="G53"/>
  <c r="H34"/>
  <c r="I34" s="1"/>
  <c r="G35"/>
  <c r="J9"/>
  <c r="J4"/>
  <c r="H16"/>
  <c r="I16" s="1"/>
  <c r="G17"/>
  <c r="J6"/>
  <c r="I79" i="5" l="1"/>
  <c r="F80"/>
  <c r="G79"/>
  <c r="H79" s="1"/>
  <c r="F17"/>
  <c r="G16"/>
  <c r="H16" s="1"/>
  <c r="G72"/>
  <c r="H72" s="1"/>
  <c r="I14"/>
  <c r="I43"/>
  <c r="F44"/>
  <c r="G43"/>
  <c r="H43" s="1"/>
  <c r="F53"/>
  <c r="G52"/>
  <c r="H52" s="1"/>
  <c r="I8"/>
  <c r="I33"/>
  <c r="I60"/>
  <c r="I5"/>
  <c r="I32"/>
  <c r="I34"/>
  <c r="F35"/>
  <c r="G34"/>
  <c r="H34" s="1"/>
  <c r="F62"/>
  <c r="G61"/>
  <c r="H61" s="1"/>
  <c r="I61"/>
  <c r="I69"/>
  <c r="F26"/>
  <c r="G25"/>
  <c r="H25" s="1"/>
  <c r="I25"/>
  <c r="I42"/>
  <c r="I51"/>
  <c r="H71" i="4"/>
  <c r="I71" s="1"/>
  <c r="G72"/>
  <c r="H62"/>
  <c r="I62" s="1"/>
  <c r="J62"/>
  <c r="G63"/>
  <c r="J5"/>
  <c r="J79"/>
  <c r="H44"/>
  <c r="I44" s="1"/>
  <c r="G45"/>
  <c r="H80"/>
  <c r="I80" s="1"/>
  <c r="J80"/>
  <c r="G81"/>
  <c r="J34"/>
  <c r="J25"/>
  <c r="H17"/>
  <c r="I17" s="1"/>
  <c r="G18"/>
  <c r="H53"/>
  <c r="I53" s="1"/>
  <c r="J53"/>
  <c r="G54"/>
  <c r="H35"/>
  <c r="I35" s="1"/>
  <c r="G36"/>
  <c r="H26"/>
  <c r="I26" s="1"/>
  <c r="J26"/>
  <c r="G27"/>
  <c r="J16"/>
  <c r="J52"/>
  <c r="J43"/>
  <c r="I53" i="5" l="1"/>
  <c r="F54"/>
  <c r="G53"/>
  <c r="H53" s="1"/>
  <c r="F36"/>
  <c r="G35"/>
  <c r="H35" s="1"/>
  <c r="I35"/>
  <c r="F81"/>
  <c r="G80"/>
  <c r="H80" s="1"/>
  <c r="I16"/>
  <c r="F45"/>
  <c r="G44"/>
  <c r="H44" s="1"/>
  <c r="I52"/>
  <c r="F27"/>
  <c r="G26"/>
  <c r="H26" s="1"/>
  <c r="I26"/>
  <c r="F63"/>
  <c r="G62"/>
  <c r="H62" s="1"/>
  <c r="I17"/>
  <c r="F18"/>
  <c r="G17"/>
  <c r="H17" s="1"/>
  <c r="I72"/>
  <c r="H36" i="4"/>
  <c r="I36" s="1"/>
  <c r="H54"/>
  <c r="I54" s="1"/>
  <c r="H81"/>
  <c r="I81" s="1"/>
  <c r="H63"/>
  <c r="I63" s="1"/>
  <c r="J17"/>
  <c r="J44"/>
  <c r="J71"/>
  <c r="H18"/>
  <c r="I18" s="1"/>
  <c r="J18"/>
  <c r="H45"/>
  <c r="I45" s="1"/>
  <c r="J45"/>
  <c r="H72"/>
  <c r="I72" s="1"/>
  <c r="J72"/>
  <c r="H27"/>
  <c r="I27" s="1"/>
  <c r="J27"/>
  <c r="J35"/>
  <c r="G18" i="5" l="1"/>
  <c r="H18" s="1"/>
  <c r="I63"/>
  <c r="G63"/>
  <c r="H63" s="1"/>
  <c r="G54"/>
  <c r="H54" s="1"/>
  <c r="I27"/>
  <c r="G27"/>
  <c r="H27" s="1"/>
  <c r="I44"/>
  <c r="I80"/>
  <c r="G45"/>
  <c r="H45" s="1"/>
  <c r="G81"/>
  <c r="H81" s="1"/>
  <c r="I81"/>
  <c r="G36"/>
  <c r="H36" s="1"/>
  <c r="I62"/>
  <c r="J81" i="4"/>
  <c r="J36"/>
  <c r="J63"/>
  <c r="J54"/>
  <c r="I54" i="5" l="1"/>
  <c r="I18"/>
  <c r="I36"/>
  <c r="I45"/>
</calcChain>
</file>

<file path=xl/sharedStrings.xml><?xml version="1.0" encoding="utf-8"?>
<sst xmlns="http://schemas.openxmlformats.org/spreadsheetml/2006/main" count="606" uniqueCount="141">
  <si>
    <t xml:space="preserve"> cek ulang tampilan dashboard bad produk mesin dominan, masih menampilkan data mesin yang tidak di pilih di sortasi,</t>
  </si>
  <si>
    <t xml:space="preserve"> sortasi, select hanya menampilkan kode batch yang masih ada sisa wip, yang kosong, atau sudah habis hidden.</t>
  </si>
  <si>
    <t xml:space="preserve"> tambah kolom reject persen di dashboard yield sortasi.</t>
  </si>
  <si>
    <t xml:space="preserve"> Yield dashboard, tampilkan performa mesin di web lama, tetap bulan berjalan, di bad produk mesin, hanya tampilkan bad pro terparah rank 8,</t>
  </si>
  <si>
    <t xml:space="preserve"> tambah baris performa, downtime, dan losttime, colom total atau jumlah,</t>
  </si>
  <si>
    <t xml:space="preserve"> rumus pemakaian pvdc kg/berat pcs x panjang produk</t>
  </si>
  <si>
    <t xml:space="preserve"> buat KPI pvdc dan wire,</t>
  </si>
  <si>
    <t xml:space="preserve"> edit sortasi tidak bisa tambah bad produk.</t>
  </si>
  <si>
    <t>TAMBAHAN</t>
  </si>
  <si>
    <t>PROGRESS</t>
  </si>
  <si>
    <t>KETERANGAN</t>
  </si>
  <si>
    <t>rumus reject belum ada, target belum tahu</t>
  </si>
  <si>
    <t>close</t>
  </si>
  <si>
    <t>masih tampilan</t>
  </si>
  <si>
    <t>proses penentuan kembali alur agar tidak rombak ulang</t>
  </si>
  <si>
    <t>mesin dominan jika tidak ada yang di pilih masuk ke lain2, mesin dominan boleh null</t>
  </si>
  <si>
    <t>warning jika inputan tambah di filkar lebih dari 50% total adonan di mp usage,</t>
  </si>
  <si>
    <t xml:space="preserve"> persentase reject per bad produk di dashboard sortasi</t>
  </si>
  <si>
    <t>31 Agustus 2026</t>
  </si>
  <si>
    <t>monitoring packing, produktifitas dan reject dry</t>
  </si>
  <si>
    <t>Lokasi</t>
  </si>
  <si>
    <t>dashboard yield</t>
  </si>
  <si>
    <t>table pvdc dan wire</t>
  </si>
  <si>
    <t>kode batch yang sudah di input tidak boleh di input ulang lagi, hilangkan dari dropdown</t>
  </si>
  <si>
    <t>filkar</t>
  </si>
  <si>
    <t>release boleh lebih dari wip, tapi kasih warning</t>
  </si>
  <si>
    <t>sortasi</t>
  </si>
  <si>
    <t>kode batch di pilihan sortasi, tampilkan total sisa kg dan box</t>
  </si>
  <si>
    <t>Stok list kode batch disortasi = FILKAR - sudah sortasi - rework - riject = (0/-) langsung hilang Dari list, kalau Masih + Masih muncul (konversinke kg dlu baru pengurangan, sisa dikonversi ke box lagi)</t>
  </si>
  <si>
    <t>yield = release / wip di sortasi x 100% ???</t>
  </si>
  <si>
    <t>pvdc</t>
  </si>
  <si>
    <t>actual</t>
  </si>
  <si>
    <t>stok pakai lapangan</t>
  </si>
  <si>
    <t>on produk</t>
  </si>
  <si>
    <t>((total counter -(riject kg/berat PCs))x panjang pvdc per pcs )+ setiap input riject + 5 meter waste</t>
  </si>
  <si>
    <t xml:space="preserve">Riject </t>
  </si>
  <si>
    <t>(pemakaian - on produk)/on produk</t>
  </si>
  <si>
    <t>Riject pvdc per mesin</t>
  </si>
  <si>
    <t>riject start/counter</t>
  </si>
  <si>
    <t>dry store packing</t>
  </si>
  <si>
    <t>yield</t>
  </si>
  <si>
    <t>dashboard</t>
  </si>
  <si>
    <t>perhitungan performa varian srco otak2</t>
  </si>
  <si>
    <t>plan produksi</t>
  </si>
  <si>
    <t>PT. Charoen Pokphand Indonesia</t>
  </si>
  <si>
    <t>Chicken Processing Plant</t>
  </si>
  <si>
    <t>YIELD PVDC &amp; ALUMUNIUM WIRE - 2025</t>
  </si>
  <si>
    <t>JANUARI</t>
  </si>
  <si>
    <t>FEBRUARI</t>
  </si>
  <si>
    <t>MARET</t>
  </si>
  <si>
    <t>APRIL</t>
  </si>
  <si>
    <t>MEI</t>
  </si>
  <si>
    <t>JUNI</t>
  </si>
  <si>
    <t>JULI</t>
  </si>
  <si>
    <t>AGUSTUS</t>
  </si>
  <si>
    <t>SEPTEMBER</t>
  </si>
  <si>
    <t>OKTOBER</t>
  </si>
  <si>
    <t>NOVEMBER</t>
  </si>
  <si>
    <t>DESEMBER</t>
  </si>
  <si>
    <t>YTD 2025</t>
  </si>
  <si>
    <t>YTD 2026</t>
  </si>
  <si>
    <t>MONTH</t>
  </si>
  <si>
    <t>NO</t>
  </si>
  <si>
    <t>JENIS PRODUK</t>
  </si>
  <si>
    <t>TYPE CASING</t>
  </si>
  <si>
    <t>UNIT</t>
  </si>
  <si>
    <t>STD YIELD</t>
  </si>
  <si>
    <t>UNIT PRICE</t>
  </si>
  <si>
    <t>STD WASTE</t>
  </si>
  <si>
    <t xml:space="preserve">Usage       </t>
  </si>
  <si>
    <t>% WASTE</t>
  </si>
  <si>
    <t>On Produk</t>
  </si>
  <si>
    <t>% YIELD</t>
  </si>
  <si>
    <t>Jumlah</t>
  </si>
  <si>
    <t>jumlah</t>
  </si>
  <si>
    <t>SOSIS - RETORT CHAMP AYAM</t>
  </si>
  <si>
    <t xml:space="preserve">CASING PVDC </t>
  </si>
  <si>
    <t>Roll</t>
  </si>
  <si>
    <t xml:space="preserve">AL WIRE </t>
  </si>
  <si>
    <t>KG</t>
  </si>
  <si>
    <t>SOSIS - RETORT CHAMP SAPI</t>
  </si>
  <si>
    <t>SOSIS - RETORT CHAMP OTAK-OTAK</t>
  </si>
  <si>
    <t>SOSIS - RETORT OKEY</t>
  </si>
  <si>
    <t>Std Waste</t>
  </si>
  <si>
    <t>Type Packaging</t>
  </si>
  <si>
    <t>No</t>
  </si>
  <si>
    <t>Jenis Waste</t>
  </si>
  <si>
    <t>Reject</t>
  </si>
  <si>
    <t>On Product</t>
  </si>
  <si>
    <t>Use</t>
  </si>
  <si>
    <t>%Waste</t>
  </si>
  <si>
    <t>%Yield</t>
  </si>
  <si>
    <t>MC Okey</t>
  </si>
  <si>
    <t>Rusak Produksi human error</t>
  </si>
  <si>
    <t>Rusak Produksi mesin error</t>
  </si>
  <si>
    <t>Bad Produk</t>
  </si>
  <si>
    <t>Ganti WH</t>
  </si>
  <si>
    <t>Ganti SMFG</t>
  </si>
  <si>
    <t>Rusak Supplier</t>
  </si>
  <si>
    <t>Total</t>
  </si>
  <si>
    <t>MC Champ</t>
  </si>
  <si>
    <t>Toples</t>
  </si>
  <si>
    <t>Gantk WH</t>
  </si>
  <si>
    <t>Plastik Okey</t>
  </si>
  <si>
    <t>Label Ayam</t>
  </si>
  <si>
    <t>Label Sapi</t>
  </si>
  <si>
    <t>Label Otak-otak</t>
  </si>
  <si>
    <t>PVC Shrink</t>
  </si>
  <si>
    <t>Lakban CP</t>
  </si>
  <si>
    <t>SUMMARY</t>
  </si>
  <si>
    <t>% Waste Dry Packing</t>
  </si>
  <si>
    <t>Jenis Dry Store</t>
  </si>
  <si>
    <t>VARIAN</t>
  </si>
  <si>
    <t>Satuan</t>
  </si>
  <si>
    <t>Usage</t>
  </si>
  <si>
    <t>Rp/Pcs</t>
  </si>
  <si>
    <t>Rp Total</t>
  </si>
  <si>
    <t>MC OKEY</t>
  </si>
  <si>
    <t>Pcs</t>
  </si>
  <si>
    <t>MC CHAMP</t>
  </si>
  <si>
    <t>TOPLES &amp; TUTUP</t>
  </si>
  <si>
    <t>PLASTIK PVC</t>
  </si>
  <si>
    <t>Kg</t>
  </si>
  <si>
    <t>PLASTIK OKEY MANUAL</t>
  </si>
  <si>
    <t>PLASTIK OKEY KORIN</t>
  </si>
  <si>
    <t>M</t>
  </si>
  <si>
    <t>LABEL CHAMP AYAM</t>
  </si>
  <si>
    <t>LABEL CHAMP SAPI</t>
  </si>
  <si>
    <t>LAKBAN CP</t>
  </si>
  <si>
    <t>MC FIESTA</t>
  </si>
  <si>
    <t>LABEL CHAMP OTAK-OTAK</t>
  </si>
  <si>
    <t xml:space="preserve">  </t>
  </si>
  <si>
    <t>Pembebanan Biaya ke Dept. Warehouse</t>
  </si>
  <si>
    <t>Material</t>
  </si>
  <si>
    <t>(Rp)</t>
  </si>
  <si>
    <t xml:space="preserve">Reject mesin </t>
  </si>
  <si>
    <t xml:space="preserve">Material </t>
  </si>
  <si>
    <t xml:space="preserve">Jumlah </t>
  </si>
  <si>
    <t>Rp</t>
  </si>
  <si>
    <t xml:space="preserve">Total </t>
  </si>
  <si>
    <t xml:space="preserve">MC Okey </t>
  </si>
</sst>
</file>

<file path=xl/styles.xml><?xml version="1.0" encoding="utf-8"?>
<styleSheet xmlns="http://schemas.openxmlformats.org/spreadsheetml/2006/main">
  <numFmts count="10">
    <numFmt numFmtId="41" formatCode="_(* #,##0_);_(* \(#,##0\);_(* &quot;-&quot;_);_(@_)"/>
    <numFmt numFmtId="43" formatCode="_(* #,##0.00_);_(* \(#,##0.00\);_(* &quot;-&quot;??_);_(@_)"/>
    <numFmt numFmtId="164" formatCode="0.0%"/>
    <numFmt numFmtId="165" formatCode="_(* #,##0.000_);_(* \(#,##0.000\);_(* &quot;-&quot;??_);_(@_)"/>
    <numFmt numFmtId="166" formatCode="_(* #,##0_);_(* \(#,##0\);_(* &quot;-&quot;??_);_(@_)"/>
    <numFmt numFmtId="167" formatCode="_(* #,##0.0_);_(* \(#,##0.0\);_(* &quot;-&quot;??_);_(@_)"/>
    <numFmt numFmtId="168" formatCode="_(&quot;Rp&quot;* #,##0_);_(&quot;Rp&quot;* \(#,##0\);_(&quot;Rp&quot;* &quot;-&quot;_);_(@_)"/>
    <numFmt numFmtId="169" formatCode="_-* #,##0_-;\-* #,##0_-;_-* &quot;-&quot;_-;_-@_-"/>
    <numFmt numFmtId="170" formatCode="_-* #,##0.0_-;\-* #,##0.0_-;_-* &quot;-&quot;_-;_-@_-"/>
    <numFmt numFmtId="171" formatCode="_-* #,##0.00_-;\-* #,##0.00_-;_-* &quot;-&quot;_-;_-@_-"/>
  </numFmts>
  <fonts count="32">
    <font>
      <sz val="11"/>
      <color theme="1"/>
      <name val="Calibri"/>
      <family val="2"/>
      <scheme val="minor"/>
    </font>
    <font>
      <sz val="11"/>
      <color theme="1"/>
      <name val="Calibri"/>
      <family val="2"/>
      <scheme val="minor"/>
    </font>
    <font>
      <sz val="10"/>
      <name val="Arial"/>
      <family val="2"/>
    </font>
    <font>
      <sz val="12"/>
      <name val="Times New Roman"/>
      <family val="1"/>
    </font>
    <font>
      <sz val="12"/>
      <color indexed="9"/>
      <name val="Times New Roman"/>
      <family val="1"/>
    </font>
    <font>
      <sz val="12"/>
      <color indexed="18"/>
      <name val="Times New Roman"/>
      <family val="1"/>
    </font>
    <font>
      <b/>
      <sz val="12"/>
      <name val="Times New Roman"/>
      <family val="1"/>
    </font>
    <font>
      <sz val="12"/>
      <color rgb="FFFF0000"/>
      <name val="Times New Roman"/>
      <family val="1"/>
    </font>
    <font>
      <b/>
      <sz val="12"/>
      <color rgb="FFFF0000"/>
      <name val="Times New Roman"/>
      <family val="1"/>
    </font>
    <font>
      <sz val="11"/>
      <color indexed="8"/>
      <name val="Calibri"/>
      <family val="2"/>
    </font>
    <font>
      <b/>
      <sz val="12"/>
      <color rgb="FF0000FF"/>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theme="1"/>
      <name val="Book Antiqua"/>
      <family val="1"/>
    </font>
    <font>
      <b/>
      <sz val="11"/>
      <color theme="1"/>
      <name val="Book Antiqua"/>
      <family val="1"/>
    </font>
    <font>
      <sz val="11"/>
      <name val="Book Antiqua"/>
      <family val="1"/>
    </font>
    <font>
      <sz val="11"/>
      <color theme="1"/>
      <name val="Calibri"/>
      <family val="2"/>
      <charset val="1"/>
      <scheme val="minor"/>
    </font>
    <font>
      <b/>
      <sz val="16"/>
      <color theme="1"/>
      <name val="Arial"/>
      <family val="2"/>
    </font>
  </fonts>
  <fills count="3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6"/>
        <bgColor indexed="64"/>
      </patternFill>
    </fill>
    <fill>
      <patternFill patternType="solid">
        <fgColor indexed="9"/>
        <bgColor indexed="64"/>
      </patternFill>
    </fill>
    <fill>
      <patternFill patternType="solid">
        <fgColor theme="0"/>
        <bgColor indexed="64"/>
      </patternFill>
    </fill>
    <fill>
      <patternFill patternType="solid">
        <fgColor indexed="8"/>
        <bgColor indexed="64"/>
      </patternFill>
    </fill>
    <fill>
      <patternFill patternType="solid">
        <fgColor rgb="FFFFCC99"/>
        <bgColor indexed="64"/>
      </patternFill>
    </fill>
    <fill>
      <patternFill patternType="solid">
        <fgColor indexed="45"/>
        <bgColor indexed="64"/>
      </patternFill>
    </fill>
    <fill>
      <patternFill patternType="solid">
        <fgColor indexed="42"/>
        <bgColor indexed="64"/>
      </patternFill>
    </fill>
    <fill>
      <patternFill patternType="solid">
        <fgColor indexed="41"/>
        <bgColor indexed="64"/>
      </patternFill>
    </fill>
    <fill>
      <patternFill patternType="solid">
        <fgColor indexed="31"/>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9"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48">
    <xf numFmtId="0" fontId="0" fillId="0" borderId="0"/>
    <xf numFmtId="9" fontId="1"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9" fillId="0" borderId="0" applyFont="0" applyFill="0" applyBorder="0" applyAlignment="0" applyProtection="0"/>
    <xf numFmtId="0" fontId="9" fillId="13"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14"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11" fillId="21"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8" borderId="0" applyNumberFormat="0" applyBorder="0" applyAlignment="0" applyProtection="0"/>
    <xf numFmtId="0" fontId="12" fillId="10" borderId="0" applyNumberFormat="0" applyBorder="0" applyAlignment="0" applyProtection="0"/>
    <xf numFmtId="0" fontId="13" fillId="29" borderId="16" applyNumberFormat="0" applyAlignment="0" applyProtection="0"/>
    <xf numFmtId="0" fontId="14" fillId="30" borderId="17" applyNumberFormat="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2"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2" fillId="0" borderId="0" applyFont="0" applyFill="0" applyBorder="0" applyAlignment="0" applyProtection="0"/>
    <xf numFmtId="0" fontId="15" fillId="0" borderId="0" applyNumberFormat="0" applyFill="0" applyBorder="0" applyAlignment="0" applyProtection="0"/>
    <xf numFmtId="0" fontId="16" fillId="11" borderId="0" applyNumberFormat="0" applyBorder="0" applyAlignment="0" applyProtection="0"/>
    <xf numFmtId="0" fontId="17" fillId="0" borderId="18" applyNumberFormat="0" applyFill="0" applyAlignment="0" applyProtection="0"/>
    <xf numFmtId="0" fontId="18" fillId="0" borderId="19" applyNumberFormat="0" applyFill="0" applyAlignment="0" applyProtection="0"/>
    <xf numFmtId="0" fontId="19" fillId="0" borderId="20" applyNumberFormat="0" applyFill="0" applyAlignment="0" applyProtection="0"/>
    <xf numFmtId="0" fontId="19" fillId="0" borderId="0" applyNumberFormat="0" applyFill="0" applyBorder="0" applyAlignment="0" applyProtection="0"/>
    <xf numFmtId="0" fontId="20" fillId="16" borderId="16" applyNumberFormat="0" applyAlignment="0" applyProtection="0"/>
    <xf numFmtId="0" fontId="21" fillId="0" borderId="21" applyNumberFormat="0" applyFill="0" applyAlignment="0" applyProtection="0"/>
    <xf numFmtId="0" fontId="22"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2" fillId="0" borderId="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1" fillId="0" borderId="0"/>
    <xf numFmtId="0" fontId="2" fillId="0" borderId="0"/>
    <xf numFmtId="0" fontId="2" fillId="0" borderId="0"/>
    <xf numFmtId="0" fontId="9" fillId="0" borderId="0" applyProtection="0"/>
    <xf numFmtId="0" fontId="1" fillId="0" borderId="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2" fillId="0" borderId="0"/>
    <xf numFmtId="0" fontId="2" fillId="0" borderId="0"/>
    <xf numFmtId="0" fontId="9" fillId="0" borderId="0" applyProtection="0"/>
    <xf numFmtId="0" fontId="9" fillId="0" borderId="0" applyProtection="0"/>
    <xf numFmtId="0" fontId="9" fillId="0" borderId="0" applyProtection="0"/>
    <xf numFmtId="0" fontId="9" fillId="0" borderId="0" applyProtection="0"/>
    <xf numFmtId="0" fontId="9" fillId="0" borderId="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alignment vertical="top"/>
    </xf>
    <xf numFmtId="0" fontId="1" fillId="0" borderId="0"/>
    <xf numFmtId="0" fontId="2"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32" borderId="22" applyNumberFormat="0" applyFont="0" applyAlignment="0" applyProtection="0"/>
    <xf numFmtId="0" fontId="23" fillId="29" borderId="23"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24" fillId="0" borderId="0" applyNumberFormat="0" applyFill="0" applyBorder="0" applyAlignment="0" applyProtection="0"/>
    <xf numFmtId="0" fontId="25" fillId="0" borderId="24" applyNumberFormat="0" applyFill="0" applyAlignment="0" applyProtection="0"/>
    <xf numFmtId="0" fontId="26" fillId="0" borderId="0" applyNumberFormat="0" applyFill="0" applyBorder="0" applyAlignment="0" applyProtection="0"/>
    <xf numFmtId="0"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0" fontId="1" fillId="0" borderId="0" applyFont="0" applyFill="0" applyBorder="0" applyAlignment="0" applyProtection="0"/>
  </cellStyleXfs>
  <cellXfs count="186">
    <xf numFmtId="0" fontId="0" fillId="0" borderId="0" xfId="0"/>
    <xf numFmtId="0" fontId="0" fillId="0" borderId="1" xfId="0" applyBorder="1"/>
    <xf numFmtId="0" fontId="0" fillId="2" borderId="1" xfId="0" applyFill="1" applyBorder="1"/>
    <xf numFmtId="0" fontId="0" fillId="3" borderId="1" xfId="0" applyFill="1" applyBorder="1"/>
    <xf numFmtId="0" fontId="0" fillId="0" borderId="1" xfId="0" applyBorder="1" applyAlignment="1">
      <alignment horizontal="left" vertical="center" wrapText="1"/>
    </xf>
    <xf numFmtId="0" fontId="0" fillId="0" borderId="0" xfId="0" applyAlignment="1">
      <alignment wrapText="1"/>
    </xf>
    <xf numFmtId="0" fontId="0" fillId="4" borderId="1" xfId="0" applyFill="1" applyBorder="1" applyAlignment="1">
      <alignment horizontal="left" vertical="center" wrapText="1"/>
    </xf>
    <xf numFmtId="0" fontId="0" fillId="4" borderId="1" xfId="0" applyFill="1" applyBorder="1"/>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vertical="center" wrapText="1"/>
    </xf>
    <xf numFmtId="0" fontId="0" fillId="5" borderId="1" xfId="0" applyFill="1" applyBorder="1"/>
    <xf numFmtId="0" fontId="0" fillId="0" borderId="2" xfId="0" applyBorder="1" applyAlignment="1">
      <alignment horizontal="left" vertical="center" wrapText="1"/>
    </xf>
    <xf numFmtId="0" fontId="0" fillId="0" borderId="3" xfId="0" applyBorder="1" applyAlignment="1">
      <alignment horizontal="left" vertical="center" wrapText="1"/>
    </xf>
    <xf numFmtId="0" fontId="3" fillId="6" borderId="0" xfId="2" applyFont="1" applyFill="1" applyBorder="1" applyAlignment="1">
      <alignment vertical="center" wrapText="1"/>
    </xf>
    <xf numFmtId="0" fontId="3" fillId="6" borderId="0" xfId="2" applyFont="1" applyFill="1" applyBorder="1" applyAlignment="1">
      <alignment horizontal="center" vertical="center" wrapText="1"/>
    </xf>
    <xf numFmtId="0" fontId="3" fillId="6" borderId="0" xfId="2" applyFont="1" applyFill="1" applyAlignment="1">
      <alignment vertical="center"/>
    </xf>
    <xf numFmtId="0" fontId="3" fillId="7" borderId="0" xfId="2" applyFont="1" applyFill="1" applyBorder="1" applyAlignment="1">
      <alignment vertical="center"/>
    </xf>
    <xf numFmtId="0" fontId="3" fillId="6" borderId="0" xfId="2" applyFont="1" applyFill="1" applyBorder="1" applyAlignment="1">
      <alignment vertical="center"/>
    </xf>
    <xf numFmtId="0" fontId="3" fillId="6" borderId="0" xfId="2" applyFont="1" applyFill="1" applyBorder="1" applyAlignment="1">
      <alignment horizontal="center" vertical="center"/>
    </xf>
    <xf numFmtId="0" fontId="3" fillId="6" borderId="0" xfId="2" applyFont="1" applyFill="1" applyAlignment="1">
      <alignment horizontal="left" vertical="center" indent="1"/>
    </xf>
    <xf numFmtId="0" fontId="3" fillId="6" borderId="0" xfId="2" applyFont="1" applyFill="1" applyBorder="1" applyAlignment="1">
      <alignment horizontal="left" vertical="center"/>
    </xf>
    <xf numFmtId="0" fontId="3" fillId="6" borderId="0" xfId="2" applyFont="1" applyFill="1" applyAlignment="1">
      <alignment horizontal="left" vertical="center"/>
    </xf>
    <xf numFmtId="0" fontId="3" fillId="6" borderId="0" xfId="2" applyFont="1" applyFill="1" applyAlignment="1">
      <alignment horizontal="center" vertical="center"/>
    </xf>
    <xf numFmtId="0" fontId="4" fillId="8" borderId="4" xfId="2" applyFont="1" applyFill="1" applyBorder="1" applyAlignment="1">
      <alignment horizontal="left" vertical="center"/>
    </xf>
    <xf numFmtId="0" fontId="4" fillId="8" borderId="0" xfId="2" applyFont="1" applyFill="1" applyBorder="1" applyAlignment="1">
      <alignment horizontal="left" vertical="center"/>
    </xf>
    <xf numFmtId="1" fontId="5" fillId="9" borderId="5" xfId="3" applyNumberFormat="1" applyFont="1" applyFill="1" applyBorder="1" applyAlignment="1">
      <alignment horizontal="center" vertical="center"/>
    </xf>
    <xf numFmtId="1" fontId="5" fillId="9" borderId="6" xfId="3" applyNumberFormat="1" applyFont="1" applyFill="1" applyBorder="1" applyAlignment="1">
      <alignment horizontal="center" vertical="center"/>
    </xf>
    <xf numFmtId="1" fontId="5" fillId="9" borderId="7" xfId="3" applyNumberFormat="1" applyFont="1" applyFill="1" applyBorder="1" applyAlignment="1">
      <alignment horizontal="center" vertical="center"/>
    </xf>
    <xf numFmtId="1" fontId="5" fillId="9" borderId="6" xfId="3" applyNumberFormat="1" applyFont="1" applyFill="1" applyBorder="1" applyAlignment="1">
      <alignment horizontal="center" vertical="center"/>
    </xf>
    <xf numFmtId="1" fontId="5" fillId="6" borderId="0" xfId="3" applyNumberFormat="1" applyFont="1" applyFill="1" applyBorder="1" applyAlignment="1">
      <alignment horizontal="center" vertical="center"/>
    </xf>
    <xf numFmtId="1" fontId="5" fillId="10" borderId="5" xfId="3" applyNumberFormat="1" applyFont="1" applyFill="1" applyBorder="1" applyAlignment="1">
      <alignment horizontal="center" vertical="center"/>
    </xf>
    <xf numFmtId="1" fontId="5" fillId="10" borderId="6" xfId="3" applyNumberFormat="1" applyFont="1" applyFill="1" applyBorder="1" applyAlignment="1">
      <alignment horizontal="center" vertical="center"/>
    </xf>
    <xf numFmtId="1" fontId="5" fillId="10" borderId="7" xfId="3" applyNumberFormat="1" applyFont="1" applyFill="1" applyBorder="1" applyAlignment="1">
      <alignment horizontal="center" vertical="center"/>
    </xf>
    <xf numFmtId="1" fontId="5" fillId="7" borderId="0" xfId="3" applyNumberFormat="1" applyFont="1" applyFill="1" applyBorder="1" applyAlignment="1">
      <alignment vertical="center"/>
    </xf>
    <xf numFmtId="0" fontId="4" fillId="6" borderId="0" xfId="2" applyFont="1" applyFill="1" applyBorder="1" applyAlignment="1">
      <alignment horizontal="left" vertical="center"/>
    </xf>
    <xf numFmtId="0" fontId="3" fillId="6" borderId="0" xfId="2" applyFont="1" applyFill="1" applyBorder="1" applyAlignment="1">
      <alignment horizontal="right" vertical="center"/>
    </xf>
    <xf numFmtId="1" fontId="5" fillId="9" borderId="8" xfId="3" applyNumberFormat="1" applyFont="1" applyFill="1" applyBorder="1" applyAlignment="1">
      <alignment horizontal="center" vertical="center"/>
    </xf>
    <xf numFmtId="1" fontId="5" fillId="9" borderId="9" xfId="3" applyNumberFormat="1" applyFont="1" applyFill="1" applyBorder="1" applyAlignment="1">
      <alignment horizontal="center" vertical="center"/>
    </xf>
    <xf numFmtId="1" fontId="5" fillId="9" borderId="10" xfId="3" applyNumberFormat="1" applyFont="1" applyFill="1" applyBorder="1" applyAlignment="1">
      <alignment horizontal="center" vertical="center"/>
    </xf>
    <xf numFmtId="1" fontId="5" fillId="9" borderId="9" xfId="3" applyNumberFormat="1" applyFont="1" applyFill="1" applyBorder="1" applyAlignment="1">
      <alignment horizontal="center" vertical="center"/>
    </xf>
    <xf numFmtId="1" fontId="5" fillId="10" borderId="8" xfId="3" applyNumberFormat="1" applyFont="1" applyFill="1" applyBorder="1" applyAlignment="1">
      <alignment horizontal="center" vertical="center"/>
    </xf>
    <xf numFmtId="1" fontId="5" fillId="10" borderId="9" xfId="3" applyNumberFormat="1" applyFont="1" applyFill="1" applyBorder="1" applyAlignment="1">
      <alignment horizontal="center" vertical="center"/>
    </xf>
    <xf numFmtId="1" fontId="5" fillId="10" borderId="10" xfId="3" applyNumberFormat="1" applyFont="1" applyFill="1" applyBorder="1" applyAlignment="1">
      <alignment horizontal="center" vertical="center"/>
    </xf>
    <xf numFmtId="0" fontId="3" fillId="6" borderId="9" xfId="2" applyFont="1" applyFill="1" applyBorder="1" applyAlignment="1">
      <alignment horizontal="right" vertical="center"/>
    </xf>
    <xf numFmtId="0" fontId="6" fillId="6" borderId="2" xfId="2" applyFont="1" applyFill="1" applyBorder="1" applyAlignment="1">
      <alignment horizontal="center" vertical="center"/>
    </xf>
    <xf numFmtId="0" fontId="6" fillId="11" borderId="2" xfId="2" applyFont="1" applyFill="1" applyBorder="1" applyAlignment="1">
      <alignment horizontal="center" vertical="center"/>
    </xf>
    <xf numFmtId="0" fontId="6" fillId="6" borderId="0" xfId="2" applyFont="1" applyFill="1" applyBorder="1" applyAlignment="1">
      <alignment vertical="center"/>
    </xf>
    <xf numFmtId="0" fontId="6" fillId="12" borderId="2" xfId="2" applyFont="1" applyFill="1" applyBorder="1" applyAlignment="1">
      <alignment horizontal="center" vertical="center"/>
    </xf>
    <xf numFmtId="0" fontId="3" fillId="12" borderId="2" xfId="2" applyFont="1" applyFill="1" applyBorder="1" applyAlignment="1">
      <alignment horizontal="center" vertical="center"/>
    </xf>
    <xf numFmtId="16" fontId="3" fillId="12" borderId="1" xfId="4" applyNumberFormat="1" applyFont="1" applyFill="1" applyBorder="1" applyAlignment="1">
      <alignment horizontal="center" vertical="center" wrapText="1"/>
    </xf>
    <xf numFmtId="0" fontId="3" fillId="12" borderId="2" xfId="2" applyFont="1" applyFill="1" applyBorder="1" applyAlignment="1">
      <alignment horizontal="center" vertical="center" wrapText="1"/>
    </xf>
    <xf numFmtId="16" fontId="3" fillId="12" borderId="11" xfId="3" applyNumberFormat="1" applyFont="1" applyFill="1" applyBorder="1" applyAlignment="1">
      <alignment horizontal="center" vertical="center" wrapText="1"/>
    </xf>
    <xf numFmtId="16" fontId="3" fillId="12" borderId="2" xfId="3" applyNumberFormat="1" applyFont="1" applyFill="1" applyBorder="1" applyAlignment="1">
      <alignment horizontal="center" vertical="center" wrapText="1"/>
    </xf>
    <xf numFmtId="16" fontId="3" fillId="12" borderId="1" xfId="3" applyNumberFormat="1" applyFont="1" applyFill="1" applyBorder="1" applyAlignment="1">
      <alignment horizontal="center" vertical="center" wrapText="1"/>
    </xf>
    <xf numFmtId="16" fontId="3" fillId="12" borderId="12" xfId="3" applyNumberFormat="1" applyFont="1" applyFill="1" applyBorder="1" applyAlignment="1">
      <alignment horizontal="center" vertical="center" wrapText="1"/>
    </xf>
    <xf numFmtId="16" fontId="3" fillId="6" borderId="0" xfId="3" applyNumberFormat="1" applyFont="1" applyFill="1" applyBorder="1" applyAlignment="1">
      <alignment horizontal="center" vertical="center"/>
    </xf>
    <xf numFmtId="16" fontId="3" fillId="6" borderId="0" xfId="3" applyNumberFormat="1" applyFont="1" applyFill="1" applyBorder="1" applyAlignment="1">
      <alignment horizontal="center" vertical="center" wrapText="1"/>
    </xf>
    <xf numFmtId="0" fontId="6" fillId="6" borderId="3" xfId="2" applyFont="1" applyFill="1" applyBorder="1" applyAlignment="1">
      <alignment horizontal="center" vertical="center"/>
    </xf>
    <xf numFmtId="0" fontId="6" fillId="11" borderId="3" xfId="2" applyFont="1" applyFill="1" applyBorder="1" applyAlignment="1">
      <alignment horizontal="center" vertical="center"/>
    </xf>
    <xf numFmtId="0" fontId="6" fillId="12" borderId="3" xfId="2" applyFont="1" applyFill="1" applyBorder="1" applyAlignment="1">
      <alignment horizontal="center" vertical="center"/>
    </xf>
    <xf numFmtId="0" fontId="3" fillId="12" borderId="3" xfId="2" applyFont="1" applyFill="1" applyBorder="1" applyAlignment="1">
      <alignment horizontal="center" vertical="center"/>
    </xf>
    <xf numFmtId="0" fontId="3" fillId="12" borderId="3" xfId="2" applyFont="1" applyFill="1" applyBorder="1" applyAlignment="1">
      <alignment horizontal="center" vertical="center" wrapText="1"/>
    </xf>
    <xf numFmtId="16" fontId="3" fillId="12" borderId="3" xfId="3" applyNumberFormat="1" applyFont="1" applyFill="1" applyBorder="1" applyAlignment="1">
      <alignment horizontal="center" vertical="center" wrapText="1"/>
    </xf>
    <xf numFmtId="16" fontId="3" fillId="12" borderId="10" xfId="3" applyNumberFormat="1" applyFont="1" applyFill="1" applyBorder="1" applyAlignment="1">
      <alignment horizontal="center" vertical="center" wrapText="1"/>
    </xf>
    <xf numFmtId="0" fontId="6" fillId="6" borderId="9" xfId="2" applyFont="1" applyFill="1" applyBorder="1" applyAlignment="1">
      <alignment horizontal="center" vertical="center"/>
    </xf>
    <xf numFmtId="0" fontId="6" fillId="6" borderId="0" xfId="2" applyFont="1" applyFill="1" applyBorder="1" applyAlignment="1">
      <alignment horizontal="center" vertical="center"/>
    </xf>
    <xf numFmtId="16" fontId="3" fillId="6" borderId="6" xfId="4" applyNumberFormat="1" applyFont="1" applyFill="1" applyBorder="1" applyAlignment="1">
      <alignment horizontal="center" vertical="center" wrapText="1"/>
    </xf>
    <xf numFmtId="0" fontId="3" fillId="6" borderId="9" xfId="2" applyFont="1" applyFill="1" applyBorder="1" applyAlignment="1">
      <alignment horizontal="center" vertical="center" wrapText="1"/>
    </xf>
    <xf numFmtId="16" fontId="3" fillId="6" borderId="9" xfId="3" applyNumberFormat="1" applyFont="1" applyFill="1" applyBorder="1" applyAlignment="1">
      <alignment horizontal="center" vertical="center" wrapText="1"/>
    </xf>
    <xf numFmtId="0" fontId="3" fillId="6" borderId="2" xfId="2" applyFont="1" applyFill="1" applyBorder="1" applyAlignment="1">
      <alignment horizontal="center" vertical="center"/>
    </xf>
    <xf numFmtId="0" fontId="3" fillId="11" borderId="2" xfId="2" applyFont="1" applyFill="1" applyBorder="1" applyAlignment="1">
      <alignment horizontal="center" vertical="center"/>
    </xf>
    <xf numFmtId="0" fontId="3" fillId="6" borderId="0" xfId="2" applyFont="1" applyFill="1" applyBorder="1" applyAlignment="1">
      <alignment horizontal="left" vertical="center" indent="1"/>
    </xf>
    <xf numFmtId="0" fontId="3" fillId="12" borderId="1" xfId="2" applyFont="1" applyFill="1" applyBorder="1" applyAlignment="1">
      <alignment vertical="center"/>
    </xf>
    <xf numFmtId="0" fontId="3" fillId="12" borderId="1" xfId="2" applyFont="1" applyFill="1" applyBorder="1" applyAlignment="1">
      <alignment horizontal="center" vertical="center"/>
    </xf>
    <xf numFmtId="164" fontId="3" fillId="12" borderId="1" xfId="5" applyNumberFormat="1" applyFont="1" applyFill="1" applyBorder="1"/>
    <xf numFmtId="165" fontId="3" fillId="12" borderId="1" xfId="2" applyNumberFormat="1" applyFont="1" applyFill="1" applyBorder="1" applyAlignment="1">
      <alignment horizontal="center" vertical="center"/>
    </xf>
    <xf numFmtId="41" fontId="7" fillId="6" borderId="1" xfId="3" applyNumberFormat="1" applyFont="1" applyFill="1" applyBorder="1" applyAlignment="1">
      <alignment horizontal="center"/>
    </xf>
    <xf numFmtId="166" fontId="7" fillId="6" borderId="1" xfId="2" applyNumberFormat="1" applyFont="1" applyFill="1" applyBorder="1" applyAlignment="1">
      <alignment horizontal="left" vertical="center"/>
    </xf>
    <xf numFmtId="10" fontId="7" fillId="6" borderId="1" xfId="6" applyNumberFormat="1" applyFont="1" applyFill="1" applyBorder="1" applyAlignment="1">
      <alignment horizontal="right" vertical="center"/>
    </xf>
    <xf numFmtId="166" fontId="3" fillId="6" borderId="0" xfId="2" applyNumberFormat="1" applyFont="1" applyFill="1" applyBorder="1" applyAlignment="1">
      <alignment horizontal="left" vertical="center"/>
    </xf>
    <xf numFmtId="166" fontId="3" fillId="6" borderId="1" xfId="2" applyNumberFormat="1" applyFont="1" applyFill="1" applyBorder="1" applyAlignment="1">
      <alignment horizontal="left" vertical="center"/>
    </xf>
    <xf numFmtId="41" fontId="3" fillId="6" borderId="1" xfId="3" applyNumberFormat="1" applyFont="1" applyFill="1" applyBorder="1" applyAlignment="1">
      <alignment horizontal="center"/>
    </xf>
    <xf numFmtId="10" fontId="3" fillId="6" borderId="1" xfId="6" applyNumberFormat="1" applyFont="1" applyFill="1" applyBorder="1" applyAlignment="1">
      <alignment horizontal="right" vertical="center"/>
    </xf>
    <xf numFmtId="10" fontId="3" fillId="6" borderId="0" xfId="6" applyNumberFormat="1" applyFont="1" applyFill="1" applyBorder="1" applyAlignment="1">
      <alignment horizontal="center" vertical="center"/>
    </xf>
    <xf numFmtId="0" fontId="6" fillId="6" borderId="0" xfId="2" applyFont="1" applyFill="1" applyAlignment="1">
      <alignment vertical="center"/>
    </xf>
    <xf numFmtId="10" fontId="6" fillId="6" borderId="1" xfId="6" applyNumberFormat="1" applyFont="1" applyFill="1" applyBorder="1" applyAlignment="1">
      <alignment horizontal="center" vertical="center"/>
    </xf>
    <xf numFmtId="166" fontId="6" fillId="6" borderId="0" xfId="5" applyNumberFormat="1" applyFont="1" applyFill="1" applyBorder="1" applyAlignment="1">
      <alignment horizontal="center" vertical="center"/>
    </xf>
    <xf numFmtId="166" fontId="3" fillId="6" borderId="1" xfId="5" applyNumberFormat="1" applyFont="1" applyFill="1" applyBorder="1" applyAlignment="1">
      <alignment horizontal="left" vertical="center"/>
    </xf>
    <xf numFmtId="164" fontId="3" fillId="6" borderId="0" xfId="6" applyNumberFormat="1" applyFont="1" applyFill="1" applyBorder="1" applyAlignment="1">
      <alignment horizontal="center" vertical="center"/>
    </xf>
    <xf numFmtId="166" fontId="6" fillId="6" borderId="1" xfId="2" applyNumberFormat="1" applyFont="1" applyFill="1" applyBorder="1" applyAlignment="1">
      <alignment horizontal="left" vertical="center"/>
    </xf>
    <xf numFmtId="0" fontId="3" fillId="6" borderId="13" xfId="2" applyFont="1" applyFill="1" applyBorder="1" applyAlignment="1">
      <alignment horizontal="center" vertical="center"/>
    </xf>
    <xf numFmtId="0" fontId="3" fillId="11" borderId="13" xfId="2" applyFont="1" applyFill="1" applyBorder="1" applyAlignment="1">
      <alignment horizontal="center" vertical="center"/>
    </xf>
    <xf numFmtId="0" fontId="3" fillId="6" borderId="4" xfId="2" applyFont="1" applyFill="1" applyBorder="1" applyAlignment="1">
      <alignment vertical="center"/>
    </xf>
    <xf numFmtId="164" fontId="3" fillId="6" borderId="14" xfId="5" applyNumberFormat="1" applyFont="1" applyFill="1" applyBorder="1"/>
    <xf numFmtId="164" fontId="3" fillId="6" borderId="0" xfId="5" applyNumberFormat="1" applyFont="1" applyFill="1" applyBorder="1"/>
    <xf numFmtId="166" fontId="7" fillId="6" borderId="11" xfId="5" applyNumberFormat="1" applyFont="1" applyFill="1" applyBorder="1" applyAlignment="1">
      <alignment vertical="center"/>
    </xf>
    <xf numFmtId="166" fontId="7" fillId="6" borderId="15" xfId="5" applyNumberFormat="1" applyFont="1" applyFill="1" applyBorder="1" applyAlignment="1">
      <alignment vertical="center"/>
    </xf>
    <xf numFmtId="166" fontId="3" fillId="6" borderId="15" xfId="5" applyNumberFormat="1" applyFont="1" applyFill="1" applyBorder="1" applyAlignment="1">
      <alignment vertical="center"/>
    </xf>
    <xf numFmtId="166" fontId="3" fillId="6" borderId="11" xfId="5" applyNumberFormat="1" applyFont="1" applyFill="1" applyBorder="1" applyAlignment="1">
      <alignment vertical="center"/>
    </xf>
    <xf numFmtId="164" fontId="6" fillId="6" borderId="1" xfId="6" applyNumberFormat="1" applyFont="1" applyFill="1" applyBorder="1" applyAlignment="1">
      <alignment horizontal="center" vertical="center"/>
    </xf>
    <xf numFmtId="164" fontId="3" fillId="6" borderId="1" xfId="6" applyNumberFormat="1" applyFont="1" applyFill="1" applyBorder="1" applyAlignment="1">
      <alignment horizontal="center" vertical="center"/>
    </xf>
    <xf numFmtId="43" fontId="3" fillId="6" borderId="11" xfId="2" applyNumberFormat="1" applyFont="1" applyFill="1" applyBorder="1" applyAlignment="1">
      <alignment vertical="center"/>
    </xf>
    <xf numFmtId="43" fontId="3" fillId="6" borderId="15" xfId="2" applyNumberFormat="1" applyFont="1" applyFill="1" applyBorder="1" applyAlignment="1">
      <alignment vertical="center"/>
    </xf>
    <xf numFmtId="43" fontId="3" fillId="6" borderId="1" xfId="2" applyNumberFormat="1" applyFont="1" applyFill="1" applyBorder="1" applyAlignment="1">
      <alignment horizontal="left" vertical="center"/>
    </xf>
    <xf numFmtId="43" fontId="6" fillId="6" borderId="1" xfId="5" applyFont="1" applyFill="1" applyBorder="1" applyAlignment="1">
      <alignment horizontal="center" vertical="center"/>
    </xf>
    <xf numFmtId="166" fontId="8" fillId="6" borderId="11" xfId="2" applyNumberFormat="1" applyFont="1" applyFill="1" applyBorder="1" applyAlignment="1">
      <alignment horizontal="center" vertical="center"/>
    </xf>
    <xf numFmtId="166" fontId="8" fillId="6" borderId="15" xfId="2" applyNumberFormat="1" applyFont="1" applyFill="1" applyBorder="1" applyAlignment="1">
      <alignment horizontal="center" vertical="center"/>
    </xf>
    <xf numFmtId="0" fontId="6" fillId="6" borderId="0" xfId="2" applyFont="1" applyFill="1" applyBorder="1" applyAlignment="1">
      <alignment horizontal="right" vertical="center"/>
    </xf>
    <xf numFmtId="166" fontId="6" fillId="6" borderId="15" xfId="2" applyNumberFormat="1" applyFont="1" applyFill="1" applyBorder="1" applyAlignment="1">
      <alignment horizontal="center" vertical="center"/>
    </xf>
    <xf numFmtId="9" fontId="6" fillId="6" borderId="0" xfId="6" applyFont="1" applyFill="1" applyBorder="1" applyAlignment="1">
      <alignment horizontal="right" vertical="center"/>
    </xf>
    <xf numFmtId="166" fontId="6" fillId="6" borderId="11" xfId="2" applyNumberFormat="1" applyFont="1" applyFill="1" applyBorder="1" applyAlignment="1">
      <alignment horizontal="center" vertical="center"/>
    </xf>
    <xf numFmtId="166" fontId="6" fillId="6" borderId="12" xfId="2" applyNumberFormat="1" applyFont="1" applyFill="1" applyBorder="1" applyAlignment="1">
      <alignment horizontal="center" vertical="center"/>
    </xf>
    <xf numFmtId="9" fontId="6" fillId="6" borderId="1" xfId="6" applyFont="1" applyFill="1" applyBorder="1" applyAlignment="1">
      <alignment horizontal="center" vertical="center"/>
    </xf>
    <xf numFmtId="43" fontId="6" fillId="6" borderId="0" xfId="5" applyFont="1" applyFill="1" applyBorder="1" applyAlignment="1">
      <alignment horizontal="center" vertical="center"/>
    </xf>
    <xf numFmtId="164" fontId="6" fillId="6" borderId="0" xfId="6" applyNumberFormat="1" applyFont="1" applyFill="1" applyBorder="1" applyAlignment="1">
      <alignment horizontal="center" vertical="center"/>
    </xf>
    <xf numFmtId="166" fontId="7" fillId="6" borderId="11" xfId="5" applyNumberFormat="1" applyFont="1" applyFill="1" applyBorder="1" applyAlignment="1">
      <alignment horizontal="center" vertical="center"/>
    </xf>
    <xf numFmtId="166" fontId="7" fillId="6" borderId="15" xfId="5" applyNumberFormat="1" applyFont="1" applyFill="1" applyBorder="1" applyAlignment="1">
      <alignment horizontal="center" vertical="center"/>
    </xf>
    <xf numFmtId="166" fontId="3" fillId="6" borderId="15" xfId="5" applyNumberFormat="1" applyFont="1" applyFill="1" applyBorder="1" applyAlignment="1">
      <alignment horizontal="center" vertical="center"/>
    </xf>
    <xf numFmtId="166" fontId="3" fillId="6" borderId="11" xfId="5" applyNumberFormat="1" applyFont="1" applyFill="1" applyBorder="1" applyAlignment="1">
      <alignment horizontal="center" vertical="center"/>
    </xf>
    <xf numFmtId="43" fontId="3" fillId="6" borderId="11" xfId="2" applyNumberFormat="1" applyFont="1" applyFill="1" applyBorder="1" applyAlignment="1">
      <alignment horizontal="center" vertical="center"/>
    </xf>
    <xf numFmtId="43" fontId="3" fillId="6" borderId="15" xfId="2" applyNumberFormat="1" applyFont="1" applyFill="1" applyBorder="1" applyAlignment="1">
      <alignment horizontal="center" vertical="center"/>
    </xf>
    <xf numFmtId="0" fontId="3" fillId="7" borderId="0" xfId="2" applyFont="1" applyFill="1" applyBorder="1" applyAlignment="1">
      <alignment horizontal="left" vertical="center"/>
    </xf>
    <xf numFmtId="43" fontId="10" fillId="7" borderId="0" xfId="7" applyFont="1" applyFill="1" applyBorder="1" applyAlignment="1">
      <alignment horizontal="center" vertical="center"/>
    </xf>
    <xf numFmtId="16" fontId="3" fillId="7" borderId="0" xfId="3" applyNumberFormat="1" applyFont="1" applyFill="1" applyBorder="1" applyAlignment="1">
      <alignment horizontal="center" vertical="center" wrapText="1"/>
    </xf>
    <xf numFmtId="10" fontId="3" fillId="6" borderId="0" xfId="2" applyNumberFormat="1" applyFont="1" applyFill="1" applyBorder="1" applyAlignment="1">
      <alignment horizontal="center" vertical="center"/>
    </xf>
    <xf numFmtId="164" fontId="3" fillId="6" borderId="0" xfId="6" applyNumberFormat="1" applyFont="1" applyFill="1" applyBorder="1" applyAlignment="1">
      <alignment horizontal="left" vertical="center"/>
    </xf>
    <xf numFmtId="165" fontId="3" fillId="6" borderId="0" xfId="6" applyNumberFormat="1" applyFont="1" applyFill="1" applyBorder="1" applyAlignment="1">
      <alignment horizontal="left" vertical="center"/>
    </xf>
    <xf numFmtId="43" fontId="3" fillId="6" borderId="0" xfId="2" applyNumberFormat="1" applyFont="1" applyFill="1" applyBorder="1" applyAlignment="1">
      <alignment horizontal="left" vertical="center"/>
    </xf>
    <xf numFmtId="10" fontId="3" fillId="6" borderId="0" xfId="6" applyNumberFormat="1" applyFont="1" applyFill="1" applyBorder="1" applyAlignment="1">
      <alignment horizontal="left" vertical="center"/>
    </xf>
    <xf numFmtId="164" fontId="3" fillId="7" borderId="0" xfId="6" applyNumberFormat="1" applyFont="1" applyFill="1" applyBorder="1" applyAlignment="1">
      <alignment horizontal="left" vertical="center"/>
    </xf>
    <xf numFmtId="43" fontId="3" fillId="6" borderId="0" xfId="5" applyFont="1" applyFill="1" applyBorder="1" applyAlignment="1">
      <alignment horizontal="left" vertical="center"/>
    </xf>
    <xf numFmtId="167" fontId="3" fillId="6" borderId="0" xfId="2" applyNumberFormat="1" applyFont="1" applyFill="1" applyBorder="1" applyAlignment="1">
      <alignment horizontal="left" vertical="center"/>
    </xf>
    <xf numFmtId="166" fontId="3" fillId="6" borderId="0" xfId="5" applyNumberFormat="1" applyFont="1" applyFill="1" applyBorder="1" applyAlignment="1">
      <alignment horizontal="left" vertical="center"/>
    </xf>
    <xf numFmtId="0" fontId="27" fillId="0" borderId="0" xfId="0" applyFont="1" applyFill="1" applyBorder="1"/>
    <xf numFmtId="17" fontId="28" fillId="33" borderId="0" xfId="0" applyNumberFormat="1" applyFont="1" applyFill="1" applyAlignment="1">
      <alignment horizontal="center"/>
    </xf>
    <xf numFmtId="0" fontId="28" fillId="33" borderId="0" xfId="0" applyFont="1" applyFill="1" applyAlignment="1">
      <alignment horizontal="center"/>
    </xf>
    <xf numFmtId="0" fontId="27" fillId="0" borderId="0" xfId="0" applyFont="1"/>
    <xf numFmtId="14" fontId="27" fillId="0" borderId="0" xfId="0" applyNumberFormat="1" applyFont="1"/>
    <xf numFmtId="16" fontId="29" fillId="0" borderId="0" xfId="4" applyNumberFormat="1" applyFont="1" applyFill="1" applyBorder="1" applyAlignment="1">
      <alignment horizontal="center" vertical="center" wrapText="1"/>
    </xf>
    <xf numFmtId="0" fontId="28" fillId="34" borderId="1" xfId="0" applyFont="1" applyFill="1" applyBorder="1" applyAlignment="1">
      <alignment horizontal="center" vertical="center"/>
    </xf>
    <xf numFmtId="9" fontId="27" fillId="0" borderId="1" xfId="0" applyNumberFormat="1"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xf numFmtId="169" fontId="27" fillId="0" borderId="1" xfId="240" applyNumberFormat="1" applyFont="1" applyBorder="1" applyAlignment="1">
      <alignment horizontal="center" vertical="center"/>
    </xf>
    <xf numFmtId="169" fontId="27" fillId="0" borderId="2" xfId="240" applyNumberFormat="1" applyFont="1" applyBorder="1" applyAlignment="1">
      <alignment vertical="center"/>
    </xf>
    <xf numFmtId="0" fontId="27" fillId="0" borderId="1" xfId="1" applyNumberFormat="1" applyFont="1" applyBorder="1"/>
    <xf numFmtId="10" fontId="27" fillId="0" borderId="1" xfId="1" applyNumberFormat="1" applyFont="1" applyBorder="1"/>
    <xf numFmtId="164" fontId="29" fillId="0" borderId="0" xfId="6" applyNumberFormat="1" applyFont="1" applyFill="1" applyBorder="1" applyAlignment="1">
      <alignment horizontal="center" vertical="center"/>
    </xf>
    <xf numFmtId="0" fontId="28" fillId="35" borderId="1" xfId="0" applyFont="1" applyFill="1" applyBorder="1" applyAlignment="1">
      <alignment horizontal="center" vertical="center"/>
    </xf>
    <xf numFmtId="169" fontId="28" fillId="35" borderId="1" xfId="240" applyNumberFormat="1" applyFont="1" applyFill="1" applyBorder="1" applyAlignment="1">
      <alignment horizontal="center" vertical="center"/>
    </xf>
    <xf numFmtId="10" fontId="28" fillId="35" borderId="1" xfId="1" applyNumberFormat="1" applyFont="1" applyFill="1" applyBorder="1" applyAlignment="1">
      <alignment horizontal="center" vertical="center"/>
    </xf>
    <xf numFmtId="0" fontId="28" fillId="35" borderId="1" xfId="0" applyFont="1" applyFill="1" applyBorder="1" applyAlignment="1">
      <alignment horizontal="center" vertical="center"/>
    </xf>
    <xf numFmtId="170" fontId="27" fillId="0" borderId="1" xfId="240" applyNumberFormat="1" applyFont="1" applyBorder="1" applyAlignment="1">
      <alignment horizontal="center" vertical="center"/>
    </xf>
    <xf numFmtId="169" fontId="27" fillId="0" borderId="0" xfId="0" applyNumberFormat="1" applyFont="1"/>
    <xf numFmtId="171" fontId="27" fillId="0" borderId="2" xfId="240" applyNumberFormat="1" applyFont="1" applyBorder="1" applyAlignment="1">
      <alignment vertical="center"/>
    </xf>
    <xf numFmtId="171" fontId="27" fillId="0" borderId="1" xfId="240" applyNumberFormat="1" applyFont="1" applyBorder="1" applyAlignment="1">
      <alignment horizontal="center" vertical="center"/>
    </xf>
    <xf numFmtId="170" fontId="27" fillId="0" borderId="2" xfId="240" applyNumberFormat="1" applyFont="1" applyBorder="1" applyAlignment="1">
      <alignment vertical="center"/>
    </xf>
    <xf numFmtId="0" fontId="31" fillId="36" borderId="0" xfId="0" applyFont="1" applyFill="1" applyAlignment="1">
      <alignment horizontal="center"/>
    </xf>
    <xf numFmtId="9" fontId="27" fillId="0" borderId="2" xfId="0" applyNumberFormat="1" applyFont="1" applyBorder="1" applyAlignment="1">
      <alignment horizontal="center" vertical="center"/>
    </xf>
    <xf numFmtId="0" fontId="27" fillId="0" borderId="2" xfId="0" applyFont="1" applyBorder="1" applyAlignment="1">
      <alignment horizontal="center" vertical="center"/>
    </xf>
    <xf numFmtId="169" fontId="27" fillId="0" borderId="1" xfId="247" applyNumberFormat="1" applyFont="1" applyBorder="1" applyAlignment="1">
      <alignment horizontal="center" vertical="center"/>
    </xf>
    <xf numFmtId="9" fontId="27" fillId="0" borderId="13" xfId="0" applyNumberFormat="1" applyFont="1" applyBorder="1" applyAlignment="1">
      <alignment horizontal="center" vertical="center"/>
    </xf>
    <xf numFmtId="0" fontId="27" fillId="0" borderId="13" xfId="0" applyFont="1" applyBorder="1" applyAlignment="1">
      <alignment horizontal="center" vertical="center"/>
    </xf>
    <xf numFmtId="169" fontId="27" fillId="0" borderId="2" xfId="247" applyNumberFormat="1" applyFont="1" applyBorder="1" applyAlignment="1">
      <alignment vertical="center"/>
    </xf>
    <xf numFmtId="9" fontId="27" fillId="0" borderId="3" xfId="0" applyNumberFormat="1" applyFont="1" applyBorder="1" applyAlignment="1">
      <alignment horizontal="center" vertical="center"/>
    </xf>
    <xf numFmtId="0" fontId="27" fillId="0" borderId="3" xfId="0" applyFont="1" applyBorder="1" applyAlignment="1">
      <alignment horizontal="center" vertical="center"/>
    </xf>
    <xf numFmtId="0" fontId="28" fillId="35" borderId="11" xfId="0" applyFont="1" applyFill="1" applyBorder="1" applyAlignment="1">
      <alignment horizontal="center" vertical="center"/>
    </xf>
    <xf numFmtId="0" fontId="28" fillId="35" borderId="12" xfId="0" applyFont="1" applyFill="1" applyBorder="1" applyAlignment="1">
      <alignment horizontal="center" vertical="center"/>
    </xf>
    <xf numFmtId="169" fontId="28" fillId="35" borderId="1" xfId="247" applyNumberFormat="1" applyFont="1" applyFill="1" applyBorder="1" applyAlignment="1">
      <alignment horizontal="center" vertical="center"/>
    </xf>
    <xf numFmtId="0" fontId="0" fillId="0" borderId="0" xfId="0" applyFill="1" applyBorder="1"/>
    <xf numFmtId="0" fontId="0" fillId="0" borderId="0" xfId="0" applyBorder="1"/>
    <xf numFmtId="171" fontId="27" fillId="0" borderId="1" xfId="247" applyNumberFormat="1" applyFont="1" applyBorder="1" applyAlignment="1">
      <alignment horizontal="center" vertical="center"/>
    </xf>
    <xf numFmtId="171" fontId="27" fillId="0" borderId="2" xfId="247" applyNumberFormat="1" applyFont="1" applyBorder="1" applyAlignment="1">
      <alignment vertical="center"/>
    </xf>
    <xf numFmtId="171" fontId="28" fillId="35" borderId="1" xfId="247" applyNumberFormat="1" applyFont="1" applyFill="1" applyBorder="1" applyAlignment="1">
      <alignment horizontal="center" vertical="center"/>
    </xf>
    <xf numFmtId="0" fontId="0" fillId="0" borderId="0" xfId="0" applyAlignment="1">
      <alignment horizontal="center"/>
    </xf>
    <xf numFmtId="0" fontId="0" fillId="0" borderId="2" xfId="0" applyBorder="1" applyAlignment="1">
      <alignment horizontal="center"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vertical="center"/>
    </xf>
  </cellXfs>
  <cellStyles count="248">
    <cellStyle name="20% - Accent1 2" xfId="8"/>
    <cellStyle name="20% - Accent2 2" xfId="9"/>
    <cellStyle name="20% - Accent3 2" xfId="10"/>
    <cellStyle name="20% - Accent4 2" xfId="11"/>
    <cellStyle name="20% - Accent5 2" xfId="12"/>
    <cellStyle name="20% - Accent6 2" xfId="13"/>
    <cellStyle name="40% - Accent1 2" xfId="14"/>
    <cellStyle name="40% - Accent2 2" xfId="15"/>
    <cellStyle name="40% - Accent3 2" xfId="16"/>
    <cellStyle name="40% - Accent4 2" xfId="17"/>
    <cellStyle name="40% - Accent5 2" xfId="18"/>
    <cellStyle name="40% - Accent6 2" xfId="19"/>
    <cellStyle name="60% - Accent1 2" xfId="20"/>
    <cellStyle name="60% - Accent2 2" xfId="21"/>
    <cellStyle name="60% - Accent3 2" xfId="22"/>
    <cellStyle name="60% - Accent4 2" xfId="23"/>
    <cellStyle name="60% - Accent5 2" xfId="24"/>
    <cellStyle name="60% - Accent6 2" xfId="25"/>
    <cellStyle name="Accent1 2" xfId="26"/>
    <cellStyle name="Accent2 2" xfId="27"/>
    <cellStyle name="Accent3 2" xfId="28"/>
    <cellStyle name="Accent4 2" xfId="29"/>
    <cellStyle name="Accent5 2" xfId="30"/>
    <cellStyle name="Accent6 2" xfId="31"/>
    <cellStyle name="Bad 2" xfId="32"/>
    <cellStyle name="Calculation 2" xfId="33"/>
    <cellStyle name="Check Cell 2" xfId="34"/>
    <cellStyle name="Comma [0] 10" xfId="35"/>
    <cellStyle name="Comma [0] 11" xfId="36"/>
    <cellStyle name="Comma [0] 12" xfId="37"/>
    <cellStyle name="Comma [0] 13" xfId="38"/>
    <cellStyle name="Comma [0] 14" xfId="39"/>
    <cellStyle name="Comma [0] 15" xfId="40"/>
    <cellStyle name="Comma [0] 16" xfId="41"/>
    <cellStyle name="Comma [0] 17" xfId="42"/>
    <cellStyle name="Comma [0] 18" xfId="43"/>
    <cellStyle name="Comma [0] 19" xfId="44"/>
    <cellStyle name="Comma [0] 2" xfId="45"/>
    <cellStyle name="Comma [0] 2 2" xfId="241"/>
    <cellStyle name="Comma [0] 2 3" xfId="242"/>
    <cellStyle name="Comma [0] 20" xfId="46"/>
    <cellStyle name="Comma [0] 21" xfId="47"/>
    <cellStyle name="Comma [0] 22" xfId="48"/>
    <cellStyle name="Comma [0] 23" xfId="49"/>
    <cellStyle name="Comma [0] 24" xfId="50"/>
    <cellStyle name="Comma [0] 25" xfId="51"/>
    <cellStyle name="Comma [0] 26" xfId="240"/>
    <cellStyle name="Comma [0] 27" xfId="247"/>
    <cellStyle name="Comma [0] 3" xfId="52"/>
    <cellStyle name="Comma [0] 4" xfId="53"/>
    <cellStyle name="Comma [0] 5" xfId="54"/>
    <cellStyle name="Comma [0] 5 10" xfId="55"/>
    <cellStyle name="Comma [0] 5 11" xfId="56"/>
    <cellStyle name="Comma [0] 5 12" xfId="57"/>
    <cellStyle name="Comma [0] 5 13" xfId="58"/>
    <cellStyle name="Comma [0] 5 14" xfId="59"/>
    <cellStyle name="Comma [0] 5 15" xfId="60"/>
    <cellStyle name="Comma [0] 5 16" xfId="61"/>
    <cellStyle name="Comma [0] 5 17" xfId="62"/>
    <cellStyle name="Comma [0] 5 18" xfId="63"/>
    <cellStyle name="Comma [0] 5 2" xfId="64"/>
    <cellStyle name="Comma [0] 5 3" xfId="65"/>
    <cellStyle name="Comma [0] 5 4" xfId="66"/>
    <cellStyle name="Comma [0] 5 5" xfId="67"/>
    <cellStyle name="Comma [0] 5 6" xfId="68"/>
    <cellStyle name="Comma [0] 5 7" xfId="69"/>
    <cellStyle name="Comma [0] 5 8" xfId="70"/>
    <cellStyle name="Comma [0] 5 9" xfId="71"/>
    <cellStyle name="Comma [0] 6" xfId="72"/>
    <cellStyle name="Comma [0] 7" xfId="73"/>
    <cellStyle name="Comma [0] 8" xfId="74"/>
    <cellStyle name="Comma [0] 9" xfId="75"/>
    <cellStyle name="Comma 10" xfId="7"/>
    <cellStyle name="Comma 11" xfId="76"/>
    <cellStyle name="Comma 12" xfId="77"/>
    <cellStyle name="Comma 13" xfId="78"/>
    <cellStyle name="Comma 14" xfId="79"/>
    <cellStyle name="Comma 15" xfId="80"/>
    <cellStyle name="Comma 16" xfId="81"/>
    <cellStyle name="Comma 17" xfId="82"/>
    <cellStyle name="Comma 18" xfId="83"/>
    <cellStyle name="Comma 19" xfId="84"/>
    <cellStyle name="Comma 2" xfId="5"/>
    <cellStyle name="Comma 2 2" xfId="85"/>
    <cellStyle name="Comma 2 3" xfId="86"/>
    <cellStyle name="Comma 20" xfId="87"/>
    <cellStyle name="Comma 21" xfId="88"/>
    <cellStyle name="Comma 22" xfId="89"/>
    <cellStyle name="Comma 23" xfId="90"/>
    <cellStyle name="Comma 24" xfId="91"/>
    <cellStyle name="Comma 25" xfId="92"/>
    <cellStyle name="Comma 3" xfId="93"/>
    <cellStyle name="Comma 4" xfId="94"/>
    <cellStyle name="Comma 5" xfId="95"/>
    <cellStyle name="Comma 6" xfId="96"/>
    <cellStyle name="Comma 7" xfId="97"/>
    <cellStyle name="Comma 8" xfId="98"/>
    <cellStyle name="Comma 9" xfId="99"/>
    <cellStyle name="Currency [0] 2" xfId="100"/>
    <cellStyle name="Currency [0] 2 2" xfId="243"/>
    <cellStyle name="Currency [0] 2 3" xfId="244"/>
    <cellStyle name="Explanatory Text 2" xfId="101"/>
    <cellStyle name="Good 2" xfId="102"/>
    <cellStyle name="Heading 1 2" xfId="103"/>
    <cellStyle name="Heading 2 2" xfId="104"/>
    <cellStyle name="Heading 3 2" xfId="105"/>
    <cellStyle name="Heading 4 2" xfId="106"/>
    <cellStyle name="Input 2" xfId="107"/>
    <cellStyle name="Linked Cell 2" xfId="108"/>
    <cellStyle name="Neutral 2" xfId="109"/>
    <cellStyle name="Normal" xfId="0" builtinId="0"/>
    <cellStyle name="Normal 10" xfId="110"/>
    <cellStyle name="Normal 11" xfId="111"/>
    <cellStyle name="Normal 12" xfId="112"/>
    <cellStyle name="Normal 13" xfId="113"/>
    <cellStyle name="Normal 14" xfId="114"/>
    <cellStyle name="Normal 15" xfId="115"/>
    <cellStyle name="Normal 16" xfId="116"/>
    <cellStyle name="Normal 17" xfId="117"/>
    <cellStyle name="Normal 18" xfId="118"/>
    <cellStyle name="Normal 19" xfId="119"/>
    <cellStyle name="Normal 2" xfId="3"/>
    <cellStyle name="Normal 2 10" xfId="120"/>
    <cellStyle name="Normal 2 11" xfId="121"/>
    <cellStyle name="Normal 2 12" xfId="122"/>
    <cellStyle name="Normal 2 13" xfId="123"/>
    <cellStyle name="Normal 2 14" xfId="124"/>
    <cellStyle name="Normal 2 15" xfId="125"/>
    <cellStyle name="Normal 2 16" xfId="126"/>
    <cellStyle name="Normal 2 17" xfId="127"/>
    <cellStyle name="Normal 2 18" xfId="128"/>
    <cellStyle name="Normal 2 19" xfId="129"/>
    <cellStyle name="Normal 2 2" xfId="130"/>
    <cellStyle name="Normal 2 2 10" xfId="131"/>
    <cellStyle name="Normal 2 2 11" xfId="132"/>
    <cellStyle name="Normal 2 2 12" xfId="133"/>
    <cellStyle name="Normal 2 2 13" xfId="134"/>
    <cellStyle name="Normal 2 2 14" xfId="135"/>
    <cellStyle name="Normal 2 2 15" xfId="136"/>
    <cellStyle name="Normal 2 2 16" xfId="137"/>
    <cellStyle name="Normal 2 2 17" xfId="138"/>
    <cellStyle name="Normal 2 2 18" xfId="139"/>
    <cellStyle name="Normal 2 2 19" xfId="140"/>
    <cellStyle name="Normal 2 2 2" xfId="141"/>
    <cellStyle name="Normal 2 2 2 2" xfId="142"/>
    <cellStyle name="Normal 2 2 2 3" xfId="143"/>
    <cellStyle name="Normal 2 2 20" xfId="144"/>
    <cellStyle name="Normal 2 2 3" xfId="145"/>
    <cellStyle name="Normal 2 2 4" xfId="146"/>
    <cellStyle name="Normal 2 2 5" xfId="147"/>
    <cellStyle name="Normal 2 2 6" xfId="148"/>
    <cellStyle name="Normal 2 2 7" xfId="149"/>
    <cellStyle name="Normal 2 2 8" xfId="150"/>
    <cellStyle name="Normal 2 2 9" xfId="151"/>
    <cellStyle name="Normal 2 20" xfId="152"/>
    <cellStyle name="Normal 2 21" xfId="153"/>
    <cellStyle name="Normal 2 3" xfId="154"/>
    <cellStyle name="Normal 2 4" xfId="155"/>
    <cellStyle name="Normal 2 5" xfId="156"/>
    <cellStyle name="Normal 2 6" xfId="157"/>
    <cellStyle name="Normal 2 7" xfId="158"/>
    <cellStyle name="Normal 2 8" xfId="159"/>
    <cellStyle name="Normal 2 9" xfId="160"/>
    <cellStyle name="Normal 20" xfId="161"/>
    <cellStyle name="Normal 21" xfId="162"/>
    <cellStyle name="Normal 22" xfId="163"/>
    <cellStyle name="Normal 23" xfId="164"/>
    <cellStyle name="Normal 24" xfId="165"/>
    <cellStyle name="Normal 25" xfId="166"/>
    <cellStyle name="Normal 3" xfId="167"/>
    <cellStyle name="Normal 3 2" xfId="168"/>
    <cellStyle name="Normal 3 2 10" xfId="169"/>
    <cellStyle name="Normal 3 2 11" xfId="170"/>
    <cellStyle name="Normal 3 2 12" xfId="171"/>
    <cellStyle name="Normal 3 2 13" xfId="172"/>
    <cellStyle name="Normal 3 2 14" xfId="173"/>
    <cellStyle name="Normal 3 2 15" xfId="174"/>
    <cellStyle name="Normal 3 2 16" xfId="175"/>
    <cellStyle name="Normal 3 2 17" xfId="176"/>
    <cellStyle name="Normal 3 2 18" xfId="177"/>
    <cellStyle name="Normal 3 2 19" xfId="178"/>
    <cellStyle name="Normal 3 2 2" xfId="179"/>
    <cellStyle name="Normal 3 2 20" xfId="180"/>
    <cellStyle name="Normal 3 2 3" xfId="181"/>
    <cellStyle name="Normal 3 2 4" xfId="182"/>
    <cellStyle name="Normal 3 2 5" xfId="183"/>
    <cellStyle name="Normal 3 2 6" xfId="184"/>
    <cellStyle name="Normal 3 2 7" xfId="185"/>
    <cellStyle name="Normal 3 2 8" xfId="186"/>
    <cellStyle name="Normal 3 2 9" xfId="187"/>
    <cellStyle name="Normal 3 3" xfId="188"/>
    <cellStyle name="Normal 4" xfId="189"/>
    <cellStyle name="Normal 4 2" xfId="190"/>
    <cellStyle name="Normal 5" xfId="191"/>
    <cellStyle name="Normal 6" xfId="192"/>
    <cellStyle name="Normal 7" xfId="193"/>
    <cellStyle name="Normal 8" xfId="194"/>
    <cellStyle name="Normal 9" xfId="195"/>
    <cellStyle name="Normal 9 10" xfId="196"/>
    <cellStyle name="Normal 9 11" xfId="197"/>
    <cellStyle name="Normal 9 12" xfId="198"/>
    <cellStyle name="Normal 9 13" xfId="199"/>
    <cellStyle name="Normal 9 14" xfId="200"/>
    <cellStyle name="Normal 9 15" xfId="201"/>
    <cellStyle name="Normal 9 16" xfId="202"/>
    <cellStyle name="Normal 9 17" xfId="203"/>
    <cellStyle name="Normal 9 18" xfId="204"/>
    <cellStyle name="Normal 9 2" xfId="205"/>
    <cellStyle name="Normal 9 3" xfId="206"/>
    <cellStyle name="Normal 9 4" xfId="207"/>
    <cellStyle name="Normal 9 5" xfId="208"/>
    <cellStyle name="Normal 9 6" xfId="209"/>
    <cellStyle name="Normal 9 7" xfId="210"/>
    <cellStyle name="Normal 9 8" xfId="211"/>
    <cellStyle name="Normal 9 9" xfId="212"/>
    <cellStyle name="Normal_Planning &amp; Realisasi Produksi 2007" xfId="2"/>
    <cellStyle name="Normal_SP - PERFORMANCE MARET 08 (REV 04 APRIL)" xfId="4"/>
    <cellStyle name="Note 2" xfId="213"/>
    <cellStyle name="Output 2" xfId="214"/>
    <cellStyle name="Percent" xfId="1" builtinId="5"/>
    <cellStyle name="Percent 10" xfId="215"/>
    <cellStyle name="Percent 11" xfId="216"/>
    <cellStyle name="Percent 12" xfId="217"/>
    <cellStyle name="Percent 13" xfId="218"/>
    <cellStyle name="Percent 14" xfId="219"/>
    <cellStyle name="Percent 15" xfId="220"/>
    <cellStyle name="Percent 16" xfId="221"/>
    <cellStyle name="Percent 17" xfId="222"/>
    <cellStyle name="Percent 18" xfId="223"/>
    <cellStyle name="Percent 19" xfId="224"/>
    <cellStyle name="Percent 2" xfId="6"/>
    <cellStyle name="Percent 2 2" xfId="245"/>
    <cellStyle name="Percent 2 3" xfId="246"/>
    <cellStyle name="Percent 20" xfId="225"/>
    <cellStyle name="Percent 21" xfId="226"/>
    <cellStyle name="Percent 22" xfId="227"/>
    <cellStyle name="Percent 23" xfId="228"/>
    <cellStyle name="Percent 24" xfId="229"/>
    <cellStyle name="Percent 3" xfId="230"/>
    <cellStyle name="Percent 4" xfId="231"/>
    <cellStyle name="Percent 5" xfId="232"/>
    <cellStyle name="Percent 6" xfId="233"/>
    <cellStyle name="Percent 7" xfId="234"/>
    <cellStyle name="Percent 8" xfId="235"/>
    <cellStyle name="Percent 9" xfId="236"/>
    <cellStyle name="Title 2" xfId="237"/>
    <cellStyle name="Total 2" xfId="238"/>
    <cellStyle name="Warning Text 2" xfId="239"/>
  </cellStyles>
  <dxfs count="2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b val="0"/>
        <i val="0"/>
        <color theme="5" tint="-0.24994659260841701"/>
      </font>
      <fill>
        <patternFill>
          <fgColor theme="5" tint="0.59996337778862885"/>
        </patternFill>
      </fill>
    </dxf>
    <dxf>
      <font>
        <color theme="1"/>
      </font>
      <fill>
        <patternFill>
          <bgColor theme="0"/>
        </patternFill>
      </fill>
    </dxf>
    <dxf>
      <font>
        <condense val="0"/>
        <extend val="0"/>
        <color rgb="FF9C0006"/>
      </font>
      <fill>
        <patternFill>
          <bgColor rgb="FFFFC7CE"/>
        </patternFill>
      </fill>
    </dxf>
    <dxf>
      <font>
        <b val="0"/>
        <i val="0"/>
        <color theme="1"/>
      </font>
      <fill>
        <patternFill>
          <fgColor theme="0"/>
          <bgColor theme="0"/>
        </patternFill>
      </fill>
    </dxf>
    <dxf>
      <fill>
        <patternFill>
          <fgColor theme="5" tint="0.79998168889431442"/>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
      <font>
        <b val="0"/>
        <i val="0"/>
        <strike val="0"/>
        <condense val="0"/>
        <extend val="0"/>
        <outline val="0"/>
        <shadow val="0"/>
        <u val="none"/>
        <vertAlign val="baseline"/>
        <sz val="10"/>
        <color rgb="FF9C0006"/>
        <name val="Arial"/>
        <scheme val="none"/>
      </font>
      <fill>
        <patternFill patternType="solid">
          <fgColor indexed="64"/>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FCM%20Produksi%20Berbek%20Juli%20202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04%20%20Juni'26_Waste%20Dry.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PR-FG."/>
      <sheetName val="YIELD."/>
      <sheetName val="PPR-MU."/>
      <sheetName val="PPR-PRODUCTIVITY"/>
      <sheetName val="PPR-PVDC&amp;WIRE."/>
      <sheetName val="PPR-PACK."/>
      <sheetName val="CA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C FIESTA"/>
      <sheetName val="PLASTIK FIESTA"/>
      <sheetName val="PLASTIK KORIN"/>
      <sheetName val="SUMMARY"/>
      <sheetName val="Sheet1 (2)"/>
      <sheetName val="Sheet1"/>
      <sheetName val="Sheet2"/>
      <sheetName val="MONTHLY REPORT"/>
      <sheetName val="SAP vs Aktual"/>
      <sheetName val="MONTHLY SAP vs AKTUAL"/>
      <sheetName val="Sheet3"/>
      <sheetName val="Sheet4"/>
      <sheetName val="Sheet5"/>
      <sheetName val="Report WH"/>
      <sheetName val="Report Engineering"/>
      <sheetName val="Sheet6"/>
      <sheetName val="Sheet7"/>
      <sheetName val="INPUT SAP"/>
      <sheetName val="ACT SAP"/>
      <sheetName val="R.Suplier"/>
    </sheetNames>
    <sheetDataSet>
      <sheetData sheetId="0">
        <row r="1">
          <cell r="B1">
            <v>46174</v>
          </cell>
        </row>
      </sheetData>
      <sheetData sheetId="1">
        <row r="4">
          <cell r="G4">
            <v>2749</v>
          </cell>
        </row>
        <row r="5">
          <cell r="F5">
            <v>3</v>
          </cell>
        </row>
        <row r="6">
          <cell r="F6">
            <v>18</v>
          </cell>
        </row>
        <row r="8">
          <cell r="F8">
            <v>31</v>
          </cell>
        </row>
        <row r="31">
          <cell r="G31">
            <v>27490</v>
          </cell>
        </row>
        <row r="32">
          <cell r="F32">
            <v>96</v>
          </cell>
        </row>
        <row r="35">
          <cell r="F35">
            <v>927</v>
          </cell>
        </row>
        <row r="76">
          <cell r="G76">
            <v>1297.05</v>
          </cell>
        </row>
        <row r="78">
          <cell r="F78">
            <v>8.1</v>
          </cell>
        </row>
      </sheetData>
      <sheetData sheetId="2">
        <row r="7">
          <cell r="F7">
            <v>6</v>
          </cell>
        </row>
        <row r="8">
          <cell r="F8">
            <v>23</v>
          </cell>
        </row>
        <row r="13">
          <cell r="G13">
            <v>3513</v>
          </cell>
        </row>
        <row r="14">
          <cell r="F14">
            <v>16</v>
          </cell>
        </row>
        <row r="17">
          <cell r="F17">
            <v>4</v>
          </cell>
        </row>
        <row r="22">
          <cell r="G22">
            <v>21078</v>
          </cell>
        </row>
        <row r="23">
          <cell r="F23">
            <v>15</v>
          </cell>
        </row>
        <row r="27">
          <cell r="F27">
            <v>10</v>
          </cell>
        </row>
        <row r="40">
          <cell r="G40">
            <v>8472</v>
          </cell>
        </row>
        <row r="41">
          <cell r="F41">
            <v>1</v>
          </cell>
        </row>
        <row r="49">
          <cell r="G49">
            <v>12606</v>
          </cell>
        </row>
        <row r="67">
          <cell r="G67">
            <v>14.53</v>
          </cell>
        </row>
        <row r="68">
          <cell r="F68">
            <v>0.02</v>
          </cell>
        </row>
        <row r="76">
          <cell r="G76">
            <v>1580.85</v>
          </cell>
        </row>
        <row r="79">
          <cell r="F79">
            <v>10.8</v>
          </cell>
        </row>
        <row r="80">
          <cell r="F80">
            <v>1.6</v>
          </cell>
        </row>
      </sheetData>
      <sheetData sheetId="3">
        <row r="8">
          <cell r="F8">
            <v>1</v>
          </cell>
        </row>
        <row r="13">
          <cell r="G13">
            <v>3454</v>
          </cell>
        </row>
        <row r="14">
          <cell r="F14">
            <v>1</v>
          </cell>
        </row>
        <row r="15">
          <cell r="F15">
            <v>10</v>
          </cell>
        </row>
        <row r="17">
          <cell r="F17">
            <v>22</v>
          </cell>
        </row>
        <row r="22">
          <cell r="G22">
            <v>20724</v>
          </cell>
        </row>
        <row r="23">
          <cell r="F23">
            <v>5</v>
          </cell>
        </row>
        <row r="24">
          <cell r="F24">
            <v>60</v>
          </cell>
        </row>
        <row r="26">
          <cell r="F26">
            <v>61</v>
          </cell>
        </row>
        <row r="27">
          <cell r="F27">
            <v>49</v>
          </cell>
        </row>
        <row r="35">
          <cell r="F35">
            <v>329</v>
          </cell>
        </row>
        <row r="40">
          <cell r="G40">
            <v>20724</v>
          </cell>
        </row>
        <row r="42">
          <cell r="F42">
            <v>60</v>
          </cell>
        </row>
        <row r="44">
          <cell r="F44">
            <v>222</v>
          </cell>
        </row>
        <row r="67">
          <cell r="G67">
            <v>14.18</v>
          </cell>
        </row>
        <row r="68">
          <cell r="F68">
            <v>0.04</v>
          </cell>
        </row>
        <row r="71">
          <cell r="F71">
            <v>0.3</v>
          </cell>
        </row>
        <row r="76">
          <cell r="G76">
            <v>1558.8</v>
          </cell>
        </row>
        <row r="80">
          <cell r="F80">
            <v>9</v>
          </cell>
        </row>
      </sheetData>
      <sheetData sheetId="4">
        <row r="4">
          <cell r="G4">
            <v>1118</v>
          </cell>
        </row>
        <row r="8">
          <cell r="F8">
            <v>4</v>
          </cell>
        </row>
        <row r="13">
          <cell r="G13">
            <v>1946</v>
          </cell>
        </row>
        <row r="14">
          <cell r="F14">
            <v>7</v>
          </cell>
        </row>
        <row r="17">
          <cell r="F17">
            <v>16</v>
          </cell>
        </row>
        <row r="22">
          <cell r="G22">
            <v>11676</v>
          </cell>
        </row>
        <row r="23">
          <cell r="F23">
            <v>4</v>
          </cell>
        </row>
        <row r="27">
          <cell r="F27">
            <v>22</v>
          </cell>
        </row>
        <row r="31">
          <cell r="G31">
            <v>11180</v>
          </cell>
        </row>
        <row r="32">
          <cell r="F32">
            <v>29</v>
          </cell>
        </row>
        <row r="35">
          <cell r="F35">
            <v>40</v>
          </cell>
        </row>
        <row r="40">
          <cell r="G40">
            <v>11676</v>
          </cell>
        </row>
        <row r="44">
          <cell r="F44">
            <v>2</v>
          </cell>
        </row>
        <row r="67">
          <cell r="G67">
            <v>7.71</v>
          </cell>
        </row>
        <row r="76">
          <cell r="G76">
            <v>1878.8</v>
          </cell>
        </row>
        <row r="80">
          <cell r="F80">
            <v>1.8</v>
          </cell>
        </row>
      </sheetData>
      <sheetData sheetId="5">
        <row r="4">
          <cell r="G4">
            <v>4047</v>
          </cell>
        </row>
        <row r="5">
          <cell r="F5">
            <v>3</v>
          </cell>
        </row>
        <row r="13">
          <cell r="G13">
            <v>469</v>
          </cell>
        </row>
        <row r="14">
          <cell r="F14">
            <v>5</v>
          </cell>
        </row>
        <row r="22">
          <cell r="G22">
            <v>2814</v>
          </cell>
        </row>
        <row r="23">
          <cell r="F23">
            <v>5</v>
          </cell>
        </row>
        <row r="31">
          <cell r="G31">
            <v>40470</v>
          </cell>
        </row>
        <row r="40">
          <cell r="G40">
            <v>840</v>
          </cell>
        </row>
        <row r="58">
          <cell r="G58">
            <v>1974</v>
          </cell>
        </row>
        <row r="67">
          <cell r="G67">
            <v>2</v>
          </cell>
        </row>
        <row r="76">
          <cell r="G76">
            <v>2180.25</v>
          </cell>
        </row>
        <row r="77">
          <cell r="F77">
            <v>2.25</v>
          </cell>
        </row>
      </sheetData>
      <sheetData sheetId="6"/>
      <sheetData sheetId="7">
        <row r="2">
          <cell r="B2">
            <v>46181</v>
          </cell>
        </row>
        <row r="4">
          <cell r="G4">
            <v>3242</v>
          </cell>
        </row>
        <row r="5">
          <cell r="F5">
            <v>2</v>
          </cell>
        </row>
        <row r="8">
          <cell r="F8">
            <v>8</v>
          </cell>
        </row>
        <row r="17">
          <cell r="F17">
            <v>8</v>
          </cell>
        </row>
        <row r="26">
          <cell r="F26">
            <v>43</v>
          </cell>
        </row>
        <row r="31">
          <cell r="G31">
            <v>32420</v>
          </cell>
        </row>
        <row r="32">
          <cell r="F32">
            <v>157</v>
          </cell>
        </row>
        <row r="33">
          <cell r="F33">
            <v>460</v>
          </cell>
        </row>
        <row r="35">
          <cell r="F35">
            <v>145</v>
          </cell>
        </row>
        <row r="71">
          <cell r="F71">
            <v>0.3</v>
          </cell>
        </row>
        <row r="76">
          <cell r="G76">
            <v>1458.9</v>
          </cell>
        </row>
        <row r="77">
          <cell r="F77">
            <v>2.7</v>
          </cell>
        </row>
        <row r="78">
          <cell r="F78">
            <v>20.7</v>
          </cell>
        </row>
        <row r="80">
          <cell r="F80">
            <v>10.8</v>
          </cell>
        </row>
      </sheetData>
      <sheetData sheetId="8">
        <row r="4">
          <cell r="G4">
            <v>3002</v>
          </cell>
        </row>
        <row r="5">
          <cell r="F5">
            <v>5</v>
          </cell>
        </row>
        <row r="6">
          <cell r="F6">
            <v>14</v>
          </cell>
        </row>
        <row r="8">
          <cell r="F8">
            <v>6</v>
          </cell>
        </row>
        <row r="15">
          <cell r="F15">
            <v>1</v>
          </cell>
        </row>
        <row r="17">
          <cell r="F17">
            <v>5</v>
          </cell>
        </row>
        <row r="24">
          <cell r="F24">
            <v>6</v>
          </cell>
        </row>
        <row r="31">
          <cell r="G31">
            <v>30160</v>
          </cell>
        </row>
        <row r="32">
          <cell r="F32">
            <v>114</v>
          </cell>
        </row>
        <row r="33">
          <cell r="F33">
            <v>140</v>
          </cell>
        </row>
        <row r="35">
          <cell r="F35">
            <v>433</v>
          </cell>
        </row>
        <row r="42">
          <cell r="F42">
            <v>6</v>
          </cell>
        </row>
        <row r="76">
          <cell r="G76">
            <v>1357.2</v>
          </cell>
        </row>
        <row r="77">
          <cell r="F77">
            <v>1.8</v>
          </cell>
        </row>
        <row r="78">
          <cell r="F78">
            <v>6.75</v>
          </cell>
        </row>
      </sheetData>
      <sheetData sheetId="9">
        <row r="4">
          <cell r="G4">
            <v>3053</v>
          </cell>
        </row>
        <row r="5">
          <cell r="F5">
            <v>4</v>
          </cell>
        </row>
        <row r="8">
          <cell r="F8">
            <v>4</v>
          </cell>
        </row>
        <row r="14">
          <cell r="F14">
            <v>2</v>
          </cell>
        </row>
        <row r="31">
          <cell r="G31">
            <v>30530</v>
          </cell>
        </row>
        <row r="32">
          <cell r="F32">
            <v>163</v>
          </cell>
        </row>
        <row r="35">
          <cell r="F35">
            <v>30</v>
          </cell>
        </row>
        <row r="76">
          <cell r="G76">
            <v>1373.85</v>
          </cell>
        </row>
        <row r="77">
          <cell r="F77">
            <v>4.5</v>
          </cell>
        </row>
      </sheetData>
      <sheetData sheetId="10">
        <row r="6">
          <cell r="F6">
            <v>4</v>
          </cell>
        </row>
        <row r="13">
          <cell r="G13">
            <v>3591</v>
          </cell>
        </row>
        <row r="14">
          <cell r="F14">
            <v>3</v>
          </cell>
        </row>
        <row r="15">
          <cell r="F15">
            <v>7</v>
          </cell>
        </row>
        <row r="17">
          <cell r="F17">
            <v>8</v>
          </cell>
        </row>
        <row r="22">
          <cell r="G22">
            <v>21546</v>
          </cell>
        </row>
        <row r="23">
          <cell r="F23">
            <v>7</v>
          </cell>
        </row>
        <row r="24">
          <cell r="F24">
            <v>42</v>
          </cell>
        </row>
        <row r="27">
          <cell r="F27">
            <v>62</v>
          </cell>
        </row>
        <row r="33">
          <cell r="F33">
            <v>40</v>
          </cell>
        </row>
        <row r="35">
          <cell r="F35">
            <v>2</v>
          </cell>
        </row>
        <row r="40">
          <cell r="G40">
            <v>21546</v>
          </cell>
        </row>
        <row r="42">
          <cell r="F42">
            <v>42</v>
          </cell>
        </row>
        <row r="45">
          <cell r="F45">
            <v>24</v>
          </cell>
        </row>
        <row r="67">
          <cell r="G67">
            <v>14.7</v>
          </cell>
        </row>
        <row r="68">
          <cell r="F68">
            <v>3.5000000000000001E-3</v>
          </cell>
        </row>
        <row r="76">
          <cell r="G76">
            <v>1613.7</v>
          </cell>
        </row>
        <row r="77">
          <cell r="F77">
            <v>2.25</v>
          </cell>
        </row>
        <row r="78">
          <cell r="F78">
            <v>4.95</v>
          </cell>
        </row>
      </sheetData>
      <sheetData sheetId="11">
        <row r="13">
          <cell r="G13">
            <v>3911</v>
          </cell>
        </row>
        <row r="17">
          <cell r="F17">
            <v>15</v>
          </cell>
        </row>
        <row r="22">
          <cell r="G22">
            <v>23466</v>
          </cell>
        </row>
        <row r="23">
          <cell r="F23">
            <v>3</v>
          </cell>
        </row>
        <row r="26">
          <cell r="F26">
            <v>12</v>
          </cell>
        </row>
        <row r="27">
          <cell r="F27">
            <v>42</v>
          </cell>
        </row>
        <row r="40">
          <cell r="G40">
            <v>23466</v>
          </cell>
        </row>
        <row r="41">
          <cell r="F41">
            <v>5</v>
          </cell>
        </row>
        <row r="45">
          <cell r="F45">
            <v>2</v>
          </cell>
        </row>
        <row r="67">
          <cell r="G67">
            <v>14.23</v>
          </cell>
        </row>
        <row r="68">
          <cell r="F68">
            <v>6.0000000000000001E-3</v>
          </cell>
        </row>
        <row r="71">
          <cell r="F71">
            <v>0.2</v>
          </cell>
        </row>
        <row r="76">
          <cell r="G76">
            <v>1756.95</v>
          </cell>
        </row>
        <row r="77">
          <cell r="F77">
            <v>4.5</v>
          </cell>
        </row>
        <row r="80">
          <cell r="F80">
            <v>14.85</v>
          </cell>
        </row>
      </sheetData>
      <sheetData sheetId="12">
        <row r="4">
          <cell r="G4">
            <v>2754</v>
          </cell>
        </row>
        <row r="5">
          <cell r="F5">
            <v>3</v>
          </cell>
        </row>
        <row r="13">
          <cell r="G13">
            <v>2236</v>
          </cell>
        </row>
        <row r="14">
          <cell r="F14">
            <v>5</v>
          </cell>
        </row>
        <row r="22">
          <cell r="G22">
            <v>11520</v>
          </cell>
        </row>
        <row r="27">
          <cell r="F27">
            <v>20</v>
          </cell>
        </row>
        <row r="32">
          <cell r="F32">
            <v>135</v>
          </cell>
        </row>
        <row r="40">
          <cell r="G40">
            <v>174</v>
          </cell>
        </row>
        <row r="49">
          <cell r="G49">
            <v>11346</v>
          </cell>
        </row>
        <row r="50">
          <cell r="F50">
            <v>2</v>
          </cell>
        </row>
        <row r="54">
          <cell r="F54">
            <v>30</v>
          </cell>
        </row>
        <row r="67">
          <cell r="G67">
            <v>7.68</v>
          </cell>
        </row>
        <row r="76">
          <cell r="G76">
            <v>2245.5</v>
          </cell>
        </row>
      </sheetData>
      <sheetData sheetId="13"/>
      <sheetData sheetId="14">
        <row r="4">
          <cell r="G4">
            <v>1874</v>
          </cell>
        </row>
        <row r="5">
          <cell r="F5">
            <v>2</v>
          </cell>
        </row>
        <row r="6">
          <cell r="F6">
            <v>19</v>
          </cell>
        </row>
        <row r="7">
          <cell r="F7">
            <v>2</v>
          </cell>
        </row>
        <row r="13">
          <cell r="G13">
            <v>2043</v>
          </cell>
        </row>
        <row r="14">
          <cell r="F14">
            <v>4</v>
          </cell>
        </row>
        <row r="15">
          <cell r="F15">
            <v>15</v>
          </cell>
        </row>
        <row r="16">
          <cell r="F16">
            <v>4</v>
          </cell>
        </row>
        <row r="17">
          <cell r="F17">
            <v>8</v>
          </cell>
        </row>
        <row r="22">
          <cell r="G22">
            <v>12326</v>
          </cell>
        </row>
        <row r="23">
          <cell r="F23">
            <v>2</v>
          </cell>
        </row>
        <row r="24">
          <cell r="F24">
            <v>90</v>
          </cell>
        </row>
        <row r="26">
          <cell r="F26">
            <v>57</v>
          </cell>
        </row>
        <row r="27">
          <cell r="F27">
            <v>19</v>
          </cell>
        </row>
        <row r="31">
          <cell r="G31">
            <v>18550</v>
          </cell>
        </row>
        <row r="32">
          <cell r="F32">
            <v>35</v>
          </cell>
        </row>
        <row r="33">
          <cell r="F33">
            <v>190</v>
          </cell>
        </row>
        <row r="35">
          <cell r="F35">
            <v>150</v>
          </cell>
        </row>
        <row r="40">
          <cell r="G40">
            <v>12348</v>
          </cell>
        </row>
        <row r="42">
          <cell r="F42">
            <v>90</v>
          </cell>
        </row>
        <row r="54">
          <cell r="F54">
            <v>30</v>
          </cell>
        </row>
        <row r="67">
          <cell r="G67">
            <v>8.36</v>
          </cell>
        </row>
        <row r="71">
          <cell r="F71">
            <v>0.3</v>
          </cell>
        </row>
        <row r="76">
          <cell r="G76">
            <v>1769.85</v>
          </cell>
        </row>
        <row r="78">
          <cell r="F78">
            <v>15.3</v>
          </cell>
        </row>
        <row r="79">
          <cell r="F79">
            <v>2.7</v>
          </cell>
        </row>
      </sheetData>
      <sheetData sheetId="15"/>
      <sheetData sheetId="16">
        <row r="4">
          <cell r="G4">
            <v>1756</v>
          </cell>
        </row>
        <row r="5">
          <cell r="F5">
            <v>5</v>
          </cell>
        </row>
        <row r="13">
          <cell r="G13">
            <v>944</v>
          </cell>
        </row>
        <row r="14">
          <cell r="F14">
            <v>3</v>
          </cell>
        </row>
        <row r="15">
          <cell r="F15">
            <v>2</v>
          </cell>
        </row>
        <row r="22">
          <cell r="G22">
            <v>5664</v>
          </cell>
        </row>
        <row r="23">
          <cell r="F23">
            <v>6</v>
          </cell>
        </row>
        <row r="24">
          <cell r="F24">
            <v>12</v>
          </cell>
        </row>
        <row r="27">
          <cell r="F27">
            <v>7</v>
          </cell>
        </row>
        <row r="31">
          <cell r="G31">
            <v>17580</v>
          </cell>
        </row>
        <row r="32">
          <cell r="F32">
            <v>68</v>
          </cell>
        </row>
        <row r="49">
          <cell r="G49">
            <v>5664</v>
          </cell>
        </row>
        <row r="50">
          <cell r="F50">
            <v>1</v>
          </cell>
        </row>
        <row r="51">
          <cell r="F51">
            <v>12</v>
          </cell>
        </row>
        <row r="67">
          <cell r="G67">
            <v>9.84</v>
          </cell>
        </row>
        <row r="76">
          <cell r="G76">
            <v>791.1</v>
          </cell>
        </row>
        <row r="78">
          <cell r="F78">
            <v>0.9</v>
          </cell>
        </row>
      </sheetData>
      <sheetData sheetId="17">
        <row r="4">
          <cell r="G4">
            <v>2497</v>
          </cell>
        </row>
        <row r="5">
          <cell r="F5">
            <v>3</v>
          </cell>
        </row>
        <row r="6">
          <cell r="F6">
            <v>14</v>
          </cell>
        </row>
        <row r="7">
          <cell r="F7">
            <v>1</v>
          </cell>
        </row>
        <row r="8">
          <cell r="F8">
            <v>28</v>
          </cell>
        </row>
        <row r="31">
          <cell r="G31">
            <v>24970</v>
          </cell>
        </row>
        <row r="32">
          <cell r="F32">
            <v>61</v>
          </cell>
        </row>
        <row r="33">
          <cell r="F33">
            <v>140</v>
          </cell>
        </row>
        <row r="35">
          <cell r="F35">
            <v>312</v>
          </cell>
        </row>
        <row r="76">
          <cell r="G76">
            <v>1123.6500000000001</v>
          </cell>
        </row>
        <row r="80">
          <cell r="F80">
            <v>1.8</v>
          </cell>
        </row>
      </sheetData>
      <sheetData sheetId="18">
        <row r="4">
          <cell r="G4">
            <v>2343</v>
          </cell>
        </row>
        <row r="5">
          <cell r="F5">
            <v>2</v>
          </cell>
        </row>
        <row r="8">
          <cell r="F8">
            <v>2</v>
          </cell>
        </row>
        <row r="31">
          <cell r="G31">
            <v>23430</v>
          </cell>
        </row>
        <row r="32">
          <cell r="F32">
            <v>66</v>
          </cell>
        </row>
        <row r="76">
          <cell r="G76">
            <v>1054.3499999999999</v>
          </cell>
        </row>
      </sheetData>
      <sheetData sheetId="19">
        <row r="4">
          <cell r="G4">
            <v>1981</v>
          </cell>
        </row>
        <row r="5">
          <cell r="F5">
            <v>3</v>
          </cell>
        </row>
        <row r="8">
          <cell r="F8">
            <v>26</v>
          </cell>
        </row>
        <row r="17">
          <cell r="F17">
            <v>4</v>
          </cell>
        </row>
        <row r="31">
          <cell r="G31">
            <v>19810</v>
          </cell>
        </row>
        <row r="32">
          <cell r="F32">
            <v>169</v>
          </cell>
        </row>
        <row r="76">
          <cell r="G76">
            <v>891.45</v>
          </cell>
        </row>
      </sheetData>
      <sheetData sheetId="20"/>
      <sheetData sheetId="21">
        <row r="13">
          <cell r="G13">
            <v>3025</v>
          </cell>
        </row>
        <row r="14">
          <cell r="F14">
            <v>3</v>
          </cell>
        </row>
        <row r="15">
          <cell r="F15">
            <v>36</v>
          </cell>
        </row>
        <row r="16">
          <cell r="F16">
            <v>7</v>
          </cell>
        </row>
        <row r="17">
          <cell r="F17">
            <v>4</v>
          </cell>
        </row>
        <row r="22">
          <cell r="G22">
            <v>18134</v>
          </cell>
        </row>
        <row r="23">
          <cell r="F23">
            <v>5</v>
          </cell>
        </row>
        <row r="24">
          <cell r="F24">
            <v>268</v>
          </cell>
        </row>
        <row r="27">
          <cell r="F27">
            <v>37</v>
          </cell>
        </row>
        <row r="40">
          <cell r="G40">
            <v>11682</v>
          </cell>
        </row>
        <row r="42">
          <cell r="F42">
            <v>216</v>
          </cell>
        </row>
        <row r="49">
          <cell r="G49">
            <v>6204</v>
          </cell>
        </row>
        <row r="51">
          <cell r="F51">
            <v>48</v>
          </cell>
        </row>
        <row r="67">
          <cell r="G67">
            <v>12.42</v>
          </cell>
        </row>
        <row r="69">
          <cell r="F69">
            <v>2.9000000000000001E-2</v>
          </cell>
        </row>
        <row r="76">
          <cell r="G76">
            <v>1361.23</v>
          </cell>
        </row>
        <row r="78">
          <cell r="F78">
            <v>16.2</v>
          </cell>
        </row>
      </sheetData>
      <sheetData sheetId="22">
        <row r="4">
          <cell r="G4">
            <v>944</v>
          </cell>
        </row>
        <row r="5">
          <cell r="F5">
            <v>2</v>
          </cell>
        </row>
        <row r="13">
          <cell r="G13">
            <v>1791</v>
          </cell>
        </row>
        <row r="14">
          <cell r="F14">
            <v>4</v>
          </cell>
        </row>
        <row r="17">
          <cell r="F17">
            <v>29</v>
          </cell>
        </row>
        <row r="22">
          <cell r="G22">
            <v>10746</v>
          </cell>
        </row>
        <row r="23">
          <cell r="F23">
            <v>10</v>
          </cell>
        </row>
        <row r="27">
          <cell r="F27">
            <v>11</v>
          </cell>
        </row>
        <row r="31">
          <cell r="G31">
            <v>9440</v>
          </cell>
        </row>
        <row r="32">
          <cell r="F32">
            <v>26</v>
          </cell>
        </row>
        <row r="49">
          <cell r="G49">
            <v>10746</v>
          </cell>
        </row>
        <row r="50">
          <cell r="F50">
            <v>4</v>
          </cell>
        </row>
        <row r="67">
          <cell r="G67">
            <v>6.11</v>
          </cell>
        </row>
        <row r="76">
          <cell r="G76">
            <v>805.95</v>
          </cell>
        </row>
      </sheetData>
      <sheetData sheetId="23">
        <row r="4">
          <cell r="G4">
            <v>419</v>
          </cell>
        </row>
        <row r="5">
          <cell r="F5">
            <v>3</v>
          </cell>
        </row>
        <row r="8">
          <cell r="F8">
            <v>30</v>
          </cell>
        </row>
        <row r="13">
          <cell r="G13">
            <v>2853</v>
          </cell>
        </row>
        <row r="14">
          <cell r="F14">
            <v>8</v>
          </cell>
        </row>
        <row r="17">
          <cell r="F17">
            <v>1</v>
          </cell>
        </row>
        <row r="22">
          <cell r="G22">
            <v>17118</v>
          </cell>
        </row>
        <row r="23">
          <cell r="F23">
            <v>13</v>
          </cell>
        </row>
        <row r="27">
          <cell r="F27">
            <v>14</v>
          </cell>
        </row>
        <row r="31">
          <cell r="G31">
            <v>4190</v>
          </cell>
        </row>
        <row r="32">
          <cell r="F32">
            <v>19</v>
          </cell>
        </row>
        <row r="35">
          <cell r="F35">
            <v>556</v>
          </cell>
        </row>
        <row r="40">
          <cell r="G40">
            <v>17118</v>
          </cell>
        </row>
        <row r="41">
          <cell r="F41">
            <v>10</v>
          </cell>
        </row>
        <row r="44">
          <cell r="F44">
            <v>4</v>
          </cell>
        </row>
        <row r="67">
          <cell r="G67">
            <v>11.840999999999999</v>
          </cell>
        </row>
        <row r="68">
          <cell r="F68">
            <v>0.2</v>
          </cell>
        </row>
        <row r="76">
          <cell r="G76">
            <v>299.60000000000002</v>
          </cell>
        </row>
      </sheetData>
      <sheetData sheetId="24">
        <row r="13">
          <cell r="G13">
            <v>4389</v>
          </cell>
        </row>
        <row r="14">
          <cell r="F14">
            <v>6</v>
          </cell>
        </row>
        <row r="15">
          <cell r="F15">
            <v>24</v>
          </cell>
        </row>
        <row r="17">
          <cell r="F17">
            <v>63</v>
          </cell>
        </row>
        <row r="22">
          <cell r="G22">
            <v>25938</v>
          </cell>
        </row>
        <row r="23">
          <cell r="F23">
            <v>9</v>
          </cell>
        </row>
        <row r="24">
          <cell r="F24">
            <v>144</v>
          </cell>
        </row>
        <row r="26">
          <cell r="F26">
            <v>54</v>
          </cell>
        </row>
        <row r="27">
          <cell r="F27">
            <v>50</v>
          </cell>
        </row>
        <row r="40">
          <cell r="G40">
            <v>22326</v>
          </cell>
        </row>
        <row r="41">
          <cell r="F41">
            <v>1</v>
          </cell>
        </row>
        <row r="42">
          <cell r="F42">
            <v>144</v>
          </cell>
        </row>
        <row r="45">
          <cell r="F45">
            <v>125</v>
          </cell>
        </row>
        <row r="49">
          <cell r="G49">
            <v>3612</v>
          </cell>
        </row>
        <row r="50">
          <cell r="F50">
            <v>1</v>
          </cell>
        </row>
        <row r="54">
          <cell r="F54">
            <v>10</v>
          </cell>
        </row>
        <row r="67">
          <cell r="G67">
            <v>1.6</v>
          </cell>
        </row>
        <row r="69">
          <cell r="F69">
            <v>0.1</v>
          </cell>
        </row>
        <row r="71">
          <cell r="F71">
            <v>0.9</v>
          </cell>
        </row>
        <row r="76">
          <cell r="G76">
            <v>1945.4</v>
          </cell>
        </row>
        <row r="77">
          <cell r="F77">
            <v>1.6</v>
          </cell>
        </row>
      </sheetData>
      <sheetData sheetId="25">
        <row r="8">
          <cell r="F8">
            <v>2</v>
          </cell>
        </row>
        <row r="13">
          <cell r="G13">
            <v>3833</v>
          </cell>
        </row>
        <row r="14">
          <cell r="F14">
            <v>6</v>
          </cell>
        </row>
        <row r="15">
          <cell r="F15">
            <v>31</v>
          </cell>
        </row>
        <row r="17">
          <cell r="F17">
            <v>59</v>
          </cell>
        </row>
        <row r="22">
          <cell r="G22">
            <v>23184</v>
          </cell>
        </row>
        <row r="23">
          <cell r="F23">
            <v>19</v>
          </cell>
        </row>
        <row r="24">
          <cell r="F24">
            <v>186</v>
          </cell>
        </row>
        <row r="26">
          <cell r="F26">
            <v>91</v>
          </cell>
        </row>
        <row r="27">
          <cell r="F27">
            <v>18</v>
          </cell>
        </row>
        <row r="40">
          <cell r="G40">
            <v>15294</v>
          </cell>
        </row>
        <row r="42">
          <cell r="F42">
            <v>186</v>
          </cell>
        </row>
        <row r="49">
          <cell r="G49">
            <v>7890</v>
          </cell>
        </row>
        <row r="67">
          <cell r="G67">
            <v>15.4</v>
          </cell>
        </row>
        <row r="68">
          <cell r="F68">
            <v>0.48</v>
          </cell>
        </row>
        <row r="71">
          <cell r="F71">
            <v>0.7</v>
          </cell>
        </row>
        <row r="76">
          <cell r="G76">
            <v>1738.8</v>
          </cell>
        </row>
        <row r="77">
          <cell r="F77">
            <v>8.1</v>
          </cell>
        </row>
      </sheetData>
      <sheetData sheetId="26">
        <row r="4">
          <cell r="G4">
            <v>2560</v>
          </cell>
        </row>
        <row r="22">
          <cell r="G22">
            <v>88</v>
          </cell>
        </row>
        <row r="31">
          <cell r="G31">
            <v>25601</v>
          </cell>
        </row>
        <row r="32">
          <cell r="F32">
            <v>113</v>
          </cell>
        </row>
        <row r="67">
          <cell r="G67">
            <v>0.9</v>
          </cell>
        </row>
        <row r="76">
          <cell r="G76">
            <v>1152</v>
          </cell>
        </row>
        <row r="77">
          <cell r="F77">
            <v>1.9</v>
          </cell>
        </row>
        <row r="80">
          <cell r="F80">
            <v>24.8</v>
          </cell>
        </row>
      </sheetData>
      <sheetData sheetId="27"/>
      <sheetData sheetId="28">
        <row r="4">
          <cell r="G4">
            <v>2237</v>
          </cell>
        </row>
        <row r="5">
          <cell r="F5">
            <v>3</v>
          </cell>
        </row>
        <row r="7">
          <cell r="F7">
            <v>5</v>
          </cell>
        </row>
        <row r="8">
          <cell r="F8">
            <v>15</v>
          </cell>
        </row>
        <row r="13">
          <cell r="G13">
            <v>455</v>
          </cell>
        </row>
        <row r="14">
          <cell r="F14">
            <v>2</v>
          </cell>
        </row>
        <row r="15">
          <cell r="F15">
            <v>10</v>
          </cell>
        </row>
        <row r="16">
          <cell r="F16">
            <v>6</v>
          </cell>
        </row>
        <row r="22">
          <cell r="G22">
            <v>2730</v>
          </cell>
        </row>
        <row r="23">
          <cell r="F23">
            <v>18</v>
          </cell>
        </row>
        <row r="24">
          <cell r="F24">
            <v>84</v>
          </cell>
        </row>
        <row r="26">
          <cell r="F26">
            <v>76</v>
          </cell>
        </row>
        <row r="27">
          <cell r="F27">
            <v>87</v>
          </cell>
        </row>
        <row r="31">
          <cell r="G31">
            <v>22310</v>
          </cell>
        </row>
        <row r="32">
          <cell r="F32">
            <v>125</v>
          </cell>
        </row>
        <row r="40">
          <cell r="G40">
            <v>1302</v>
          </cell>
        </row>
        <row r="42">
          <cell r="F42">
            <v>21</v>
          </cell>
        </row>
        <row r="49">
          <cell r="G49">
            <v>24</v>
          </cell>
        </row>
        <row r="58">
          <cell r="G58">
            <v>1464</v>
          </cell>
        </row>
        <row r="60">
          <cell r="F60">
            <v>18</v>
          </cell>
        </row>
        <row r="67">
          <cell r="G67">
            <v>1.92</v>
          </cell>
        </row>
        <row r="68">
          <cell r="F68">
            <v>0.13</v>
          </cell>
        </row>
        <row r="69">
          <cell r="F69">
            <v>0.1</v>
          </cell>
        </row>
        <row r="76">
          <cell r="G76">
            <v>1211.4000000000001</v>
          </cell>
        </row>
        <row r="77">
          <cell r="F77">
            <v>3.5</v>
          </cell>
        </row>
        <row r="78">
          <cell r="F78">
            <v>4.5</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D32"/>
  <sheetViews>
    <sheetView workbookViewId="0">
      <pane ySplit="1" topLeftCell="A11" activePane="bottomLeft" state="frozen"/>
      <selection pane="bottomLeft" activeCell="G20" sqref="G20"/>
    </sheetView>
  </sheetViews>
  <sheetFormatPr defaultRowHeight="15"/>
  <cols>
    <col min="1" max="1" width="70.42578125" customWidth="1"/>
    <col min="2" max="2" width="15.140625" style="10" customWidth="1"/>
    <col min="3" max="3" width="10.140625" bestFit="1" customWidth="1"/>
    <col min="4" max="4" width="21" customWidth="1"/>
  </cols>
  <sheetData>
    <row r="1" spans="1:4">
      <c r="A1" s="6" t="s">
        <v>8</v>
      </c>
      <c r="B1" s="8" t="s">
        <v>20</v>
      </c>
      <c r="C1" s="7" t="s">
        <v>9</v>
      </c>
      <c r="D1" s="7" t="s">
        <v>10</v>
      </c>
    </row>
    <row r="2" spans="1:4" ht="45">
      <c r="A2" s="4" t="s">
        <v>15</v>
      </c>
      <c r="B2" s="9" t="s">
        <v>41</v>
      </c>
      <c r="C2" s="16"/>
      <c r="D2" s="4" t="s">
        <v>14</v>
      </c>
    </row>
    <row r="3" spans="1:4" ht="30">
      <c r="A3" s="4" t="s">
        <v>16</v>
      </c>
      <c r="B3" s="9" t="s">
        <v>24</v>
      </c>
      <c r="C3" s="16"/>
      <c r="D3" s="4"/>
    </row>
    <row r="4" spans="1:4">
      <c r="A4" s="4" t="s">
        <v>17</v>
      </c>
      <c r="B4" s="9"/>
      <c r="C4" s="3"/>
      <c r="D4" s="4" t="s">
        <v>12</v>
      </c>
    </row>
    <row r="5" spans="1:4" ht="30">
      <c r="A5" s="4" t="s">
        <v>0</v>
      </c>
      <c r="B5" s="9"/>
      <c r="C5" s="16"/>
      <c r="D5" s="4"/>
    </row>
    <row r="6" spans="1:4" ht="30">
      <c r="A6" s="4" t="s">
        <v>1</v>
      </c>
      <c r="B6" s="9"/>
      <c r="C6" s="3"/>
      <c r="D6" s="4" t="s">
        <v>12</v>
      </c>
    </row>
    <row r="7" spans="1:4">
      <c r="A7" s="4" t="s">
        <v>2</v>
      </c>
      <c r="B7" s="9"/>
      <c r="C7" s="3"/>
      <c r="D7" s="4" t="s">
        <v>12</v>
      </c>
    </row>
    <row r="8" spans="1:4" ht="30">
      <c r="A8" s="4" t="s">
        <v>3</v>
      </c>
      <c r="B8" s="9"/>
      <c r="C8" s="16"/>
      <c r="D8" s="17" t="s">
        <v>13</v>
      </c>
    </row>
    <row r="9" spans="1:4">
      <c r="A9" s="4" t="s">
        <v>4</v>
      </c>
      <c r="B9" s="9"/>
      <c r="C9" s="16"/>
      <c r="D9" s="18"/>
    </row>
    <row r="10" spans="1:4" ht="45" customHeight="1">
      <c r="A10" s="4" t="s">
        <v>5</v>
      </c>
      <c r="B10" s="9"/>
      <c r="C10" s="2"/>
      <c r="D10" s="17" t="s">
        <v>11</v>
      </c>
    </row>
    <row r="11" spans="1:4">
      <c r="A11" s="4" t="s">
        <v>6</v>
      </c>
      <c r="B11" s="9"/>
      <c r="C11" s="2"/>
      <c r="D11" s="18"/>
    </row>
    <row r="12" spans="1:4">
      <c r="A12" s="4" t="s">
        <v>7</v>
      </c>
      <c r="B12" s="9"/>
      <c r="C12" s="3"/>
      <c r="D12" s="4" t="s">
        <v>12</v>
      </c>
    </row>
    <row r="13" spans="1:4">
      <c r="D13" s="5"/>
    </row>
    <row r="14" spans="1:4">
      <c r="A14" t="s">
        <v>18</v>
      </c>
    </row>
    <row r="15" spans="1:4" ht="30">
      <c r="A15" s="11" t="s">
        <v>19</v>
      </c>
      <c r="B15" s="12" t="s">
        <v>21</v>
      </c>
      <c r="C15" s="1"/>
      <c r="D15" s="1"/>
    </row>
    <row r="16" spans="1:4" ht="30">
      <c r="A16" s="11" t="s">
        <v>22</v>
      </c>
      <c r="B16" s="12" t="s">
        <v>21</v>
      </c>
      <c r="C16" s="1"/>
      <c r="D16" s="1"/>
    </row>
    <row r="17" spans="1:4" ht="30">
      <c r="A17" s="11" t="s">
        <v>23</v>
      </c>
      <c r="B17" s="13" t="s">
        <v>24</v>
      </c>
      <c r="C17" s="3"/>
      <c r="D17" s="1"/>
    </row>
    <row r="18" spans="1:4">
      <c r="A18" s="1" t="s">
        <v>25</v>
      </c>
      <c r="B18" s="13" t="s">
        <v>26</v>
      </c>
      <c r="C18" s="3"/>
      <c r="D18" s="1"/>
    </row>
    <row r="19" spans="1:4">
      <c r="A19" s="1" t="s">
        <v>27</v>
      </c>
      <c r="B19" s="13" t="s">
        <v>26</v>
      </c>
      <c r="C19" s="1"/>
      <c r="D19" s="1"/>
    </row>
    <row r="20" spans="1:4" ht="45">
      <c r="A20" s="14" t="s">
        <v>28</v>
      </c>
      <c r="B20" s="13" t="s">
        <v>26</v>
      </c>
      <c r="C20" s="1"/>
      <c r="D20" s="15" t="s">
        <v>29</v>
      </c>
    </row>
    <row r="21" spans="1:4">
      <c r="A21" s="1" t="s">
        <v>39</v>
      </c>
      <c r="B21" s="13" t="s">
        <v>40</v>
      </c>
      <c r="C21" s="1"/>
      <c r="D21" s="1"/>
    </row>
    <row r="22" spans="1:4">
      <c r="A22" s="1" t="s">
        <v>42</v>
      </c>
      <c r="B22" s="13" t="s">
        <v>43</v>
      </c>
      <c r="C22" s="1"/>
      <c r="D22" s="1"/>
    </row>
    <row r="23" spans="1:4">
      <c r="A23" s="1"/>
      <c r="B23" s="13"/>
      <c r="C23" s="1"/>
      <c r="D23" s="1"/>
    </row>
    <row r="24" spans="1:4">
      <c r="A24" s="1"/>
      <c r="B24" s="13"/>
      <c r="C24" s="1"/>
      <c r="D24" s="1"/>
    </row>
    <row r="25" spans="1:4">
      <c r="A25" s="1"/>
      <c r="B25" s="13"/>
      <c r="C25" s="1"/>
      <c r="D25" s="1"/>
    </row>
    <row r="26" spans="1:4">
      <c r="A26" s="1"/>
      <c r="B26" s="13"/>
      <c r="C26" s="1"/>
      <c r="D26" s="1"/>
    </row>
    <row r="27" spans="1:4">
      <c r="A27" s="1"/>
      <c r="B27" s="13"/>
      <c r="C27" s="1"/>
      <c r="D27" s="1"/>
    </row>
    <row r="28" spans="1:4">
      <c r="A28" s="1"/>
      <c r="B28" s="13"/>
      <c r="C28" s="1"/>
      <c r="D28" s="1"/>
    </row>
    <row r="29" spans="1:4">
      <c r="A29" s="1"/>
      <c r="B29" s="13"/>
      <c r="C29" s="1"/>
      <c r="D29" s="1"/>
    </row>
    <row r="30" spans="1:4">
      <c r="A30" s="1"/>
      <c r="B30" s="13"/>
      <c r="C30" s="1"/>
      <c r="D30" s="1"/>
    </row>
    <row r="31" spans="1:4">
      <c r="A31" s="1"/>
      <c r="B31" s="13"/>
      <c r="C31" s="1"/>
      <c r="D31" s="1"/>
    </row>
    <row r="32" spans="1:4">
      <c r="A32" s="1"/>
      <c r="B32" s="13"/>
      <c r="C32" s="1"/>
      <c r="D32" s="1"/>
    </row>
  </sheetData>
  <mergeCells count="2">
    <mergeCell ref="D8:D9"/>
    <mergeCell ref="D10: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I6:J10"/>
  <sheetViews>
    <sheetView workbookViewId="0">
      <selection activeCell="I12" sqref="I12"/>
    </sheetView>
  </sheetViews>
  <sheetFormatPr defaultRowHeight="15"/>
  <cols>
    <col min="9" max="9" width="20.140625" bestFit="1" customWidth="1"/>
    <col min="10" max="10" width="88.28515625" bestFit="1" customWidth="1"/>
  </cols>
  <sheetData>
    <row r="6" spans="9:10">
      <c r="I6" t="s">
        <v>30</v>
      </c>
    </row>
    <row r="7" spans="9:10">
      <c r="I7" t="s">
        <v>31</v>
      </c>
      <c r="J7" t="s">
        <v>32</v>
      </c>
    </row>
    <row r="8" spans="9:10">
      <c r="I8" t="s">
        <v>33</v>
      </c>
      <c r="J8" t="s">
        <v>34</v>
      </c>
    </row>
    <row r="9" spans="9:10">
      <c r="I9" t="s">
        <v>35</v>
      </c>
      <c r="J9" t="s">
        <v>36</v>
      </c>
    </row>
    <row r="10" spans="9:10">
      <c r="I10" t="s">
        <v>37</v>
      </c>
      <c r="J1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6" tint="-0.249977111117893"/>
  </sheetPr>
  <dimension ref="A1:DN37"/>
  <sheetViews>
    <sheetView topLeftCell="A4" zoomScale="80" zoomScaleNormal="80" workbookViewId="0">
      <pane xSplit="9" topLeftCell="AW1" activePane="topRight" state="frozen"/>
      <selection pane="topRight" activeCell="AZ10" sqref="AZ10"/>
    </sheetView>
  </sheetViews>
  <sheetFormatPr defaultRowHeight="15.75"/>
  <cols>
    <col min="1" max="1" width="0.85546875" style="23" customWidth="1"/>
    <col min="2" max="2" width="5.5703125" style="23" bestFit="1" customWidth="1"/>
    <col min="3" max="3" width="46" style="77" bestFit="1" customWidth="1"/>
    <col min="4" max="4" width="1.42578125" style="26" customWidth="1"/>
    <col min="5" max="5" width="20.28515625" style="23" bestFit="1" customWidth="1"/>
    <col min="6" max="6" width="6.7109375" style="26" bestFit="1" customWidth="1"/>
    <col min="7" max="7" width="13.85546875" style="26" hidden="1" customWidth="1"/>
    <col min="8" max="8" width="14.7109375" style="26" hidden="1" customWidth="1"/>
    <col min="9" max="9" width="15.85546875" style="26" bestFit="1" customWidth="1"/>
    <col min="10" max="10" width="1.5703125" style="20" customWidth="1"/>
    <col min="11" max="11" width="9.28515625" style="26" customWidth="1"/>
    <col min="12" max="12" width="12" style="26" customWidth="1"/>
    <col min="13" max="13" width="12.85546875" style="26" customWidth="1"/>
    <col min="14" max="14" width="2.42578125" style="26" customWidth="1"/>
    <col min="15" max="15" width="12" style="26" customWidth="1"/>
    <col min="16" max="16" width="9.28515625" style="26" customWidth="1"/>
    <col min="17" max="17" width="12.85546875" style="26" customWidth="1"/>
    <col min="18" max="18" width="1.42578125" style="26" customWidth="1"/>
    <col min="19" max="19" width="12" style="26" customWidth="1"/>
    <col min="20" max="20" width="9.28515625" style="26" customWidth="1"/>
    <col min="21" max="21" width="12.85546875" style="26" customWidth="1"/>
    <col min="22" max="22" width="2.85546875" style="21" customWidth="1"/>
    <col min="23" max="23" width="12.7109375" style="26" customWidth="1"/>
    <col min="24" max="24" width="12" style="26" customWidth="1"/>
    <col min="25" max="25" width="12.85546875" style="26" customWidth="1"/>
    <col min="26" max="26" width="1.5703125" style="21" customWidth="1"/>
    <col min="27" max="27" width="9.28515625" style="26" customWidth="1"/>
    <col min="28" max="28" width="12" style="26" customWidth="1"/>
    <col min="29" max="29" width="12.85546875" style="26" customWidth="1"/>
    <col min="30" max="30" width="10.7109375" style="26" hidden="1" customWidth="1"/>
    <col min="31" max="31" width="1.85546875" style="21" customWidth="1"/>
    <col min="32" max="32" width="9.28515625" style="26" customWidth="1"/>
    <col min="33" max="33" width="12" style="26" customWidth="1"/>
    <col min="34" max="34" width="12.85546875" style="26" customWidth="1"/>
    <col min="35" max="35" width="1.7109375" style="21" customWidth="1"/>
    <col min="36" max="36" width="9.28515625" style="26" customWidth="1"/>
    <col min="37" max="37" width="12" style="26" customWidth="1"/>
    <col min="38" max="38" width="12.85546875" style="26" customWidth="1"/>
    <col min="39" max="39" width="0.5703125" style="21" customWidth="1"/>
    <col min="40" max="40" width="9.28515625" style="26" customWidth="1"/>
    <col min="41" max="41" width="12.85546875" style="26" customWidth="1"/>
    <col min="42" max="42" width="12.85546875" style="24" customWidth="1"/>
    <col min="43" max="43" width="0.5703125" style="21" customWidth="1"/>
    <col min="44" max="44" width="13" style="26" customWidth="1"/>
    <col min="45" max="45" width="12" style="26" customWidth="1"/>
    <col min="46" max="46" width="12.85546875" style="26" customWidth="1"/>
    <col min="47" max="47" width="0.42578125" style="21" customWidth="1"/>
    <col min="48" max="48" width="13.5703125" style="26" customWidth="1"/>
    <col min="49" max="49" width="12" style="26" customWidth="1"/>
    <col min="50" max="50" width="12.85546875" style="26" customWidth="1"/>
    <col min="51" max="51" width="1.140625" style="21" customWidth="1"/>
    <col min="52" max="52" width="13.5703125" style="26" customWidth="1"/>
    <col min="53" max="53" width="12" style="26" customWidth="1"/>
    <col min="54" max="54" width="12.85546875" style="26" customWidth="1"/>
    <col min="55" max="55" width="1.140625" style="21" customWidth="1"/>
    <col min="56" max="56" width="13.140625" style="26" customWidth="1"/>
    <col min="57" max="57" width="12" style="26" customWidth="1"/>
    <col min="58" max="58" width="12.85546875" style="26" customWidth="1"/>
    <col min="59" max="59" width="1.5703125" style="26" customWidth="1"/>
    <col min="60" max="60" width="16.85546875" style="26" customWidth="1"/>
    <col min="61" max="61" width="14.28515625" style="26" customWidth="1"/>
    <col min="62" max="62" width="17.140625" style="26" customWidth="1"/>
    <col min="63" max="63" width="1.42578125" style="26" customWidth="1"/>
    <col min="64" max="64" width="9.28515625" style="26" customWidth="1"/>
    <col min="65" max="65" width="12" style="26" customWidth="1"/>
    <col min="66" max="66" width="12.85546875" style="26" customWidth="1"/>
    <col min="67" max="67" width="2.42578125" style="26" customWidth="1"/>
    <col min="68" max="68" width="12" style="26" customWidth="1"/>
    <col min="69" max="69" width="9.28515625" style="26" customWidth="1"/>
    <col min="70" max="70" width="12.85546875" style="26" customWidth="1"/>
    <col min="71" max="71" width="1.42578125" style="26" customWidth="1"/>
    <col min="72" max="72" width="12" style="26" customWidth="1"/>
    <col min="73" max="73" width="9.28515625" style="26" customWidth="1"/>
    <col min="74" max="74" width="12.85546875" style="26" customWidth="1"/>
    <col min="75" max="75" width="2.85546875" style="21" customWidth="1"/>
    <col min="76" max="76" width="12.7109375" style="26" customWidth="1"/>
    <col min="77" max="77" width="12" style="26" customWidth="1"/>
    <col min="78" max="78" width="12.85546875" style="26" customWidth="1"/>
    <col min="79" max="79" width="1.5703125" style="21" customWidth="1"/>
    <col min="80" max="80" width="9.28515625" style="26" hidden="1" customWidth="1"/>
    <col min="81" max="81" width="12" style="26" hidden="1" customWidth="1"/>
    <col min="82" max="82" width="12.85546875" style="26" hidden="1" customWidth="1"/>
    <col min="83" max="83" width="10.7109375" style="26" hidden="1" customWidth="1"/>
    <col min="84" max="84" width="1.85546875" style="21" hidden="1" customWidth="1"/>
    <col min="85" max="85" width="9.28515625" style="26" hidden="1" customWidth="1"/>
    <col min="86" max="86" width="12" style="26" hidden="1" customWidth="1"/>
    <col min="87" max="87" width="12.85546875" style="26" hidden="1" customWidth="1"/>
    <col min="88" max="88" width="1.7109375" style="21" hidden="1" customWidth="1"/>
    <col min="89" max="89" width="9.28515625" style="26" hidden="1" customWidth="1"/>
    <col min="90" max="90" width="12" style="26" hidden="1" customWidth="1"/>
    <col min="91" max="91" width="12.85546875" style="26" hidden="1" customWidth="1"/>
    <col min="92" max="92" width="0.5703125" style="21" hidden="1" customWidth="1"/>
    <col min="93" max="93" width="9.28515625" style="26" hidden="1" customWidth="1"/>
    <col min="94" max="94" width="12.85546875" style="26" hidden="1" customWidth="1"/>
    <col min="95" max="95" width="12.85546875" style="24" hidden="1" customWidth="1"/>
    <col min="96" max="96" width="0.5703125" style="21" hidden="1" customWidth="1"/>
    <col min="97" max="97" width="13" style="26" hidden="1" customWidth="1"/>
    <col min="98" max="98" width="12" style="26" hidden="1" customWidth="1"/>
    <col min="99" max="99" width="12.85546875" style="26" hidden="1" customWidth="1"/>
    <col min="100" max="100" width="0.42578125" style="21" hidden="1" customWidth="1"/>
    <col min="101" max="101" width="8.5703125" style="26" hidden="1" customWidth="1"/>
    <col min="102" max="102" width="12" style="26" hidden="1" customWidth="1"/>
    <col min="103" max="103" width="12.85546875" style="26" hidden="1" customWidth="1"/>
    <col min="104" max="104" width="0.5703125" style="21" hidden="1" customWidth="1"/>
    <col min="105" max="105" width="8.5703125" style="26" hidden="1" customWidth="1"/>
    <col min="106" max="106" width="12" style="26" hidden="1" customWidth="1"/>
    <col min="107" max="107" width="12.85546875" style="26" hidden="1" customWidth="1"/>
    <col min="108" max="108" width="1.140625" style="21" hidden="1" customWidth="1"/>
    <col min="109" max="109" width="8.5703125" style="26" hidden="1" customWidth="1"/>
    <col min="110" max="110" width="12" style="26" hidden="1" customWidth="1"/>
    <col min="111" max="111" width="12.85546875" style="26" hidden="1" customWidth="1"/>
    <col min="112" max="112" width="1.5703125" style="26" customWidth="1"/>
    <col min="113" max="113" width="16.85546875" style="26" customWidth="1"/>
    <col min="114" max="114" width="14.28515625" style="26" customWidth="1"/>
    <col min="115" max="115" width="17.140625" style="26" customWidth="1"/>
    <col min="116" max="256" width="9.140625" style="21"/>
    <col min="257" max="257" width="0.85546875" style="21" customWidth="1"/>
    <col min="258" max="258" width="5.5703125" style="21" bestFit="1" customWidth="1"/>
    <col min="259" max="259" width="46" style="21" bestFit="1" customWidth="1"/>
    <col min="260" max="260" width="1.42578125" style="21" customWidth="1"/>
    <col min="261" max="261" width="20.28515625" style="21" bestFit="1" customWidth="1"/>
    <col min="262" max="262" width="6.7109375" style="21" bestFit="1" customWidth="1"/>
    <col min="263" max="264" width="0" style="21" hidden="1" customWidth="1"/>
    <col min="265" max="265" width="15.85546875" style="21" bestFit="1" customWidth="1"/>
    <col min="266" max="266" width="1.5703125" style="21" customWidth="1"/>
    <col min="267" max="267" width="9.28515625" style="21" customWidth="1"/>
    <col min="268" max="268" width="12" style="21" customWidth="1"/>
    <col min="269" max="269" width="12.85546875" style="21" customWidth="1"/>
    <col min="270" max="270" width="2.42578125" style="21" customWidth="1"/>
    <col min="271" max="271" width="12" style="21" customWidth="1"/>
    <col min="272" max="272" width="9.28515625" style="21" customWidth="1"/>
    <col min="273" max="273" width="12.85546875" style="21" customWidth="1"/>
    <col min="274" max="274" width="1.42578125" style="21" customWidth="1"/>
    <col min="275" max="275" width="12" style="21" customWidth="1"/>
    <col min="276" max="276" width="9.28515625" style="21" customWidth="1"/>
    <col min="277" max="277" width="12.85546875" style="21" customWidth="1"/>
    <col min="278" max="278" width="2.85546875" style="21" customWidth="1"/>
    <col min="279" max="279" width="12.7109375" style="21" customWidth="1"/>
    <col min="280" max="280" width="12" style="21" customWidth="1"/>
    <col min="281" max="281" width="12.85546875" style="21" customWidth="1"/>
    <col min="282" max="282" width="1.5703125" style="21" customWidth="1"/>
    <col min="283" max="283" width="9.28515625" style="21" customWidth="1"/>
    <col min="284" max="284" width="12" style="21" customWidth="1"/>
    <col min="285" max="285" width="12.85546875" style="21" customWidth="1"/>
    <col min="286" max="286" width="0" style="21" hidden="1" customWidth="1"/>
    <col min="287" max="287" width="1.85546875" style="21" customWidth="1"/>
    <col min="288" max="288" width="9.28515625" style="21" customWidth="1"/>
    <col min="289" max="289" width="12" style="21" customWidth="1"/>
    <col min="290" max="290" width="12.85546875" style="21" customWidth="1"/>
    <col min="291" max="291" width="1.7109375" style="21" customWidth="1"/>
    <col min="292" max="292" width="9.28515625" style="21" customWidth="1"/>
    <col min="293" max="293" width="12" style="21" customWidth="1"/>
    <col min="294" max="294" width="12.85546875" style="21" customWidth="1"/>
    <col min="295" max="295" width="0.5703125" style="21" customWidth="1"/>
    <col min="296" max="296" width="9.28515625" style="21" customWidth="1"/>
    <col min="297" max="298" width="12.85546875" style="21" customWidth="1"/>
    <col min="299" max="299" width="0.5703125" style="21" customWidth="1"/>
    <col min="300" max="300" width="13" style="21" customWidth="1"/>
    <col min="301" max="301" width="12" style="21" customWidth="1"/>
    <col min="302" max="302" width="12.85546875" style="21" customWidth="1"/>
    <col min="303" max="303" width="0.42578125" style="21" customWidth="1"/>
    <col min="304" max="304" width="13.5703125" style="21" customWidth="1"/>
    <col min="305" max="305" width="12" style="21" customWidth="1"/>
    <col min="306" max="306" width="12.85546875" style="21" customWidth="1"/>
    <col min="307" max="307" width="1.140625" style="21" customWidth="1"/>
    <col min="308" max="308" width="13.5703125" style="21" customWidth="1"/>
    <col min="309" max="309" width="12" style="21" customWidth="1"/>
    <col min="310" max="310" width="12.85546875" style="21" customWidth="1"/>
    <col min="311" max="311" width="1.140625" style="21" customWidth="1"/>
    <col min="312" max="312" width="13.140625" style="21" customWidth="1"/>
    <col min="313" max="313" width="12" style="21" customWidth="1"/>
    <col min="314" max="314" width="12.85546875" style="21" customWidth="1"/>
    <col min="315" max="315" width="1.5703125" style="21" customWidth="1"/>
    <col min="316" max="316" width="16.85546875" style="21" customWidth="1"/>
    <col min="317" max="317" width="14.28515625" style="21" customWidth="1"/>
    <col min="318" max="318" width="17.140625" style="21" customWidth="1"/>
    <col min="319" max="319" width="1.42578125" style="21" customWidth="1"/>
    <col min="320" max="320" width="9.28515625" style="21" customWidth="1"/>
    <col min="321" max="321" width="12" style="21" customWidth="1"/>
    <col min="322" max="322" width="12.85546875" style="21" customWidth="1"/>
    <col min="323" max="323" width="2.42578125" style="21" customWidth="1"/>
    <col min="324" max="324" width="12" style="21" customWidth="1"/>
    <col min="325" max="325" width="9.28515625" style="21" customWidth="1"/>
    <col min="326" max="326" width="12.85546875" style="21" customWidth="1"/>
    <col min="327" max="327" width="1.42578125" style="21" customWidth="1"/>
    <col min="328" max="328" width="12" style="21" customWidth="1"/>
    <col min="329" max="329" width="9.28515625" style="21" customWidth="1"/>
    <col min="330" max="330" width="12.85546875" style="21" customWidth="1"/>
    <col min="331" max="331" width="2.85546875" style="21" customWidth="1"/>
    <col min="332" max="332" width="12.7109375" style="21" customWidth="1"/>
    <col min="333" max="333" width="12" style="21" customWidth="1"/>
    <col min="334" max="334" width="12.85546875" style="21" customWidth="1"/>
    <col min="335" max="335" width="1.5703125" style="21" customWidth="1"/>
    <col min="336" max="367" width="0" style="21" hidden="1" customWidth="1"/>
    <col min="368" max="368" width="1.5703125" style="21" customWidth="1"/>
    <col min="369" max="369" width="16.85546875" style="21" customWidth="1"/>
    <col min="370" max="370" width="14.28515625" style="21" customWidth="1"/>
    <col min="371" max="371" width="17.140625" style="21" customWidth="1"/>
    <col min="372" max="512" width="9.140625" style="21"/>
    <col min="513" max="513" width="0.85546875" style="21" customWidth="1"/>
    <col min="514" max="514" width="5.5703125" style="21" bestFit="1" customWidth="1"/>
    <col min="515" max="515" width="46" style="21" bestFit="1" customWidth="1"/>
    <col min="516" max="516" width="1.42578125" style="21" customWidth="1"/>
    <col min="517" max="517" width="20.28515625" style="21" bestFit="1" customWidth="1"/>
    <col min="518" max="518" width="6.7109375" style="21" bestFit="1" customWidth="1"/>
    <col min="519" max="520" width="0" style="21" hidden="1" customWidth="1"/>
    <col min="521" max="521" width="15.85546875" style="21" bestFit="1" customWidth="1"/>
    <col min="522" max="522" width="1.5703125" style="21" customWidth="1"/>
    <col min="523" max="523" width="9.28515625" style="21" customWidth="1"/>
    <col min="524" max="524" width="12" style="21" customWidth="1"/>
    <col min="525" max="525" width="12.85546875" style="21" customWidth="1"/>
    <col min="526" max="526" width="2.42578125" style="21" customWidth="1"/>
    <col min="527" max="527" width="12" style="21" customWidth="1"/>
    <col min="528" max="528" width="9.28515625" style="21" customWidth="1"/>
    <col min="529" max="529" width="12.85546875" style="21" customWidth="1"/>
    <col min="530" max="530" width="1.42578125" style="21" customWidth="1"/>
    <col min="531" max="531" width="12" style="21" customWidth="1"/>
    <col min="532" max="532" width="9.28515625" style="21" customWidth="1"/>
    <col min="533" max="533" width="12.85546875" style="21" customWidth="1"/>
    <col min="534" max="534" width="2.85546875" style="21" customWidth="1"/>
    <col min="535" max="535" width="12.7109375" style="21" customWidth="1"/>
    <col min="536" max="536" width="12" style="21" customWidth="1"/>
    <col min="537" max="537" width="12.85546875" style="21" customWidth="1"/>
    <col min="538" max="538" width="1.5703125" style="21" customWidth="1"/>
    <col min="539" max="539" width="9.28515625" style="21" customWidth="1"/>
    <col min="540" max="540" width="12" style="21" customWidth="1"/>
    <col min="541" max="541" width="12.85546875" style="21" customWidth="1"/>
    <col min="542" max="542" width="0" style="21" hidden="1" customWidth="1"/>
    <col min="543" max="543" width="1.85546875" style="21" customWidth="1"/>
    <col min="544" max="544" width="9.28515625" style="21" customWidth="1"/>
    <col min="545" max="545" width="12" style="21" customWidth="1"/>
    <col min="546" max="546" width="12.85546875" style="21" customWidth="1"/>
    <col min="547" max="547" width="1.7109375" style="21" customWidth="1"/>
    <col min="548" max="548" width="9.28515625" style="21" customWidth="1"/>
    <col min="549" max="549" width="12" style="21" customWidth="1"/>
    <col min="550" max="550" width="12.85546875" style="21" customWidth="1"/>
    <col min="551" max="551" width="0.5703125" style="21" customWidth="1"/>
    <col min="552" max="552" width="9.28515625" style="21" customWidth="1"/>
    <col min="553" max="554" width="12.85546875" style="21" customWidth="1"/>
    <col min="555" max="555" width="0.5703125" style="21" customWidth="1"/>
    <col min="556" max="556" width="13" style="21" customWidth="1"/>
    <col min="557" max="557" width="12" style="21" customWidth="1"/>
    <col min="558" max="558" width="12.85546875" style="21" customWidth="1"/>
    <col min="559" max="559" width="0.42578125" style="21" customWidth="1"/>
    <col min="560" max="560" width="13.5703125" style="21" customWidth="1"/>
    <col min="561" max="561" width="12" style="21" customWidth="1"/>
    <col min="562" max="562" width="12.85546875" style="21" customWidth="1"/>
    <col min="563" max="563" width="1.140625" style="21" customWidth="1"/>
    <col min="564" max="564" width="13.5703125" style="21" customWidth="1"/>
    <col min="565" max="565" width="12" style="21" customWidth="1"/>
    <col min="566" max="566" width="12.85546875" style="21" customWidth="1"/>
    <col min="567" max="567" width="1.140625" style="21" customWidth="1"/>
    <col min="568" max="568" width="13.140625" style="21" customWidth="1"/>
    <col min="569" max="569" width="12" style="21" customWidth="1"/>
    <col min="570" max="570" width="12.85546875" style="21" customWidth="1"/>
    <col min="571" max="571" width="1.5703125" style="21" customWidth="1"/>
    <col min="572" max="572" width="16.85546875" style="21" customWidth="1"/>
    <col min="573" max="573" width="14.28515625" style="21" customWidth="1"/>
    <col min="574" max="574" width="17.140625" style="21" customWidth="1"/>
    <col min="575" max="575" width="1.42578125" style="21" customWidth="1"/>
    <col min="576" max="576" width="9.28515625" style="21" customWidth="1"/>
    <col min="577" max="577" width="12" style="21" customWidth="1"/>
    <col min="578" max="578" width="12.85546875" style="21" customWidth="1"/>
    <col min="579" max="579" width="2.42578125" style="21" customWidth="1"/>
    <col min="580" max="580" width="12" style="21" customWidth="1"/>
    <col min="581" max="581" width="9.28515625" style="21" customWidth="1"/>
    <col min="582" max="582" width="12.85546875" style="21" customWidth="1"/>
    <col min="583" max="583" width="1.42578125" style="21" customWidth="1"/>
    <col min="584" max="584" width="12" style="21" customWidth="1"/>
    <col min="585" max="585" width="9.28515625" style="21" customWidth="1"/>
    <col min="586" max="586" width="12.85546875" style="21" customWidth="1"/>
    <col min="587" max="587" width="2.85546875" style="21" customWidth="1"/>
    <col min="588" max="588" width="12.7109375" style="21" customWidth="1"/>
    <col min="589" max="589" width="12" style="21" customWidth="1"/>
    <col min="590" max="590" width="12.85546875" style="21" customWidth="1"/>
    <col min="591" max="591" width="1.5703125" style="21" customWidth="1"/>
    <col min="592" max="623" width="0" style="21" hidden="1" customWidth="1"/>
    <col min="624" max="624" width="1.5703125" style="21" customWidth="1"/>
    <col min="625" max="625" width="16.85546875" style="21" customWidth="1"/>
    <col min="626" max="626" width="14.28515625" style="21" customWidth="1"/>
    <col min="627" max="627" width="17.140625" style="21" customWidth="1"/>
    <col min="628" max="768" width="9.140625" style="21"/>
    <col min="769" max="769" width="0.85546875" style="21" customWidth="1"/>
    <col min="770" max="770" width="5.5703125" style="21" bestFit="1" customWidth="1"/>
    <col min="771" max="771" width="46" style="21" bestFit="1" customWidth="1"/>
    <col min="772" max="772" width="1.42578125" style="21" customWidth="1"/>
    <col min="773" max="773" width="20.28515625" style="21" bestFit="1" customWidth="1"/>
    <col min="774" max="774" width="6.7109375" style="21" bestFit="1" customWidth="1"/>
    <col min="775" max="776" width="0" style="21" hidden="1" customWidth="1"/>
    <col min="777" max="777" width="15.85546875" style="21" bestFit="1" customWidth="1"/>
    <col min="778" max="778" width="1.5703125" style="21" customWidth="1"/>
    <col min="779" max="779" width="9.28515625" style="21" customWidth="1"/>
    <col min="780" max="780" width="12" style="21" customWidth="1"/>
    <col min="781" max="781" width="12.85546875" style="21" customWidth="1"/>
    <col min="782" max="782" width="2.42578125" style="21" customWidth="1"/>
    <col min="783" max="783" width="12" style="21" customWidth="1"/>
    <col min="784" max="784" width="9.28515625" style="21" customWidth="1"/>
    <col min="785" max="785" width="12.85546875" style="21" customWidth="1"/>
    <col min="786" max="786" width="1.42578125" style="21" customWidth="1"/>
    <col min="787" max="787" width="12" style="21" customWidth="1"/>
    <col min="788" max="788" width="9.28515625" style="21" customWidth="1"/>
    <col min="789" max="789" width="12.85546875" style="21" customWidth="1"/>
    <col min="790" max="790" width="2.85546875" style="21" customWidth="1"/>
    <col min="791" max="791" width="12.7109375" style="21" customWidth="1"/>
    <col min="792" max="792" width="12" style="21" customWidth="1"/>
    <col min="793" max="793" width="12.85546875" style="21" customWidth="1"/>
    <col min="794" max="794" width="1.5703125" style="21" customWidth="1"/>
    <col min="795" max="795" width="9.28515625" style="21" customWidth="1"/>
    <col min="796" max="796" width="12" style="21" customWidth="1"/>
    <col min="797" max="797" width="12.85546875" style="21" customWidth="1"/>
    <col min="798" max="798" width="0" style="21" hidden="1" customWidth="1"/>
    <col min="799" max="799" width="1.85546875" style="21" customWidth="1"/>
    <col min="800" max="800" width="9.28515625" style="21" customWidth="1"/>
    <col min="801" max="801" width="12" style="21" customWidth="1"/>
    <col min="802" max="802" width="12.85546875" style="21" customWidth="1"/>
    <col min="803" max="803" width="1.7109375" style="21" customWidth="1"/>
    <col min="804" max="804" width="9.28515625" style="21" customWidth="1"/>
    <col min="805" max="805" width="12" style="21" customWidth="1"/>
    <col min="806" max="806" width="12.85546875" style="21" customWidth="1"/>
    <col min="807" max="807" width="0.5703125" style="21" customWidth="1"/>
    <col min="808" max="808" width="9.28515625" style="21" customWidth="1"/>
    <col min="809" max="810" width="12.85546875" style="21" customWidth="1"/>
    <col min="811" max="811" width="0.5703125" style="21" customWidth="1"/>
    <col min="812" max="812" width="13" style="21" customWidth="1"/>
    <col min="813" max="813" width="12" style="21" customWidth="1"/>
    <col min="814" max="814" width="12.85546875" style="21" customWidth="1"/>
    <col min="815" max="815" width="0.42578125" style="21" customWidth="1"/>
    <col min="816" max="816" width="13.5703125" style="21" customWidth="1"/>
    <col min="817" max="817" width="12" style="21" customWidth="1"/>
    <col min="818" max="818" width="12.85546875" style="21" customWidth="1"/>
    <col min="819" max="819" width="1.140625" style="21" customWidth="1"/>
    <col min="820" max="820" width="13.5703125" style="21" customWidth="1"/>
    <col min="821" max="821" width="12" style="21" customWidth="1"/>
    <col min="822" max="822" width="12.85546875" style="21" customWidth="1"/>
    <col min="823" max="823" width="1.140625" style="21" customWidth="1"/>
    <col min="824" max="824" width="13.140625" style="21" customWidth="1"/>
    <col min="825" max="825" width="12" style="21" customWidth="1"/>
    <col min="826" max="826" width="12.85546875" style="21" customWidth="1"/>
    <col min="827" max="827" width="1.5703125" style="21" customWidth="1"/>
    <col min="828" max="828" width="16.85546875" style="21" customWidth="1"/>
    <col min="829" max="829" width="14.28515625" style="21" customWidth="1"/>
    <col min="830" max="830" width="17.140625" style="21" customWidth="1"/>
    <col min="831" max="831" width="1.42578125" style="21" customWidth="1"/>
    <col min="832" max="832" width="9.28515625" style="21" customWidth="1"/>
    <col min="833" max="833" width="12" style="21" customWidth="1"/>
    <col min="834" max="834" width="12.85546875" style="21" customWidth="1"/>
    <col min="835" max="835" width="2.42578125" style="21" customWidth="1"/>
    <col min="836" max="836" width="12" style="21" customWidth="1"/>
    <col min="837" max="837" width="9.28515625" style="21" customWidth="1"/>
    <col min="838" max="838" width="12.85546875" style="21" customWidth="1"/>
    <col min="839" max="839" width="1.42578125" style="21" customWidth="1"/>
    <col min="840" max="840" width="12" style="21" customWidth="1"/>
    <col min="841" max="841" width="9.28515625" style="21" customWidth="1"/>
    <col min="842" max="842" width="12.85546875" style="21" customWidth="1"/>
    <col min="843" max="843" width="2.85546875" style="21" customWidth="1"/>
    <col min="844" max="844" width="12.7109375" style="21" customWidth="1"/>
    <col min="845" max="845" width="12" style="21" customWidth="1"/>
    <col min="846" max="846" width="12.85546875" style="21" customWidth="1"/>
    <col min="847" max="847" width="1.5703125" style="21" customWidth="1"/>
    <col min="848" max="879" width="0" style="21" hidden="1" customWidth="1"/>
    <col min="880" max="880" width="1.5703125" style="21" customWidth="1"/>
    <col min="881" max="881" width="16.85546875" style="21" customWidth="1"/>
    <col min="882" max="882" width="14.28515625" style="21" customWidth="1"/>
    <col min="883" max="883" width="17.140625" style="21" customWidth="1"/>
    <col min="884" max="1024" width="9.140625" style="21"/>
    <col min="1025" max="1025" width="0.85546875" style="21" customWidth="1"/>
    <col min="1026" max="1026" width="5.5703125" style="21" bestFit="1" customWidth="1"/>
    <col min="1027" max="1027" width="46" style="21" bestFit="1" customWidth="1"/>
    <col min="1028" max="1028" width="1.42578125" style="21" customWidth="1"/>
    <col min="1029" max="1029" width="20.28515625" style="21" bestFit="1" customWidth="1"/>
    <col min="1030" max="1030" width="6.7109375" style="21" bestFit="1" customWidth="1"/>
    <col min="1031" max="1032" width="0" style="21" hidden="1" customWidth="1"/>
    <col min="1033" max="1033" width="15.85546875" style="21" bestFit="1" customWidth="1"/>
    <col min="1034" max="1034" width="1.5703125" style="21" customWidth="1"/>
    <col min="1035" max="1035" width="9.28515625" style="21" customWidth="1"/>
    <col min="1036" max="1036" width="12" style="21" customWidth="1"/>
    <col min="1037" max="1037" width="12.85546875" style="21" customWidth="1"/>
    <col min="1038" max="1038" width="2.42578125" style="21" customWidth="1"/>
    <col min="1039" max="1039" width="12" style="21" customWidth="1"/>
    <col min="1040" max="1040" width="9.28515625" style="21" customWidth="1"/>
    <col min="1041" max="1041" width="12.85546875" style="21" customWidth="1"/>
    <col min="1042" max="1042" width="1.42578125" style="21" customWidth="1"/>
    <col min="1043" max="1043" width="12" style="21" customWidth="1"/>
    <col min="1044" max="1044" width="9.28515625" style="21" customWidth="1"/>
    <col min="1045" max="1045" width="12.85546875" style="21" customWidth="1"/>
    <col min="1046" max="1046" width="2.85546875" style="21" customWidth="1"/>
    <col min="1047" max="1047" width="12.7109375" style="21" customWidth="1"/>
    <col min="1048" max="1048" width="12" style="21" customWidth="1"/>
    <col min="1049" max="1049" width="12.85546875" style="21" customWidth="1"/>
    <col min="1050" max="1050" width="1.5703125" style="21" customWidth="1"/>
    <col min="1051" max="1051" width="9.28515625" style="21" customWidth="1"/>
    <col min="1052" max="1052" width="12" style="21" customWidth="1"/>
    <col min="1053" max="1053" width="12.85546875" style="21" customWidth="1"/>
    <col min="1054" max="1054" width="0" style="21" hidden="1" customWidth="1"/>
    <col min="1055" max="1055" width="1.85546875" style="21" customWidth="1"/>
    <col min="1056" max="1056" width="9.28515625" style="21" customWidth="1"/>
    <col min="1057" max="1057" width="12" style="21" customWidth="1"/>
    <col min="1058" max="1058" width="12.85546875" style="21" customWidth="1"/>
    <col min="1059" max="1059" width="1.7109375" style="21" customWidth="1"/>
    <col min="1060" max="1060" width="9.28515625" style="21" customWidth="1"/>
    <col min="1061" max="1061" width="12" style="21" customWidth="1"/>
    <col min="1062" max="1062" width="12.85546875" style="21" customWidth="1"/>
    <col min="1063" max="1063" width="0.5703125" style="21" customWidth="1"/>
    <col min="1064" max="1064" width="9.28515625" style="21" customWidth="1"/>
    <col min="1065" max="1066" width="12.85546875" style="21" customWidth="1"/>
    <col min="1067" max="1067" width="0.5703125" style="21" customWidth="1"/>
    <col min="1068" max="1068" width="13" style="21" customWidth="1"/>
    <col min="1069" max="1069" width="12" style="21" customWidth="1"/>
    <col min="1070" max="1070" width="12.85546875" style="21" customWidth="1"/>
    <col min="1071" max="1071" width="0.42578125" style="21" customWidth="1"/>
    <col min="1072" max="1072" width="13.5703125" style="21" customWidth="1"/>
    <col min="1073" max="1073" width="12" style="21" customWidth="1"/>
    <col min="1074" max="1074" width="12.85546875" style="21" customWidth="1"/>
    <col min="1075" max="1075" width="1.140625" style="21" customWidth="1"/>
    <col min="1076" max="1076" width="13.5703125" style="21" customWidth="1"/>
    <col min="1077" max="1077" width="12" style="21" customWidth="1"/>
    <col min="1078" max="1078" width="12.85546875" style="21" customWidth="1"/>
    <col min="1079" max="1079" width="1.140625" style="21" customWidth="1"/>
    <col min="1080" max="1080" width="13.140625" style="21" customWidth="1"/>
    <col min="1081" max="1081" width="12" style="21" customWidth="1"/>
    <col min="1082" max="1082" width="12.85546875" style="21" customWidth="1"/>
    <col min="1083" max="1083" width="1.5703125" style="21" customWidth="1"/>
    <col min="1084" max="1084" width="16.85546875" style="21" customWidth="1"/>
    <col min="1085" max="1085" width="14.28515625" style="21" customWidth="1"/>
    <col min="1086" max="1086" width="17.140625" style="21" customWidth="1"/>
    <col min="1087" max="1087" width="1.42578125" style="21" customWidth="1"/>
    <col min="1088" max="1088" width="9.28515625" style="21" customWidth="1"/>
    <col min="1089" max="1089" width="12" style="21" customWidth="1"/>
    <col min="1090" max="1090" width="12.85546875" style="21" customWidth="1"/>
    <col min="1091" max="1091" width="2.42578125" style="21" customWidth="1"/>
    <col min="1092" max="1092" width="12" style="21" customWidth="1"/>
    <col min="1093" max="1093" width="9.28515625" style="21" customWidth="1"/>
    <col min="1094" max="1094" width="12.85546875" style="21" customWidth="1"/>
    <col min="1095" max="1095" width="1.42578125" style="21" customWidth="1"/>
    <col min="1096" max="1096" width="12" style="21" customWidth="1"/>
    <col min="1097" max="1097" width="9.28515625" style="21" customWidth="1"/>
    <col min="1098" max="1098" width="12.85546875" style="21" customWidth="1"/>
    <col min="1099" max="1099" width="2.85546875" style="21" customWidth="1"/>
    <col min="1100" max="1100" width="12.7109375" style="21" customWidth="1"/>
    <col min="1101" max="1101" width="12" style="21" customWidth="1"/>
    <col min="1102" max="1102" width="12.85546875" style="21" customWidth="1"/>
    <col min="1103" max="1103" width="1.5703125" style="21" customWidth="1"/>
    <col min="1104" max="1135" width="0" style="21" hidden="1" customWidth="1"/>
    <col min="1136" max="1136" width="1.5703125" style="21" customWidth="1"/>
    <col min="1137" max="1137" width="16.85546875" style="21" customWidth="1"/>
    <col min="1138" max="1138" width="14.28515625" style="21" customWidth="1"/>
    <col min="1139" max="1139" width="17.140625" style="21" customWidth="1"/>
    <col min="1140" max="1280" width="9.140625" style="21"/>
    <col min="1281" max="1281" width="0.85546875" style="21" customWidth="1"/>
    <col min="1282" max="1282" width="5.5703125" style="21" bestFit="1" customWidth="1"/>
    <col min="1283" max="1283" width="46" style="21" bestFit="1" customWidth="1"/>
    <col min="1284" max="1284" width="1.42578125" style="21" customWidth="1"/>
    <col min="1285" max="1285" width="20.28515625" style="21" bestFit="1" customWidth="1"/>
    <col min="1286" max="1286" width="6.7109375" style="21" bestFit="1" customWidth="1"/>
    <col min="1287" max="1288" width="0" style="21" hidden="1" customWidth="1"/>
    <col min="1289" max="1289" width="15.85546875" style="21" bestFit="1" customWidth="1"/>
    <col min="1290" max="1290" width="1.5703125" style="21" customWidth="1"/>
    <col min="1291" max="1291" width="9.28515625" style="21" customWidth="1"/>
    <col min="1292" max="1292" width="12" style="21" customWidth="1"/>
    <col min="1293" max="1293" width="12.85546875" style="21" customWidth="1"/>
    <col min="1294" max="1294" width="2.42578125" style="21" customWidth="1"/>
    <col min="1295" max="1295" width="12" style="21" customWidth="1"/>
    <col min="1296" max="1296" width="9.28515625" style="21" customWidth="1"/>
    <col min="1297" max="1297" width="12.85546875" style="21" customWidth="1"/>
    <col min="1298" max="1298" width="1.42578125" style="21" customWidth="1"/>
    <col min="1299" max="1299" width="12" style="21" customWidth="1"/>
    <col min="1300" max="1300" width="9.28515625" style="21" customWidth="1"/>
    <col min="1301" max="1301" width="12.85546875" style="21" customWidth="1"/>
    <col min="1302" max="1302" width="2.85546875" style="21" customWidth="1"/>
    <col min="1303" max="1303" width="12.7109375" style="21" customWidth="1"/>
    <col min="1304" max="1304" width="12" style="21" customWidth="1"/>
    <col min="1305" max="1305" width="12.85546875" style="21" customWidth="1"/>
    <col min="1306" max="1306" width="1.5703125" style="21" customWidth="1"/>
    <col min="1307" max="1307" width="9.28515625" style="21" customWidth="1"/>
    <col min="1308" max="1308" width="12" style="21" customWidth="1"/>
    <col min="1309" max="1309" width="12.85546875" style="21" customWidth="1"/>
    <col min="1310" max="1310" width="0" style="21" hidden="1" customWidth="1"/>
    <col min="1311" max="1311" width="1.85546875" style="21" customWidth="1"/>
    <col min="1312" max="1312" width="9.28515625" style="21" customWidth="1"/>
    <col min="1313" max="1313" width="12" style="21" customWidth="1"/>
    <col min="1314" max="1314" width="12.85546875" style="21" customWidth="1"/>
    <col min="1315" max="1315" width="1.7109375" style="21" customWidth="1"/>
    <col min="1316" max="1316" width="9.28515625" style="21" customWidth="1"/>
    <col min="1317" max="1317" width="12" style="21" customWidth="1"/>
    <col min="1318" max="1318" width="12.85546875" style="21" customWidth="1"/>
    <col min="1319" max="1319" width="0.5703125" style="21" customWidth="1"/>
    <col min="1320" max="1320" width="9.28515625" style="21" customWidth="1"/>
    <col min="1321" max="1322" width="12.85546875" style="21" customWidth="1"/>
    <col min="1323" max="1323" width="0.5703125" style="21" customWidth="1"/>
    <col min="1324" max="1324" width="13" style="21" customWidth="1"/>
    <col min="1325" max="1325" width="12" style="21" customWidth="1"/>
    <col min="1326" max="1326" width="12.85546875" style="21" customWidth="1"/>
    <col min="1327" max="1327" width="0.42578125" style="21" customWidth="1"/>
    <col min="1328" max="1328" width="13.5703125" style="21" customWidth="1"/>
    <col min="1329" max="1329" width="12" style="21" customWidth="1"/>
    <col min="1330" max="1330" width="12.85546875" style="21" customWidth="1"/>
    <col min="1331" max="1331" width="1.140625" style="21" customWidth="1"/>
    <col min="1332" max="1332" width="13.5703125" style="21" customWidth="1"/>
    <col min="1333" max="1333" width="12" style="21" customWidth="1"/>
    <col min="1334" max="1334" width="12.85546875" style="21" customWidth="1"/>
    <col min="1335" max="1335" width="1.140625" style="21" customWidth="1"/>
    <col min="1336" max="1336" width="13.140625" style="21" customWidth="1"/>
    <col min="1337" max="1337" width="12" style="21" customWidth="1"/>
    <col min="1338" max="1338" width="12.85546875" style="21" customWidth="1"/>
    <col min="1339" max="1339" width="1.5703125" style="21" customWidth="1"/>
    <col min="1340" max="1340" width="16.85546875" style="21" customWidth="1"/>
    <col min="1341" max="1341" width="14.28515625" style="21" customWidth="1"/>
    <col min="1342" max="1342" width="17.140625" style="21" customWidth="1"/>
    <col min="1343" max="1343" width="1.42578125" style="21" customWidth="1"/>
    <col min="1344" max="1344" width="9.28515625" style="21" customWidth="1"/>
    <col min="1345" max="1345" width="12" style="21" customWidth="1"/>
    <col min="1346" max="1346" width="12.85546875" style="21" customWidth="1"/>
    <col min="1347" max="1347" width="2.42578125" style="21" customWidth="1"/>
    <col min="1348" max="1348" width="12" style="21" customWidth="1"/>
    <col min="1349" max="1349" width="9.28515625" style="21" customWidth="1"/>
    <col min="1350" max="1350" width="12.85546875" style="21" customWidth="1"/>
    <col min="1351" max="1351" width="1.42578125" style="21" customWidth="1"/>
    <col min="1352" max="1352" width="12" style="21" customWidth="1"/>
    <col min="1353" max="1353" width="9.28515625" style="21" customWidth="1"/>
    <col min="1354" max="1354" width="12.85546875" style="21" customWidth="1"/>
    <col min="1355" max="1355" width="2.85546875" style="21" customWidth="1"/>
    <col min="1356" max="1356" width="12.7109375" style="21" customWidth="1"/>
    <col min="1357" max="1357" width="12" style="21" customWidth="1"/>
    <col min="1358" max="1358" width="12.85546875" style="21" customWidth="1"/>
    <col min="1359" max="1359" width="1.5703125" style="21" customWidth="1"/>
    <col min="1360" max="1391" width="0" style="21" hidden="1" customWidth="1"/>
    <col min="1392" max="1392" width="1.5703125" style="21" customWidth="1"/>
    <col min="1393" max="1393" width="16.85546875" style="21" customWidth="1"/>
    <col min="1394" max="1394" width="14.28515625" style="21" customWidth="1"/>
    <col min="1395" max="1395" width="17.140625" style="21" customWidth="1"/>
    <col min="1396" max="1536" width="9.140625" style="21"/>
    <col min="1537" max="1537" width="0.85546875" style="21" customWidth="1"/>
    <col min="1538" max="1538" width="5.5703125" style="21" bestFit="1" customWidth="1"/>
    <col min="1539" max="1539" width="46" style="21" bestFit="1" customWidth="1"/>
    <col min="1540" max="1540" width="1.42578125" style="21" customWidth="1"/>
    <col min="1541" max="1541" width="20.28515625" style="21" bestFit="1" customWidth="1"/>
    <col min="1542" max="1542" width="6.7109375" style="21" bestFit="1" customWidth="1"/>
    <col min="1543" max="1544" width="0" style="21" hidden="1" customWidth="1"/>
    <col min="1545" max="1545" width="15.85546875" style="21" bestFit="1" customWidth="1"/>
    <col min="1546" max="1546" width="1.5703125" style="21" customWidth="1"/>
    <col min="1547" max="1547" width="9.28515625" style="21" customWidth="1"/>
    <col min="1548" max="1548" width="12" style="21" customWidth="1"/>
    <col min="1549" max="1549" width="12.85546875" style="21" customWidth="1"/>
    <col min="1550" max="1550" width="2.42578125" style="21" customWidth="1"/>
    <col min="1551" max="1551" width="12" style="21" customWidth="1"/>
    <col min="1552" max="1552" width="9.28515625" style="21" customWidth="1"/>
    <col min="1553" max="1553" width="12.85546875" style="21" customWidth="1"/>
    <col min="1554" max="1554" width="1.42578125" style="21" customWidth="1"/>
    <col min="1555" max="1555" width="12" style="21" customWidth="1"/>
    <col min="1556" max="1556" width="9.28515625" style="21" customWidth="1"/>
    <col min="1557" max="1557" width="12.85546875" style="21" customWidth="1"/>
    <col min="1558" max="1558" width="2.85546875" style="21" customWidth="1"/>
    <col min="1559" max="1559" width="12.7109375" style="21" customWidth="1"/>
    <col min="1560" max="1560" width="12" style="21" customWidth="1"/>
    <col min="1561" max="1561" width="12.85546875" style="21" customWidth="1"/>
    <col min="1562" max="1562" width="1.5703125" style="21" customWidth="1"/>
    <col min="1563" max="1563" width="9.28515625" style="21" customWidth="1"/>
    <col min="1564" max="1564" width="12" style="21" customWidth="1"/>
    <col min="1565" max="1565" width="12.85546875" style="21" customWidth="1"/>
    <col min="1566" max="1566" width="0" style="21" hidden="1" customWidth="1"/>
    <col min="1567" max="1567" width="1.85546875" style="21" customWidth="1"/>
    <col min="1568" max="1568" width="9.28515625" style="21" customWidth="1"/>
    <col min="1569" max="1569" width="12" style="21" customWidth="1"/>
    <col min="1570" max="1570" width="12.85546875" style="21" customWidth="1"/>
    <col min="1571" max="1571" width="1.7109375" style="21" customWidth="1"/>
    <col min="1572" max="1572" width="9.28515625" style="21" customWidth="1"/>
    <col min="1573" max="1573" width="12" style="21" customWidth="1"/>
    <col min="1574" max="1574" width="12.85546875" style="21" customWidth="1"/>
    <col min="1575" max="1575" width="0.5703125" style="21" customWidth="1"/>
    <col min="1576" max="1576" width="9.28515625" style="21" customWidth="1"/>
    <col min="1577" max="1578" width="12.85546875" style="21" customWidth="1"/>
    <col min="1579" max="1579" width="0.5703125" style="21" customWidth="1"/>
    <col min="1580" max="1580" width="13" style="21" customWidth="1"/>
    <col min="1581" max="1581" width="12" style="21" customWidth="1"/>
    <col min="1582" max="1582" width="12.85546875" style="21" customWidth="1"/>
    <col min="1583" max="1583" width="0.42578125" style="21" customWidth="1"/>
    <col min="1584" max="1584" width="13.5703125" style="21" customWidth="1"/>
    <col min="1585" max="1585" width="12" style="21" customWidth="1"/>
    <col min="1586" max="1586" width="12.85546875" style="21" customWidth="1"/>
    <col min="1587" max="1587" width="1.140625" style="21" customWidth="1"/>
    <col min="1588" max="1588" width="13.5703125" style="21" customWidth="1"/>
    <col min="1589" max="1589" width="12" style="21" customWidth="1"/>
    <col min="1590" max="1590" width="12.85546875" style="21" customWidth="1"/>
    <col min="1591" max="1591" width="1.140625" style="21" customWidth="1"/>
    <col min="1592" max="1592" width="13.140625" style="21" customWidth="1"/>
    <col min="1593" max="1593" width="12" style="21" customWidth="1"/>
    <col min="1594" max="1594" width="12.85546875" style="21" customWidth="1"/>
    <col min="1595" max="1595" width="1.5703125" style="21" customWidth="1"/>
    <col min="1596" max="1596" width="16.85546875" style="21" customWidth="1"/>
    <col min="1597" max="1597" width="14.28515625" style="21" customWidth="1"/>
    <col min="1598" max="1598" width="17.140625" style="21" customWidth="1"/>
    <col min="1599" max="1599" width="1.42578125" style="21" customWidth="1"/>
    <col min="1600" max="1600" width="9.28515625" style="21" customWidth="1"/>
    <col min="1601" max="1601" width="12" style="21" customWidth="1"/>
    <col min="1602" max="1602" width="12.85546875" style="21" customWidth="1"/>
    <col min="1603" max="1603" width="2.42578125" style="21" customWidth="1"/>
    <col min="1604" max="1604" width="12" style="21" customWidth="1"/>
    <col min="1605" max="1605" width="9.28515625" style="21" customWidth="1"/>
    <col min="1606" max="1606" width="12.85546875" style="21" customWidth="1"/>
    <col min="1607" max="1607" width="1.42578125" style="21" customWidth="1"/>
    <col min="1608" max="1608" width="12" style="21" customWidth="1"/>
    <col min="1609" max="1609" width="9.28515625" style="21" customWidth="1"/>
    <col min="1610" max="1610" width="12.85546875" style="21" customWidth="1"/>
    <col min="1611" max="1611" width="2.85546875" style="21" customWidth="1"/>
    <col min="1612" max="1612" width="12.7109375" style="21" customWidth="1"/>
    <col min="1613" max="1613" width="12" style="21" customWidth="1"/>
    <col min="1614" max="1614" width="12.85546875" style="21" customWidth="1"/>
    <col min="1615" max="1615" width="1.5703125" style="21" customWidth="1"/>
    <col min="1616" max="1647" width="0" style="21" hidden="1" customWidth="1"/>
    <col min="1648" max="1648" width="1.5703125" style="21" customWidth="1"/>
    <col min="1649" max="1649" width="16.85546875" style="21" customWidth="1"/>
    <col min="1650" max="1650" width="14.28515625" style="21" customWidth="1"/>
    <col min="1651" max="1651" width="17.140625" style="21" customWidth="1"/>
    <col min="1652" max="1792" width="9.140625" style="21"/>
    <col min="1793" max="1793" width="0.85546875" style="21" customWidth="1"/>
    <col min="1794" max="1794" width="5.5703125" style="21" bestFit="1" customWidth="1"/>
    <col min="1795" max="1795" width="46" style="21" bestFit="1" customWidth="1"/>
    <col min="1796" max="1796" width="1.42578125" style="21" customWidth="1"/>
    <col min="1797" max="1797" width="20.28515625" style="21" bestFit="1" customWidth="1"/>
    <col min="1798" max="1798" width="6.7109375" style="21" bestFit="1" customWidth="1"/>
    <col min="1799" max="1800" width="0" style="21" hidden="1" customWidth="1"/>
    <col min="1801" max="1801" width="15.85546875" style="21" bestFit="1" customWidth="1"/>
    <col min="1802" max="1802" width="1.5703125" style="21" customWidth="1"/>
    <col min="1803" max="1803" width="9.28515625" style="21" customWidth="1"/>
    <col min="1804" max="1804" width="12" style="21" customWidth="1"/>
    <col min="1805" max="1805" width="12.85546875" style="21" customWidth="1"/>
    <col min="1806" max="1806" width="2.42578125" style="21" customWidth="1"/>
    <col min="1807" max="1807" width="12" style="21" customWidth="1"/>
    <col min="1808" max="1808" width="9.28515625" style="21" customWidth="1"/>
    <col min="1809" max="1809" width="12.85546875" style="21" customWidth="1"/>
    <col min="1810" max="1810" width="1.42578125" style="21" customWidth="1"/>
    <col min="1811" max="1811" width="12" style="21" customWidth="1"/>
    <col min="1812" max="1812" width="9.28515625" style="21" customWidth="1"/>
    <col min="1813" max="1813" width="12.85546875" style="21" customWidth="1"/>
    <col min="1814" max="1814" width="2.85546875" style="21" customWidth="1"/>
    <col min="1815" max="1815" width="12.7109375" style="21" customWidth="1"/>
    <col min="1816" max="1816" width="12" style="21" customWidth="1"/>
    <col min="1817" max="1817" width="12.85546875" style="21" customWidth="1"/>
    <col min="1818" max="1818" width="1.5703125" style="21" customWidth="1"/>
    <col min="1819" max="1819" width="9.28515625" style="21" customWidth="1"/>
    <col min="1820" max="1820" width="12" style="21" customWidth="1"/>
    <col min="1821" max="1821" width="12.85546875" style="21" customWidth="1"/>
    <col min="1822" max="1822" width="0" style="21" hidden="1" customWidth="1"/>
    <col min="1823" max="1823" width="1.85546875" style="21" customWidth="1"/>
    <col min="1824" max="1824" width="9.28515625" style="21" customWidth="1"/>
    <col min="1825" max="1825" width="12" style="21" customWidth="1"/>
    <col min="1826" max="1826" width="12.85546875" style="21" customWidth="1"/>
    <col min="1827" max="1827" width="1.7109375" style="21" customWidth="1"/>
    <col min="1828" max="1828" width="9.28515625" style="21" customWidth="1"/>
    <col min="1829" max="1829" width="12" style="21" customWidth="1"/>
    <col min="1830" max="1830" width="12.85546875" style="21" customWidth="1"/>
    <col min="1831" max="1831" width="0.5703125" style="21" customWidth="1"/>
    <col min="1832" max="1832" width="9.28515625" style="21" customWidth="1"/>
    <col min="1833" max="1834" width="12.85546875" style="21" customWidth="1"/>
    <col min="1835" max="1835" width="0.5703125" style="21" customWidth="1"/>
    <col min="1836" max="1836" width="13" style="21" customWidth="1"/>
    <col min="1837" max="1837" width="12" style="21" customWidth="1"/>
    <col min="1838" max="1838" width="12.85546875" style="21" customWidth="1"/>
    <col min="1839" max="1839" width="0.42578125" style="21" customWidth="1"/>
    <col min="1840" max="1840" width="13.5703125" style="21" customWidth="1"/>
    <col min="1841" max="1841" width="12" style="21" customWidth="1"/>
    <col min="1842" max="1842" width="12.85546875" style="21" customWidth="1"/>
    <col min="1843" max="1843" width="1.140625" style="21" customWidth="1"/>
    <col min="1844" max="1844" width="13.5703125" style="21" customWidth="1"/>
    <col min="1845" max="1845" width="12" style="21" customWidth="1"/>
    <col min="1846" max="1846" width="12.85546875" style="21" customWidth="1"/>
    <col min="1847" max="1847" width="1.140625" style="21" customWidth="1"/>
    <col min="1848" max="1848" width="13.140625" style="21" customWidth="1"/>
    <col min="1849" max="1849" width="12" style="21" customWidth="1"/>
    <col min="1850" max="1850" width="12.85546875" style="21" customWidth="1"/>
    <col min="1851" max="1851" width="1.5703125" style="21" customWidth="1"/>
    <col min="1852" max="1852" width="16.85546875" style="21" customWidth="1"/>
    <col min="1853" max="1853" width="14.28515625" style="21" customWidth="1"/>
    <col min="1854" max="1854" width="17.140625" style="21" customWidth="1"/>
    <col min="1855" max="1855" width="1.42578125" style="21" customWidth="1"/>
    <col min="1856" max="1856" width="9.28515625" style="21" customWidth="1"/>
    <col min="1857" max="1857" width="12" style="21" customWidth="1"/>
    <col min="1858" max="1858" width="12.85546875" style="21" customWidth="1"/>
    <col min="1859" max="1859" width="2.42578125" style="21" customWidth="1"/>
    <col min="1860" max="1860" width="12" style="21" customWidth="1"/>
    <col min="1861" max="1861" width="9.28515625" style="21" customWidth="1"/>
    <col min="1862" max="1862" width="12.85546875" style="21" customWidth="1"/>
    <col min="1863" max="1863" width="1.42578125" style="21" customWidth="1"/>
    <col min="1864" max="1864" width="12" style="21" customWidth="1"/>
    <col min="1865" max="1865" width="9.28515625" style="21" customWidth="1"/>
    <col min="1866" max="1866" width="12.85546875" style="21" customWidth="1"/>
    <col min="1867" max="1867" width="2.85546875" style="21" customWidth="1"/>
    <col min="1868" max="1868" width="12.7109375" style="21" customWidth="1"/>
    <col min="1869" max="1869" width="12" style="21" customWidth="1"/>
    <col min="1870" max="1870" width="12.85546875" style="21" customWidth="1"/>
    <col min="1871" max="1871" width="1.5703125" style="21" customWidth="1"/>
    <col min="1872" max="1903" width="0" style="21" hidden="1" customWidth="1"/>
    <col min="1904" max="1904" width="1.5703125" style="21" customWidth="1"/>
    <col min="1905" max="1905" width="16.85546875" style="21" customWidth="1"/>
    <col min="1906" max="1906" width="14.28515625" style="21" customWidth="1"/>
    <col min="1907" max="1907" width="17.140625" style="21" customWidth="1"/>
    <col min="1908" max="2048" width="9.140625" style="21"/>
    <col min="2049" max="2049" width="0.85546875" style="21" customWidth="1"/>
    <col min="2050" max="2050" width="5.5703125" style="21" bestFit="1" customWidth="1"/>
    <col min="2051" max="2051" width="46" style="21" bestFit="1" customWidth="1"/>
    <col min="2052" max="2052" width="1.42578125" style="21" customWidth="1"/>
    <col min="2053" max="2053" width="20.28515625" style="21" bestFit="1" customWidth="1"/>
    <col min="2054" max="2054" width="6.7109375" style="21" bestFit="1" customWidth="1"/>
    <col min="2055" max="2056" width="0" style="21" hidden="1" customWidth="1"/>
    <col min="2057" max="2057" width="15.85546875" style="21" bestFit="1" customWidth="1"/>
    <col min="2058" max="2058" width="1.5703125" style="21" customWidth="1"/>
    <col min="2059" max="2059" width="9.28515625" style="21" customWidth="1"/>
    <col min="2060" max="2060" width="12" style="21" customWidth="1"/>
    <col min="2061" max="2061" width="12.85546875" style="21" customWidth="1"/>
    <col min="2062" max="2062" width="2.42578125" style="21" customWidth="1"/>
    <col min="2063" max="2063" width="12" style="21" customWidth="1"/>
    <col min="2064" max="2064" width="9.28515625" style="21" customWidth="1"/>
    <col min="2065" max="2065" width="12.85546875" style="21" customWidth="1"/>
    <col min="2066" max="2066" width="1.42578125" style="21" customWidth="1"/>
    <col min="2067" max="2067" width="12" style="21" customWidth="1"/>
    <col min="2068" max="2068" width="9.28515625" style="21" customWidth="1"/>
    <col min="2069" max="2069" width="12.85546875" style="21" customWidth="1"/>
    <col min="2070" max="2070" width="2.85546875" style="21" customWidth="1"/>
    <col min="2071" max="2071" width="12.7109375" style="21" customWidth="1"/>
    <col min="2072" max="2072" width="12" style="21" customWidth="1"/>
    <col min="2073" max="2073" width="12.85546875" style="21" customWidth="1"/>
    <col min="2074" max="2074" width="1.5703125" style="21" customWidth="1"/>
    <col min="2075" max="2075" width="9.28515625" style="21" customWidth="1"/>
    <col min="2076" max="2076" width="12" style="21" customWidth="1"/>
    <col min="2077" max="2077" width="12.85546875" style="21" customWidth="1"/>
    <col min="2078" max="2078" width="0" style="21" hidden="1" customWidth="1"/>
    <col min="2079" max="2079" width="1.85546875" style="21" customWidth="1"/>
    <col min="2080" max="2080" width="9.28515625" style="21" customWidth="1"/>
    <col min="2081" max="2081" width="12" style="21" customWidth="1"/>
    <col min="2082" max="2082" width="12.85546875" style="21" customWidth="1"/>
    <col min="2083" max="2083" width="1.7109375" style="21" customWidth="1"/>
    <col min="2084" max="2084" width="9.28515625" style="21" customWidth="1"/>
    <col min="2085" max="2085" width="12" style="21" customWidth="1"/>
    <col min="2086" max="2086" width="12.85546875" style="21" customWidth="1"/>
    <col min="2087" max="2087" width="0.5703125" style="21" customWidth="1"/>
    <col min="2088" max="2088" width="9.28515625" style="21" customWidth="1"/>
    <col min="2089" max="2090" width="12.85546875" style="21" customWidth="1"/>
    <col min="2091" max="2091" width="0.5703125" style="21" customWidth="1"/>
    <col min="2092" max="2092" width="13" style="21" customWidth="1"/>
    <col min="2093" max="2093" width="12" style="21" customWidth="1"/>
    <col min="2094" max="2094" width="12.85546875" style="21" customWidth="1"/>
    <col min="2095" max="2095" width="0.42578125" style="21" customWidth="1"/>
    <col min="2096" max="2096" width="13.5703125" style="21" customWidth="1"/>
    <col min="2097" max="2097" width="12" style="21" customWidth="1"/>
    <col min="2098" max="2098" width="12.85546875" style="21" customWidth="1"/>
    <col min="2099" max="2099" width="1.140625" style="21" customWidth="1"/>
    <col min="2100" max="2100" width="13.5703125" style="21" customWidth="1"/>
    <col min="2101" max="2101" width="12" style="21" customWidth="1"/>
    <col min="2102" max="2102" width="12.85546875" style="21" customWidth="1"/>
    <col min="2103" max="2103" width="1.140625" style="21" customWidth="1"/>
    <col min="2104" max="2104" width="13.140625" style="21" customWidth="1"/>
    <col min="2105" max="2105" width="12" style="21" customWidth="1"/>
    <col min="2106" max="2106" width="12.85546875" style="21" customWidth="1"/>
    <col min="2107" max="2107" width="1.5703125" style="21" customWidth="1"/>
    <col min="2108" max="2108" width="16.85546875" style="21" customWidth="1"/>
    <col min="2109" max="2109" width="14.28515625" style="21" customWidth="1"/>
    <col min="2110" max="2110" width="17.140625" style="21" customWidth="1"/>
    <col min="2111" max="2111" width="1.42578125" style="21" customWidth="1"/>
    <col min="2112" max="2112" width="9.28515625" style="21" customWidth="1"/>
    <col min="2113" max="2113" width="12" style="21" customWidth="1"/>
    <col min="2114" max="2114" width="12.85546875" style="21" customWidth="1"/>
    <col min="2115" max="2115" width="2.42578125" style="21" customWidth="1"/>
    <col min="2116" max="2116" width="12" style="21" customWidth="1"/>
    <col min="2117" max="2117" width="9.28515625" style="21" customWidth="1"/>
    <col min="2118" max="2118" width="12.85546875" style="21" customWidth="1"/>
    <col min="2119" max="2119" width="1.42578125" style="21" customWidth="1"/>
    <col min="2120" max="2120" width="12" style="21" customWidth="1"/>
    <col min="2121" max="2121" width="9.28515625" style="21" customWidth="1"/>
    <col min="2122" max="2122" width="12.85546875" style="21" customWidth="1"/>
    <col min="2123" max="2123" width="2.85546875" style="21" customWidth="1"/>
    <col min="2124" max="2124" width="12.7109375" style="21" customWidth="1"/>
    <col min="2125" max="2125" width="12" style="21" customWidth="1"/>
    <col min="2126" max="2126" width="12.85546875" style="21" customWidth="1"/>
    <col min="2127" max="2127" width="1.5703125" style="21" customWidth="1"/>
    <col min="2128" max="2159" width="0" style="21" hidden="1" customWidth="1"/>
    <col min="2160" max="2160" width="1.5703125" style="21" customWidth="1"/>
    <col min="2161" max="2161" width="16.85546875" style="21" customWidth="1"/>
    <col min="2162" max="2162" width="14.28515625" style="21" customWidth="1"/>
    <col min="2163" max="2163" width="17.140625" style="21" customWidth="1"/>
    <col min="2164" max="2304" width="9.140625" style="21"/>
    <col min="2305" max="2305" width="0.85546875" style="21" customWidth="1"/>
    <col min="2306" max="2306" width="5.5703125" style="21" bestFit="1" customWidth="1"/>
    <col min="2307" max="2307" width="46" style="21" bestFit="1" customWidth="1"/>
    <col min="2308" max="2308" width="1.42578125" style="21" customWidth="1"/>
    <col min="2309" max="2309" width="20.28515625" style="21" bestFit="1" customWidth="1"/>
    <col min="2310" max="2310" width="6.7109375" style="21" bestFit="1" customWidth="1"/>
    <col min="2311" max="2312" width="0" style="21" hidden="1" customWidth="1"/>
    <col min="2313" max="2313" width="15.85546875" style="21" bestFit="1" customWidth="1"/>
    <col min="2314" max="2314" width="1.5703125" style="21" customWidth="1"/>
    <col min="2315" max="2315" width="9.28515625" style="21" customWidth="1"/>
    <col min="2316" max="2316" width="12" style="21" customWidth="1"/>
    <col min="2317" max="2317" width="12.85546875" style="21" customWidth="1"/>
    <col min="2318" max="2318" width="2.42578125" style="21" customWidth="1"/>
    <col min="2319" max="2319" width="12" style="21" customWidth="1"/>
    <col min="2320" max="2320" width="9.28515625" style="21" customWidth="1"/>
    <col min="2321" max="2321" width="12.85546875" style="21" customWidth="1"/>
    <col min="2322" max="2322" width="1.42578125" style="21" customWidth="1"/>
    <col min="2323" max="2323" width="12" style="21" customWidth="1"/>
    <col min="2324" max="2324" width="9.28515625" style="21" customWidth="1"/>
    <col min="2325" max="2325" width="12.85546875" style="21" customWidth="1"/>
    <col min="2326" max="2326" width="2.85546875" style="21" customWidth="1"/>
    <col min="2327" max="2327" width="12.7109375" style="21" customWidth="1"/>
    <col min="2328" max="2328" width="12" style="21" customWidth="1"/>
    <col min="2329" max="2329" width="12.85546875" style="21" customWidth="1"/>
    <col min="2330" max="2330" width="1.5703125" style="21" customWidth="1"/>
    <col min="2331" max="2331" width="9.28515625" style="21" customWidth="1"/>
    <col min="2332" max="2332" width="12" style="21" customWidth="1"/>
    <col min="2333" max="2333" width="12.85546875" style="21" customWidth="1"/>
    <col min="2334" max="2334" width="0" style="21" hidden="1" customWidth="1"/>
    <col min="2335" max="2335" width="1.85546875" style="21" customWidth="1"/>
    <col min="2336" max="2336" width="9.28515625" style="21" customWidth="1"/>
    <col min="2337" max="2337" width="12" style="21" customWidth="1"/>
    <col min="2338" max="2338" width="12.85546875" style="21" customWidth="1"/>
    <col min="2339" max="2339" width="1.7109375" style="21" customWidth="1"/>
    <col min="2340" max="2340" width="9.28515625" style="21" customWidth="1"/>
    <col min="2341" max="2341" width="12" style="21" customWidth="1"/>
    <col min="2342" max="2342" width="12.85546875" style="21" customWidth="1"/>
    <col min="2343" max="2343" width="0.5703125" style="21" customWidth="1"/>
    <col min="2344" max="2344" width="9.28515625" style="21" customWidth="1"/>
    <col min="2345" max="2346" width="12.85546875" style="21" customWidth="1"/>
    <col min="2347" max="2347" width="0.5703125" style="21" customWidth="1"/>
    <col min="2348" max="2348" width="13" style="21" customWidth="1"/>
    <col min="2349" max="2349" width="12" style="21" customWidth="1"/>
    <col min="2350" max="2350" width="12.85546875" style="21" customWidth="1"/>
    <col min="2351" max="2351" width="0.42578125" style="21" customWidth="1"/>
    <col min="2352" max="2352" width="13.5703125" style="21" customWidth="1"/>
    <col min="2353" max="2353" width="12" style="21" customWidth="1"/>
    <col min="2354" max="2354" width="12.85546875" style="21" customWidth="1"/>
    <col min="2355" max="2355" width="1.140625" style="21" customWidth="1"/>
    <col min="2356" max="2356" width="13.5703125" style="21" customWidth="1"/>
    <col min="2357" max="2357" width="12" style="21" customWidth="1"/>
    <col min="2358" max="2358" width="12.85546875" style="21" customWidth="1"/>
    <col min="2359" max="2359" width="1.140625" style="21" customWidth="1"/>
    <col min="2360" max="2360" width="13.140625" style="21" customWidth="1"/>
    <col min="2361" max="2361" width="12" style="21" customWidth="1"/>
    <col min="2362" max="2362" width="12.85546875" style="21" customWidth="1"/>
    <col min="2363" max="2363" width="1.5703125" style="21" customWidth="1"/>
    <col min="2364" max="2364" width="16.85546875" style="21" customWidth="1"/>
    <col min="2365" max="2365" width="14.28515625" style="21" customWidth="1"/>
    <col min="2366" max="2366" width="17.140625" style="21" customWidth="1"/>
    <col min="2367" max="2367" width="1.42578125" style="21" customWidth="1"/>
    <col min="2368" max="2368" width="9.28515625" style="21" customWidth="1"/>
    <col min="2369" max="2369" width="12" style="21" customWidth="1"/>
    <col min="2370" max="2370" width="12.85546875" style="21" customWidth="1"/>
    <col min="2371" max="2371" width="2.42578125" style="21" customWidth="1"/>
    <col min="2372" max="2372" width="12" style="21" customWidth="1"/>
    <col min="2373" max="2373" width="9.28515625" style="21" customWidth="1"/>
    <col min="2374" max="2374" width="12.85546875" style="21" customWidth="1"/>
    <col min="2375" max="2375" width="1.42578125" style="21" customWidth="1"/>
    <col min="2376" max="2376" width="12" style="21" customWidth="1"/>
    <col min="2377" max="2377" width="9.28515625" style="21" customWidth="1"/>
    <col min="2378" max="2378" width="12.85546875" style="21" customWidth="1"/>
    <col min="2379" max="2379" width="2.85546875" style="21" customWidth="1"/>
    <col min="2380" max="2380" width="12.7109375" style="21" customWidth="1"/>
    <col min="2381" max="2381" width="12" style="21" customWidth="1"/>
    <col min="2382" max="2382" width="12.85546875" style="21" customWidth="1"/>
    <col min="2383" max="2383" width="1.5703125" style="21" customWidth="1"/>
    <col min="2384" max="2415" width="0" style="21" hidden="1" customWidth="1"/>
    <col min="2416" max="2416" width="1.5703125" style="21" customWidth="1"/>
    <col min="2417" max="2417" width="16.85546875" style="21" customWidth="1"/>
    <col min="2418" max="2418" width="14.28515625" style="21" customWidth="1"/>
    <col min="2419" max="2419" width="17.140625" style="21" customWidth="1"/>
    <col min="2420" max="2560" width="9.140625" style="21"/>
    <col min="2561" max="2561" width="0.85546875" style="21" customWidth="1"/>
    <col min="2562" max="2562" width="5.5703125" style="21" bestFit="1" customWidth="1"/>
    <col min="2563" max="2563" width="46" style="21" bestFit="1" customWidth="1"/>
    <col min="2564" max="2564" width="1.42578125" style="21" customWidth="1"/>
    <col min="2565" max="2565" width="20.28515625" style="21" bestFit="1" customWidth="1"/>
    <col min="2566" max="2566" width="6.7109375" style="21" bestFit="1" customWidth="1"/>
    <col min="2567" max="2568" width="0" style="21" hidden="1" customWidth="1"/>
    <col min="2569" max="2569" width="15.85546875" style="21" bestFit="1" customWidth="1"/>
    <col min="2570" max="2570" width="1.5703125" style="21" customWidth="1"/>
    <col min="2571" max="2571" width="9.28515625" style="21" customWidth="1"/>
    <col min="2572" max="2572" width="12" style="21" customWidth="1"/>
    <col min="2573" max="2573" width="12.85546875" style="21" customWidth="1"/>
    <col min="2574" max="2574" width="2.42578125" style="21" customWidth="1"/>
    <col min="2575" max="2575" width="12" style="21" customWidth="1"/>
    <col min="2576" max="2576" width="9.28515625" style="21" customWidth="1"/>
    <col min="2577" max="2577" width="12.85546875" style="21" customWidth="1"/>
    <col min="2578" max="2578" width="1.42578125" style="21" customWidth="1"/>
    <col min="2579" max="2579" width="12" style="21" customWidth="1"/>
    <col min="2580" max="2580" width="9.28515625" style="21" customWidth="1"/>
    <col min="2581" max="2581" width="12.85546875" style="21" customWidth="1"/>
    <col min="2582" max="2582" width="2.85546875" style="21" customWidth="1"/>
    <col min="2583" max="2583" width="12.7109375" style="21" customWidth="1"/>
    <col min="2584" max="2584" width="12" style="21" customWidth="1"/>
    <col min="2585" max="2585" width="12.85546875" style="21" customWidth="1"/>
    <col min="2586" max="2586" width="1.5703125" style="21" customWidth="1"/>
    <col min="2587" max="2587" width="9.28515625" style="21" customWidth="1"/>
    <col min="2588" max="2588" width="12" style="21" customWidth="1"/>
    <col min="2589" max="2589" width="12.85546875" style="21" customWidth="1"/>
    <col min="2590" max="2590" width="0" style="21" hidden="1" customWidth="1"/>
    <col min="2591" max="2591" width="1.85546875" style="21" customWidth="1"/>
    <col min="2592" max="2592" width="9.28515625" style="21" customWidth="1"/>
    <col min="2593" max="2593" width="12" style="21" customWidth="1"/>
    <col min="2594" max="2594" width="12.85546875" style="21" customWidth="1"/>
    <col min="2595" max="2595" width="1.7109375" style="21" customWidth="1"/>
    <col min="2596" max="2596" width="9.28515625" style="21" customWidth="1"/>
    <col min="2597" max="2597" width="12" style="21" customWidth="1"/>
    <col min="2598" max="2598" width="12.85546875" style="21" customWidth="1"/>
    <col min="2599" max="2599" width="0.5703125" style="21" customWidth="1"/>
    <col min="2600" max="2600" width="9.28515625" style="21" customWidth="1"/>
    <col min="2601" max="2602" width="12.85546875" style="21" customWidth="1"/>
    <col min="2603" max="2603" width="0.5703125" style="21" customWidth="1"/>
    <col min="2604" max="2604" width="13" style="21" customWidth="1"/>
    <col min="2605" max="2605" width="12" style="21" customWidth="1"/>
    <col min="2606" max="2606" width="12.85546875" style="21" customWidth="1"/>
    <col min="2607" max="2607" width="0.42578125" style="21" customWidth="1"/>
    <col min="2608" max="2608" width="13.5703125" style="21" customWidth="1"/>
    <col min="2609" max="2609" width="12" style="21" customWidth="1"/>
    <col min="2610" max="2610" width="12.85546875" style="21" customWidth="1"/>
    <col min="2611" max="2611" width="1.140625" style="21" customWidth="1"/>
    <col min="2612" max="2612" width="13.5703125" style="21" customWidth="1"/>
    <col min="2613" max="2613" width="12" style="21" customWidth="1"/>
    <col min="2614" max="2614" width="12.85546875" style="21" customWidth="1"/>
    <col min="2615" max="2615" width="1.140625" style="21" customWidth="1"/>
    <col min="2616" max="2616" width="13.140625" style="21" customWidth="1"/>
    <col min="2617" max="2617" width="12" style="21" customWidth="1"/>
    <col min="2618" max="2618" width="12.85546875" style="21" customWidth="1"/>
    <col min="2619" max="2619" width="1.5703125" style="21" customWidth="1"/>
    <col min="2620" max="2620" width="16.85546875" style="21" customWidth="1"/>
    <col min="2621" max="2621" width="14.28515625" style="21" customWidth="1"/>
    <col min="2622" max="2622" width="17.140625" style="21" customWidth="1"/>
    <col min="2623" max="2623" width="1.42578125" style="21" customWidth="1"/>
    <col min="2624" max="2624" width="9.28515625" style="21" customWidth="1"/>
    <col min="2625" max="2625" width="12" style="21" customWidth="1"/>
    <col min="2626" max="2626" width="12.85546875" style="21" customWidth="1"/>
    <col min="2627" max="2627" width="2.42578125" style="21" customWidth="1"/>
    <col min="2628" max="2628" width="12" style="21" customWidth="1"/>
    <col min="2629" max="2629" width="9.28515625" style="21" customWidth="1"/>
    <col min="2630" max="2630" width="12.85546875" style="21" customWidth="1"/>
    <col min="2631" max="2631" width="1.42578125" style="21" customWidth="1"/>
    <col min="2632" max="2632" width="12" style="21" customWidth="1"/>
    <col min="2633" max="2633" width="9.28515625" style="21" customWidth="1"/>
    <col min="2634" max="2634" width="12.85546875" style="21" customWidth="1"/>
    <col min="2635" max="2635" width="2.85546875" style="21" customWidth="1"/>
    <col min="2636" max="2636" width="12.7109375" style="21" customWidth="1"/>
    <col min="2637" max="2637" width="12" style="21" customWidth="1"/>
    <col min="2638" max="2638" width="12.85546875" style="21" customWidth="1"/>
    <col min="2639" max="2639" width="1.5703125" style="21" customWidth="1"/>
    <col min="2640" max="2671" width="0" style="21" hidden="1" customWidth="1"/>
    <col min="2672" max="2672" width="1.5703125" style="21" customWidth="1"/>
    <col min="2673" max="2673" width="16.85546875" style="21" customWidth="1"/>
    <col min="2674" max="2674" width="14.28515625" style="21" customWidth="1"/>
    <col min="2675" max="2675" width="17.140625" style="21" customWidth="1"/>
    <col min="2676" max="2816" width="9.140625" style="21"/>
    <col min="2817" max="2817" width="0.85546875" style="21" customWidth="1"/>
    <col min="2818" max="2818" width="5.5703125" style="21" bestFit="1" customWidth="1"/>
    <col min="2819" max="2819" width="46" style="21" bestFit="1" customWidth="1"/>
    <col min="2820" max="2820" width="1.42578125" style="21" customWidth="1"/>
    <col min="2821" max="2821" width="20.28515625" style="21" bestFit="1" customWidth="1"/>
    <col min="2822" max="2822" width="6.7109375" style="21" bestFit="1" customWidth="1"/>
    <col min="2823" max="2824" width="0" style="21" hidden="1" customWidth="1"/>
    <col min="2825" max="2825" width="15.85546875" style="21" bestFit="1" customWidth="1"/>
    <col min="2826" max="2826" width="1.5703125" style="21" customWidth="1"/>
    <col min="2827" max="2827" width="9.28515625" style="21" customWidth="1"/>
    <col min="2828" max="2828" width="12" style="21" customWidth="1"/>
    <col min="2829" max="2829" width="12.85546875" style="21" customWidth="1"/>
    <col min="2830" max="2830" width="2.42578125" style="21" customWidth="1"/>
    <col min="2831" max="2831" width="12" style="21" customWidth="1"/>
    <col min="2832" max="2832" width="9.28515625" style="21" customWidth="1"/>
    <col min="2833" max="2833" width="12.85546875" style="21" customWidth="1"/>
    <col min="2834" max="2834" width="1.42578125" style="21" customWidth="1"/>
    <col min="2835" max="2835" width="12" style="21" customWidth="1"/>
    <col min="2836" max="2836" width="9.28515625" style="21" customWidth="1"/>
    <col min="2837" max="2837" width="12.85546875" style="21" customWidth="1"/>
    <col min="2838" max="2838" width="2.85546875" style="21" customWidth="1"/>
    <col min="2839" max="2839" width="12.7109375" style="21" customWidth="1"/>
    <col min="2840" max="2840" width="12" style="21" customWidth="1"/>
    <col min="2841" max="2841" width="12.85546875" style="21" customWidth="1"/>
    <col min="2842" max="2842" width="1.5703125" style="21" customWidth="1"/>
    <col min="2843" max="2843" width="9.28515625" style="21" customWidth="1"/>
    <col min="2844" max="2844" width="12" style="21" customWidth="1"/>
    <col min="2845" max="2845" width="12.85546875" style="21" customWidth="1"/>
    <col min="2846" max="2846" width="0" style="21" hidden="1" customWidth="1"/>
    <col min="2847" max="2847" width="1.85546875" style="21" customWidth="1"/>
    <col min="2848" max="2848" width="9.28515625" style="21" customWidth="1"/>
    <col min="2849" max="2849" width="12" style="21" customWidth="1"/>
    <col min="2850" max="2850" width="12.85546875" style="21" customWidth="1"/>
    <col min="2851" max="2851" width="1.7109375" style="21" customWidth="1"/>
    <col min="2852" max="2852" width="9.28515625" style="21" customWidth="1"/>
    <col min="2853" max="2853" width="12" style="21" customWidth="1"/>
    <col min="2854" max="2854" width="12.85546875" style="21" customWidth="1"/>
    <col min="2855" max="2855" width="0.5703125" style="21" customWidth="1"/>
    <col min="2856" max="2856" width="9.28515625" style="21" customWidth="1"/>
    <col min="2857" max="2858" width="12.85546875" style="21" customWidth="1"/>
    <col min="2859" max="2859" width="0.5703125" style="21" customWidth="1"/>
    <col min="2860" max="2860" width="13" style="21" customWidth="1"/>
    <col min="2861" max="2861" width="12" style="21" customWidth="1"/>
    <col min="2862" max="2862" width="12.85546875" style="21" customWidth="1"/>
    <col min="2863" max="2863" width="0.42578125" style="21" customWidth="1"/>
    <col min="2864" max="2864" width="13.5703125" style="21" customWidth="1"/>
    <col min="2865" max="2865" width="12" style="21" customWidth="1"/>
    <col min="2866" max="2866" width="12.85546875" style="21" customWidth="1"/>
    <col min="2867" max="2867" width="1.140625" style="21" customWidth="1"/>
    <col min="2868" max="2868" width="13.5703125" style="21" customWidth="1"/>
    <col min="2869" max="2869" width="12" style="21" customWidth="1"/>
    <col min="2870" max="2870" width="12.85546875" style="21" customWidth="1"/>
    <col min="2871" max="2871" width="1.140625" style="21" customWidth="1"/>
    <col min="2872" max="2872" width="13.140625" style="21" customWidth="1"/>
    <col min="2873" max="2873" width="12" style="21" customWidth="1"/>
    <col min="2874" max="2874" width="12.85546875" style="21" customWidth="1"/>
    <col min="2875" max="2875" width="1.5703125" style="21" customWidth="1"/>
    <col min="2876" max="2876" width="16.85546875" style="21" customWidth="1"/>
    <col min="2877" max="2877" width="14.28515625" style="21" customWidth="1"/>
    <col min="2878" max="2878" width="17.140625" style="21" customWidth="1"/>
    <col min="2879" max="2879" width="1.42578125" style="21" customWidth="1"/>
    <col min="2880" max="2880" width="9.28515625" style="21" customWidth="1"/>
    <col min="2881" max="2881" width="12" style="21" customWidth="1"/>
    <col min="2882" max="2882" width="12.85546875" style="21" customWidth="1"/>
    <col min="2883" max="2883" width="2.42578125" style="21" customWidth="1"/>
    <col min="2884" max="2884" width="12" style="21" customWidth="1"/>
    <col min="2885" max="2885" width="9.28515625" style="21" customWidth="1"/>
    <col min="2886" max="2886" width="12.85546875" style="21" customWidth="1"/>
    <col min="2887" max="2887" width="1.42578125" style="21" customWidth="1"/>
    <col min="2888" max="2888" width="12" style="21" customWidth="1"/>
    <col min="2889" max="2889" width="9.28515625" style="21" customWidth="1"/>
    <col min="2890" max="2890" width="12.85546875" style="21" customWidth="1"/>
    <col min="2891" max="2891" width="2.85546875" style="21" customWidth="1"/>
    <col min="2892" max="2892" width="12.7109375" style="21" customWidth="1"/>
    <col min="2893" max="2893" width="12" style="21" customWidth="1"/>
    <col min="2894" max="2894" width="12.85546875" style="21" customWidth="1"/>
    <col min="2895" max="2895" width="1.5703125" style="21" customWidth="1"/>
    <col min="2896" max="2927" width="0" style="21" hidden="1" customWidth="1"/>
    <col min="2928" max="2928" width="1.5703125" style="21" customWidth="1"/>
    <col min="2929" max="2929" width="16.85546875" style="21" customWidth="1"/>
    <col min="2930" max="2930" width="14.28515625" style="21" customWidth="1"/>
    <col min="2931" max="2931" width="17.140625" style="21" customWidth="1"/>
    <col min="2932" max="3072" width="9.140625" style="21"/>
    <col min="3073" max="3073" width="0.85546875" style="21" customWidth="1"/>
    <col min="3074" max="3074" width="5.5703125" style="21" bestFit="1" customWidth="1"/>
    <col min="3075" max="3075" width="46" style="21" bestFit="1" customWidth="1"/>
    <col min="3076" max="3076" width="1.42578125" style="21" customWidth="1"/>
    <col min="3077" max="3077" width="20.28515625" style="21" bestFit="1" customWidth="1"/>
    <col min="3078" max="3078" width="6.7109375" style="21" bestFit="1" customWidth="1"/>
    <col min="3079" max="3080" width="0" style="21" hidden="1" customWidth="1"/>
    <col min="3081" max="3081" width="15.85546875" style="21" bestFit="1" customWidth="1"/>
    <col min="3082" max="3082" width="1.5703125" style="21" customWidth="1"/>
    <col min="3083" max="3083" width="9.28515625" style="21" customWidth="1"/>
    <col min="3084" max="3084" width="12" style="21" customWidth="1"/>
    <col min="3085" max="3085" width="12.85546875" style="21" customWidth="1"/>
    <col min="3086" max="3086" width="2.42578125" style="21" customWidth="1"/>
    <col min="3087" max="3087" width="12" style="21" customWidth="1"/>
    <col min="3088" max="3088" width="9.28515625" style="21" customWidth="1"/>
    <col min="3089" max="3089" width="12.85546875" style="21" customWidth="1"/>
    <col min="3090" max="3090" width="1.42578125" style="21" customWidth="1"/>
    <col min="3091" max="3091" width="12" style="21" customWidth="1"/>
    <col min="3092" max="3092" width="9.28515625" style="21" customWidth="1"/>
    <col min="3093" max="3093" width="12.85546875" style="21" customWidth="1"/>
    <col min="3094" max="3094" width="2.85546875" style="21" customWidth="1"/>
    <col min="3095" max="3095" width="12.7109375" style="21" customWidth="1"/>
    <col min="3096" max="3096" width="12" style="21" customWidth="1"/>
    <col min="3097" max="3097" width="12.85546875" style="21" customWidth="1"/>
    <col min="3098" max="3098" width="1.5703125" style="21" customWidth="1"/>
    <col min="3099" max="3099" width="9.28515625" style="21" customWidth="1"/>
    <col min="3100" max="3100" width="12" style="21" customWidth="1"/>
    <col min="3101" max="3101" width="12.85546875" style="21" customWidth="1"/>
    <col min="3102" max="3102" width="0" style="21" hidden="1" customWidth="1"/>
    <col min="3103" max="3103" width="1.85546875" style="21" customWidth="1"/>
    <col min="3104" max="3104" width="9.28515625" style="21" customWidth="1"/>
    <col min="3105" max="3105" width="12" style="21" customWidth="1"/>
    <col min="3106" max="3106" width="12.85546875" style="21" customWidth="1"/>
    <col min="3107" max="3107" width="1.7109375" style="21" customWidth="1"/>
    <col min="3108" max="3108" width="9.28515625" style="21" customWidth="1"/>
    <col min="3109" max="3109" width="12" style="21" customWidth="1"/>
    <col min="3110" max="3110" width="12.85546875" style="21" customWidth="1"/>
    <col min="3111" max="3111" width="0.5703125" style="21" customWidth="1"/>
    <col min="3112" max="3112" width="9.28515625" style="21" customWidth="1"/>
    <col min="3113" max="3114" width="12.85546875" style="21" customWidth="1"/>
    <col min="3115" max="3115" width="0.5703125" style="21" customWidth="1"/>
    <col min="3116" max="3116" width="13" style="21" customWidth="1"/>
    <col min="3117" max="3117" width="12" style="21" customWidth="1"/>
    <col min="3118" max="3118" width="12.85546875" style="21" customWidth="1"/>
    <col min="3119" max="3119" width="0.42578125" style="21" customWidth="1"/>
    <col min="3120" max="3120" width="13.5703125" style="21" customWidth="1"/>
    <col min="3121" max="3121" width="12" style="21" customWidth="1"/>
    <col min="3122" max="3122" width="12.85546875" style="21" customWidth="1"/>
    <col min="3123" max="3123" width="1.140625" style="21" customWidth="1"/>
    <col min="3124" max="3124" width="13.5703125" style="21" customWidth="1"/>
    <col min="3125" max="3125" width="12" style="21" customWidth="1"/>
    <col min="3126" max="3126" width="12.85546875" style="21" customWidth="1"/>
    <col min="3127" max="3127" width="1.140625" style="21" customWidth="1"/>
    <col min="3128" max="3128" width="13.140625" style="21" customWidth="1"/>
    <col min="3129" max="3129" width="12" style="21" customWidth="1"/>
    <col min="3130" max="3130" width="12.85546875" style="21" customWidth="1"/>
    <col min="3131" max="3131" width="1.5703125" style="21" customWidth="1"/>
    <col min="3132" max="3132" width="16.85546875" style="21" customWidth="1"/>
    <col min="3133" max="3133" width="14.28515625" style="21" customWidth="1"/>
    <col min="3134" max="3134" width="17.140625" style="21" customWidth="1"/>
    <col min="3135" max="3135" width="1.42578125" style="21" customWidth="1"/>
    <col min="3136" max="3136" width="9.28515625" style="21" customWidth="1"/>
    <col min="3137" max="3137" width="12" style="21" customWidth="1"/>
    <col min="3138" max="3138" width="12.85546875" style="21" customWidth="1"/>
    <col min="3139" max="3139" width="2.42578125" style="21" customWidth="1"/>
    <col min="3140" max="3140" width="12" style="21" customWidth="1"/>
    <col min="3141" max="3141" width="9.28515625" style="21" customWidth="1"/>
    <col min="3142" max="3142" width="12.85546875" style="21" customWidth="1"/>
    <col min="3143" max="3143" width="1.42578125" style="21" customWidth="1"/>
    <col min="3144" max="3144" width="12" style="21" customWidth="1"/>
    <col min="3145" max="3145" width="9.28515625" style="21" customWidth="1"/>
    <col min="3146" max="3146" width="12.85546875" style="21" customWidth="1"/>
    <col min="3147" max="3147" width="2.85546875" style="21" customWidth="1"/>
    <col min="3148" max="3148" width="12.7109375" style="21" customWidth="1"/>
    <col min="3149" max="3149" width="12" style="21" customWidth="1"/>
    <col min="3150" max="3150" width="12.85546875" style="21" customWidth="1"/>
    <col min="3151" max="3151" width="1.5703125" style="21" customWidth="1"/>
    <col min="3152" max="3183" width="0" style="21" hidden="1" customWidth="1"/>
    <col min="3184" max="3184" width="1.5703125" style="21" customWidth="1"/>
    <col min="3185" max="3185" width="16.85546875" style="21" customWidth="1"/>
    <col min="3186" max="3186" width="14.28515625" style="21" customWidth="1"/>
    <col min="3187" max="3187" width="17.140625" style="21" customWidth="1"/>
    <col min="3188" max="3328" width="9.140625" style="21"/>
    <col min="3329" max="3329" width="0.85546875" style="21" customWidth="1"/>
    <col min="3330" max="3330" width="5.5703125" style="21" bestFit="1" customWidth="1"/>
    <col min="3331" max="3331" width="46" style="21" bestFit="1" customWidth="1"/>
    <col min="3332" max="3332" width="1.42578125" style="21" customWidth="1"/>
    <col min="3333" max="3333" width="20.28515625" style="21" bestFit="1" customWidth="1"/>
    <col min="3334" max="3334" width="6.7109375" style="21" bestFit="1" customWidth="1"/>
    <col min="3335" max="3336" width="0" style="21" hidden="1" customWidth="1"/>
    <col min="3337" max="3337" width="15.85546875" style="21" bestFit="1" customWidth="1"/>
    <col min="3338" max="3338" width="1.5703125" style="21" customWidth="1"/>
    <col min="3339" max="3339" width="9.28515625" style="21" customWidth="1"/>
    <col min="3340" max="3340" width="12" style="21" customWidth="1"/>
    <col min="3341" max="3341" width="12.85546875" style="21" customWidth="1"/>
    <col min="3342" max="3342" width="2.42578125" style="21" customWidth="1"/>
    <col min="3343" max="3343" width="12" style="21" customWidth="1"/>
    <col min="3344" max="3344" width="9.28515625" style="21" customWidth="1"/>
    <col min="3345" max="3345" width="12.85546875" style="21" customWidth="1"/>
    <col min="3346" max="3346" width="1.42578125" style="21" customWidth="1"/>
    <col min="3347" max="3347" width="12" style="21" customWidth="1"/>
    <col min="3348" max="3348" width="9.28515625" style="21" customWidth="1"/>
    <col min="3349" max="3349" width="12.85546875" style="21" customWidth="1"/>
    <col min="3350" max="3350" width="2.85546875" style="21" customWidth="1"/>
    <col min="3351" max="3351" width="12.7109375" style="21" customWidth="1"/>
    <col min="3352" max="3352" width="12" style="21" customWidth="1"/>
    <col min="3353" max="3353" width="12.85546875" style="21" customWidth="1"/>
    <col min="3354" max="3354" width="1.5703125" style="21" customWidth="1"/>
    <col min="3355" max="3355" width="9.28515625" style="21" customWidth="1"/>
    <col min="3356" max="3356" width="12" style="21" customWidth="1"/>
    <col min="3357" max="3357" width="12.85546875" style="21" customWidth="1"/>
    <col min="3358" max="3358" width="0" style="21" hidden="1" customWidth="1"/>
    <col min="3359" max="3359" width="1.85546875" style="21" customWidth="1"/>
    <col min="3360" max="3360" width="9.28515625" style="21" customWidth="1"/>
    <col min="3361" max="3361" width="12" style="21" customWidth="1"/>
    <col min="3362" max="3362" width="12.85546875" style="21" customWidth="1"/>
    <col min="3363" max="3363" width="1.7109375" style="21" customWidth="1"/>
    <col min="3364" max="3364" width="9.28515625" style="21" customWidth="1"/>
    <col min="3365" max="3365" width="12" style="21" customWidth="1"/>
    <col min="3366" max="3366" width="12.85546875" style="21" customWidth="1"/>
    <col min="3367" max="3367" width="0.5703125" style="21" customWidth="1"/>
    <col min="3368" max="3368" width="9.28515625" style="21" customWidth="1"/>
    <col min="3369" max="3370" width="12.85546875" style="21" customWidth="1"/>
    <col min="3371" max="3371" width="0.5703125" style="21" customWidth="1"/>
    <col min="3372" max="3372" width="13" style="21" customWidth="1"/>
    <col min="3373" max="3373" width="12" style="21" customWidth="1"/>
    <col min="3374" max="3374" width="12.85546875" style="21" customWidth="1"/>
    <col min="3375" max="3375" width="0.42578125" style="21" customWidth="1"/>
    <col min="3376" max="3376" width="13.5703125" style="21" customWidth="1"/>
    <col min="3377" max="3377" width="12" style="21" customWidth="1"/>
    <col min="3378" max="3378" width="12.85546875" style="21" customWidth="1"/>
    <col min="3379" max="3379" width="1.140625" style="21" customWidth="1"/>
    <col min="3380" max="3380" width="13.5703125" style="21" customWidth="1"/>
    <col min="3381" max="3381" width="12" style="21" customWidth="1"/>
    <col min="3382" max="3382" width="12.85546875" style="21" customWidth="1"/>
    <col min="3383" max="3383" width="1.140625" style="21" customWidth="1"/>
    <col min="3384" max="3384" width="13.140625" style="21" customWidth="1"/>
    <col min="3385" max="3385" width="12" style="21" customWidth="1"/>
    <col min="3386" max="3386" width="12.85546875" style="21" customWidth="1"/>
    <col min="3387" max="3387" width="1.5703125" style="21" customWidth="1"/>
    <col min="3388" max="3388" width="16.85546875" style="21" customWidth="1"/>
    <col min="3389" max="3389" width="14.28515625" style="21" customWidth="1"/>
    <col min="3390" max="3390" width="17.140625" style="21" customWidth="1"/>
    <col min="3391" max="3391" width="1.42578125" style="21" customWidth="1"/>
    <col min="3392" max="3392" width="9.28515625" style="21" customWidth="1"/>
    <col min="3393" max="3393" width="12" style="21" customWidth="1"/>
    <col min="3394" max="3394" width="12.85546875" style="21" customWidth="1"/>
    <col min="3395" max="3395" width="2.42578125" style="21" customWidth="1"/>
    <col min="3396" max="3396" width="12" style="21" customWidth="1"/>
    <col min="3397" max="3397" width="9.28515625" style="21" customWidth="1"/>
    <col min="3398" max="3398" width="12.85546875" style="21" customWidth="1"/>
    <col min="3399" max="3399" width="1.42578125" style="21" customWidth="1"/>
    <col min="3400" max="3400" width="12" style="21" customWidth="1"/>
    <col min="3401" max="3401" width="9.28515625" style="21" customWidth="1"/>
    <col min="3402" max="3402" width="12.85546875" style="21" customWidth="1"/>
    <col min="3403" max="3403" width="2.85546875" style="21" customWidth="1"/>
    <col min="3404" max="3404" width="12.7109375" style="21" customWidth="1"/>
    <col min="3405" max="3405" width="12" style="21" customWidth="1"/>
    <col min="3406" max="3406" width="12.85546875" style="21" customWidth="1"/>
    <col min="3407" max="3407" width="1.5703125" style="21" customWidth="1"/>
    <col min="3408" max="3439" width="0" style="21" hidden="1" customWidth="1"/>
    <col min="3440" max="3440" width="1.5703125" style="21" customWidth="1"/>
    <col min="3441" max="3441" width="16.85546875" style="21" customWidth="1"/>
    <col min="3442" max="3442" width="14.28515625" style="21" customWidth="1"/>
    <col min="3443" max="3443" width="17.140625" style="21" customWidth="1"/>
    <col min="3444" max="3584" width="9.140625" style="21"/>
    <col min="3585" max="3585" width="0.85546875" style="21" customWidth="1"/>
    <col min="3586" max="3586" width="5.5703125" style="21" bestFit="1" customWidth="1"/>
    <col min="3587" max="3587" width="46" style="21" bestFit="1" customWidth="1"/>
    <col min="3588" max="3588" width="1.42578125" style="21" customWidth="1"/>
    <col min="3589" max="3589" width="20.28515625" style="21" bestFit="1" customWidth="1"/>
    <col min="3590" max="3590" width="6.7109375" style="21" bestFit="1" customWidth="1"/>
    <col min="3591" max="3592" width="0" style="21" hidden="1" customWidth="1"/>
    <col min="3593" max="3593" width="15.85546875" style="21" bestFit="1" customWidth="1"/>
    <col min="3594" max="3594" width="1.5703125" style="21" customWidth="1"/>
    <col min="3595" max="3595" width="9.28515625" style="21" customWidth="1"/>
    <col min="3596" max="3596" width="12" style="21" customWidth="1"/>
    <col min="3597" max="3597" width="12.85546875" style="21" customWidth="1"/>
    <col min="3598" max="3598" width="2.42578125" style="21" customWidth="1"/>
    <col min="3599" max="3599" width="12" style="21" customWidth="1"/>
    <col min="3600" max="3600" width="9.28515625" style="21" customWidth="1"/>
    <col min="3601" max="3601" width="12.85546875" style="21" customWidth="1"/>
    <col min="3602" max="3602" width="1.42578125" style="21" customWidth="1"/>
    <col min="3603" max="3603" width="12" style="21" customWidth="1"/>
    <col min="3604" max="3604" width="9.28515625" style="21" customWidth="1"/>
    <col min="3605" max="3605" width="12.85546875" style="21" customWidth="1"/>
    <col min="3606" max="3606" width="2.85546875" style="21" customWidth="1"/>
    <col min="3607" max="3607" width="12.7109375" style="21" customWidth="1"/>
    <col min="3608" max="3608" width="12" style="21" customWidth="1"/>
    <col min="3609" max="3609" width="12.85546875" style="21" customWidth="1"/>
    <col min="3610" max="3610" width="1.5703125" style="21" customWidth="1"/>
    <col min="3611" max="3611" width="9.28515625" style="21" customWidth="1"/>
    <col min="3612" max="3612" width="12" style="21" customWidth="1"/>
    <col min="3613" max="3613" width="12.85546875" style="21" customWidth="1"/>
    <col min="3614" max="3614" width="0" style="21" hidden="1" customWidth="1"/>
    <col min="3615" max="3615" width="1.85546875" style="21" customWidth="1"/>
    <col min="3616" max="3616" width="9.28515625" style="21" customWidth="1"/>
    <col min="3617" max="3617" width="12" style="21" customWidth="1"/>
    <col min="3618" max="3618" width="12.85546875" style="21" customWidth="1"/>
    <col min="3619" max="3619" width="1.7109375" style="21" customWidth="1"/>
    <col min="3620" max="3620" width="9.28515625" style="21" customWidth="1"/>
    <col min="3621" max="3621" width="12" style="21" customWidth="1"/>
    <col min="3622" max="3622" width="12.85546875" style="21" customWidth="1"/>
    <col min="3623" max="3623" width="0.5703125" style="21" customWidth="1"/>
    <col min="3624" max="3624" width="9.28515625" style="21" customWidth="1"/>
    <col min="3625" max="3626" width="12.85546875" style="21" customWidth="1"/>
    <col min="3627" max="3627" width="0.5703125" style="21" customWidth="1"/>
    <col min="3628" max="3628" width="13" style="21" customWidth="1"/>
    <col min="3629" max="3629" width="12" style="21" customWidth="1"/>
    <col min="3630" max="3630" width="12.85546875" style="21" customWidth="1"/>
    <col min="3631" max="3631" width="0.42578125" style="21" customWidth="1"/>
    <col min="3632" max="3632" width="13.5703125" style="21" customWidth="1"/>
    <col min="3633" max="3633" width="12" style="21" customWidth="1"/>
    <col min="3634" max="3634" width="12.85546875" style="21" customWidth="1"/>
    <col min="3635" max="3635" width="1.140625" style="21" customWidth="1"/>
    <col min="3636" max="3636" width="13.5703125" style="21" customWidth="1"/>
    <col min="3637" max="3637" width="12" style="21" customWidth="1"/>
    <col min="3638" max="3638" width="12.85546875" style="21" customWidth="1"/>
    <col min="3639" max="3639" width="1.140625" style="21" customWidth="1"/>
    <col min="3640" max="3640" width="13.140625" style="21" customWidth="1"/>
    <col min="3641" max="3641" width="12" style="21" customWidth="1"/>
    <col min="3642" max="3642" width="12.85546875" style="21" customWidth="1"/>
    <col min="3643" max="3643" width="1.5703125" style="21" customWidth="1"/>
    <col min="3644" max="3644" width="16.85546875" style="21" customWidth="1"/>
    <col min="3645" max="3645" width="14.28515625" style="21" customWidth="1"/>
    <col min="3646" max="3646" width="17.140625" style="21" customWidth="1"/>
    <col min="3647" max="3647" width="1.42578125" style="21" customWidth="1"/>
    <col min="3648" max="3648" width="9.28515625" style="21" customWidth="1"/>
    <col min="3649" max="3649" width="12" style="21" customWidth="1"/>
    <col min="3650" max="3650" width="12.85546875" style="21" customWidth="1"/>
    <col min="3651" max="3651" width="2.42578125" style="21" customWidth="1"/>
    <col min="3652" max="3652" width="12" style="21" customWidth="1"/>
    <col min="3653" max="3653" width="9.28515625" style="21" customWidth="1"/>
    <col min="3654" max="3654" width="12.85546875" style="21" customWidth="1"/>
    <col min="3655" max="3655" width="1.42578125" style="21" customWidth="1"/>
    <col min="3656" max="3656" width="12" style="21" customWidth="1"/>
    <col min="3657" max="3657" width="9.28515625" style="21" customWidth="1"/>
    <col min="3658" max="3658" width="12.85546875" style="21" customWidth="1"/>
    <col min="3659" max="3659" width="2.85546875" style="21" customWidth="1"/>
    <col min="3660" max="3660" width="12.7109375" style="21" customWidth="1"/>
    <col min="3661" max="3661" width="12" style="21" customWidth="1"/>
    <col min="3662" max="3662" width="12.85546875" style="21" customWidth="1"/>
    <col min="3663" max="3663" width="1.5703125" style="21" customWidth="1"/>
    <col min="3664" max="3695" width="0" style="21" hidden="1" customWidth="1"/>
    <col min="3696" max="3696" width="1.5703125" style="21" customWidth="1"/>
    <col min="3697" max="3697" width="16.85546875" style="21" customWidth="1"/>
    <col min="3698" max="3698" width="14.28515625" style="21" customWidth="1"/>
    <col min="3699" max="3699" width="17.140625" style="21" customWidth="1"/>
    <col min="3700" max="3840" width="9.140625" style="21"/>
    <col min="3841" max="3841" width="0.85546875" style="21" customWidth="1"/>
    <col min="3842" max="3842" width="5.5703125" style="21" bestFit="1" customWidth="1"/>
    <col min="3843" max="3843" width="46" style="21" bestFit="1" customWidth="1"/>
    <col min="3844" max="3844" width="1.42578125" style="21" customWidth="1"/>
    <col min="3845" max="3845" width="20.28515625" style="21" bestFit="1" customWidth="1"/>
    <col min="3846" max="3846" width="6.7109375" style="21" bestFit="1" customWidth="1"/>
    <col min="3847" max="3848" width="0" style="21" hidden="1" customWidth="1"/>
    <col min="3849" max="3849" width="15.85546875" style="21" bestFit="1" customWidth="1"/>
    <col min="3850" max="3850" width="1.5703125" style="21" customWidth="1"/>
    <col min="3851" max="3851" width="9.28515625" style="21" customWidth="1"/>
    <col min="3852" max="3852" width="12" style="21" customWidth="1"/>
    <col min="3853" max="3853" width="12.85546875" style="21" customWidth="1"/>
    <col min="3854" max="3854" width="2.42578125" style="21" customWidth="1"/>
    <col min="3855" max="3855" width="12" style="21" customWidth="1"/>
    <col min="3856" max="3856" width="9.28515625" style="21" customWidth="1"/>
    <col min="3857" max="3857" width="12.85546875" style="21" customWidth="1"/>
    <col min="3858" max="3858" width="1.42578125" style="21" customWidth="1"/>
    <col min="3859" max="3859" width="12" style="21" customWidth="1"/>
    <col min="3860" max="3860" width="9.28515625" style="21" customWidth="1"/>
    <col min="3861" max="3861" width="12.85546875" style="21" customWidth="1"/>
    <col min="3862" max="3862" width="2.85546875" style="21" customWidth="1"/>
    <col min="3863" max="3863" width="12.7109375" style="21" customWidth="1"/>
    <col min="3864" max="3864" width="12" style="21" customWidth="1"/>
    <col min="3865" max="3865" width="12.85546875" style="21" customWidth="1"/>
    <col min="3866" max="3866" width="1.5703125" style="21" customWidth="1"/>
    <col min="3867" max="3867" width="9.28515625" style="21" customWidth="1"/>
    <col min="3868" max="3868" width="12" style="21" customWidth="1"/>
    <col min="3869" max="3869" width="12.85546875" style="21" customWidth="1"/>
    <col min="3870" max="3870" width="0" style="21" hidden="1" customWidth="1"/>
    <col min="3871" max="3871" width="1.85546875" style="21" customWidth="1"/>
    <col min="3872" max="3872" width="9.28515625" style="21" customWidth="1"/>
    <col min="3873" max="3873" width="12" style="21" customWidth="1"/>
    <col min="3874" max="3874" width="12.85546875" style="21" customWidth="1"/>
    <col min="3875" max="3875" width="1.7109375" style="21" customWidth="1"/>
    <col min="3876" max="3876" width="9.28515625" style="21" customWidth="1"/>
    <col min="3877" max="3877" width="12" style="21" customWidth="1"/>
    <col min="3878" max="3878" width="12.85546875" style="21" customWidth="1"/>
    <col min="3879" max="3879" width="0.5703125" style="21" customWidth="1"/>
    <col min="3880" max="3880" width="9.28515625" style="21" customWidth="1"/>
    <col min="3881" max="3882" width="12.85546875" style="21" customWidth="1"/>
    <col min="3883" max="3883" width="0.5703125" style="21" customWidth="1"/>
    <col min="3884" max="3884" width="13" style="21" customWidth="1"/>
    <col min="3885" max="3885" width="12" style="21" customWidth="1"/>
    <col min="3886" max="3886" width="12.85546875" style="21" customWidth="1"/>
    <col min="3887" max="3887" width="0.42578125" style="21" customWidth="1"/>
    <col min="3888" max="3888" width="13.5703125" style="21" customWidth="1"/>
    <col min="3889" max="3889" width="12" style="21" customWidth="1"/>
    <col min="3890" max="3890" width="12.85546875" style="21" customWidth="1"/>
    <col min="3891" max="3891" width="1.140625" style="21" customWidth="1"/>
    <col min="3892" max="3892" width="13.5703125" style="21" customWidth="1"/>
    <col min="3893" max="3893" width="12" style="21" customWidth="1"/>
    <col min="3894" max="3894" width="12.85546875" style="21" customWidth="1"/>
    <col min="3895" max="3895" width="1.140625" style="21" customWidth="1"/>
    <col min="3896" max="3896" width="13.140625" style="21" customWidth="1"/>
    <col min="3897" max="3897" width="12" style="21" customWidth="1"/>
    <col min="3898" max="3898" width="12.85546875" style="21" customWidth="1"/>
    <col min="3899" max="3899" width="1.5703125" style="21" customWidth="1"/>
    <col min="3900" max="3900" width="16.85546875" style="21" customWidth="1"/>
    <col min="3901" max="3901" width="14.28515625" style="21" customWidth="1"/>
    <col min="3902" max="3902" width="17.140625" style="21" customWidth="1"/>
    <col min="3903" max="3903" width="1.42578125" style="21" customWidth="1"/>
    <col min="3904" max="3904" width="9.28515625" style="21" customWidth="1"/>
    <col min="3905" max="3905" width="12" style="21" customWidth="1"/>
    <col min="3906" max="3906" width="12.85546875" style="21" customWidth="1"/>
    <col min="3907" max="3907" width="2.42578125" style="21" customWidth="1"/>
    <col min="3908" max="3908" width="12" style="21" customWidth="1"/>
    <col min="3909" max="3909" width="9.28515625" style="21" customWidth="1"/>
    <col min="3910" max="3910" width="12.85546875" style="21" customWidth="1"/>
    <col min="3911" max="3911" width="1.42578125" style="21" customWidth="1"/>
    <col min="3912" max="3912" width="12" style="21" customWidth="1"/>
    <col min="3913" max="3913" width="9.28515625" style="21" customWidth="1"/>
    <col min="3914" max="3914" width="12.85546875" style="21" customWidth="1"/>
    <col min="3915" max="3915" width="2.85546875" style="21" customWidth="1"/>
    <col min="3916" max="3916" width="12.7109375" style="21" customWidth="1"/>
    <col min="3917" max="3917" width="12" style="21" customWidth="1"/>
    <col min="3918" max="3918" width="12.85546875" style="21" customWidth="1"/>
    <col min="3919" max="3919" width="1.5703125" style="21" customWidth="1"/>
    <col min="3920" max="3951" width="0" style="21" hidden="1" customWidth="1"/>
    <col min="3952" max="3952" width="1.5703125" style="21" customWidth="1"/>
    <col min="3953" max="3953" width="16.85546875" style="21" customWidth="1"/>
    <col min="3954" max="3954" width="14.28515625" style="21" customWidth="1"/>
    <col min="3955" max="3955" width="17.140625" style="21" customWidth="1"/>
    <col min="3956" max="4096" width="9.140625" style="21"/>
    <col min="4097" max="4097" width="0.85546875" style="21" customWidth="1"/>
    <col min="4098" max="4098" width="5.5703125" style="21" bestFit="1" customWidth="1"/>
    <col min="4099" max="4099" width="46" style="21" bestFit="1" customWidth="1"/>
    <col min="4100" max="4100" width="1.42578125" style="21" customWidth="1"/>
    <col min="4101" max="4101" width="20.28515625" style="21" bestFit="1" customWidth="1"/>
    <col min="4102" max="4102" width="6.7109375" style="21" bestFit="1" customWidth="1"/>
    <col min="4103" max="4104" width="0" style="21" hidden="1" customWidth="1"/>
    <col min="4105" max="4105" width="15.85546875" style="21" bestFit="1" customWidth="1"/>
    <col min="4106" max="4106" width="1.5703125" style="21" customWidth="1"/>
    <col min="4107" max="4107" width="9.28515625" style="21" customWidth="1"/>
    <col min="4108" max="4108" width="12" style="21" customWidth="1"/>
    <col min="4109" max="4109" width="12.85546875" style="21" customWidth="1"/>
    <col min="4110" max="4110" width="2.42578125" style="21" customWidth="1"/>
    <col min="4111" max="4111" width="12" style="21" customWidth="1"/>
    <col min="4112" max="4112" width="9.28515625" style="21" customWidth="1"/>
    <col min="4113" max="4113" width="12.85546875" style="21" customWidth="1"/>
    <col min="4114" max="4114" width="1.42578125" style="21" customWidth="1"/>
    <col min="4115" max="4115" width="12" style="21" customWidth="1"/>
    <col min="4116" max="4116" width="9.28515625" style="21" customWidth="1"/>
    <col min="4117" max="4117" width="12.85546875" style="21" customWidth="1"/>
    <col min="4118" max="4118" width="2.85546875" style="21" customWidth="1"/>
    <col min="4119" max="4119" width="12.7109375" style="21" customWidth="1"/>
    <col min="4120" max="4120" width="12" style="21" customWidth="1"/>
    <col min="4121" max="4121" width="12.85546875" style="21" customWidth="1"/>
    <col min="4122" max="4122" width="1.5703125" style="21" customWidth="1"/>
    <col min="4123" max="4123" width="9.28515625" style="21" customWidth="1"/>
    <col min="4124" max="4124" width="12" style="21" customWidth="1"/>
    <col min="4125" max="4125" width="12.85546875" style="21" customWidth="1"/>
    <col min="4126" max="4126" width="0" style="21" hidden="1" customWidth="1"/>
    <col min="4127" max="4127" width="1.85546875" style="21" customWidth="1"/>
    <col min="4128" max="4128" width="9.28515625" style="21" customWidth="1"/>
    <col min="4129" max="4129" width="12" style="21" customWidth="1"/>
    <col min="4130" max="4130" width="12.85546875" style="21" customWidth="1"/>
    <col min="4131" max="4131" width="1.7109375" style="21" customWidth="1"/>
    <col min="4132" max="4132" width="9.28515625" style="21" customWidth="1"/>
    <col min="4133" max="4133" width="12" style="21" customWidth="1"/>
    <col min="4134" max="4134" width="12.85546875" style="21" customWidth="1"/>
    <col min="4135" max="4135" width="0.5703125" style="21" customWidth="1"/>
    <col min="4136" max="4136" width="9.28515625" style="21" customWidth="1"/>
    <col min="4137" max="4138" width="12.85546875" style="21" customWidth="1"/>
    <col min="4139" max="4139" width="0.5703125" style="21" customWidth="1"/>
    <col min="4140" max="4140" width="13" style="21" customWidth="1"/>
    <col min="4141" max="4141" width="12" style="21" customWidth="1"/>
    <col min="4142" max="4142" width="12.85546875" style="21" customWidth="1"/>
    <col min="4143" max="4143" width="0.42578125" style="21" customWidth="1"/>
    <col min="4144" max="4144" width="13.5703125" style="21" customWidth="1"/>
    <col min="4145" max="4145" width="12" style="21" customWidth="1"/>
    <col min="4146" max="4146" width="12.85546875" style="21" customWidth="1"/>
    <col min="4147" max="4147" width="1.140625" style="21" customWidth="1"/>
    <col min="4148" max="4148" width="13.5703125" style="21" customWidth="1"/>
    <col min="4149" max="4149" width="12" style="21" customWidth="1"/>
    <col min="4150" max="4150" width="12.85546875" style="21" customWidth="1"/>
    <col min="4151" max="4151" width="1.140625" style="21" customWidth="1"/>
    <col min="4152" max="4152" width="13.140625" style="21" customWidth="1"/>
    <col min="4153" max="4153" width="12" style="21" customWidth="1"/>
    <col min="4154" max="4154" width="12.85546875" style="21" customWidth="1"/>
    <col min="4155" max="4155" width="1.5703125" style="21" customWidth="1"/>
    <col min="4156" max="4156" width="16.85546875" style="21" customWidth="1"/>
    <col min="4157" max="4157" width="14.28515625" style="21" customWidth="1"/>
    <col min="4158" max="4158" width="17.140625" style="21" customWidth="1"/>
    <col min="4159" max="4159" width="1.42578125" style="21" customWidth="1"/>
    <col min="4160" max="4160" width="9.28515625" style="21" customWidth="1"/>
    <col min="4161" max="4161" width="12" style="21" customWidth="1"/>
    <col min="4162" max="4162" width="12.85546875" style="21" customWidth="1"/>
    <col min="4163" max="4163" width="2.42578125" style="21" customWidth="1"/>
    <col min="4164" max="4164" width="12" style="21" customWidth="1"/>
    <col min="4165" max="4165" width="9.28515625" style="21" customWidth="1"/>
    <col min="4166" max="4166" width="12.85546875" style="21" customWidth="1"/>
    <col min="4167" max="4167" width="1.42578125" style="21" customWidth="1"/>
    <col min="4168" max="4168" width="12" style="21" customWidth="1"/>
    <col min="4169" max="4169" width="9.28515625" style="21" customWidth="1"/>
    <col min="4170" max="4170" width="12.85546875" style="21" customWidth="1"/>
    <col min="4171" max="4171" width="2.85546875" style="21" customWidth="1"/>
    <col min="4172" max="4172" width="12.7109375" style="21" customWidth="1"/>
    <col min="4173" max="4173" width="12" style="21" customWidth="1"/>
    <col min="4174" max="4174" width="12.85546875" style="21" customWidth="1"/>
    <col min="4175" max="4175" width="1.5703125" style="21" customWidth="1"/>
    <col min="4176" max="4207" width="0" style="21" hidden="1" customWidth="1"/>
    <col min="4208" max="4208" width="1.5703125" style="21" customWidth="1"/>
    <col min="4209" max="4209" width="16.85546875" style="21" customWidth="1"/>
    <col min="4210" max="4210" width="14.28515625" style="21" customWidth="1"/>
    <col min="4211" max="4211" width="17.140625" style="21" customWidth="1"/>
    <col min="4212" max="4352" width="9.140625" style="21"/>
    <col min="4353" max="4353" width="0.85546875" style="21" customWidth="1"/>
    <col min="4354" max="4354" width="5.5703125" style="21" bestFit="1" customWidth="1"/>
    <col min="4355" max="4355" width="46" style="21" bestFit="1" customWidth="1"/>
    <col min="4356" max="4356" width="1.42578125" style="21" customWidth="1"/>
    <col min="4357" max="4357" width="20.28515625" style="21" bestFit="1" customWidth="1"/>
    <col min="4358" max="4358" width="6.7109375" style="21" bestFit="1" customWidth="1"/>
    <col min="4359" max="4360" width="0" style="21" hidden="1" customWidth="1"/>
    <col min="4361" max="4361" width="15.85546875" style="21" bestFit="1" customWidth="1"/>
    <col min="4362" max="4362" width="1.5703125" style="21" customWidth="1"/>
    <col min="4363" max="4363" width="9.28515625" style="21" customWidth="1"/>
    <col min="4364" max="4364" width="12" style="21" customWidth="1"/>
    <col min="4365" max="4365" width="12.85546875" style="21" customWidth="1"/>
    <col min="4366" max="4366" width="2.42578125" style="21" customWidth="1"/>
    <col min="4367" max="4367" width="12" style="21" customWidth="1"/>
    <col min="4368" max="4368" width="9.28515625" style="21" customWidth="1"/>
    <col min="4369" max="4369" width="12.85546875" style="21" customWidth="1"/>
    <col min="4370" max="4370" width="1.42578125" style="21" customWidth="1"/>
    <col min="4371" max="4371" width="12" style="21" customWidth="1"/>
    <col min="4372" max="4372" width="9.28515625" style="21" customWidth="1"/>
    <col min="4373" max="4373" width="12.85546875" style="21" customWidth="1"/>
    <col min="4374" max="4374" width="2.85546875" style="21" customWidth="1"/>
    <col min="4375" max="4375" width="12.7109375" style="21" customWidth="1"/>
    <col min="4376" max="4376" width="12" style="21" customWidth="1"/>
    <col min="4377" max="4377" width="12.85546875" style="21" customWidth="1"/>
    <col min="4378" max="4378" width="1.5703125" style="21" customWidth="1"/>
    <col min="4379" max="4379" width="9.28515625" style="21" customWidth="1"/>
    <col min="4380" max="4380" width="12" style="21" customWidth="1"/>
    <col min="4381" max="4381" width="12.85546875" style="21" customWidth="1"/>
    <col min="4382" max="4382" width="0" style="21" hidden="1" customWidth="1"/>
    <col min="4383" max="4383" width="1.85546875" style="21" customWidth="1"/>
    <col min="4384" max="4384" width="9.28515625" style="21" customWidth="1"/>
    <col min="4385" max="4385" width="12" style="21" customWidth="1"/>
    <col min="4386" max="4386" width="12.85546875" style="21" customWidth="1"/>
    <col min="4387" max="4387" width="1.7109375" style="21" customWidth="1"/>
    <col min="4388" max="4388" width="9.28515625" style="21" customWidth="1"/>
    <col min="4389" max="4389" width="12" style="21" customWidth="1"/>
    <col min="4390" max="4390" width="12.85546875" style="21" customWidth="1"/>
    <col min="4391" max="4391" width="0.5703125" style="21" customWidth="1"/>
    <col min="4392" max="4392" width="9.28515625" style="21" customWidth="1"/>
    <col min="4393" max="4394" width="12.85546875" style="21" customWidth="1"/>
    <col min="4395" max="4395" width="0.5703125" style="21" customWidth="1"/>
    <col min="4396" max="4396" width="13" style="21" customWidth="1"/>
    <col min="4397" max="4397" width="12" style="21" customWidth="1"/>
    <col min="4398" max="4398" width="12.85546875" style="21" customWidth="1"/>
    <col min="4399" max="4399" width="0.42578125" style="21" customWidth="1"/>
    <col min="4400" max="4400" width="13.5703125" style="21" customWidth="1"/>
    <col min="4401" max="4401" width="12" style="21" customWidth="1"/>
    <col min="4402" max="4402" width="12.85546875" style="21" customWidth="1"/>
    <col min="4403" max="4403" width="1.140625" style="21" customWidth="1"/>
    <col min="4404" max="4404" width="13.5703125" style="21" customWidth="1"/>
    <col min="4405" max="4405" width="12" style="21" customWidth="1"/>
    <col min="4406" max="4406" width="12.85546875" style="21" customWidth="1"/>
    <col min="4407" max="4407" width="1.140625" style="21" customWidth="1"/>
    <col min="4408" max="4408" width="13.140625" style="21" customWidth="1"/>
    <col min="4409" max="4409" width="12" style="21" customWidth="1"/>
    <col min="4410" max="4410" width="12.85546875" style="21" customWidth="1"/>
    <col min="4411" max="4411" width="1.5703125" style="21" customWidth="1"/>
    <col min="4412" max="4412" width="16.85546875" style="21" customWidth="1"/>
    <col min="4413" max="4413" width="14.28515625" style="21" customWidth="1"/>
    <col min="4414" max="4414" width="17.140625" style="21" customWidth="1"/>
    <col min="4415" max="4415" width="1.42578125" style="21" customWidth="1"/>
    <col min="4416" max="4416" width="9.28515625" style="21" customWidth="1"/>
    <col min="4417" max="4417" width="12" style="21" customWidth="1"/>
    <col min="4418" max="4418" width="12.85546875" style="21" customWidth="1"/>
    <col min="4419" max="4419" width="2.42578125" style="21" customWidth="1"/>
    <col min="4420" max="4420" width="12" style="21" customWidth="1"/>
    <col min="4421" max="4421" width="9.28515625" style="21" customWidth="1"/>
    <col min="4422" max="4422" width="12.85546875" style="21" customWidth="1"/>
    <col min="4423" max="4423" width="1.42578125" style="21" customWidth="1"/>
    <col min="4424" max="4424" width="12" style="21" customWidth="1"/>
    <col min="4425" max="4425" width="9.28515625" style="21" customWidth="1"/>
    <col min="4426" max="4426" width="12.85546875" style="21" customWidth="1"/>
    <col min="4427" max="4427" width="2.85546875" style="21" customWidth="1"/>
    <col min="4428" max="4428" width="12.7109375" style="21" customWidth="1"/>
    <col min="4429" max="4429" width="12" style="21" customWidth="1"/>
    <col min="4430" max="4430" width="12.85546875" style="21" customWidth="1"/>
    <col min="4431" max="4431" width="1.5703125" style="21" customWidth="1"/>
    <col min="4432" max="4463" width="0" style="21" hidden="1" customWidth="1"/>
    <col min="4464" max="4464" width="1.5703125" style="21" customWidth="1"/>
    <col min="4465" max="4465" width="16.85546875" style="21" customWidth="1"/>
    <col min="4466" max="4466" width="14.28515625" style="21" customWidth="1"/>
    <col min="4467" max="4467" width="17.140625" style="21" customWidth="1"/>
    <col min="4468" max="4608" width="9.140625" style="21"/>
    <col min="4609" max="4609" width="0.85546875" style="21" customWidth="1"/>
    <col min="4610" max="4610" width="5.5703125" style="21" bestFit="1" customWidth="1"/>
    <col min="4611" max="4611" width="46" style="21" bestFit="1" customWidth="1"/>
    <col min="4612" max="4612" width="1.42578125" style="21" customWidth="1"/>
    <col min="4613" max="4613" width="20.28515625" style="21" bestFit="1" customWidth="1"/>
    <col min="4614" max="4614" width="6.7109375" style="21" bestFit="1" customWidth="1"/>
    <col min="4615" max="4616" width="0" style="21" hidden="1" customWidth="1"/>
    <col min="4617" max="4617" width="15.85546875" style="21" bestFit="1" customWidth="1"/>
    <col min="4618" max="4618" width="1.5703125" style="21" customWidth="1"/>
    <col min="4619" max="4619" width="9.28515625" style="21" customWidth="1"/>
    <col min="4620" max="4620" width="12" style="21" customWidth="1"/>
    <col min="4621" max="4621" width="12.85546875" style="21" customWidth="1"/>
    <col min="4622" max="4622" width="2.42578125" style="21" customWidth="1"/>
    <col min="4623" max="4623" width="12" style="21" customWidth="1"/>
    <col min="4624" max="4624" width="9.28515625" style="21" customWidth="1"/>
    <col min="4625" max="4625" width="12.85546875" style="21" customWidth="1"/>
    <col min="4626" max="4626" width="1.42578125" style="21" customWidth="1"/>
    <col min="4627" max="4627" width="12" style="21" customWidth="1"/>
    <col min="4628" max="4628" width="9.28515625" style="21" customWidth="1"/>
    <col min="4629" max="4629" width="12.85546875" style="21" customWidth="1"/>
    <col min="4630" max="4630" width="2.85546875" style="21" customWidth="1"/>
    <col min="4631" max="4631" width="12.7109375" style="21" customWidth="1"/>
    <col min="4632" max="4632" width="12" style="21" customWidth="1"/>
    <col min="4633" max="4633" width="12.85546875" style="21" customWidth="1"/>
    <col min="4634" max="4634" width="1.5703125" style="21" customWidth="1"/>
    <col min="4635" max="4635" width="9.28515625" style="21" customWidth="1"/>
    <col min="4636" max="4636" width="12" style="21" customWidth="1"/>
    <col min="4637" max="4637" width="12.85546875" style="21" customWidth="1"/>
    <col min="4638" max="4638" width="0" style="21" hidden="1" customWidth="1"/>
    <col min="4639" max="4639" width="1.85546875" style="21" customWidth="1"/>
    <col min="4640" max="4640" width="9.28515625" style="21" customWidth="1"/>
    <col min="4641" max="4641" width="12" style="21" customWidth="1"/>
    <col min="4642" max="4642" width="12.85546875" style="21" customWidth="1"/>
    <col min="4643" max="4643" width="1.7109375" style="21" customWidth="1"/>
    <col min="4644" max="4644" width="9.28515625" style="21" customWidth="1"/>
    <col min="4645" max="4645" width="12" style="21" customWidth="1"/>
    <col min="4646" max="4646" width="12.85546875" style="21" customWidth="1"/>
    <col min="4647" max="4647" width="0.5703125" style="21" customWidth="1"/>
    <col min="4648" max="4648" width="9.28515625" style="21" customWidth="1"/>
    <col min="4649" max="4650" width="12.85546875" style="21" customWidth="1"/>
    <col min="4651" max="4651" width="0.5703125" style="21" customWidth="1"/>
    <col min="4652" max="4652" width="13" style="21" customWidth="1"/>
    <col min="4653" max="4653" width="12" style="21" customWidth="1"/>
    <col min="4654" max="4654" width="12.85546875" style="21" customWidth="1"/>
    <col min="4655" max="4655" width="0.42578125" style="21" customWidth="1"/>
    <col min="4656" max="4656" width="13.5703125" style="21" customWidth="1"/>
    <col min="4657" max="4657" width="12" style="21" customWidth="1"/>
    <col min="4658" max="4658" width="12.85546875" style="21" customWidth="1"/>
    <col min="4659" max="4659" width="1.140625" style="21" customWidth="1"/>
    <col min="4660" max="4660" width="13.5703125" style="21" customWidth="1"/>
    <col min="4661" max="4661" width="12" style="21" customWidth="1"/>
    <col min="4662" max="4662" width="12.85546875" style="21" customWidth="1"/>
    <col min="4663" max="4663" width="1.140625" style="21" customWidth="1"/>
    <col min="4664" max="4664" width="13.140625" style="21" customWidth="1"/>
    <col min="4665" max="4665" width="12" style="21" customWidth="1"/>
    <col min="4666" max="4666" width="12.85546875" style="21" customWidth="1"/>
    <col min="4667" max="4667" width="1.5703125" style="21" customWidth="1"/>
    <col min="4668" max="4668" width="16.85546875" style="21" customWidth="1"/>
    <col min="4669" max="4669" width="14.28515625" style="21" customWidth="1"/>
    <col min="4670" max="4670" width="17.140625" style="21" customWidth="1"/>
    <col min="4671" max="4671" width="1.42578125" style="21" customWidth="1"/>
    <col min="4672" max="4672" width="9.28515625" style="21" customWidth="1"/>
    <col min="4673" max="4673" width="12" style="21" customWidth="1"/>
    <col min="4674" max="4674" width="12.85546875" style="21" customWidth="1"/>
    <col min="4675" max="4675" width="2.42578125" style="21" customWidth="1"/>
    <col min="4676" max="4676" width="12" style="21" customWidth="1"/>
    <col min="4677" max="4677" width="9.28515625" style="21" customWidth="1"/>
    <col min="4678" max="4678" width="12.85546875" style="21" customWidth="1"/>
    <col min="4679" max="4679" width="1.42578125" style="21" customWidth="1"/>
    <col min="4680" max="4680" width="12" style="21" customWidth="1"/>
    <col min="4681" max="4681" width="9.28515625" style="21" customWidth="1"/>
    <col min="4682" max="4682" width="12.85546875" style="21" customWidth="1"/>
    <col min="4683" max="4683" width="2.85546875" style="21" customWidth="1"/>
    <col min="4684" max="4684" width="12.7109375" style="21" customWidth="1"/>
    <col min="4685" max="4685" width="12" style="21" customWidth="1"/>
    <col min="4686" max="4686" width="12.85546875" style="21" customWidth="1"/>
    <col min="4687" max="4687" width="1.5703125" style="21" customWidth="1"/>
    <col min="4688" max="4719" width="0" style="21" hidden="1" customWidth="1"/>
    <col min="4720" max="4720" width="1.5703125" style="21" customWidth="1"/>
    <col min="4721" max="4721" width="16.85546875" style="21" customWidth="1"/>
    <col min="4722" max="4722" width="14.28515625" style="21" customWidth="1"/>
    <col min="4723" max="4723" width="17.140625" style="21" customWidth="1"/>
    <col min="4724" max="4864" width="9.140625" style="21"/>
    <col min="4865" max="4865" width="0.85546875" style="21" customWidth="1"/>
    <col min="4866" max="4866" width="5.5703125" style="21" bestFit="1" customWidth="1"/>
    <col min="4867" max="4867" width="46" style="21" bestFit="1" customWidth="1"/>
    <col min="4868" max="4868" width="1.42578125" style="21" customWidth="1"/>
    <col min="4869" max="4869" width="20.28515625" style="21" bestFit="1" customWidth="1"/>
    <col min="4870" max="4870" width="6.7109375" style="21" bestFit="1" customWidth="1"/>
    <col min="4871" max="4872" width="0" style="21" hidden="1" customWidth="1"/>
    <col min="4873" max="4873" width="15.85546875" style="21" bestFit="1" customWidth="1"/>
    <col min="4874" max="4874" width="1.5703125" style="21" customWidth="1"/>
    <col min="4875" max="4875" width="9.28515625" style="21" customWidth="1"/>
    <col min="4876" max="4876" width="12" style="21" customWidth="1"/>
    <col min="4877" max="4877" width="12.85546875" style="21" customWidth="1"/>
    <col min="4878" max="4878" width="2.42578125" style="21" customWidth="1"/>
    <col min="4879" max="4879" width="12" style="21" customWidth="1"/>
    <col min="4880" max="4880" width="9.28515625" style="21" customWidth="1"/>
    <col min="4881" max="4881" width="12.85546875" style="21" customWidth="1"/>
    <col min="4882" max="4882" width="1.42578125" style="21" customWidth="1"/>
    <col min="4883" max="4883" width="12" style="21" customWidth="1"/>
    <col min="4884" max="4884" width="9.28515625" style="21" customWidth="1"/>
    <col min="4885" max="4885" width="12.85546875" style="21" customWidth="1"/>
    <col min="4886" max="4886" width="2.85546875" style="21" customWidth="1"/>
    <col min="4887" max="4887" width="12.7109375" style="21" customWidth="1"/>
    <col min="4888" max="4888" width="12" style="21" customWidth="1"/>
    <col min="4889" max="4889" width="12.85546875" style="21" customWidth="1"/>
    <col min="4890" max="4890" width="1.5703125" style="21" customWidth="1"/>
    <col min="4891" max="4891" width="9.28515625" style="21" customWidth="1"/>
    <col min="4892" max="4892" width="12" style="21" customWidth="1"/>
    <col min="4893" max="4893" width="12.85546875" style="21" customWidth="1"/>
    <col min="4894" max="4894" width="0" style="21" hidden="1" customWidth="1"/>
    <col min="4895" max="4895" width="1.85546875" style="21" customWidth="1"/>
    <col min="4896" max="4896" width="9.28515625" style="21" customWidth="1"/>
    <col min="4897" max="4897" width="12" style="21" customWidth="1"/>
    <col min="4898" max="4898" width="12.85546875" style="21" customWidth="1"/>
    <col min="4899" max="4899" width="1.7109375" style="21" customWidth="1"/>
    <col min="4900" max="4900" width="9.28515625" style="21" customWidth="1"/>
    <col min="4901" max="4901" width="12" style="21" customWidth="1"/>
    <col min="4902" max="4902" width="12.85546875" style="21" customWidth="1"/>
    <col min="4903" max="4903" width="0.5703125" style="21" customWidth="1"/>
    <col min="4904" max="4904" width="9.28515625" style="21" customWidth="1"/>
    <col min="4905" max="4906" width="12.85546875" style="21" customWidth="1"/>
    <col min="4907" max="4907" width="0.5703125" style="21" customWidth="1"/>
    <col min="4908" max="4908" width="13" style="21" customWidth="1"/>
    <col min="4909" max="4909" width="12" style="21" customWidth="1"/>
    <col min="4910" max="4910" width="12.85546875" style="21" customWidth="1"/>
    <col min="4911" max="4911" width="0.42578125" style="21" customWidth="1"/>
    <col min="4912" max="4912" width="13.5703125" style="21" customWidth="1"/>
    <col min="4913" max="4913" width="12" style="21" customWidth="1"/>
    <col min="4914" max="4914" width="12.85546875" style="21" customWidth="1"/>
    <col min="4915" max="4915" width="1.140625" style="21" customWidth="1"/>
    <col min="4916" max="4916" width="13.5703125" style="21" customWidth="1"/>
    <col min="4917" max="4917" width="12" style="21" customWidth="1"/>
    <col min="4918" max="4918" width="12.85546875" style="21" customWidth="1"/>
    <col min="4919" max="4919" width="1.140625" style="21" customWidth="1"/>
    <col min="4920" max="4920" width="13.140625" style="21" customWidth="1"/>
    <col min="4921" max="4921" width="12" style="21" customWidth="1"/>
    <col min="4922" max="4922" width="12.85546875" style="21" customWidth="1"/>
    <col min="4923" max="4923" width="1.5703125" style="21" customWidth="1"/>
    <col min="4924" max="4924" width="16.85546875" style="21" customWidth="1"/>
    <col min="4925" max="4925" width="14.28515625" style="21" customWidth="1"/>
    <col min="4926" max="4926" width="17.140625" style="21" customWidth="1"/>
    <col min="4927" max="4927" width="1.42578125" style="21" customWidth="1"/>
    <col min="4928" max="4928" width="9.28515625" style="21" customWidth="1"/>
    <col min="4929" max="4929" width="12" style="21" customWidth="1"/>
    <col min="4930" max="4930" width="12.85546875" style="21" customWidth="1"/>
    <col min="4931" max="4931" width="2.42578125" style="21" customWidth="1"/>
    <col min="4932" max="4932" width="12" style="21" customWidth="1"/>
    <col min="4933" max="4933" width="9.28515625" style="21" customWidth="1"/>
    <col min="4934" max="4934" width="12.85546875" style="21" customWidth="1"/>
    <col min="4935" max="4935" width="1.42578125" style="21" customWidth="1"/>
    <col min="4936" max="4936" width="12" style="21" customWidth="1"/>
    <col min="4937" max="4937" width="9.28515625" style="21" customWidth="1"/>
    <col min="4938" max="4938" width="12.85546875" style="21" customWidth="1"/>
    <col min="4939" max="4939" width="2.85546875" style="21" customWidth="1"/>
    <col min="4940" max="4940" width="12.7109375" style="21" customWidth="1"/>
    <col min="4941" max="4941" width="12" style="21" customWidth="1"/>
    <col min="4942" max="4942" width="12.85546875" style="21" customWidth="1"/>
    <col min="4943" max="4943" width="1.5703125" style="21" customWidth="1"/>
    <col min="4944" max="4975" width="0" style="21" hidden="1" customWidth="1"/>
    <col min="4976" max="4976" width="1.5703125" style="21" customWidth="1"/>
    <col min="4977" max="4977" width="16.85546875" style="21" customWidth="1"/>
    <col min="4978" max="4978" width="14.28515625" style="21" customWidth="1"/>
    <col min="4979" max="4979" width="17.140625" style="21" customWidth="1"/>
    <col min="4980" max="5120" width="9.140625" style="21"/>
    <col min="5121" max="5121" width="0.85546875" style="21" customWidth="1"/>
    <col min="5122" max="5122" width="5.5703125" style="21" bestFit="1" customWidth="1"/>
    <col min="5123" max="5123" width="46" style="21" bestFit="1" customWidth="1"/>
    <col min="5124" max="5124" width="1.42578125" style="21" customWidth="1"/>
    <col min="5125" max="5125" width="20.28515625" style="21" bestFit="1" customWidth="1"/>
    <col min="5126" max="5126" width="6.7109375" style="21" bestFit="1" customWidth="1"/>
    <col min="5127" max="5128" width="0" style="21" hidden="1" customWidth="1"/>
    <col min="5129" max="5129" width="15.85546875" style="21" bestFit="1" customWidth="1"/>
    <col min="5130" max="5130" width="1.5703125" style="21" customWidth="1"/>
    <col min="5131" max="5131" width="9.28515625" style="21" customWidth="1"/>
    <col min="5132" max="5132" width="12" style="21" customWidth="1"/>
    <col min="5133" max="5133" width="12.85546875" style="21" customWidth="1"/>
    <col min="5134" max="5134" width="2.42578125" style="21" customWidth="1"/>
    <col min="5135" max="5135" width="12" style="21" customWidth="1"/>
    <col min="5136" max="5136" width="9.28515625" style="21" customWidth="1"/>
    <col min="5137" max="5137" width="12.85546875" style="21" customWidth="1"/>
    <col min="5138" max="5138" width="1.42578125" style="21" customWidth="1"/>
    <col min="5139" max="5139" width="12" style="21" customWidth="1"/>
    <col min="5140" max="5140" width="9.28515625" style="21" customWidth="1"/>
    <col min="5141" max="5141" width="12.85546875" style="21" customWidth="1"/>
    <col min="5142" max="5142" width="2.85546875" style="21" customWidth="1"/>
    <col min="5143" max="5143" width="12.7109375" style="21" customWidth="1"/>
    <col min="5144" max="5144" width="12" style="21" customWidth="1"/>
    <col min="5145" max="5145" width="12.85546875" style="21" customWidth="1"/>
    <col min="5146" max="5146" width="1.5703125" style="21" customWidth="1"/>
    <col min="5147" max="5147" width="9.28515625" style="21" customWidth="1"/>
    <col min="5148" max="5148" width="12" style="21" customWidth="1"/>
    <col min="5149" max="5149" width="12.85546875" style="21" customWidth="1"/>
    <col min="5150" max="5150" width="0" style="21" hidden="1" customWidth="1"/>
    <col min="5151" max="5151" width="1.85546875" style="21" customWidth="1"/>
    <col min="5152" max="5152" width="9.28515625" style="21" customWidth="1"/>
    <col min="5153" max="5153" width="12" style="21" customWidth="1"/>
    <col min="5154" max="5154" width="12.85546875" style="21" customWidth="1"/>
    <col min="5155" max="5155" width="1.7109375" style="21" customWidth="1"/>
    <col min="5156" max="5156" width="9.28515625" style="21" customWidth="1"/>
    <col min="5157" max="5157" width="12" style="21" customWidth="1"/>
    <col min="5158" max="5158" width="12.85546875" style="21" customWidth="1"/>
    <col min="5159" max="5159" width="0.5703125" style="21" customWidth="1"/>
    <col min="5160" max="5160" width="9.28515625" style="21" customWidth="1"/>
    <col min="5161" max="5162" width="12.85546875" style="21" customWidth="1"/>
    <col min="5163" max="5163" width="0.5703125" style="21" customWidth="1"/>
    <col min="5164" max="5164" width="13" style="21" customWidth="1"/>
    <col min="5165" max="5165" width="12" style="21" customWidth="1"/>
    <col min="5166" max="5166" width="12.85546875" style="21" customWidth="1"/>
    <col min="5167" max="5167" width="0.42578125" style="21" customWidth="1"/>
    <col min="5168" max="5168" width="13.5703125" style="21" customWidth="1"/>
    <col min="5169" max="5169" width="12" style="21" customWidth="1"/>
    <col min="5170" max="5170" width="12.85546875" style="21" customWidth="1"/>
    <col min="5171" max="5171" width="1.140625" style="21" customWidth="1"/>
    <col min="5172" max="5172" width="13.5703125" style="21" customWidth="1"/>
    <col min="5173" max="5173" width="12" style="21" customWidth="1"/>
    <col min="5174" max="5174" width="12.85546875" style="21" customWidth="1"/>
    <col min="5175" max="5175" width="1.140625" style="21" customWidth="1"/>
    <col min="5176" max="5176" width="13.140625" style="21" customWidth="1"/>
    <col min="5177" max="5177" width="12" style="21" customWidth="1"/>
    <col min="5178" max="5178" width="12.85546875" style="21" customWidth="1"/>
    <col min="5179" max="5179" width="1.5703125" style="21" customWidth="1"/>
    <col min="5180" max="5180" width="16.85546875" style="21" customWidth="1"/>
    <col min="5181" max="5181" width="14.28515625" style="21" customWidth="1"/>
    <col min="5182" max="5182" width="17.140625" style="21" customWidth="1"/>
    <col min="5183" max="5183" width="1.42578125" style="21" customWidth="1"/>
    <col min="5184" max="5184" width="9.28515625" style="21" customWidth="1"/>
    <col min="5185" max="5185" width="12" style="21" customWidth="1"/>
    <col min="5186" max="5186" width="12.85546875" style="21" customWidth="1"/>
    <col min="5187" max="5187" width="2.42578125" style="21" customWidth="1"/>
    <col min="5188" max="5188" width="12" style="21" customWidth="1"/>
    <col min="5189" max="5189" width="9.28515625" style="21" customWidth="1"/>
    <col min="5190" max="5190" width="12.85546875" style="21" customWidth="1"/>
    <col min="5191" max="5191" width="1.42578125" style="21" customWidth="1"/>
    <col min="5192" max="5192" width="12" style="21" customWidth="1"/>
    <col min="5193" max="5193" width="9.28515625" style="21" customWidth="1"/>
    <col min="5194" max="5194" width="12.85546875" style="21" customWidth="1"/>
    <col min="5195" max="5195" width="2.85546875" style="21" customWidth="1"/>
    <col min="5196" max="5196" width="12.7109375" style="21" customWidth="1"/>
    <col min="5197" max="5197" width="12" style="21" customWidth="1"/>
    <col min="5198" max="5198" width="12.85546875" style="21" customWidth="1"/>
    <col min="5199" max="5199" width="1.5703125" style="21" customWidth="1"/>
    <col min="5200" max="5231" width="0" style="21" hidden="1" customWidth="1"/>
    <col min="5232" max="5232" width="1.5703125" style="21" customWidth="1"/>
    <col min="5233" max="5233" width="16.85546875" style="21" customWidth="1"/>
    <col min="5234" max="5234" width="14.28515625" style="21" customWidth="1"/>
    <col min="5235" max="5235" width="17.140625" style="21" customWidth="1"/>
    <col min="5236" max="5376" width="9.140625" style="21"/>
    <col min="5377" max="5377" width="0.85546875" style="21" customWidth="1"/>
    <col min="5378" max="5378" width="5.5703125" style="21" bestFit="1" customWidth="1"/>
    <col min="5379" max="5379" width="46" style="21" bestFit="1" customWidth="1"/>
    <col min="5380" max="5380" width="1.42578125" style="21" customWidth="1"/>
    <col min="5381" max="5381" width="20.28515625" style="21" bestFit="1" customWidth="1"/>
    <col min="5382" max="5382" width="6.7109375" style="21" bestFit="1" customWidth="1"/>
    <col min="5383" max="5384" width="0" style="21" hidden="1" customWidth="1"/>
    <col min="5385" max="5385" width="15.85546875" style="21" bestFit="1" customWidth="1"/>
    <col min="5386" max="5386" width="1.5703125" style="21" customWidth="1"/>
    <col min="5387" max="5387" width="9.28515625" style="21" customWidth="1"/>
    <col min="5388" max="5388" width="12" style="21" customWidth="1"/>
    <col min="5389" max="5389" width="12.85546875" style="21" customWidth="1"/>
    <col min="5390" max="5390" width="2.42578125" style="21" customWidth="1"/>
    <col min="5391" max="5391" width="12" style="21" customWidth="1"/>
    <col min="5392" max="5392" width="9.28515625" style="21" customWidth="1"/>
    <col min="5393" max="5393" width="12.85546875" style="21" customWidth="1"/>
    <col min="5394" max="5394" width="1.42578125" style="21" customWidth="1"/>
    <col min="5395" max="5395" width="12" style="21" customWidth="1"/>
    <col min="5396" max="5396" width="9.28515625" style="21" customWidth="1"/>
    <col min="5397" max="5397" width="12.85546875" style="21" customWidth="1"/>
    <col min="5398" max="5398" width="2.85546875" style="21" customWidth="1"/>
    <col min="5399" max="5399" width="12.7109375" style="21" customWidth="1"/>
    <col min="5400" max="5400" width="12" style="21" customWidth="1"/>
    <col min="5401" max="5401" width="12.85546875" style="21" customWidth="1"/>
    <col min="5402" max="5402" width="1.5703125" style="21" customWidth="1"/>
    <col min="5403" max="5403" width="9.28515625" style="21" customWidth="1"/>
    <col min="5404" max="5404" width="12" style="21" customWidth="1"/>
    <col min="5405" max="5405" width="12.85546875" style="21" customWidth="1"/>
    <col min="5406" max="5406" width="0" style="21" hidden="1" customWidth="1"/>
    <col min="5407" max="5407" width="1.85546875" style="21" customWidth="1"/>
    <col min="5408" max="5408" width="9.28515625" style="21" customWidth="1"/>
    <col min="5409" max="5409" width="12" style="21" customWidth="1"/>
    <col min="5410" max="5410" width="12.85546875" style="21" customWidth="1"/>
    <col min="5411" max="5411" width="1.7109375" style="21" customWidth="1"/>
    <col min="5412" max="5412" width="9.28515625" style="21" customWidth="1"/>
    <col min="5413" max="5413" width="12" style="21" customWidth="1"/>
    <col min="5414" max="5414" width="12.85546875" style="21" customWidth="1"/>
    <col min="5415" max="5415" width="0.5703125" style="21" customWidth="1"/>
    <col min="5416" max="5416" width="9.28515625" style="21" customWidth="1"/>
    <col min="5417" max="5418" width="12.85546875" style="21" customWidth="1"/>
    <col min="5419" max="5419" width="0.5703125" style="21" customWidth="1"/>
    <col min="5420" max="5420" width="13" style="21" customWidth="1"/>
    <col min="5421" max="5421" width="12" style="21" customWidth="1"/>
    <col min="5422" max="5422" width="12.85546875" style="21" customWidth="1"/>
    <col min="5423" max="5423" width="0.42578125" style="21" customWidth="1"/>
    <col min="5424" max="5424" width="13.5703125" style="21" customWidth="1"/>
    <col min="5425" max="5425" width="12" style="21" customWidth="1"/>
    <col min="5426" max="5426" width="12.85546875" style="21" customWidth="1"/>
    <col min="5427" max="5427" width="1.140625" style="21" customWidth="1"/>
    <col min="5428" max="5428" width="13.5703125" style="21" customWidth="1"/>
    <col min="5429" max="5429" width="12" style="21" customWidth="1"/>
    <col min="5430" max="5430" width="12.85546875" style="21" customWidth="1"/>
    <col min="5431" max="5431" width="1.140625" style="21" customWidth="1"/>
    <col min="5432" max="5432" width="13.140625" style="21" customWidth="1"/>
    <col min="5433" max="5433" width="12" style="21" customWidth="1"/>
    <col min="5434" max="5434" width="12.85546875" style="21" customWidth="1"/>
    <col min="5435" max="5435" width="1.5703125" style="21" customWidth="1"/>
    <col min="5436" max="5436" width="16.85546875" style="21" customWidth="1"/>
    <col min="5437" max="5437" width="14.28515625" style="21" customWidth="1"/>
    <col min="5438" max="5438" width="17.140625" style="21" customWidth="1"/>
    <col min="5439" max="5439" width="1.42578125" style="21" customWidth="1"/>
    <col min="5440" max="5440" width="9.28515625" style="21" customWidth="1"/>
    <col min="5441" max="5441" width="12" style="21" customWidth="1"/>
    <col min="5442" max="5442" width="12.85546875" style="21" customWidth="1"/>
    <col min="5443" max="5443" width="2.42578125" style="21" customWidth="1"/>
    <col min="5444" max="5444" width="12" style="21" customWidth="1"/>
    <col min="5445" max="5445" width="9.28515625" style="21" customWidth="1"/>
    <col min="5446" max="5446" width="12.85546875" style="21" customWidth="1"/>
    <col min="5447" max="5447" width="1.42578125" style="21" customWidth="1"/>
    <col min="5448" max="5448" width="12" style="21" customWidth="1"/>
    <col min="5449" max="5449" width="9.28515625" style="21" customWidth="1"/>
    <col min="5450" max="5450" width="12.85546875" style="21" customWidth="1"/>
    <col min="5451" max="5451" width="2.85546875" style="21" customWidth="1"/>
    <col min="5452" max="5452" width="12.7109375" style="21" customWidth="1"/>
    <col min="5453" max="5453" width="12" style="21" customWidth="1"/>
    <col min="5454" max="5454" width="12.85546875" style="21" customWidth="1"/>
    <col min="5455" max="5455" width="1.5703125" style="21" customWidth="1"/>
    <col min="5456" max="5487" width="0" style="21" hidden="1" customWidth="1"/>
    <col min="5488" max="5488" width="1.5703125" style="21" customWidth="1"/>
    <col min="5489" max="5489" width="16.85546875" style="21" customWidth="1"/>
    <col min="5490" max="5490" width="14.28515625" style="21" customWidth="1"/>
    <col min="5491" max="5491" width="17.140625" style="21" customWidth="1"/>
    <col min="5492" max="5632" width="9.140625" style="21"/>
    <col min="5633" max="5633" width="0.85546875" style="21" customWidth="1"/>
    <col min="5634" max="5634" width="5.5703125" style="21" bestFit="1" customWidth="1"/>
    <col min="5635" max="5635" width="46" style="21" bestFit="1" customWidth="1"/>
    <col min="5636" max="5636" width="1.42578125" style="21" customWidth="1"/>
    <col min="5637" max="5637" width="20.28515625" style="21" bestFit="1" customWidth="1"/>
    <col min="5638" max="5638" width="6.7109375" style="21" bestFit="1" customWidth="1"/>
    <col min="5639" max="5640" width="0" style="21" hidden="1" customWidth="1"/>
    <col min="5641" max="5641" width="15.85546875" style="21" bestFit="1" customWidth="1"/>
    <col min="5642" max="5642" width="1.5703125" style="21" customWidth="1"/>
    <col min="5643" max="5643" width="9.28515625" style="21" customWidth="1"/>
    <col min="5644" max="5644" width="12" style="21" customWidth="1"/>
    <col min="5645" max="5645" width="12.85546875" style="21" customWidth="1"/>
    <col min="5646" max="5646" width="2.42578125" style="21" customWidth="1"/>
    <col min="5647" max="5647" width="12" style="21" customWidth="1"/>
    <col min="5648" max="5648" width="9.28515625" style="21" customWidth="1"/>
    <col min="5649" max="5649" width="12.85546875" style="21" customWidth="1"/>
    <col min="5650" max="5650" width="1.42578125" style="21" customWidth="1"/>
    <col min="5651" max="5651" width="12" style="21" customWidth="1"/>
    <col min="5652" max="5652" width="9.28515625" style="21" customWidth="1"/>
    <col min="5653" max="5653" width="12.85546875" style="21" customWidth="1"/>
    <col min="5654" max="5654" width="2.85546875" style="21" customWidth="1"/>
    <col min="5655" max="5655" width="12.7109375" style="21" customWidth="1"/>
    <col min="5656" max="5656" width="12" style="21" customWidth="1"/>
    <col min="5657" max="5657" width="12.85546875" style="21" customWidth="1"/>
    <col min="5658" max="5658" width="1.5703125" style="21" customWidth="1"/>
    <col min="5659" max="5659" width="9.28515625" style="21" customWidth="1"/>
    <col min="5660" max="5660" width="12" style="21" customWidth="1"/>
    <col min="5661" max="5661" width="12.85546875" style="21" customWidth="1"/>
    <col min="5662" max="5662" width="0" style="21" hidden="1" customWidth="1"/>
    <col min="5663" max="5663" width="1.85546875" style="21" customWidth="1"/>
    <col min="5664" max="5664" width="9.28515625" style="21" customWidth="1"/>
    <col min="5665" max="5665" width="12" style="21" customWidth="1"/>
    <col min="5666" max="5666" width="12.85546875" style="21" customWidth="1"/>
    <col min="5667" max="5667" width="1.7109375" style="21" customWidth="1"/>
    <col min="5668" max="5668" width="9.28515625" style="21" customWidth="1"/>
    <col min="5669" max="5669" width="12" style="21" customWidth="1"/>
    <col min="5670" max="5670" width="12.85546875" style="21" customWidth="1"/>
    <col min="5671" max="5671" width="0.5703125" style="21" customWidth="1"/>
    <col min="5672" max="5672" width="9.28515625" style="21" customWidth="1"/>
    <col min="5673" max="5674" width="12.85546875" style="21" customWidth="1"/>
    <col min="5675" max="5675" width="0.5703125" style="21" customWidth="1"/>
    <col min="5676" max="5676" width="13" style="21" customWidth="1"/>
    <col min="5677" max="5677" width="12" style="21" customWidth="1"/>
    <col min="5678" max="5678" width="12.85546875" style="21" customWidth="1"/>
    <col min="5679" max="5679" width="0.42578125" style="21" customWidth="1"/>
    <col min="5680" max="5680" width="13.5703125" style="21" customWidth="1"/>
    <col min="5681" max="5681" width="12" style="21" customWidth="1"/>
    <col min="5682" max="5682" width="12.85546875" style="21" customWidth="1"/>
    <col min="5683" max="5683" width="1.140625" style="21" customWidth="1"/>
    <col min="5684" max="5684" width="13.5703125" style="21" customWidth="1"/>
    <col min="5685" max="5685" width="12" style="21" customWidth="1"/>
    <col min="5686" max="5686" width="12.85546875" style="21" customWidth="1"/>
    <col min="5687" max="5687" width="1.140625" style="21" customWidth="1"/>
    <col min="5688" max="5688" width="13.140625" style="21" customWidth="1"/>
    <col min="5689" max="5689" width="12" style="21" customWidth="1"/>
    <col min="5690" max="5690" width="12.85546875" style="21" customWidth="1"/>
    <col min="5691" max="5691" width="1.5703125" style="21" customWidth="1"/>
    <col min="5692" max="5692" width="16.85546875" style="21" customWidth="1"/>
    <col min="5693" max="5693" width="14.28515625" style="21" customWidth="1"/>
    <col min="5694" max="5694" width="17.140625" style="21" customWidth="1"/>
    <col min="5695" max="5695" width="1.42578125" style="21" customWidth="1"/>
    <col min="5696" max="5696" width="9.28515625" style="21" customWidth="1"/>
    <col min="5697" max="5697" width="12" style="21" customWidth="1"/>
    <col min="5698" max="5698" width="12.85546875" style="21" customWidth="1"/>
    <col min="5699" max="5699" width="2.42578125" style="21" customWidth="1"/>
    <col min="5700" max="5700" width="12" style="21" customWidth="1"/>
    <col min="5701" max="5701" width="9.28515625" style="21" customWidth="1"/>
    <col min="5702" max="5702" width="12.85546875" style="21" customWidth="1"/>
    <col min="5703" max="5703" width="1.42578125" style="21" customWidth="1"/>
    <col min="5704" max="5704" width="12" style="21" customWidth="1"/>
    <col min="5705" max="5705" width="9.28515625" style="21" customWidth="1"/>
    <col min="5706" max="5706" width="12.85546875" style="21" customWidth="1"/>
    <col min="5707" max="5707" width="2.85546875" style="21" customWidth="1"/>
    <col min="5708" max="5708" width="12.7109375" style="21" customWidth="1"/>
    <col min="5709" max="5709" width="12" style="21" customWidth="1"/>
    <col min="5710" max="5710" width="12.85546875" style="21" customWidth="1"/>
    <col min="5711" max="5711" width="1.5703125" style="21" customWidth="1"/>
    <col min="5712" max="5743" width="0" style="21" hidden="1" customWidth="1"/>
    <col min="5744" max="5744" width="1.5703125" style="21" customWidth="1"/>
    <col min="5745" max="5745" width="16.85546875" style="21" customWidth="1"/>
    <col min="5746" max="5746" width="14.28515625" style="21" customWidth="1"/>
    <col min="5747" max="5747" width="17.140625" style="21" customWidth="1"/>
    <col min="5748" max="5888" width="9.140625" style="21"/>
    <col min="5889" max="5889" width="0.85546875" style="21" customWidth="1"/>
    <col min="5890" max="5890" width="5.5703125" style="21" bestFit="1" customWidth="1"/>
    <col min="5891" max="5891" width="46" style="21" bestFit="1" customWidth="1"/>
    <col min="5892" max="5892" width="1.42578125" style="21" customWidth="1"/>
    <col min="5893" max="5893" width="20.28515625" style="21" bestFit="1" customWidth="1"/>
    <col min="5894" max="5894" width="6.7109375" style="21" bestFit="1" customWidth="1"/>
    <col min="5895" max="5896" width="0" style="21" hidden="1" customWidth="1"/>
    <col min="5897" max="5897" width="15.85546875" style="21" bestFit="1" customWidth="1"/>
    <col min="5898" max="5898" width="1.5703125" style="21" customWidth="1"/>
    <col min="5899" max="5899" width="9.28515625" style="21" customWidth="1"/>
    <col min="5900" max="5900" width="12" style="21" customWidth="1"/>
    <col min="5901" max="5901" width="12.85546875" style="21" customWidth="1"/>
    <col min="5902" max="5902" width="2.42578125" style="21" customWidth="1"/>
    <col min="5903" max="5903" width="12" style="21" customWidth="1"/>
    <col min="5904" max="5904" width="9.28515625" style="21" customWidth="1"/>
    <col min="5905" max="5905" width="12.85546875" style="21" customWidth="1"/>
    <col min="5906" max="5906" width="1.42578125" style="21" customWidth="1"/>
    <col min="5907" max="5907" width="12" style="21" customWidth="1"/>
    <col min="5908" max="5908" width="9.28515625" style="21" customWidth="1"/>
    <col min="5909" max="5909" width="12.85546875" style="21" customWidth="1"/>
    <col min="5910" max="5910" width="2.85546875" style="21" customWidth="1"/>
    <col min="5911" max="5911" width="12.7109375" style="21" customWidth="1"/>
    <col min="5912" max="5912" width="12" style="21" customWidth="1"/>
    <col min="5913" max="5913" width="12.85546875" style="21" customWidth="1"/>
    <col min="5914" max="5914" width="1.5703125" style="21" customWidth="1"/>
    <col min="5915" max="5915" width="9.28515625" style="21" customWidth="1"/>
    <col min="5916" max="5916" width="12" style="21" customWidth="1"/>
    <col min="5917" max="5917" width="12.85546875" style="21" customWidth="1"/>
    <col min="5918" max="5918" width="0" style="21" hidden="1" customWidth="1"/>
    <col min="5919" max="5919" width="1.85546875" style="21" customWidth="1"/>
    <col min="5920" max="5920" width="9.28515625" style="21" customWidth="1"/>
    <col min="5921" max="5921" width="12" style="21" customWidth="1"/>
    <col min="5922" max="5922" width="12.85546875" style="21" customWidth="1"/>
    <col min="5923" max="5923" width="1.7109375" style="21" customWidth="1"/>
    <col min="5924" max="5924" width="9.28515625" style="21" customWidth="1"/>
    <col min="5925" max="5925" width="12" style="21" customWidth="1"/>
    <col min="5926" max="5926" width="12.85546875" style="21" customWidth="1"/>
    <col min="5927" max="5927" width="0.5703125" style="21" customWidth="1"/>
    <col min="5928" max="5928" width="9.28515625" style="21" customWidth="1"/>
    <col min="5929" max="5930" width="12.85546875" style="21" customWidth="1"/>
    <col min="5931" max="5931" width="0.5703125" style="21" customWidth="1"/>
    <col min="5932" max="5932" width="13" style="21" customWidth="1"/>
    <col min="5933" max="5933" width="12" style="21" customWidth="1"/>
    <col min="5934" max="5934" width="12.85546875" style="21" customWidth="1"/>
    <col min="5935" max="5935" width="0.42578125" style="21" customWidth="1"/>
    <col min="5936" max="5936" width="13.5703125" style="21" customWidth="1"/>
    <col min="5937" max="5937" width="12" style="21" customWidth="1"/>
    <col min="5938" max="5938" width="12.85546875" style="21" customWidth="1"/>
    <col min="5939" max="5939" width="1.140625" style="21" customWidth="1"/>
    <col min="5940" max="5940" width="13.5703125" style="21" customWidth="1"/>
    <col min="5941" max="5941" width="12" style="21" customWidth="1"/>
    <col min="5942" max="5942" width="12.85546875" style="21" customWidth="1"/>
    <col min="5943" max="5943" width="1.140625" style="21" customWidth="1"/>
    <col min="5944" max="5944" width="13.140625" style="21" customWidth="1"/>
    <col min="5945" max="5945" width="12" style="21" customWidth="1"/>
    <col min="5946" max="5946" width="12.85546875" style="21" customWidth="1"/>
    <col min="5947" max="5947" width="1.5703125" style="21" customWidth="1"/>
    <col min="5948" max="5948" width="16.85546875" style="21" customWidth="1"/>
    <col min="5949" max="5949" width="14.28515625" style="21" customWidth="1"/>
    <col min="5950" max="5950" width="17.140625" style="21" customWidth="1"/>
    <col min="5951" max="5951" width="1.42578125" style="21" customWidth="1"/>
    <col min="5952" max="5952" width="9.28515625" style="21" customWidth="1"/>
    <col min="5953" max="5953" width="12" style="21" customWidth="1"/>
    <col min="5954" max="5954" width="12.85546875" style="21" customWidth="1"/>
    <col min="5955" max="5955" width="2.42578125" style="21" customWidth="1"/>
    <col min="5956" max="5956" width="12" style="21" customWidth="1"/>
    <col min="5957" max="5957" width="9.28515625" style="21" customWidth="1"/>
    <col min="5958" max="5958" width="12.85546875" style="21" customWidth="1"/>
    <col min="5959" max="5959" width="1.42578125" style="21" customWidth="1"/>
    <col min="5960" max="5960" width="12" style="21" customWidth="1"/>
    <col min="5961" max="5961" width="9.28515625" style="21" customWidth="1"/>
    <col min="5962" max="5962" width="12.85546875" style="21" customWidth="1"/>
    <col min="5963" max="5963" width="2.85546875" style="21" customWidth="1"/>
    <col min="5964" max="5964" width="12.7109375" style="21" customWidth="1"/>
    <col min="5965" max="5965" width="12" style="21" customWidth="1"/>
    <col min="5966" max="5966" width="12.85546875" style="21" customWidth="1"/>
    <col min="5967" max="5967" width="1.5703125" style="21" customWidth="1"/>
    <col min="5968" max="5999" width="0" style="21" hidden="1" customWidth="1"/>
    <col min="6000" max="6000" width="1.5703125" style="21" customWidth="1"/>
    <col min="6001" max="6001" width="16.85546875" style="21" customWidth="1"/>
    <col min="6002" max="6002" width="14.28515625" style="21" customWidth="1"/>
    <col min="6003" max="6003" width="17.140625" style="21" customWidth="1"/>
    <col min="6004" max="6144" width="9.140625" style="21"/>
    <col min="6145" max="6145" width="0.85546875" style="21" customWidth="1"/>
    <col min="6146" max="6146" width="5.5703125" style="21" bestFit="1" customWidth="1"/>
    <col min="6147" max="6147" width="46" style="21" bestFit="1" customWidth="1"/>
    <col min="6148" max="6148" width="1.42578125" style="21" customWidth="1"/>
    <col min="6149" max="6149" width="20.28515625" style="21" bestFit="1" customWidth="1"/>
    <col min="6150" max="6150" width="6.7109375" style="21" bestFit="1" customWidth="1"/>
    <col min="6151" max="6152" width="0" style="21" hidden="1" customWidth="1"/>
    <col min="6153" max="6153" width="15.85546875" style="21" bestFit="1" customWidth="1"/>
    <col min="6154" max="6154" width="1.5703125" style="21" customWidth="1"/>
    <col min="6155" max="6155" width="9.28515625" style="21" customWidth="1"/>
    <col min="6156" max="6156" width="12" style="21" customWidth="1"/>
    <col min="6157" max="6157" width="12.85546875" style="21" customWidth="1"/>
    <col min="6158" max="6158" width="2.42578125" style="21" customWidth="1"/>
    <col min="6159" max="6159" width="12" style="21" customWidth="1"/>
    <col min="6160" max="6160" width="9.28515625" style="21" customWidth="1"/>
    <col min="6161" max="6161" width="12.85546875" style="21" customWidth="1"/>
    <col min="6162" max="6162" width="1.42578125" style="21" customWidth="1"/>
    <col min="6163" max="6163" width="12" style="21" customWidth="1"/>
    <col min="6164" max="6164" width="9.28515625" style="21" customWidth="1"/>
    <col min="6165" max="6165" width="12.85546875" style="21" customWidth="1"/>
    <col min="6166" max="6166" width="2.85546875" style="21" customWidth="1"/>
    <col min="6167" max="6167" width="12.7109375" style="21" customWidth="1"/>
    <col min="6168" max="6168" width="12" style="21" customWidth="1"/>
    <col min="6169" max="6169" width="12.85546875" style="21" customWidth="1"/>
    <col min="6170" max="6170" width="1.5703125" style="21" customWidth="1"/>
    <col min="6171" max="6171" width="9.28515625" style="21" customWidth="1"/>
    <col min="6172" max="6172" width="12" style="21" customWidth="1"/>
    <col min="6173" max="6173" width="12.85546875" style="21" customWidth="1"/>
    <col min="6174" max="6174" width="0" style="21" hidden="1" customWidth="1"/>
    <col min="6175" max="6175" width="1.85546875" style="21" customWidth="1"/>
    <col min="6176" max="6176" width="9.28515625" style="21" customWidth="1"/>
    <col min="6177" max="6177" width="12" style="21" customWidth="1"/>
    <col min="6178" max="6178" width="12.85546875" style="21" customWidth="1"/>
    <col min="6179" max="6179" width="1.7109375" style="21" customWidth="1"/>
    <col min="6180" max="6180" width="9.28515625" style="21" customWidth="1"/>
    <col min="6181" max="6181" width="12" style="21" customWidth="1"/>
    <col min="6182" max="6182" width="12.85546875" style="21" customWidth="1"/>
    <col min="6183" max="6183" width="0.5703125" style="21" customWidth="1"/>
    <col min="6184" max="6184" width="9.28515625" style="21" customWidth="1"/>
    <col min="6185" max="6186" width="12.85546875" style="21" customWidth="1"/>
    <col min="6187" max="6187" width="0.5703125" style="21" customWidth="1"/>
    <col min="6188" max="6188" width="13" style="21" customWidth="1"/>
    <col min="6189" max="6189" width="12" style="21" customWidth="1"/>
    <col min="6190" max="6190" width="12.85546875" style="21" customWidth="1"/>
    <col min="6191" max="6191" width="0.42578125" style="21" customWidth="1"/>
    <col min="6192" max="6192" width="13.5703125" style="21" customWidth="1"/>
    <col min="6193" max="6193" width="12" style="21" customWidth="1"/>
    <col min="6194" max="6194" width="12.85546875" style="21" customWidth="1"/>
    <col min="6195" max="6195" width="1.140625" style="21" customWidth="1"/>
    <col min="6196" max="6196" width="13.5703125" style="21" customWidth="1"/>
    <col min="6197" max="6197" width="12" style="21" customWidth="1"/>
    <col min="6198" max="6198" width="12.85546875" style="21" customWidth="1"/>
    <col min="6199" max="6199" width="1.140625" style="21" customWidth="1"/>
    <col min="6200" max="6200" width="13.140625" style="21" customWidth="1"/>
    <col min="6201" max="6201" width="12" style="21" customWidth="1"/>
    <col min="6202" max="6202" width="12.85546875" style="21" customWidth="1"/>
    <col min="6203" max="6203" width="1.5703125" style="21" customWidth="1"/>
    <col min="6204" max="6204" width="16.85546875" style="21" customWidth="1"/>
    <col min="6205" max="6205" width="14.28515625" style="21" customWidth="1"/>
    <col min="6206" max="6206" width="17.140625" style="21" customWidth="1"/>
    <col min="6207" max="6207" width="1.42578125" style="21" customWidth="1"/>
    <col min="6208" max="6208" width="9.28515625" style="21" customWidth="1"/>
    <col min="6209" max="6209" width="12" style="21" customWidth="1"/>
    <col min="6210" max="6210" width="12.85546875" style="21" customWidth="1"/>
    <col min="6211" max="6211" width="2.42578125" style="21" customWidth="1"/>
    <col min="6212" max="6212" width="12" style="21" customWidth="1"/>
    <col min="6213" max="6213" width="9.28515625" style="21" customWidth="1"/>
    <col min="6214" max="6214" width="12.85546875" style="21" customWidth="1"/>
    <col min="6215" max="6215" width="1.42578125" style="21" customWidth="1"/>
    <col min="6216" max="6216" width="12" style="21" customWidth="1"/>
    <col min="6217" max="6217" width="9.28515625" style="21" customWidth="1"/>
    <col min="6218" max="6218" width="12.85546875" style="21" customWidth="1"/>
    <col min="6219" max="6219" width="2.85546875" style="21" customWidth="1"/>
    <col min="6220" max="6220" width="12.7109375" style="21" customWidth="1"/>
    <col min="6221" max="6221" width="12" style="21" customWidth="1"/>
    <col min="6222" max="6222" width="12.85546875" style="21" customWidth="1"/>
    <col min="6223" max="6223" width="1.5703125" style="21" customWidth="1"/>
    <col min="6224" max="6255" width="0" style="21" hidden="1" customWidth="1"/>
    <col min="6256" max="6256" width="1.5703125" style="21" customWidth="1"/>
    <col min="6257" max="6257" width="16.85546875" style="21" customWidth="1"/>
    <col min="6258" max="6258" width="14.28515625" style="21" customWidth="1"/>
    <col min="6259" max="6259" width="17.140625" style="21" customWidth="1"/>
    <col min="6260" max="6400" width="9.140625" style="21"/>
    <col min="6401" max="6401" width="0.85546875" style="21" customWidth="1"/>
    <col min="6402" max="6402" width="5.5703125" style="21" bestFit="1" customWidth="1"/>
    <col min="6403" max="6403" width="46" style="21" bestFit="1" customWidth="1"/>
    <col min="6404" max="6404" width="1.42578125" style="21" customWidth="1"/>
    <col min="6405" max="6405" width="20.28515625" style="21" bestFit="1" customWidth="1"/>
    <col min="6406" max="6406" width="6.7109375" style="21" bestFit="1" customWidth="1"/>
    <col min="6407" max="6408" width="0" style="21" hidden="1" customWidth="1"/>
    <col min="6409" max="6409" width="15.85546875" style="21" bestFit="1" customWidth="1"/>
    <col min="6410" max="6410" width="1.5703125" style="21" customWidth="1"/>
    <col min="6411" max="6411" width="9.28515625" style="21" customWidth="1"/>
    <col min="6412" max="6412" width="12" style="21" customWidth="1"/>
    <col min="6413" max="6413" width="12.85546875" style="21" customWidth="1"/>
    <col min="6414" max="6414" width="2.42578125" style="21" customWidth="1"/>
    <col min="6415" max="6415" width="12" style="21" customWidth="1"/>
    <col min="6416" max="6416" width="9.28515625" style="21" customWidth="1"/>
    <col min="6417" max="6417" width="12.85546875" style="21" customWidth="1"/>
    <col min="6418" max="6418" width="1.42578125" style="21" customWidth="1"/>
    <col min="6419" max="6419" width="12" style="21" customWidth="1"/>
    <col min="6420" max="6420" width="9.28515625" style="21" customWidth="1"/>
    <col min="6421" max="6421" width="12.85546875" style="21" customWidth="1"/>
    <col min="6422" max="6422" width="2.85546875" style="21" customWidth="1"/>
    <col min="6423" max="6423" width="12.7109375" style="21" customWidth="1"/>
    <col min="6424" max="6424" width="12" style="21" customWidth="1"/>
    <col min="6425" max="6425" width="12.85546875" style="21" customWidth="1"/>
    <col min="6426" max="6426" width="1.5703125" style="21" customWidth="1"/>
    <col min="6427" max="6427" width="9.28515625" style="21" customWidth="1"/>
    <col min="6428" max="6428" width="12" style="21" customWidth="1"/>
    <col min="6429" max="6429" width="12.85546875" style="21" customWidth="1"/>
    <col min="6430" max="6430" width="0" style="21" hidden="1" customWidth="1"/>
    <col min="6431" max="6431" width="1.85546875" style="21" customWidth="1"/>
    <col min="6432" max="6432" width="9.28515625" style="21" customWidth="1"/>
    <col min="6433" max="6433" width="12" style="21" customWidth="1"/>
    <col min="6434" max="6434" width="12.85546875" style="21" customWidth="1"/>
    <col min="6435" max="6435" width="1.7109375" style="21" customWidth="1"/>
    <col min="6436" max="6436" width="9.28515625" style="21" customWidth="1"/>
    <col min="6437" max="6437" width="12" style="21" customWidth="1"/>
    <col min="6438" max="6438" width="12.85546875" style="21" customWidth="1"/>
    <col min="6439" max="6439" width="0.5703125" style="21" customWidth="1"/>
    <col min="6440" max="6440" width="9.28515625" style="21" customWidth="1"/>
    <col min="6441" max="6442" width="12.85546875" style="21" customWidth="1"/>
    <col min="6443" max="6443" width="0.5703125" style="21" customWidth="1"/>
    <col min="6444" max="6444" width="13" style="21" customWidth="1"/>
    <col min="6445" max="6445" width="12" style="21" customWidth="1"/>
    <col min="6446" max="6446" width="12.85546875" style="21" customWidth="1"/>
    <col min="6447" max="6447" width="0.42578125" style="21" customWidth="1"/>
    <col min="6448" max="6448" width="13.5703125" style="21" customWidth="1"/>
    <col min="6449" max="6449" width="12" style="21" customWidth="1"/>
    <col min="6450" max="6450" width="12.85546875" style="21" customWidth="1"/>
    <col min="6451" max="6451" width="1.140625" style="21" customWidth="1"/>
    <col min="6452" max="6452" width="13.5703125" style="21" customWidth="1"/>
    <col min="6453" max="6453" width="12" style="21" customWidth="1"/>
    <col min="6454" max="6454" width="12.85546875" style="21" customWidth="1"/>
    <col min="6455" max="6455" width="1.140625" style="21" customWidth="1"/>
    <col min="6456" max="6456" width="13.140625" style="21" customWidth="1"/>
    <col min="6457" max="6457" width="12" style="21" customWidth="1"/>
    <col min="6458" max="6458" width="12.85546875" style="21" customWidth="1"/>
    <col min="6459" max="6459" width="1.5703125" style="21" customWidth="1"/>
    <col min="6460" max="6460" width="16.85546875" style="21" customWidth="1"/>
    <col min="6461" max="6461" width="14.28515625" style="21" customWidth="1"/>
    <col min="6462" max="6462" width="17.140625" style="21" customWidth="1"/>
    <col min="6463" max="6463" width="1.42578125" style="21" customWidth="1"/>
    <col min="6464" max="6464" width="9.28515625" style="21" customWidth="1"/>
    <col min="6465" max="6465" width="12" style="21" customWidth="1"/>
    <col min="6466" max="6466" width="12.85546875" style="21" customWidth="1"/>
    <col min="6467" max="6467" width="2.42578125" style="21" customWidth="1"/>
    <col min="6468" max="6468" width="12" style="21" customWidth="1"/>
    <col min="6469" max="6469" width="9.28515625" style="21" customWidth="1"/>
    <col min="6470" max="6470" width="12.85546875" style="21" customWidth="1"/>
    <col min="6471" max="6471" width="1.42578125" style="21" customWidth="1"/>
    <col min="6472" max="6472" width="12" style="21" customWidth="1"/>
    <col min="6473" max="6473" width="9.28515625" style="21" customWidth="1"/>
    <col min="6474" max="6474" width="12.85546875" style="21" customWidth="1"/>
    <col min="6475" max="6475" width="2.85546875" style="21" customWidth="1"/>
    <col min="6476" max="6476" width="12.7109375" style="21" customWidth="1"/>
    <col min="6477" max="6477" width="12" style="21" customWidth="1"/>
    <col min="6478" max="6478" width="12.85546875" style="21" customWidth="1"/>
    <col min="6479" max="6479" width="1.5703125" style="21" customWidth="1"/>
    <col min="6480" max="6511" width="0" style="21" hidden="1" customWidth="1"/>
    <col min="6512" max="6512" width="1.5703125" style="21" customWidth="1"/>
    <col min="6513" max="6513" width="16.85546875" style="21" customWidth="1"/>
    <col min="6514" max="6514" width="14.28515625" style="21" customWidth="1"/>
    <col min="6515" max="6515" width="17.140625" style="21" customWidth="1"/>
    <col min="6516" max="6656" width="9.140625" style="21"/>
    <col min="6657" max="6657" width="0.85546875" style="21" customWidth="1"/>
    <col min="6658" max="6658" width="5.5703125" style="21" bestFit="1" customWidth="1"/>
    <col min="6659" max="6659" width="46" style="21" bestFit="1" customWidth="1"/>
    <col min="6660" max="6660" width="1.42578125" style="21" customWidth="1"/>
    <col min="6661" max="6661" width="20.28515625" style="21" bestFit="1" customWidth="1"/>
    <col min="6662" max="6662" width="6.7109375" style="21" bestFit="1" customWidth="1"/>
    <col min="6663" max="6664" width="0" style="21" hidden="1" customWidth="1"/>
    <col min="6665" max="6665" width="15.85546875" style="21" bestFit="1" customWidth="1"/>
    <col min="6666" max="6666" width="1.5703125" style="21" customWidth="1"/>
    <col min="6667" max="6667" width="9.28515625" style="21" customWidth="1"/>
    <col min="6668" max="6668" width="12" style="21" customWidth="1"/>
    <col min="6669" max="6669" width="12.85546875" style="21" customWidth="1"/>
    <col min="6670" max="6670" width="2.42578125" style="21" customWidth="1"/>
    <col min="6671" max="6671" width="12" style="21" customWidth="1"/>
    <col min="6672" max="6672" width="9.28515625" style="21" customWidth="1"/>
    <col min="6673" max="6673" width="12.85546875" style="21" customWidth="1"/>
    <col min="6674" max="6674" width="1.42578125" style="21" customWidth="1"/>
    <col min="6675" max="6675" width="12" style="21" customWidth="1"/>
    <col min="6676" max="6676" width="9.28515625" style="21" customWidth="1"/>
    <col min="6677" max="6677" width="12.85546875" style="21" customWidth="1"/>
    <col min="6678" max="6678" width="2.85546875" style="21" customWidth="1"/>
    <col min="6679" max="6679" width="12.7109375" style="21" customWidth="1"/>
    <col min="6680" max="6680" width="12" style="21" customWidth="1"/>
    <col min="6681" max="6681" width="12.85546875" style="21" customWidth="1"/>
    <col min="6682" max="6682" width="1.5703125" style="21" customWidth="1"/>
    <col min="6683" max="6683" width="9.28515625" style="21" customWidth="1"/>
    <col min="6684" max="6684" width="12" style="21" customWidth="1"/>
    <col min="6685" max="6685" width="12.85546875" style="21" customWidth="1"/>
    <col min="6686" max="6686" width="0" style="21" hidden="1" customWidth="1"/>
    <col min="6687" max="6687" width="1.85546875" style="21" customWidth="1"/>
    <col min="6688" max="6688" width="9.28515625" style="21" customWidth="1"/>
    <col min="6689" max="6689" width="12" style="21" customWidth="1"/>
    <col min="6690" max="6690" width="12.85546875" style="21" customWidth="1"/>
    <col min="6691" max="6691" width="1.7109375" style="21" customWidth="1"/>
    <col min="6692" max="6692" width="9.28515625" style="21" customWidth="1"/>
    <col min="6693" max="6693" width="12" style="21" customWidth="1"/>
    <col min="6694" max="6694" width="12.85546875" style="21" customWidth="1"/>
    <col min="6695" max="6695" width="0.5703125" style="21" customWidth="1"/>
    <col min="6696" max="6696" width="9.28515625" style="21" customWidth="1"/>
    <col min="6697" max="6698" width="12.85546875" style="21" customWidth="1"/>
    <col min="6699" max="6699" width="0.5703125" style="21" customWidth="1"/>
    <col min="6700" max="6700" width="13" style="21" customWidth="1"/>
    <col min="6701" max="6701" width="12" style="21" customWidth="1"/>
    <col min="6702" max="6702" width="12.85546875" style="21" customWidth="1"/>
    <col min="6703" max="6703" width="0.42578125" style="21" customWidth="1"/>
    <col min="6704" max="6704" width="13.5703125" style="21" customWidth="1"/>
    <col min="6705" max="6705" width="12" style="21" customWidth="1"/>
    <col min="6706" max="6706" width="12.85546875" style="21" customWidth="1"/>
    <col min="6707" max="6707" width="1.140625" style="21" customWidth="1"/>
    <col min="6708" max="6708" width="13.5703125" style="21" customWidth="1"/>
    <col min="6709" max="6709" width="12" style="21" customWidth="1"/>
    <col min="6710" max="6710" width="12.85546875" style="21" customWidth="1"/>
    <col min="6711" max="6711" width="1.140625" style="21" customWidth="1"/>
    <col min="6712" max="6712" width="13.140625" style="21" customWidth="1"/>
    <col min="6713" max="6713" width="12" style="21" customWidth="1"/>
    <col min="6714" max="6714" width="12.85546875" style="21" customWidth="1"/>
    <col min="6715" max="6715" width="1.5703125" style="21" customWidth="1"/>
    <col min="6716" max="6716" width="16.85546875" style="21" customWidth="1"/>
    <col min="6717" max="6717" width="14.28515625" style="21" customWidth="1"/>
    <col min="6718" max="6718" width="17.140625" style="21" customWidth="1"/>
    <col min="6719" max="6719" width="1.42578125" style="21" customWidth="1"/>
    <col min="6720" max="6720" width="9.28515625" style="21" customWidth="1"/>
    <col min="6721" max="6721" width="12" style="21" customWidth="1"/>
    <col min="6722" max="6722" width="12.85546875" style="21" customWidth="1"/>
    <col min="6723" max="6723" width="2.42578125" style="21" customWidth="1"/>
    <col min="6724" max="6724" width="12" style="21" customWidth="1"/>
    <col min="6725" max="6725" width="9.28515625" style="21" customWidth="1"/>
    <col min="6726" max="6726" width="12.85546875" style="21" customWidth="1"/>
    <col min="6727" max="6727" width="1.42578125" style="21" customWidth="1"/>
    <col min="6728" max="6728" width="12" style="21" customWidth="1"/>
    <col min="6729" max="6729" width="9.28515625" style="21" customWidth="1"/>
    <col min="6730" max="6730" width="12.85546875" style="21" customWidth="1"/>
    <col min="6731" max="6731" width="2.85546875" style="21" customWidth="1"/>
    <col min="6732" max="6732" width="12.7109375" style="21" customWidth="1"/>
    <col min="6733" max="6733" width="12" style="21" customWidth="1"/>
    <col min="6734" max="6734" width="12.85546875" style="21" customWidth="1"/>
    <col min="6735" max="6735" width="1.5703125" style="21" customWidth="1"/>
    <col min="6736" max="6767" width="0" style="21" hidden="1" customWidth="1"/>
    <col min="6768" max="6768" width="1.5703125" style="21" customWidth="1"/>
    <col min="6769" max="6769" width="16.85546875" style="21" customWidth="1"/>
    <col min="6770" max="6770" width="14.28515625" style="21" customWidth="1"/>
    <col min="6771" max="6771" width="17.140625" style="21" customWidth="1"/>
    <col min="6772" max="6912" width="9.140625" style="21"/>
    <col min="6913" max="6913" width="0.85546875" style="21" customWidth="1"/>
    <col min="6914" max="6914" width="5.5703125" style="21" bestFit="1" customWidth="1"/>
    <col min="6915" max="6915" width="46" style="21" bestFit="1" customWidth="1"/>
    <col min="6916" max="6916" width="1.42578125" style="21" customWidth="1"/>
    <col min="6917" max="6917" width="20.28515625" style="21" bestFit="1" customWidth="1"/>
    <col min="6918" max="6918" width="6.7109375" style="21" bestFit="1" customWidth="1"/>
    <col min="6919" max="6920" width="0" style="21" hidden="1" customWidth="1"/>
    <col min="6921" max="6921" width="15.85546875" style="21" bestFit="1" customWidth="1"/>
    <col min="6922" max="6922" width="1.5703125" style="21" customWidth="1"/>
    <col min="6923" max="6923" width="9.28515625" style="21" customWidth="1"/>
    <col min="6924" max="6924" width="12" style="21" customWidth="1"/>
    <col min="6925" max="6925" width="12.85546875" style="21" customWidth="1"/>
    <col min="6926" max="6926" width="2.42578125" style="21" customWidth="1"/>
    <col min="6927" max="6927" width="12" style="21" customWidth="1"/>
    <col min="6928" max="6928" width="9.28515625" style="21" customWidth="1"/>
    <col min="6929" max="6929" width="12.85546875" style="21" customWidth="1"/>
    <col min="6930" max="6930" width="1.42578125" style="21" customWidth="1"/>
    <col min="6931" max="6931" width="12" style="21" customWidth="1"/>
    <col min="6932" max="6932" width="9.28515625" style="21" customWidth="1"/>
    <col min="6933" max="6933" width="12.85546875" style="21" customWidth="1"/>
    <col min="6934" max="6934" width="2.85546875" style="21" customWidth="1"/>
    <col min="6935" max="6935" width="12.7109375" style="21" customWidth="1"/>
    <col min="6936" max="6936" width="12" style="21" customWidth="1"/>
    <col min="6937" max="6937" width="12.85546875" style="21" customWidth="1"/>
    <col min="6938" max="6938" width="1.5703125" style="21" customWidth="1"/>
    <col min="6939" max="6939" width="9.28515625" style="21" customWidth="1"/>
    <col min="6940" max="6940" width="12" style="21" customWidth="1"/>
    <col min="6941" max="6941" width="12.85546875" style="21" customWidth="1"/>
    <col min="6942" max="6942" width="0" style="21" hidden="1" customWidth="1"/>
    <col min="6943" max="6943" width="1.85546875" style="21" customWidth="1"/>
    <col min="6944" max="6944" width="9.28515625" style="21" customWidth="1"/>
    <col min="6945" max="6945" width="12" style="21" customWidth="1"/>
    <col min="6946" max="6946" width="12.85546875" style="21" customWidth="1"/>
    <col min="6947" max="6947" width="1.7109375" style="21" customWidth="1"/>
    <col min="6948" max="6948" width="9.28515625" style="21" customWidth="1"/>
    <col min="6949" max="6949" width="12" style="21" customWidth="1"/>
    <col min="6950" max="6950" width="12.85546875" style="21" customWidth="1"/>
    <col min="6951" max="6951" width="0.5703125" style="21" customWidth="1"/>
    <col min="6952" max="6952" width="9.28515625" style="21" customWidth="1"/>
    <col min="6953" max="6954" width="12.85546875" style="21" customWidth="1"/>
    <col min="6955" max="6955" width="0.5703125" style="21" customWidth="1"/>
    <col min="6956" max="6956" width="13" style="21" customWidth="1"/>
    <col min="6957" max="6957" width="12" style="21" customWidth="1"/>
    <col min="6958" max="6958" width="12.85546875" style="21" customWidth="1"/>
    <col min="6959" max="6959" width="0.42578125" style="21" customWidth="1"/>
    <col min="6960" max="6960" width="13.5703125" style="21" customWidth="1"/>
    <col min="6961" max="6961" width="12" style="21" customWidth="1"/>
    <col min="6962" max="6962" width="12.85546875" style="21" customWidth="1"/>
    <col min="6963" max="6963" width="1.140625" style="21" customWidth="1"/>
    <col min="6964" max="6964" width="13.5703125" style="21" customWidth="1"/>
    <col min="6965" max="6965" width="12" style="21" customWidth="1"/>
    <col min="6966" max="6966" width="12.85546875" style="21" customWidth="1"/>
    <col min="6967" max="6967" width="1.140625" style="21" customWidth="1"/>
    <col min="6968" max="6968" width="13.140625" style="21" customWidth="1"/>
    <col min="6969" max="6969" width="12" style="21" customWidth="1"/>
    <col min="6970" max="6970" width="12.85546875" style="21" customWidth="1"/>
    <col min="6971" max="6971" width="1.5703125" style="21" customWidth="1"/>
    <col min="6972" max="6972" width="16.85546875" style="21" customWidth="1"/>
    <col min="6973" max="6973" width="14.28515625" style="21" customWidth="1"/>
    <col min="6974" max="6974" width="17.140625" style="21" customWidth="1"/>
    <col min="6975" max="6975" width="1.42578125" style="21" customWidth="1"/>
    <col min="6976" max="6976" width="9.28515625" style="21" customWidth="1"/>
    <col min="6977" max="6977" width="12" style="21" customWidth="1"/>
    <col min="6978" max="6978" width="12.85546875" style="21" customWidth="1"/>
    <col min="6979" max="6979" width="2.42578125" style="21" customWidth="1"/>
    <col min="6980" max="6980" width="12" style="21" customWidth="1"/>
    <col min="6981" max="6981" width="9.28515625" style="21" customWidth="1"/>
    <col min="6982" max="6982" width="12.85546875" style="21" customWidth="1"/>
    <col min="6983" max="6983" width="1.42578125" style="21" customWidth="1"/>
    <col min="6984" max="6984" width="12" style="21" customWidth="1"/>
    <col min="6985" max="6985" width="9.28515625" style="21" customWidth="1"/>
    <col min="6986" max="6986" width="12.85546875" style="21" customWidth="1"/>
    <col min="6987" max="6987" width="2.85546875" style="21" customWidth="1"/>
    <col min="6988" max="6988" width="12.7109375" style="21" customWidth="1"/>
    <col min="6989" max="6989" width="12" style="21" customWidth="1"/>
    <col min="6990" max="6990" width="12.85546875" style="21" customWidth="1"/>
    <col min="6991" max="6991" width="1.5703125" style="21" customWidth="1"/>
    <col min="6992" max="7023" width="0" style="21" hidden="1" customWidth="1"/>
    <col min="7024" max="7024" width="1.5703125" style="21" customWidth="1"/>
    <col min="7025" max="7025" width="16.85546875" style="21" customWidth="1"/>
    <col min="7026" max="7026" width="14.28515625" style="21" customWidth="1"/>
    <col min="7027" max="7027" width="17.140625" style="21" customWidth="1"/>
    <col min="7028" max="7168" width="9.140625" style="21"/>
    <col min="7169" max="7169" width="0.85546875" style="21" customWidth="1"/>
    <col min="7170" max="7170" width="5.5703125" style="21" bestFit="1" customWidth="1"/>
    <col min="7171" max="7171" width="46" style="21" bestFit="1" customWidth="1"/>
    <col min="7172" max="7172" width="1.42578125" style="21" customWidth="1"/>
    <col min="7173" max="7173" width="20.28515625" style="21" bestFit="1" customWidth="1"/>
    <col min="7174" max="7174" width="6.7109375" style="21" bestFit="1" customWidth="1"/>
    <col min="7175" max="7176" width="0" style="21" hidden="1" customWidth="1"/>
    <col min="7177" max="7177" width="15.85546875" style="21" bestFit="1" customWidth="1"/>
    <col min="7178" max="7178" width="1.5703125" style="21" customWidth="1"/>
    <col min="7179" max="7179" width="9.28515625" style="21" customWidth="1"/>
    <col min="7180" max="7180" width="12" style="21" customWidth="1"/>
    <col min="7181" max="7181" width="12.85546875" style="21" customWidth="1"/>
    <col min="7182" max="7182" width="2.42578125" style="21" customWidth="1"/>
    <col min="7183" max="7183" width="12" style="21" customWidth="1"/>
    <col min="7184" max="7184" width="9.28515625" style="21" customWidth="1"/>
    <col min="7185" max="7185" width="12.85546875" style="21" customWidth="1"/>
    <col min="7186" max="7186" width="1.42578125" style="21" customWidth="1"/>
    <col min="7187" max="7187" width="12" style="21" customWidth="1"/>
    <col min="7188" max="7188" width="9.28515625" style="21" customWidth="1"/>
    <col min="7189" max="7189" width="12.85546875" style="21" customWidth="1"/>
    <col min="7190" max="7190" width="2.85546875" style="21" customWidth="1"/>
    <col min="7191" max="7191" width="12.7109375" style="21" customWidth="1"/>
    <col min="7192" max="7192" width="12" style="21" customWidth="1"/>
    <col min="7193" max="7193" width="12.85546875" style="21" customWidth="1"/>
    <col min="7194" max="7194" width="1.5703125" style="21" customWidth="1"/>
    <col min="7195" max="7195" width="9.28515625" style="21" customWidth="1"/>
    <col min="7196" max="7196" width="12" style="21" customWidth="1"/>
    <col min="7197" max="7197" width="12.85546875" style="21" customWidth="1"/>
    <col min="7198" max="7198" width="0" style="21" hidden="1" customWidth="1"/>
    <col min="7199" max="7199" width="1.85546875" style="21" customWidth="1"/>
    <col min="7200" max="7200" width="9.28515625" style="21" customWidth="1"/>
    <col min="7201" max="7201" width="12" style="21" customWidth="1"/>
    <col min="7202" max="7202" width="12.85546875" style="21" customWidth="1"/>
    <col min="7203" max="7203" width="1.7109375" style="21" customWidth="1"/>
    <col min="7204" max="7204" width="9.28515625" style="21" customWidth="1"/>
    <col min="7205" max="7205" width="12" style="21" customWidth="1"/>
    <col min="7206" max="7206" width="12.85546875" style="21" customWidth="1"/>
    <col min="7207" max="7207" width="0.5703125" style="21" customWidth="1"/>
    <col min="7208" max="7208" width="9.28515625" style="21" customWidth="1"/>
    <col min="7209" max="7210" width="12.85546875" style="21" customWidth="1"/>
    <col min="7211" max="7211" width="0.5703125" style="21" customWidth="1"/>
    <col min="7212" max="7212" width="13" style="21" customWidth="1"/>
    <col min="7213" max="7213" width="12" style="21" customWidth="1"/>
    <col min="7214" max="7214" width="12.85546875" style="21" customWidth="1"/>
    <col min="7215" max="7215" width="0.42578125" style="21" customWidth="1"/>
    <col min="7216" max="7216" width="13.5703125" style="21" customWidth="1"/>
    <col min="7217" max="7217" width="12" style="21" customWidth="1"/>
    <col min="7218" max="7218" width="12.85546875" style="21" customWidth="1"/>
    <col min="7219" max="7219" width="1.140625" style="21" customWidth="1"/>
    <col min="7220" max="7220" width="13.5703125" style="21" customWidth="1"/>
    <col min="7221" max="7221" width="12" style="21" customWidth="1"/>
    <col min="7222" max="7222" width="12.85546875" style="21" customWidth="1"/>
    <col min="7223" max="7223" width="1.140625" style="21" customWidth="1"/>
    <col min="7224" max="7224" width="13.140625" style="21" customWidth="1"/>
    <col min="7225" max="7225" width="12" style="21" customWidth="1"/>
    <col min="7226" max="7226" width="12.85546875" style="21" customWidth="1"/>
    <col min="7227" max="7227" width="1.5703125" style="21" customWidth="1"/>
    <col min="7228" max="7228" width="16.85546875" style="21" customWidth="1"/>
    <col min="7229" max="7229" width="14.28515625" style="21" customWidth="1"/>
    <col min="7230" max="7230" width="17.140625" style="21" customWidth="1"/>
    <col min="7231" max="7231" width="1.42578125" style="21" customWidth="1"/>
    <col min="7232" max="7232" width="9.28515625" style="21" customWidth="1"/>
    <col min="7233" max="7233" width="12" style="21" customWidth="1"/>
    <col min="7234" max="7234" width="12.85546875" style="21" customWidth="1"/>
    <col min="7235" max="7235" width="2.42578125" style="21" customWidth="1"/>
    <col min="7236" max="7236" width="12" style="21" customWidth="1"/>
    <col min="7237" max="7237" width="9.28515625" style="21" customWidth="1"/>
    <col min="7238" max="7238" width="12.85546875" style="21" customWidth="1"/>
    <col min="7239" max="7239" width="1.42578125" style="21" customWidth="1"/>
    <col min="7240" max="7240" width="12" style="21" customWidth="1"/>
    <col min="7241" max="7241" width="9.28515625" style="21" customWidth="1"/>
    <col min="7242" max="7242" width="12.85546875" style="21" customWidth="1"/>
    <col min="7243" max="7243" width="2.85546875" style="21" customWidth="1"/>
    <col min="7244" max="7244" width="12.7109375" style="21" customWidth="1"/>
    <col min="7245" max="7245" width="12" style="21" customWidth="1"/>
    <col min="7246" max="7246" width="12.85546875" style="21" customWidth="1"/>
    <col min="7247" max="7247" width="1.5703125" style="21" customWidth="1"/>
    <col min="7248" max="7279" width="0" style="21" hidden="1" customWidth="1"/>
    <col min="7280" max="7280" width="1.5703125" style="21" customWidth="1"/>
    <col min="7281" max="7281" width="16.85546875" style="21" customWidth="1"/>
    <col min="7282" max="7282" width="14.28515625" style="21" customWidth="1"/>
    <col min="7283" max="7283" width="17.140625" style="21" customWidth="1"/>
    <col min="7284" max="7424" width="9.140625" style="21"/>
    <col min="7425" max="7425" width="0.85546875" style="21" customWidth="1"/>
    <col min="7426" max="7426" width="5.5703125" style="21" bestFit="1" customWidth="1"/>
    <col min="7427" max="7427" width="46" style="21" bestFit="1" customWidth="1"/>
    <col min="7428" max="7428" width="1.42578125" style="21" customWidth="1"/>
    <col min="7429" max="7429" width="20.28515625" style="21" bestFit="1" customWidth="1"/>
    <col min="7430" max="7430" width="6.7109375" style="21" bestFit="1" customWidth="1"/>
    <col min="7431" max="7432" width="0" style="21" hidden="1" customWidth="1"/>
    <col min="7433" max="7433" width="15.85546875" style="21" bestFit="1" customWidth="1"/>
    <col min="7434" max="7434" width="1.5703125" style="21" customWidth="1"/>
    <col min="7435" max="7435" width="9.28515625" style="21" customWidth="1"/>
    <col min="7436" max="7436" width="12" style="21" customWidth="1"/>
    <col min="7437" max="7437" width="12.85546875" style="21" customWidth="1"/>
    <col min="7438" max="7438" width="2.42578125" style="21" customWidth="1"/>
    <col min="7439" max="7439" width="12" style="21" customWidth="1"/>
    <col min="7440" max="7440" width="9.28515625" style="21" customWidth="1"/>
    <col min="7441" max="7441" width="12.85546875" style="21" customWidth="1"/>
    <col min="7442" max="7442" width="1.42578125" style="21" customWidth="1"/>
    <col min="7443" max="7443" width="12" style="21" customWidth="1"/>
    <col min="7444" max="7444" width="9.28515625" style="21" customWidth="1"/>
    <col min="7445" max="7445" width="12.85546875" style="21" customWidth="1"/>
    <col min="7446" max="7446" width="2.85546875" style="21" customWidth="1"/>
    <col min="7447" max="7447" width="12.7109375" style="21" customWidth="1"/>
    <col min="7448" max="7448" width="12" style="21" customWidth="1"/>
    <col min="7449" max="7449" width="12.85546875" style="21" customWidth="1"/>
    <col min="7450" max="7450" width="1.5703125" style="21" customWidth="1"/>
    <col min="7451" max="7451" width="9.28515625" style="21" customWidth="1"/>
    <col min="7452" max="7452" width="12" style="21" customWidth="1"/>
    <col min="7453" max="7453" width="12.85546875" style="21" customWidth="1"/>
    <col min="7454" max="7454" width="0" style="21" hidden="1" customWidth="1"/>
    <col min="7455" max="7455" width="1.85546875" style="21" customWidth="1"/>
    <col min="7456" max="7456" width="9.28515625" style="21" customWidth="1"/>
    <col min="7457" max="7457" width="12" style="21" customWidth="1"/>
    <col min="7458" max="7458" width="12.85546875" style="21" customWidth="1"/>
    <col min="7459" max="7459" width="1.7109375" style="21" customWidth="1"/>
    <col min="7460" max="7460" width="9.28515625" style="21" customWidth="1"/>
    <col min="7461" max="7461" width="12" style="21" customWidth="1"/>
    <col min="7462" max="7462" width="12.85546875" style="21" customWidth="1"/>
    <col min="7463" max="7463" width="0.5703125" style="21" customWidth="1"/>
    <col min="7464" max="7464" width="9.28515625" style="21" customWidth="1"/>
    <col min="7465" max="7466" width="12.85546875" style="21" customWidth="1"/>
    <col min="7467" max="7467" width="0.5703125" style="21" customWidth="1"/>
    <col min="7468" max="7468" width="13" style="21" customWidth="1"/>
    <col min="7469" max="7469" width="12" style="21" customWidth="1"/>
    <col min="7470" max="7470" width="12.85546875" style="21" customWidth="1"/>
    <col min="7471" max="7471" width="0.42578125" style="21" customWidth="1"/>
    <col min="7472" max="7472" width="13.5703125" style="21" customWidth="1"/>
    <col min="7473" max="7473" width="12" style="21" customWidth="1"/>
    <col min="7474" max="7474" width="12.85546875" style="21" customWidth="1"/>
    <col min="7475" max="7475" width="1.140625" style="21" customWidth="1"/>
    <col min="7476" max="7476" width="13.5703125" style="21" customWidth="1"/>
    <col min="7477" max="7477" width="12" style="21" customWidth="1"/>
    <col min="7478" max="7478" width="12.85546875" style="21" customWidth="1"/>
    <col min="7479" max="7479" width="1.140625" style="21" customWidth="1"/>
    <col min="7480" max="7480" width="13.140625" style="21" customWidth="1"/>
    <col min="7481" max="7481" width="12" style="21" customWidth="1"/>
    <col min="7482" max="7482" width="12.85546875" style="21" customWidth="1"/>
    <col min="7483" max="7483" width="1.5703125" style="21" customWidth="1"/>
    <col min="7484" max="7484" width="16.85546875" style="21" customWidth="1"/>
    <col min="7485" max="7485" width="14.28515625" style="21" customWidth="1"/>
    <col min="7486" max="7486" width="17.140625" style="21" customWidth="1"/>
    <col min="7487" max="7487" width="1.42578125" style="21" customWidth="1"/>
    <col min="7488" max="7488" width="9.28515625" style="21" customWidth="1"/>
    <col min="7489" max="7489" width="12" style="21" customWidth="1"/>
    <col min="7490" max="7490" width="12.85546875" style="21" customWidth="1"/>
    <col min="7491" max="7491" width="2.42578125" style="21" customWidth="1"/>
    <col min="7492" max="7492" width="12" style="21" customWidth="1"/>
    <col min="7493" max="7493" width="9.28515625" style="21" customWidth="1"/>
    <col min="7494" max="7494" width="12.85546875" style="21" customWidth="1"/>
    <col min="7495" max="7495" width="1.42578125" style="21" customWidth="1"/>
    <col min="7496" max="7496" width="12" style="21" customWidth="1"/>
    <col min="7497" max="7497" width="9.28515625" style="21" customWidth="1"/>
    <col min="7498" max="7498" width="12.85546875" style="21" customWidth="1"/>
    <col min="7499" max="7499" width="2.85546875" style="21" customWidth="1"/>
    <col min="7500" max="7500" width="12.7109375" style="21" customWidth="1"/>
    <col min="7501" max="7501" width="12" style="21" customWidth="1"/>
    <col min="7502" max="7502" width="12.85546875" style="21" customWidth="1"/>
    <col min="7503" max="7503" width="1.5703125" style="21" customWidth="1"/>
    <col min="7504" max="7535" width="0" style="21" hidden="1" customWidth="1"/>
    <col min="7536" max="7536" width="1.5703125" style="21" customWidth="1"/>
    <col min="7537" max="7537" width="16.85546875" style="21" customWidth="1"/>
    <col min="7538" max="7538" width="14.28515625" style="21" customWidth="1"/>
    <col min="7539" max="7539" width="17.140625" style="21" customWidth="1"/>
    <col min="7540" max="7680" width="9.140625" style="21"/>
    <col min="7681" max="7681" width="0.85546875" style="21" customWidth="1"/>
    <col min="7682" max="7682" width="5.5703125" style="21" bestFit="1" customWidth="1"/>
    <col min="7683" max="7683" width="46" style="21" bestFit="1" customWidth="1"/>
    <col min="7684" max="7684" width="1.42578125" style="21" customWidth="1"/>
    <col min="7685" max="7685" width="20.28515625" style="21" bestFit="1" customWidth="1"/>
    <col min="7686" max="7686" width="6.7109375" style="21" bestFit="1" customWidth="1"/>
    <col min="7687" max="7688" width="0" style="21" hidden="1" customWidth="1"/>
    <col min="7689" max="7689" width="15.85546875" style="21" bestFit="1" customWidth="1"/>
    <col min="7690" max="7690" width="1.5703125" style="21" customWidth="1"/>
    <col min="7691" max="7691" width="9.28515625" style="21" customWidth="1"/>
    <col min="7692" max="7692" width="12" style="21" customWidth="1"/>
    <col min="7693" max="7693" width="12.85546875" style="21" customWidth="1"/>
    <col min="7694" max="7694" width="2.42578125" style="21" customWidth="1"/>
    <col min="7695" max="7695" width="12" style="21" customWidth="1"/>
    <col min="7696" max="7696" width="9.28515625" style="21" customWidth="1"/>
    <col min="7697" max="7697" width="12.85546875" style="21" customWidth="1"/>
    <col min="7698" max="7698" width="1.42578125" style="21" customWidth="1"/>
    <col min="7699" max="7699" width="12" style="21" customWidth="1"/>
    <col min="7700" max="7700" width="9.28515625" style="21" customWidth="1"/>
    <col min="7701" max="7701" width="12.85546875" style="21" customWidth="1"/>
    <col min="7702" max="7702" width="2.85546875" style="21" customWidth="1"/>
    <col min="7703" max="7703" width="12.7109375" style="21" customWidth="1"/>
    <col min="7704" max="7704" width="12" style="21" customWidth="1"/>
    <col min="7705" max="7705" width="12.85546875" style="21" customWidth="1"/>
    <col min="7706" max="7706" width="1.5703125" style="21" customWidth="1"/>
    <col min="7707" max="7707" width="9.28515625" style="21" customWidth="1"/>
    <col min="7708" max="7708" width="12" style="21" customWidth="1"/>
    <col min="7709" max="7709" width="12.85546875" style="21" customWidth="1"/>
    <col min="7710" max="7710" width="0" style="21" hidden="1" customWidth="1"/>
    <col min="7711" max="7711" width="1.85546875" style="21" customWidth="1"/>
    <col min="7712" max="7712" width="9.28515625" style="21" customWidth="1"/>
    <col min="7713" max="7713" width="12" style="21" customWidth="1"/>
    <col min="7714" max="7714" width="12.85546875" style="21" customWidth="1"/>
    <col min="7715" max="7715" width="1.7109375" style="21" customWidth="1"/>
    <col min="7716" max="7716" width="9.28515625" style="21" customWidth="1"/>
    <col min="7717" max="7717" width="12" style="21" customWidth="1"/>
    <col min="7718" max="7718" width="12.85546875" style="21" customWidth="1"/>
    <col min="7719" max="7719" width="0.5703125" style="21" customWidth="1"/>
    <col min="7720" max="7720" width="9.28515625" style="21" customWidth="1"/>
    <col min="7721" max="7722" width="12.85546875" style="21" customWidth="1"/>
    <col min="7723" max="7723" width="0.5703125" style="21" customWidth="1"/>
    <col min="7724" max="7724" width="13" style="21" customWidth="1"/>
    <col min="7725" max="7725" width="12" style="21" customWidth="1"/>
    <col min="7726" max="7726" width="12.85546875" style="21" customWidth="1"/>
    <col min="7727" max="7727" width="0.42578125" style="21" customWidth="1"/>
    <col min="7728" max="7728" width="13.5703125" style="21" customWidth="1"/>
    <col min="7729" max="7729" width="12" style="21" customWidth="1"/>
    <col min="7730" max="7730" width="12.85546875" style="21" customWidth="1"/>
    <col min="7731" max="7731" width="1.140625" style="21" customWidth="1"/>
    <col min="7732" max="7732" width="13.5703125" style="21" customWidth="1"/>
    <col min="7733" max="7733" width="12" style="21" customWidth="1"/>
    <col min="7734" max="7734" width="12.85546875" style="21" customWidth="1"/>
    <col min="7735" max="7735" width="1.140625" style="21" customWidth="1"/>
    <col min="7736" max="7736" width="13.140625" style="21" customWidth="1"/>
    <col min="7737" max="7737" width="12" style="21" customWidth="1"/>
    <col min="7738" max="7738" width="12.85546875" style="21" customWidth="1"/>
    <col min="7739" max="7739" width="1.5703125" style="21" customWidth="1"/>
    <col min="7740" max="7740" width="16.85546875" style="21" customWidth="1"/>
    <col min="7741" max="7741" width="14.28515625" style="21" customWidth="1"/>
    <col min="7742" max="7742" width="17.140625" style="21" customWidth="1"/>
    <col min="7743" max="7743" width="1.42578125" style="21" customWidth="1"/>
    <col min="7744" max="7744" width="9.28515625" style="21" customWidth="1"/>
    <col min="7745" max="7745" width="12" style="21" customWidth="1"/>
    <col min="7746" max="7746" width="12.85546875" style="21" customWidth="1"/>
    <col min="7747" max="7747" width="2.42578125" style="21" customWidth="1"/>
    <col min="7748" max="7748" width="12" style="21" customWidth="1"/>
    <col min="7749" max="7749" width="9.28515625" style="21" customWidth="1"/>
    <col min="7750" max="7750" width="12.85546875" style="21" customWidth="1"/>
    <col min="7751" max="7751" width="1.42578125" style="21" customWidth="1"/>
    <col min="7752" max="7752" width="12" style="21" customWidth="1"/>
    <col min="7753" max="7753" width="9.28515625" style="21" customWidth="1"/>
    <col min="7754" max="7754" width="12.85546875" style="21" customWidth="1"/>
    <col min="7755" max="7755" width="2.85546875" style="21" customWidth="1"/>
    <col min="7756" max="7756" width="12.7109375" style="21" customWidth="1"/>
    <col min="7757" max="7757" width="12" style="21" customWidth="1"/>
    <col min="7758" max="7758" width="12.85546875" style="21" customWidth="1"/>
    <col min="7759" max="7759" width="1.5703125" style="21" customWidth="1"/>
    <col min="7760" max="7791" width="0" style="21" hidden="1" customWidth="1"/>
    <col min="7792" max="7792" width="1.5703125" style="21" customWidth="1"/>
    <col min="7793" max="7793" width="16.85546875" style="21" customWidth="1"/>
    <col min="7794" max="7794" width="14.28515625" style="21" customWidth="1"/>
    <col min="7795" max="7795" width="17.140625" style="21" customWidth="1"/>
    <col min="7796" max="7936" width="9.140625" style="21"/>
    <col min="7937" max="7937" width="0.85546875" style="21" customWidth="1"/>
    <col min="7938" max="7938" width="5.5703125" style="21" bestFit="1" customWidth="1"/>
    <col min="7939" max="7939" width="46" style="21" bestFit="1" customWidth="1"/>
    <col min="7940" max="7940" width="1.42578125" style="21" customWidth="1"/>
    <col min="7941" max="7941" width="20.28515625" style="21" bestFit="1" customWidth="1"/>
    <col min="7942" max="7942" width="6.7109375" style="21" bestFit="1" customWidth="1"/>
    <col min="7943" max="7944" width="0" style="21" hidden="1" customWidth="1"/>
    <col min="7945" max="7945" width="15.85546875" style="21" bestFit="1" customWidth="1"/>
    <col min="7946" max="7946" width="1.5703125" style="21" customWidth="1"/>
    <col min="7947" max="7947" width="9.28515625" style="21" customWidth="1"/>
    <col min="7948" max="7948" width="12" style="21" customWidth="1"/>
    <col min="7949" max="7949" width="12.85546875" style="21" customWidth="1"/>
    <col min="7950" max="7950" width="2.42578125" style="21" customWidth="1"/>
    <col min="7951" max="7951" width="12" style="21" customWidth="1"/>
    <col min="7952" max="7952" width="9.28515625" style="21" customWidth="1"/>
    <col min="7953" max="7953" width="12.85546875" style="21" customWidth="1"/>
    <col min="7954" max="7954" width="1.42578125" style="21" customWidth="1"/>
    <col min="7955" max="7955" width="12" style="21" customWidth="1"/>
    <col min="7956" max="7956" width="9.28515625" style="21" customWidth="1"/>
    <col min="7957" max="7957" width="12.85546875" style="21" customWidth="1"/>
    <col min="7958" max="7958" width="2.85546875" style="21" customWidth="1"/>
    <col min="7959" max="7959" width="12.7109375" style="21" customWidth="1"/>
    <col min="7960" max="7960" width="12" style="21" customWidth="1"/>
    <col min="7961" max="7961" width="12.85546875" style="21" customWidth="1"/>
    <col min="7962" max="7962" width="1.5703125" style="21" customWidth="1"/>
    <col min="7963" max="7963" width="9.28515625" style="21" customWidth="1"/>
    <col min="7964" max="7964" width="12" style="21" customWidth="1"/>
    <col min="7965" max="7965" width="12.85546875" style="21" customWidth="1"/>
    <col min="7966" max="7966" width="0" style="21" hidden="1" customWidth="1"/>
    <col min="7967" max="7967" width="1.85546875" style="21" customWidth="1"/>
    <col min="7968" max="7968" width="9.28515625" style="21" customWidth="1"/>
    <col min="7969" max="7969" width="12" style="21" customWidth="1"/>
    <col min="7970" max="7970" width="12.85546875" style="21" customWidth="1"/>
    <col min="7971" max="7971" width="1.7109375" style="21" customWidth="1"/>
    <col min="7972" max="7972" width="9.28515625" style="21" customWidth="1"/>
    <col min="7973" max="7973" width="12" style="21" customWidth="1"/>
    <col min="7974" max="7974" width="12.85546875" style="21" customWidth="1"/>
    <col min="7975" max="7975" width="0.5703125" style="21" customWidth="1"/>
    <col min="7976" max="7976" width="9.28515625" style="21" customWidth="1"/>
    <col min="7977" max="7978" width="12.85546875" style="21" customWidth="1"/>
    <col min="7979" max="7979" width="0.5703125" style="21" customWidth="1"/>
    <col min="7980" max="7980" width="13" style="21" customWidth="1"/>
    <col min="7981" max="7981" width="12" style="21" customWidth="1"/>
    <col min="7982" max="7982" width="12.85546875" style="21" customWidth="1"/>
    <col min="7983" max="7983" width="0.42578125" style="21" customWidth="1"/>
    <col min="7984" max="7984" width="13.5703125" style="21" customWidth="1"/>
    <col min="7985" max="7985" width="12" style="21" customWidth="1"/>
    <col min="7986" max="7986" width="12.85546875" style="21" customWidth="1"/>
    <col min="7987" max="7987" width="1.140625" style="21" customWidth="1"/>
    <col min="7988" max="7988" width="13.5703125" style="21" customWidth="1"/>
    <col min="7989" max="7989" width="12" style="21" customWidth="1"/>
    <col min="7990" max="7990" width="12.85546875" style="21" customWidth="1"/>
    <col min="7991" max="7991" width="1.140625" style="21" customWidth="1"/>
    <col min="7992" max="7992" width="13.140625" style="21" customWidth="1"/>
    <col min="7993" max="7993" width="12" style="21" customWidth="1"/>
    <col min="7994" max="7994" width="12.85546875" style="21" customWidth="1"/>
    <col min="7995" max="7995" width="1.5703125" style="21" customWidth="1"/>
    <col min="7996" max="7996" width="16.85546875" style="21" customWidth="1"/>
    <col min="7997" max="7997" width="14.28515625" style="21" customWidth="1"/>
    <col min="7998" max="7998" width="17.140625" style="21" customWidth="1"/>
    <col min="7999" max="7999" width="1.42578125" style="21" customWidth="1"/>
    <col min="8000" max="8000" width="9.28515625" style="21" customWidth="1"/>
    <col min="8001" max="8001" width="12" style="21" customWidth="1"/>
    <col min="8002" max="8002" width="12.85546875" style="21" customWidth="1"/>
    <col min="8003" max="8003" width="2.42578125" style="21" customWidth="1"/>
    <col min="8004" max="8004" width="12" style="21" customWidth="1"/>
    <col min="8005" max="8005" width="9.28515625" style="21" customWidth="1"/>
    <col min="8006" max="8006" width="12.85546875" style="21" customWidth="1"/>
    <col min="8007" max="8007" width="1.42578125" style="21" customWidth="1"/>
    <col min="8008" max="8008" width="12" style="21" customWidth="1"/>
    <col min="8009" max="8009" width="9.28515625" style="21" customWidth="1"/>
    <col min="8010" max="8010" width="12.85546875" style="21" customWidth="1"/>
    <col min="8011" max="8011" width="2.85546875" style="21" customWidth="1"/>
    <col min="8012" max="8012" width="12.7109375" style="21" customWidth="1"/>
    <col min="8013" max="8013" width="12" style="21" customWidth="1"/>
    <col min="8014" max="8014" width="12.85546875" style="21" customWidth="1"/>
    <col min="8015" max="8015" width="1.5703125" style="21" customWidth="1"/>
    <col min="8016" max="8047" width="0" style="21" hidden="1" customWidth="1"/>
    <col min="8048" max="8048" width="1.5703125" style="21" customWidth="1"/>
    <col min="8049" max="8049" width="16.85546875" style="21" customWidth="1"/>
    <col min="8050" max="8050" width="14.28515625" style="21" customWidth="1"/>
    <col min="8051" max="8051" width="17.140625" style="21" customWidth="1"/>
    <col min="8052" max="8192" width="9.140625" style="21"/>
    <col min="8193" max="8193" width="0.85546875" style="21" customWidth="1"/>
    <col min="8194" max="8194" width="5.5703125" style="21" bestFit="1" customWidth="1"/>
    <col min="8195" max="8195" width="46" style="21" bestFit="1" customWidth="1"/>
    <col min="8196" max="8196" width="1.42578125" style="21" customWidth="1"/>
    <col min="8197" max="8197" width="20.28515625" style="21" bestFit="1" customWidth="1"/>
    <col min="8198" max="8198" width="6.7109375" style="21" bestFit="1" customWidth="1"/>
    <col min="8199" max="8200" width="0" style="21" hidden="1" customWidth="1"/>
    <col min="8201" max="8201" width="15.85546875" style="21" bestFit="1" customWidth="1"/>
    <col min="8202" max="8202" width="1.5703125" style="21" customWidth="1"/>
    <col min="8203" max="8203" width="9.28515625" style="21" customWidth="1"/>
    <col min="8204" max="8204" width="12" style="21" customWidth="1"/>
    <col min="8205" max="8205" width="12.85546875" style="21" customWidth="1"/>
    <col min="8206" max="8206" width="2.42578125" style="21" customWidth="1"/>
    <col min="8207" max="8207" width="12" style="21" customWidth="1"/>
    <col min="8208" max="8208" width="9.28515625" style="21" customWidth="1"/>
    <col min="8209" max="8209" width="12.85546875" style="21" customWidth="1"/>
    <col min="8210" max="8210" width="1.42578125" style="21" customWidth="1"/>
    <col min="8211" max="8211" width="12" style="21" customWidth="1"/>
    <col min="8212" max="8212" width="9.28515625" style="21" customWidth="1"/>
    <col min="8213" max="8213" width="12.85546875" style="21" customWidth="1"/>
    <col min="8214" max="8214" width="2.85546875" style="21" customWidth="1"/>
    <col min="8215" max="8215" width="12.7109375" style="21" customWidth="1"/>
    <col min="8216" max="8216" width="12" style="21" customWidth="1"/>
    <col min="8217" max="8217" width="12.85546875" style="21" customWidth="1"/>
    <col min="8218" max="8218" width="1.5703125" style="21" customWidth="1"/>
    <col min="8219" max="8219" width="9.28515625" style="21" customWidth="1"/>
    <col min="8220" max="8220" width="12" style="21" customWidth="1"/>
    <col min="8221" max="8221" width="12.85546875" style="21" customWidth="1"/>
    <col min="8222" max="8222" width="0" style="21" hidden="1" customWidth="1"/>
    <col min="8223" max="8223" width="1.85546875" style="21" customWidth="1"/>
    <col min="8224" max="8224" width="9.28515625" style="21" customWidth="1"/>
    <col min="8225" max="8225" width="12" style="21" customWidth="1"/>
    <col min="8226" max="8226" width="12.85546875" style="21" customWidth="1"/>
    <col min="8227" max="8227" width="1.7109375" style="21" customWidth="1"/>
    <col min="8228" max="8228" width="9.28515625" style="21" customWidth="1"/>
    <col min="8229" max="8229" width="12" style="21" customWidth="1"/>
    <col min="8230" max="8230" width="12.85546875" style="21" customWidth="1"/>
    <col min="8231" max="8231" width="0.5703125" style="21" customWidth="1"/>
    <col min="8232" max="8232" width="9.28515625" style="21" customWidth="1"/>
    <col min="8233" max="8234" width="12.85546875" style="21" customWidth="1"/>
    <col min="8235" max="8235" width="0.5703125" style="21" customWidth="1"/>
    <col min="8236" max="8236" width="13" style="21" customWidth="1"/>
    <col min="8237" max="8237" width="12" style="21" customWidth="1"/>
    <col min="8238" max="8238" width="12.85546875" style="21" customWidth="1"/>
    <col min="8239" max="8239" width="0.42578125" style="21" customWidth="1"/>
    <col min="8240" max="8240" width="13.5703125" style="21" customWidth="1"/>
    <col min="8241" max="8241" width="12" style="21" customWidth="1"/>
    <col min="8242" max="8242" width="12.85546875" style="21" customWidth="1"/>
    <col min="8243" max="8243" width="1.140625" style="21" customWidth="1"/>
    <col min="8244" max="8244" width="13.5703125" style="21" customWidth="1"/>
    <col min="8245" max="8245" width="12" style="21" customWidth="1"/>
    <col min="8246" max="8246" width="12.85546875" style="21" customWidth="1"/>
    <col min="8247" max="8247" width="1.140625" style="21" customWidth="1"/>
    <col min="8248" max="8248" width="13.140625" style="21" customWidth="1"/>
    <col min="8249" max="8249" width="12" style="21" customWidth="1"/>
    <col min="8250" max="8250" width="12.85546875" style="21" customWidth="1"/>
    <col min="8251" max="8251" width="1.5703125" style="21" customWidth="1"/>
    <col min="8252" max="8252" width="16.85546875" style="21" customWidth="1"/>
    <col min="8253" max="8253" width="14.28515625" style="21" customWidth="1"/>
    <col min="8254" max="8254" width="17.140625" style="21" customWidth="1"/>
    <col min="8255" max="8255" width="1.42578125" style="21" customWidth="1"/>
    <col min="8256" max="8256" width="9.28515625" style="21" customWidth="1"/>
    <col min="8257" max="8257" width="12" style="21" customWidth="1"/>
    <col min="8258" max="8258" width="12.85546875" style="21" customWidth="1"/>
    <col min="8259" max="8259" width="2.42578125" style="21" customWidth="1"/>
    <col min="8260" max="8260" width="12" style="21" customWidth="1"/>
    <col min="8261" max="8261" width="9.28515625" style="21" customWidth="1"/>
    <col min="8262" max="8262" width="12.85546875" style="21" customWidth="1"/>
    <col min="8263" max="8263" width="1.42578125" style="21" customWidth="1"/>
    <col min="8264" max="8264" width="12" style="21" customWidth="1"/>
    <col min="8265" max="8265" width="9.28515625" style="21" customWidth="1"/>
    <col min="8266" max="8266" width="12.85546875" style="21" customWidth="1"/>
    <col min="8267" max="8267" width="2.85546875" style="21" customWidth="1"/>
    <col min="8268" max="8268" width="12.7109375" style="21" customWidth="1"/>
    <col min="8269" max="8269" width="12" style="21" customWidth="1"/>
    <col min="8270" max="8270" width="12.85546875" style="21" customWidth="1"/>
    <col min="8271" max="8271" width="1.5703125" style="21" customWidth="1"/>
    <col min="8272" max="8303" width="0" style="21" hidden="1" customWidth="1"/>
    <col min="8304" max="8304" width="1.5703125" style="21" customWidth="1"/>
    <col min="8305" max="8305" width="16.85546875" style="21" customWidth="1"/>
    <col min="8306" max="8306" width="14.28515625" style="21" customWidth="1"/>
    <col min="8307" max="8307" width="17.140625" style="21" customWidth="1"/>
    <col min="8308" max="8448" width="9.140625" style="21"/>
    <col min="8449" max="8449" width="0.85546875" style="21" customWidth="1"/>
    <col min="8450" max="8450" width="5.5703125" style="21" bestFit="1" customWidth="1"/>
    <col min="8451" max="8451" width="46" style="21" bestFit="1" customWidth="1"/>
    <col min="8452" max="8452" width="1.42578125" style="21" customWidth="1"/>
    <col min="8453" max="8453" width="20.28515625" style="21" bestFit="1" customWidth="1"/>
    <col min="8454" max="8454" width="6.7109375" style="21" bestFit="1" customWidth="1"/>
    <col min="8455" max="8456" width="0" style="21" hidden="1" customWidth="1"/>
    <col min="8457" max="8457" width="15.85546875" style="21" bestFit="1" customWidth="1"/>
    <col min="8458" max="8458" width="1.5703125" style="21" customWidth="1"/>
    <col min="8459" max="8459" width="9.28515625" style="21" customWidth="1"/>
    <col min="8460" max="8460" width="12" style="21" customWidth="1"/>
    <col min="8461" max="8461" width="12.85546875" style="21" customWidth="1"/>
    <col min="8462" max="8462" width="2.42578125" style="21" customWidth="1"/>
    <col min="8463" max="8463" width="12" style="21" customWidth="1"/>
    <col min="8464" max="8464" width="9.28515625" style="21" customWidth="1"/>
    <col min="8465" max="8465" width="12.85546875" style="21" customWidth="1"/>
    <col min="8466" max="8466" width="1.42578125" style="21" customWidth="1"/>
    <col min="8467" max="8467" width="12" style="21" customWidth="1"/>
    <col min="8468" max="8468" width="9.28515625" style="21" customWidth="1"/>
    <col min="8469" max="8469" width="12.85546875" style="21" customWidth="1"/>
    <col min="8470" max="8470" width="2.85546875" style="21" customWidth="1"/>
    <col min="8471" max="8471" width="12.7109375" style="21" customWidth="1"/>
    <col min="8472" max="8472" width="12" style="21" customWidth="1"/>
    <col min="8473" max="8473" width="12.85546875" style="21" customWidth="1"/>
    <col min="8474" max="8474" width="1.5703125" style="21" customWidth="1"/>
    <col min="8475" max="8475" width="9.28515625" style="21" customWidth="1"/>
    <col min="8476" max="8476" width="12" style="21" customWidth="1"/>
    <col min="8477" max="8477" width="12.85546875" style="21" customWidth="1"/>
    <col min="8478" max="8478" width="0" style="21" hidden="1" customWidth="1"/>
    <col min="8479" max="8479" width="1.85546875" style="21" customWidth="1"/>
    <col min="8480" max="8480" width="9.28515625" style="21" customWidth="1"/>
    <col min="8481" max="8481" width="12" style="21" customWidth="1"/>
    <col min="8482" max="8482" width="12.85546875" style="21" customWidth="1"/>
    <col min="8483" max="8483" width="1.7109375" style="21" customWidth="1"/>
    <col min="8484" max="8484" width="9.28515625" style="21" customWidth="1"/>
    <col min="8485" max="8485" width="12" style="21" customWidth="1"/>
    <col min="8486" max="8486" width="12.85546875" style="21" customWidth="1"/>
    <col min="8487" max="8487" width="0.5703125" style="21" customWidth="1"/>
    <col min="8488" max="8488" width="9.28515625" style="21" customWidth="1"/>
    <col min="8489" max="8490" width="12.85546875" style="21" customWidth="1"/>
    <col min="8491" max="8491" width="0.5703125" style="21" customWidth="1"/>
    <col min="8492" max="8492" width="13" style="21" customWidth="1"/>
    <col min="8493" max="8493" width="12" style="21" customWidth="1"/>
    <col min="8494" max="8494" width="12.85546875" style="21" customWidth="1"/>
    <col min="8495" max="8495" width="0.42578125" style="21" customWidth="1"/>
    <col min="8496" max="8496" width="13.5703125" style="21" customWidth="1"/>
    <col min="8497" max="8497" width="12" style="21" customWidth="1"/>
    <col min="8498" max="8498" width="12.85546875" style="21" customWidth="1"/>
    <col min="8499" max="8499" width="1.140625" style="21" customWidth="1"/>
    <col min="8500" max="8500" width="13.5703125" style="21" customWidth="1"/>
    <col min="8501" max="8501" width="12" style="21" customWidth="1"/>
    <col min="8502" max="8502" width="12.85546875" style="21" customWidth="1"/>
    <col min="8503" max="8503" width="1.140625" style="21" customWidth="1"/>
    <col min="8504" max="8504" width="13.140625" style="21" customWidth="1"/>
    <col min="8505" max="8505" width="12" style="21" customWidth="1"/>
    <col min="8506" max="8506" width="12.85546875" style="21" customWidth="1"/>
    <col min="8507" max="8507" width="1.5703125" style="21" customWidth="1"/>
    <col min="8508" max="8508" width="16.85546875" style="21" customWidth="1"/>
    <col min="8509" max="8509" width="14.28515625" style="21" customWidth="1"/>
    <col min="8510" max="8510" width="17.140625" style="21" customWidth="1"/>
    <col min="8511" max="8511" width="1.42578125" style="21" customWidth="1"/>
    <col min="8512" max="8512" width="9.28515625" style="21" customWidth="1"/>
    <col min="8513" max="8513" width="12" style="21" customWidth="1"/>
    <col min="8514" max="8514" width="12.85546875" style="21" customWidth="1"/>
    <col min="8515" max="8515" width="2.42578125" style="21" customWidth="1"/>
    <col min="8516" max="8516" width="12" style="21" customWidth="1"/>
    <col min="8517" max="8517" width="9.28515625" style="21" customWidth="1"/>
    <col min="8518" max="8518" width="12.85546875" style="21" customWidth="1"/>
    <col min="8519" max="8519" width="1.42578125" style="21" customWidth="1"/>
    <col min="8520" max="8520" width="12" style="21" customWidth="1"/>
    <col min="8521" max="8521" width="9.28515625" style="21" customWidth="1"/>
    <col min="8522" max="8522" width="12.85546875" style="21" customWidth="1"/>
    <col min="8523" max="8523" width="2.85546875" style="21" customWidth="1"/>
    <col min="8524" max="8524" width="12.7109375" style="21" customWidth="1"/>
    <col min="8525" max="8525" width="12" style="21" customWidth="1"/>
    <col min="8526" max="8526" width="12.85546875" style="21" customWidth="1"/>
    <col min="8527" max="8527" width="1.5703125" style="21" customWidth="1"/>
    <col min="8528" max="8559" width="0" style="21" hidden="1" customWidth="1"/>
    <col min="8560" max="8560" width="1.5703125" style="21" customWidth="1"/>
    <col min="8561" max="8561" width="16.85546875" style="21" customWidth="1"/>
    <col min="8562" max="8562" width="14.28515625" style="21" customWidth="1"/>
    <col min="8563" max="8563" width="17.140625" style="21" customWidth="1"/>
    <col min="8564" max="8704" width="9.140625" style="21"/>
    <col min="8705" max="8705" width="0.85546875" style="21" customWidth="1"/>
    <col min="8706" max="8706" width="5.5703125" style="21" bestFit="1" customWidth="1"/>
    <col min="8707" max="8707" width="46" style="21" bestFit="1" customWidth="1"/>
    <col min="8708" max="8708" width="1.42578125" style="21" customWidth="1"/>
    <col min="8709" max="8709" width="20.28515625" style="21" bestFit="1" customWidth="1"/>
    <col min="8710" max="8710" width="6.7109375" style="21" bestFit="1" customWidth="1"/>
    <col min="8711" max="8712" width="0" style="21" hidden="1" customWidth="1"/>
    <col min="8713" max="8713" width="15.85546875" style="21" bestFit="1" customWidth="1"/>
    <col min="8714" max="8714" width="1.5703125" style="21" customWidth="1"/>
    <col min="8715" max="8715" width="9.28515625" style="21" customWidth="1"/>
    <col min="8716" max="8716" width="12" style="21" customWidth="1"/>
    <col min="8717" max="8717" width="12.85546875" style="21" customWidth="1"/>
    <col min="8718" max="8718" width="2.42578125" style="21" customWidth="1"/>
    <col min="8719" max="8719" width="12" style="21" customWidth="1"/>
    <col min="8720" max="8720" width="9.28515625" style="21" customWidth="1"/>
    <col min="8721" max="8721" width="12.85546875" style="21" customWidth="1"/>
    <col min="8722" max="8722" width="1.42578125" style="21" customWidth="1"/>
    <col min="8723" max="8723" width="12" style="21" customWidth="1"/>
    <col min="8724" max="8724" width="9.28515625" style="21" customWidth="1"/>
    <col min="8725" max="8725" width="12.85546875" style="21" customWidth="1"/>
    <col min="8726" max="8726" width="2.85546875" style="21" customWidth="1"/>
    <col min="8727" max="8727" width="12.7109375" style="21" customWidth="1"/>
    <col min="8728" max="8728" width="12" style="21" customWidth="1"/>
    <col min="8729" max="8729" width="12.85546875" style="21" customWidth="1"/>
    <col min="8730" max="8730" width="1.5703125" style="21" customWidth="1"/>
    <col min="8731" max="8731" width="9.28515625" style="21" customWidth="1"/>
    <col min="8732" max="8732" width="12" style="21" customWidth="1"/>
    <col min="8733" max="8733" width="12.85546875" style="21" customWidth="1"/>
    <col min="8734" max="8734" width="0" style="21" hidden="1" customWidth="1"/>
    <col min="8735" max="8735" width="1.85546875" style="21" customWidth="1"/>
    <col min="8736" max="8736" width="9.28515625" style="21" customWidth="1"/>
    <col min="8737" max="8737" width="12" style="21" customWidth="1"/>
    <col min="8738" max="8738" width="12.85546875" style="21" customWidth="1"/>
    <col min="8739" max="8739" width="1.7109375" style="21" customWidth="1"/>
    <col min="8740" max="8740" width="9.28515625" style="21" customWidth="1"/>
    <col min="8741" max="8741" width="12" style="21" customWidth="1"/>
    <col min="8742" max="8742" width="12.85546875" style="21" customWidth="1"/>
    <col min="8743" max="8743" width="0.5703125" style="21" customWidth="1"/>
    <col min="8744" max="8744" width="9.28515625" style="21" customWidth="1"/>
    <col min="8745" max="8746" width="12.85546875" style="21" customWidth="1"/>
    <col min="8747" max="8747" width="0.5703125" style="21" customWidth="1"/>
    <col min="8748" max="8748" width="13" style="21" customWidth="1"/>
    <col min="8749" max="8749" width="12" style="21" customWidth="1"/>
    <col min="8750" max="8750" width="12.85546875" style="21" customWidth="1"/>
    <col min="8751" max="8751" width="0.42578125" style="21" customWidth="1"/>
    <col min="8752" max="8752" width="13.5703125" style="21" customWidth="1"/>
    <col min="8753" max="8753" width="12" style="21" customWidth="1"/>
    <col min="8754" max="8754" width="12.85546875" style="21" customWidth="1"/>
    <col min="8755" max="8755" width="1.140625" style="21" customWidth="1"/>
    <col min="8756" max="8756" width="13.5703125" style="21" customWidth="1"/>
    <col min="8757" max="8757" width="12" style="21" customWidth="1"/>
    <col min="8758" max="8758" width="12.85546875" style="21" customWidth="1"/>
    <col min="8759" max="8759" width="1.140625" style="21" customWidth="1"/>
    <col min="8760" max="8760" width="13.140625" style="21" customWidth="1"/>
    <col min="8761" max="8761" width="12" style="21" customWidth="1"/>
    <col min="8762" max="8762" width="12.85546875" style="21" customWidth="1"/>
    <col min="8763" max="8763" width="1.5703125" style="21" customWidth="1"/>
    <col min="8764" max="8764" width="16.85546875" style="21" customWidth="1"/>
    <col min="8765" max="8765" width="14.28515625" style="21" customWidth="1"/>
    <col min="8766" max="8766" width="17.140625" style="21" customWidth="1"/>
    <col min="8767" max="8767" width="1.42578125" style="21" customWidth="1"/>
    <col min="8768" max="8768" width="9.28515625" style="21" customWidth="1"/>
    <col min="8769" max="8769" width="12" style="21" customWidth="1"/>
    <col min="8770" max="8770" width="12.85546875" style="21" customWidth="1"/>
    <col min="8771" max="8771" width="2.42578125" style="21" customWidth="1"/>
    <col min="8772" max="8772" width="12" style="21" customWidth="1"/>
    <col min="8773" max="8773" width="9.28515625" style="21" customWidth="1"/>
    <col min="8774" max="8774" width="12.85546875" style="21" customWidth="1"/>
    <col min="8775" max="8775" width="1.42578125" style="21" customWidth="1"/>
    <col min="8776" max="8776" width="12" style="21" customWidth="1"/>
    <col min="8777" max="8777" width="9.28515625" style="21" customWidth="1"/>
    <col min="8778" max="8778" width="12.85546875" style="21" customWidth="1"/>
    <col min="8779" max="8779" width="2.85546875" style="21" customWidth="1"/>
    <col min="8780" max="8780" width="12.7109375" style="21" customWidth="1"/>
    <col min="8781" max="8781" width="12" style="21" customWidth="1"/>
    <col min="8782" max="8782" width="12.85546875" style="21" customWidth="1"/>
    <col min="8783" max="8783" width="1.5703125" style="21" customWidth="1"/>
    <col min="8784" max="8815" width="0" style="21" hidden="1" customWidth="1"/>
    <col min="8816" max="8816" width="1.5703125" style="21" customWidth="1"/>
    <col min="8817" max="8817" width="16.85546875" style="21" customWidth="1"/>
    <col min="8818" max="8818" width="14.28515625" style="21" customWidth="1"/>
    <col min="8819" max="8819" width="17.140625" style="21" customWidth="1"/>
    <col min="8820" max="8960" width="9.140625" style="21"/>
    <col min="8961" max="8961" width="0.85546875" style="21" customWidth="1"/>
    <col min="8962" max="8962" width="5.5703125" style="21" bestFit="1" customWidth="1"/>
    <col min="8963" max="8963" width="46" style="21" bestFit="1" customWidth="1"/>
    <col min="8964" max="8964" width="1.42578125" style="21" customWidth="1"/>
    <col min="8965" max="8965" width="20.28515625" style="21" bestFit="1" customWidth="1"/>
    <col min="8966" max="8966" width="6.7109375" style="21" bestFit="1" customWidth="1"/>
    <col min="8967" max="8968" width="0" style="21" hidden="1" customWidth="1"/>
    <col min="8969" max="8969" width="15.85546875" style="21" bestFit="1" customWidth="1"/>
    <col min="8970" max="8970" width="1.5703125" style="21" customWidth="1"/>
    <col min="8971" max="8971" width="9.28515625" style="21" customWidth="1"/>
    <col min="8972" max="8972" width="12" style="21" customWidth="1"/>
    <col min="8973" max="8973" width="12.85546875" style="21" customWidth="1"/>
    <col min="8974" max="8974" width="2.42578125" style="21" customWidth="1"/>
    <col min="8975" max="8975" width="12" style="21" customWidth="1"/>
    <col min="8976" max="8976" width="9.28515625" style="21" customWidth="1"/>
    <col min="8977" max="8977" width="12.85546875" style="21" customWidth="1"/>
    <col min="8978" max="8978" width="1.42578125" style="21" customWidth="1"/>
    <col min="8979" max="8979" width="12" style="21" customWidth="1"/>
    <col min="8980" max="8980" width="9.28515625" style="21" customWidth="1"/>
    <col min="8981" max="8981" width="12.85546875" style="21" customWidth="1"/>
    <col min="8982" max="8982" width="2.85546875" style="21" customWidth="1"/>
    <col min="8983" max="8983" width="12.7109375" style="21" customWidth="1"/>
    <col min="8984" max="8984" width="12" style="21" customWidth="1"/>
    <col min="8985" max="8985" width="12.85546875" style="21" customWidth="1"/>
    <col min="8986" max="8986" width="1.5703125" style="21" customWidth="1"/>
    <col min="8987" max="8987" width="9.28515625" style="21" customWidth="1"/>
    <col min="8988" max="8988" width="12" style="21" customWidth="1"/>
    <col min="8989" max="8989" width="12.85546875" style="21" customWidth="1"/>
    <col min="8990" max="8990" width="0" style="21" hidden="1" customWidth="1"/>
    <col min="8991" max="8991" width="1.85546875" style="21" customWidth="1"/>
    <col min="8992" max="8992" width="9.28515625" style="21" customWidth="1"/>
    <col min="8993" max="8993" width="12" style="21" customWidth="1"/>
    <col min="8994" max="8994" width="12.85546875" style="21" customWidth="1"/>
    <col min="8995" max="8995" width="1.7109375" style="21" customWidth="1"/>
    <col min="8996" max="8996" width="9.28515625" style="21" customWidth="1"/>
    <col min="8997" max="8997" width="12" style="21" customWidth="1"/>
    <col min="8998" max="8998" width="12.85546875" style="21" customWidth="1"/>
    <col min="8999" max="8999" width="0.5703125" style="21" customWidth="1"/>
    <col min="9000" max="9000" width="9.28515625" style="21" customWidth="1"/>
    <col min="9001" max="9002" width="12.85546875" style="21" customWidth="1"/>
    <col min="9003" max="9003" width="0.5703125" style="21" customWidth="1"/>
    <col min="9004" max="9004" width="13" style="21" customWidth="1"/>
    <col min="9005" max="9005" width="12" style="21" customWidth="1"/>
    <col min="9006" max="9006" width="12.85546875" style="21" customWidth="1"/>
    <col min="9007" max="9007" width="0.42578125" style="21" customWidth="1"/>
    <col min="9008" max="9008" width="13.5703125" style="21" customWidth="1"/>
    <col min="9009" max="9009" width="12" style="21" customWidth="1"/>
    <col min="9010" max="9010" width="12.85546875" style="21" customWidth="1"/>
    <col min="9011" max="9011" width="1.140625" style="21" customWidth="1"/>
    <col min="9012" max="9012" width="13.5703125" style="21" customWidth="1"/>
    <col min="9013" max="9013" width="12" style="21" customWidth="1"/>
    <col min="9014" max="9014" width="12.85546875" style="21" customWidth="1"/>
    <col min="9015" max="9015" width="1.140625" style="21" customWidth="1"/>
    <col min="9016" max="9016" width="13.140625" style="21" customWidth="1"/>
    <col min="9017" max="9017" width="12" style="21" customWidth="1"/>
    <col min="9018" max="9018" width="12.85546875" style="21" customWidth="1"/>
    <col min="9019" max="9019" width="1.5703125" style="21" customWidth="1"/>
    <col min="9020" max="9020" width="16.85546875" style="21" customWidth="1"/>
    <col min="9021" max="9021" width="14.28515625" style="21" customWidth="1"/>
    <col min="9022" max="9022" width="17.140625" style="21" customWidth="1"/>
    <col min="9023" max="9023" width="1.42578125" style="21" customWidth="1"/>
    <col min="9024" max="9024" width="9.28515625" style="21" customWidth="1"/>
    <col min="9025" max="9025" width="12" style="21" customWidth="1"/>
    <col min="9026" max="9026" width="12.85546875" style="21" customWidth="1"/>
    <col min="9027" max="9027" width="2.42578125" style="21" customWidth="1"/>
    <col min="9028" max="9028" width="12" style="21" customWidth="1"/>
    <col min="9029" max="9029" width="9.28515625" style="21" customWidth="1"/>
    <col min="9030" max="9030" width="12.85546875" style="21" customWidth="1"/>
    <col min="9031" max="9031" width="1.42578125" style="21" customWidth="1"/>
    <col min="9032" max="9032" width="12" style="21" customWidth="1"/>
    <col min="9033" max="9033" width="9.28515625" style="21" customWidth="1"/>
    <col min="9034" max="9034" width="12.85546875" style="21" customWidth="1"/>
    <col min="9035" max="9035" width="2.85546875" style="21" customWidth="1"/>
    <col min="9036" max="9036" width="12.7109375" style="21" customWidth="1"/>
    <col min="9037" max="9037" width="12" style="21" customWidth="1"/>
    <col min="9038" max="9038" width="12.85546875" style="21" customWidth="1"/>
    <col min="9039" max="9039" width="1.5703125" style="21" customWidth="1"/>
    <col min="9040" max="9071" width="0" style="21" hidden="1" customWidth="1"/>
    <col min="9072" max="9072" width="1.5703125" style="21" customWidth="1"/>
    <col min="9073" max="9073" width="16.85546875" style="21" customWidth="1"/>
    <col min="9074" max="9074" width="14.28515625" style="21" customWidth="1"/>
    <col min="9075" max="9075" width="17.140625" style="21" customWidth="1"/>
    <col min="9076" max="9216" width="9.140625" style="21"/>
    <col min="9217" max="9217" width="0.85546875" style="21" customWidth="1"/>
    <col min="9218" max="9218" width="5.5703125" style="21" bestFit="1" customWidth="1"/>
    <col min="9219" max="9219" width="46" style="21" bestFit="1" customWidth="1"/>
    <col min="9220" max="9220" width="1.42578125" style="21" customWidth="1"/>
    <col min="9221" max="9221" width="20.28515625" style="21" bestFit="1" customWidth="1"/>
    <col min="9222" max="9222" width="6.7109375" style="21" bestFit="1" customWidth="1"/>
    <col min="9223" max="9224" width="0" style="21" hidden="1" customWidth="1"/>
    <col min="9225" max="9225" width="15.85546875" style="21" bestFit="1" customWidth="1"/>
    <col min="9226" max="9226" width="1.5703125" style="21" customWidth="1"/>
    <col min="9227" max="9227" width="9.28515625" style="21" customWidth="1"/>
    <col min="9228" max="9228" width="12" style="21" customWidth="1"/>
    <col min="9229" max="9229" width="12.85546875" style="21" customWidth="1"/>
    <col min="9230" max="9230" width="2.42578125" style="21" customWidth="1"/>
    <col min="9231" max="9231" width="12" style="21" customWidth="1"/>
    <col min="9232" max="9232" width="9.28515625" style="21" customWidth="1"/>
    <col min="9233" max="9233" width="12.85546875" style="21" customWidth="1"/>
    <col min="9234" max="9234" width="1.42578125" style="21" customWidth="1"/>
    <col min="9235" max="9235" width="12" style="21" customWidth="1"/>
    <col min="9236" max="9236" width="9.28515625" style="21" customWidth="1"/>
    <col min="9237" max="9237" width="12.85546875" style="21" customWidth="1"/>
    <col min="9238" max="9238" width="2.85546875" style="21" customWidth="1"/>
    <col min="9239" max="9239" width="12.7109375" style="21" customWidth="1"/>
    <col min="9240" max="9240" width="12" style="21" customWidth="1"/>
    <col min="9241" max="9241" width="12.85546875" style="21" customWidth="1"/>
    <col min="9242" max="9242" width="1.5703125" style="21" customWidth="1"/>
    <col min="9243" max="9243" width="9.28515625" style="21" customWidth="1"/>
    <col min="9244" max="9244" width="12" style="21" customWidth="1"/>
    <col min="9245" max="9245" width="12.85546875" style="21" customWidth="1"/>
    <col min="9246" max="9246" width="0" style="21" hidden="1" customWidth="1"/>
    <col min="9247" max="9247" width="1.85546875" style="21" customWidth="1"/>
    <col min="9248" max="9248" width="9.28515625" style="21" customWidth="1"/>
    <col min="9249" max="9249" width="12" style="21" customWidth="1"/>
    <col min="9250" max="9250" width="12.85546875" style="21" customWidth="1"/>
    <col min="9251" max="9251" width="1.7109375" style="21" customWidth="1"/>
    <col min="9252" max="9252" width="9.28515625" style="21" customWidth="1"/>
    <col min="9253" max="9253" width="12" style="21" customWidth="1"/>
    <col min="9254" max="9254" width="12.85546875" style="21" customWidth="1"/>
    <col min="9255" max="9255" width="0.5703125" style="21" customWidth="1"/>
    <col min="9256" max="9256" width="9.28515625" style="21" customWidth="1"/>
    <col min="9257" max="9258" width="12.85546875" style="21" customWidth="1"/>
    <col min="9259" max="9259" width="0.5703125" style="21" customWidth="1"/>
    <col min="9260" max="9260" width="13" style="21" customWidth="1"/>
    <col min="9261" max="9261" width="12" style="21" customWidth="1"/>
    <col min="9262" max="9262" width="12.85546875" style="21" customWidth="1"/>
    <col min="9263" max="9263" width="0.42578125" style="21" customWidth="1"/>
    <col min="9264" max="9264" width="13.5703125" style="21" customWidth="1"/>
    <col min="9265" max="9265" width="12" style="21" customWidth="1"/>
    <col min="9266" max="9266" width="12.85546875" style="21" customWidth="1"/>
    <col min="9267" max="9267" width="1.140625" style="21" customWidth="1"/>
    <col min="9268" max="9268" width="13.5703125" style="21" customWidth="1"/>
    <col min="9269" max="9269" width="12" style="21" customWidth="1"/>
    <col min="9270" max="9270" width="12.85546875" style="21" customWidth="1"/>
    <col min="9271" max="9271" width="1.140625" style="21" customWidth="1"/>
    <col min="9272" max="9272" width="13.140625" style="21" customWidth="1"/>
    <col min="9273" max="9273" width="12" style="21" customWidth="1"/>
    <col min="9274" max="9274" width="12.85546875" style="21" customWidth="1"/>
    <col min="9275" max="9275" width="1.5703125" style="21" customWidth="1"/>
    <col min="9276" max="9276" width="16.85546875" style="21" customWidth="1"/>
    <col min="9277" max="9277" width="14.28515625" style="21" customWidth="1"/>
    <col min="9278" max="9278" width="17.140625" style="21" customWidth="1"/>
    <col min="9279" max="9279" width="1.42578125" style="21" customWidth="1"/>
    <col min="9280" max="9280" width="9.28515625" style="21" customWidth="1"/>
    <col min="9281" max="9281" width="12" style="21" customWidth="1"/>
    <col min="9282" max="9282" width="12.85546875" style="21" customWidth="1"/>
    <col min="9283" max="9283" width="2.42578125" style="21" customWidth="1"/>
    <col min="9284" max="9284" width="12" style="21" customWidth="1"/>
    <col min="9285" max="9285" width="9.28515625" style="21" customWidth="1"/>
    <col min="9286" max="9286" width="12.85546875" style="21" customWidth="1"/>
    <col min="9287" max="9287" width="1.42578125" style="21" customWidth="1"/>
    <col min="9288" max="9288" width="12" style="21" customWidth="1"/>
    <col min="9289" max="9289" width="9.28515625" style="21" customWidth="1"/>
    <col min="9290" max="9290" width="12.85546875" style="21" customWidth="1"/>
    <col min="9291" max="9291" width="2.85546875" style="21" customWidth="1"/>
    <col min="9292" max="9292" width="12.7109375" style="21" customWidth="1"/>
    <col min="9293" max="9293" width="12" style="21" customWidth="1"/>
    <col min="9294" max="9294" width="12.85546875" style="21" customWidth="1"/>
    <col min="9295" max="9295" width="1.5703125" style="21" customWidth="1"/>
    <col min="9296" max="9327" width="0" style="21" hidden="1" customWidth="1"/>
    <col min="9328" max="9328" width="1.5703125" style="21" customWidth="1"/>
    <col min="9329" max="9329" width="16.85546875" style="21" customWidth="1"/>
    <col min="9330" max="9330" width="14.28515625" style="21" customWidth="1"/>
    <col min="9331" max="9331" width="17.140625" style="21" customWidth="1"/>
    <col min="9332" max="9472" width="9.140625" style="21"/>
    <col min="9473" max="9473" width="0.85546875" style="21" customWidth="1"/>
    <col min="9474" max="9474" width="5.5703125" style="21" bestFit="1" customWidth="1"/>
    <col min="9475" max="9475" width="46" style="21" bestFit="1" customWidth="1"/>
    <col min="9476" max="9476" width="1.42578125" style="21" customWidth="1"/>
    <col min="9477" max="9477" width="20.28515625" style="21" bestFit="1" customWidth="1"/>
    <col min="9478" max="9478" width="6.7109375" style="21" bestFit="1" customWidth="1"/>
    <col min="9479" max="9480" width="0" style="21" hidden="1" customWidth="1"/>
    <col min="9481" max="9481" width="15.85546875" style="21" bestFit="1" customWidth="1"/>
    <col min="9482" max="9482" width="1.5703125" style="21" customWidth="1"/>
    <col min="9483" max="9483" width="9.28515625" style="21" customWidth="1"/>
    <col min="9484" max="9484" width="12" style="21" customWidth="1"/>
    <col min="9485" max="9485" width="12.85546875" style="21" customWidth="1"/>
    <col min="9486" max="9486" width="2.42578125" style="21" customWidth="1"/>
    <col min="9487" max="9487" width="12" style="21" customWidth="1"/>
    <col min="9488" max="9488" width="9.28515625" style="21" customWidth="1"/>
    <col min="9489" max="9489" width="12.85546875" style="21" customWidth="1"/>
    <col min="9490" max="9490" width="1.42578125" style="21" customWidth="1"/>
    <col min="9491" max="9491" width="12" style="21" customWidth="1"/>
    <col min="9492" max="9492" width="9.28515625" style="21" customWidth="1"/>
    <col min="9493" max="9493" width="12.85546875" style="21" customWidth="1"/>
    <col min="9494" max="9494" width="2.85546875" style="21" customWidth="1"/>
    <col min="9495" max="9495" width="12.7109375" style="21" customWidth="1"/>
    <col min="9496" max="9496" width="12" style="21" customWidth="1"/>
    <col min="9497" max="9497" width="12.85546875" style="21" customWidth="1"/>
    <col min="9498" max="9498" width="1.5703125" style="21" customWidth="1"/>
    <col min="9499" max="9499" width="9.28515625" style="21" customWidth="1"/>
    <col min="9500" max="9500" width="12" style="21" customWidth="1"/>
    <col min="9501" max="9501" width="12.85546875" style="21" customWidth="1"/>
    <col min="9502" max="9502" width="0" style="21" hidden="1" customWidth="1"/>
    <col min="9503" max="9503" width="1.85546875" style="21" customWidth="1"/>
    <col min="9504" max="9504" width="9.28515625" style="21" customWidth="1"/>
    <col min="9505" max="9505" width="12" style="21" customWidth="1"/>
    <col min="9506" max="9506" width="12.85546875" style="21" customWidth="1"/>
    <col min="9507" max="9507" width="1.7109375" style="21" customWidth="1"/>
    <col min="9508" max="9508" width="9.28515625" style="21" customWidth="1"/>
    <col min="9509" max="9509" width="12" style="21" customWidth="1"/>
    <col min="9510" max="9510" width="12.85546875" style="21" customWidth="1"/>
    <col min="9511" max="9511" width="0.5703125" style="21" customWidth="1"/>
    <col min="9512" max="9512" width="9.28515625" style="21" customWidth="1"/>
    <col min="9513" max="9514" width="12.85546875" style="21" customWidth="1"/>
    <col min="9515" max="9515" width="0.5703125" style="21" customWidth="1"/>
    <col min="9516" max="9516" width="13" style="21" customWidth="1"/>
    <col min="9517" max="9517" width="12" style="21" customWidth="1"/>
    <col min="9518" max="9518" width="12.85546875" style="21" customWidth="1"/>
    <col min="9519" max="9519" width="0.42578125" style="21" customWidth="1"/>
    <col min="9520" max="9520" width="13.5703125" style="21" customWidth="1"/>
    <col min="9521" max="9521" width="12" style="21" customWidth="1"/>
    <col min="9522" max="9522" width="12.85546875" style="21" customWidth="1"/>
    <col min="9523" max="9523" width="1.140625" style="21" customWidth="1"/>
    <col min="9524" max="9524" width="13.5703125" style="21" customWidth="1"/>
    <col min="9525" max="9525" width="12" style="21" customWidth="1"/>
    <col min="9526" max="9526" width="12.85546875" style="21" customWidth="1"/>
    <col min="9527" max="9527" width="1.140625" style="21" customWidth="1"/>
    <col min="9528" max="9528" width="13.140625" style="21" customWidth="1"/>
    <col min="9529" max="9529" width="12" style="21" customWidth="1"/>
    <col min="9530" max="9530" width="12.85546875" style="21" customWidth="1"/>
    <col min="9531" max="9531" width="1.5703125" style="21" customWidth="1"/>
    <col min="9532" max="9532" width="16.85546875" style="21" customWidth="1"/>
    <col min="9533" max="9533" width="14.28515625" style="21" customWidth="1"/>
    <col min="9534" max="9534" width="17.140625" style="21" customWidth="1"/>
    <col min="9535" max="9535" width="1.42578125" style="21" customWidth="1"/>
    <col min="9536" max="9536" width="9.28515625" style="21" customWidth="1"/>
    <col min="9537" max="9537" width="12" style="21" customWidth="1"/>
    <col min="9538" max="9538" width="12.85546875" style="21" customWidth="1"/>
    <col min="9539" max="9539" width="2.42578125" style="21" customWidth="1"/>
    <col min="9540" max="9540" width="12" style="21" customWidth="1"/>
    <col min="9541" max="9541" width="9.28515625" style="21" customWidth="1"/>
    <col min="9542" max="9542" width="12.85546875" style="21" customWidth="1"/>
    <col min="9543" max="9543" width="1.42578125" style="21" customWidth="1"/>
    <col min="9544" max="9544" width="12" style="21" customWidth="1"/>
    <col min="9545" max="9545" width="9.28515625" style="21" customWidth="1"/>
    <col min="9546" max="9546" width="12.85546875" style="21" customWidth="1"/>
    <col min="9547" max="9547" width="2.85546875" style="21" customWidth="1"/>
    <col min="9548" max="9548" width="12.7109375" style="21" customWidth="1"/>
    <col min="9549" max="9549" width="12" style="21" customWidth="1"/>
    <col min="9550" max="9550" width="12.85546875" style="21" customWidth="1"/>
    <col min="9551" max="9551" width="1.5703125" style="21" customWidth="1"/>
    <col min="9552" max="9583" width="0" style="21" hidden="1" customWidth="1"/>
    <col min="9584" max="9584" width="1.5703125" style="21" customWidth="1"/>
    <col min="9585" max="9585" width="16.85546875" style="21" customWidth="1"/>
    <col min="9586" max="9586" width="14.28515625" style="21" customWidth="1"/>
    <col min="9587" max="9587" width="17.140625" style="21" customWidth="1"/>
    <col min="9588" max="9728" width="9.140625" style="21"/>
    <col min="9729" max="9729" width="0.85546875" style="21" customWidth="1"/>
    <col min="9730" max="9730" width="5.5703125" style="21" bestFit="1" customWidth="1"/>
    <col min="9731" max="9731" width="46" style="21" bestFit="1" customWidth="1"/>
    <col min="9732" max="9732" width="1.42578125" style="21" customWidth="1"/>
    <col min="9733" max="9733" width="20.28515625" style="21" bestFit="1" customWidth="1"/>
    <col min="9734" max="9734" width="6.7109375" style="21" bestFit="1" customWidth="1"/>
    <col min="9735" max="9736" width="0" style="21" hidden="1" customWidth="1"/>
    <col min="9737" max="9737" width="15.85546875" style="21" bestFit="1" customWidth="1"/>
    <col min="9738" max="9738" width="1.5703125" style="21" customWidth="1"/>
    <col min="9739" max="9739" width="9.28515625" style="21" customWidth="1"/>
    <col min="9740" max="9740" width="12" style="21" customWidth="1"/>
    <col min="9741" max="9741" width="12.85546875" style="21" customWidth="1"/>
    <col min="9742" max="9742" width="2.42578125" style="21" customWidth="1"/>
    <col min="9743" max="9743" width="12" style="21" customWidth="1"/>
    <col min="9744" max="9744" width="9.28515625" style="21" customWidth="1"/>
    <col min="9745" max="9745" width="12.85546875" style="21" customWidth="1"/>
    <col min="9746" max="9746" width="1.42578125" style="21" customWidth="1"/>
    <col min="9747" max="9747" width="12" style="21" customWidth="1"/>
    <col min="9748" max="9748" width="9.28515625" style="21" customWidth="1"/>
    <col min="9749" max="9749" width="12.85546875" style="21" customWidth="1"/>
    <col min="9750" max="9750" width="2.85546875" style="21" customWidth="1"/>
    <col min="9751" max="9751" width="12.7109375" style="21" customWidth="1"/>
    <col min="9752" max="9752" width="12" style="21" customWidth="1"/>
    <col min="9753" max="9753" width="12.85546875" style="21" customWidth="1"/>
    <col min="9754" max="9754" width="1.5703125" style="21" customWidth="1"/>
    <col min="9755" max="9755" width="9.28515625" style="21" customWidth="1"/>
    <col min="9756" max="9756" width="12" style="21" customWidth="1"/>
    <col min="9757" max="9757" width="12.85546875" style="21" customWidth="1"/>
    <col min="9758" max="9758" width="0" style="21" hidden="1" customWidth="1"/>
    <col min="9759" max="9759" width="1.85546875" style="21" customWidth="1"/>
    <col min="9760" max="9760" width="9.28515625" style="21" customWidth="1"/>
    <col min="9761" max="9761" width="12" style="21" customWidth="1"/>
    <col min="9762" max="9762" width="12.85546875" style="21" customWidth="1"/>
    <col min="9763" max="9763" width="1.7109375" style="21" customWidth="1"/>
    <col min="9764" max="9764" width="9.28515625" style="21" customWidth="1"/>
    <col min="9765" max="9765" width="12" style="21" customWidth="1"/>
    <col min="9766" max="9766" width="12.85546875" style="21" customWidth="1"/>
    <col min="9767" max="9767" width="0.5703125" style="21" customWidth="1"/>
    <col min="9768" max="9768" width="9.28515625" style="21" customWidth="1"/>
    <col min="9769" max="9770" width="12.85546875" style="21" customWidth="1"/>
    <col min="9771" max="9771" width="0.5703125" style="21" customWidth="1"/>
    <col min="9772" max="9772" width="13" style="21" customWidth="1"/>
    <col min="9773" max="9773" width="12" style="21" customWidth="1"/>
    <col min="9774" max="9774" width="12.85546875" style="21" customWidth="1"/>
    <col min="9775" max="9775" width="0.42578125" style="21" customWidth="1"/>
    <col min="9776" max="9776" width="13.5703125" style="21" customWidth="1"/>
    <col min="9777" max="9777" width="12" style="21" customWidth="1"/>
    <col min="9778" max="9778" width="12.85546875" style="21" customWidth="1"/>
    <col min="9779" max="9779" width="1.140625" style="21" customWidth="1"/>
    <col min="9780" max="9780" width="13.5703125" style="21" customWidth="1"/>
    <col min="9781" max="9781" width="12" style="21" customWidth="1"/>
    <col min="9782" max="9782" width="12.85546875" style="21" customWidth="1"/>
    <col min="9783" max="9783" width="1.140625" style="21" customWidth="1"/>
    <col min="9784" max="9784" width="13.140625" style="21" customWidth="1"/>
    <col min="9785" max="9785" width="12" style="21" customWidth="1"/>
    <col min="9786" max="9786" width="12.85546875" style="21" customWidth="1"/>
    <col min="9787" max="9787" width="1.5703125" style="21" customWidth="1"/>
    <col min="9788" max="9788" width="16.85546875" style="21" customWidth="1"/>
    <col min="9789" max="9789" width="14.28515625" style="21" customWidth="1"/>
    <col min="9790" max="9790" width="17.140625" style="21" customWidth="1"/>
    <col min="9791" max="9791" width="1.42578125" style="21" customWidth="1"/>
    <col min="9792" max="9792" width="9.28515625" style="21" customWidth="1"/>
    <col min="9793" max="9793" width="12" style="21" customWidth="1"/>
    <col min="9794" max="9794" width="12.85546875" style="21" customWidth="1"/>
    <col min="9795" max="9795" width="2.42578125" style="21" customWidth="1"/>
    <col min="9796" max="9796" width="12" style="21" customWidth="1"/>
    <col min="9797" max="9797" width="9.28515625" style="21" customWidth="1"/>
    <col min="9798" max="9798" width="12.85546875" style="21" customWidth="1"/>
    <col min="9799" max="9799" width="1.42578125" style="21" customWidth="1"/>
    <col min="9800" max="9800" width="12" style="21" customWidth="1"/>
    <col min="9801" max="9801" width="9.28515625" style="21" customWidth="1"/>
    <col min="9802" max="9802" width="12.85546875" style="21" customWidth="1"/>
    <col min="9803" max="9803" width="2.85546875" style="21" customWidth="1"/>
    <col min="9804" max="9804" width="12.7109375" style="21" customWidth="1"/>
    <col min="9805" max="9805" width="12" style="21" customWidth="1"/>
    <col min="9806" max="9806" width="12.85546875" style="21" customWidth="1"/>
    <col min="9807" max="9807" width="1.5703125" style="21" customWidth="1"/>
    <col min="9808" max="9839" width="0" style="21" hidden="1" customWidth="1"/>
    <col min="9840" max="9840" width="1.5703125" style="21" customWidth="1"/>
    <col min="9841" max="9841" width="16.85546875" style="21" customWidth="1"/>
    <col min="9842" max="9842" width="14.28515625" style="21" customWidth="1"/>
    <col min="9843" max="9843" width="17.140625" style="21" customWidth="1"/>
    <col min="9844" max="9984" width="9.140625" style="21"/>
    <col min="9985" max="9985" width="0.85546875" style="21" customWidth="1"/>
    <col min="9986" max="9986" width="5.5703125" style="21" bestFit="1" customWidth="1"/>
    <col min="9987" max="9987" width="46" style="21" bestFit="1" customWidth="1"/>
    <col min="9988" max="9988" width="1.42578125" style="21" customWidth="1"/>
    <col min="9989" max="9989" width="20.28515625" style="21" bestFit="1" customWidth="1"/>
    <col min="9990" max="9990" width="6.7109375" style="21" bestFit="1" customWidth="1"/>
    <col min="9991" max="9992" width="0" style="21" hidden="1" customWidth="1"/>
    <col min="9993" max="9993" width="15.85546875" style="21" bestFit="1" customWidth="1"/>
    <col min="9994" max="9994" width="1.5703125" style="21" customWidth="1"/>
    <col min="9995" max="9995" width="9.28515625" style="21" customWidth="1"/>
    <col min="9996" max="9996" width="12" style="21" customWidth="1"/>
    <col min="9997" max="9997" width="12.85546875" style="21" customWidth="1"/>
    <col min="9998" max="9998" width="2.42578125" style="21" customWidth="1"/>
    <col min="9999" max="9999" width="12" style="21" customWidth="1"/>
    <col min="10000" max="10000" width="9.28515625" style="21" customWidth="1"/>
    <col min="10001" max="10001" width="12.85546875" style="21" customWidth="1"/>
    <col min="10002" max="10002" width="1.42578125" style="21" customWidth="1"/>
    <col min="10003" max="10003" width="12" style="21" customWidth="1"/>
    <col min="10004" max="10004" width="9.28515625" style="21" customWidth="1"/>
    <col min="10005" max="10005" width="12.85546875" style="21" customWidth="1"/>
    <col min="10006" max="10006" width="2.85546875" style="21" customWidth="1"/>
    <col min="10007" max="10007" width="12.7109375" style="21" customWidth="1"/>
    <col min="10008" max="10008" width="12" style="21" customWidth="1"/>
    <col min="10009" max="10009" width="12.85546875" style="21" customWidth="1"/>
    <col min="10010" max="10010" width="1.5703125" style="21" customWidth="1"/>
    <col min="10011" max="10011" width="9.28515625" style="21" customWidth="1"/>
    <col min="10012" max="10012" width="12" style="21" customWidth="1"/>
    <col min="10013" max="10013" width="12.85546875" style="21" customWidth="1"/>
    <col min="10014" max="10014" width="0" style="21" hidden="1" customWidth="1"/>
    <col min="10015" max="10015" width="1.85546875" style="21" customWidth="1"/>
    <col min="10016" max="10016" width="9.28515625" style="21" customWidth="1"/>
    <col min="10017" max="10017" width="12" style="21" customWidth="1"/>
    <col min="10018" max="10018" width="12.85546875" style="21" customWidth="1"/>
    <col min="10019" max="10019" width="1.7109375" style="21" customWidth="1"/>
    <col min="10020" max="10020" width="9.28515625" style="21" customWidth="1"/>
    <col min="10021" max="10021" width="12" style="21" customWidth="1"/>
    <col min="10022" max="10022" width="12.85546875" style="21" customWidth="1"/>
    <col min="10023" max="10023" width="0.5703125" style="21" customWidth="1"/>
    <col min="10024" max="10024" width="9.28515625" style="21" customWidth="1"/>
    <col min="10025" max="10026" width="12.85546875" style="21" customWidth="1"/>
    <col min="10027" max="10027" width="0.5703125" style="21" customWidth="1"/>
    <col min="10028" max="10028" width="13" style="21" customWidth="1"/>
    <col min="10029" max="10029" width="12" style="21" customWidth="1"/>
    <col min="10030" max="10030" width="12.85546875" style="21" customWidth="1"/>
    <col min="10031" max="10031" width="0.42578125" style="21" customWidth="1"/>
    <col min="10032" max="10032" width="13.5703125" style="21" customWidth="1"/>
    <col min="10033" max="10033" width="12" style="21" customWidth="1"/>
    <col min="10034" max="10034" width="12.85546875" style="21" customWidth="1"/>
    <col min="10035" max="10035" width="1.140625" style="21" customWidth="1"/>
    <col min="10036" max="10036" width="13.5703125" style="21" customWidth="1"/>
    <col min="10037" max="10037" width="12" style="21" customWidth="1"/>
    <col min="10038" max="10038" width="12.85546875" style="21" customWidth="1"/>
    <col min="10039" max="10039" width="1.140625" style="21" customWidth="1"/>
    <col min="10040" max="10040" width="13.140625" style="21" customWidth="1"/>
    <col min="10041" max="10041" width="12" style="21" customWidth="1"/>
    <col min="10042" max="10042" width="12.85546875" style="21" customWidth="1"/>
    <col min="10043" max="10043" width="1.5703125" style="21" customWidth="1"/>
    <col min="10044" max="10044" width="16.85546875" style="21" customWidth="1"/>
    <col min="10045" max="10045" width="14.28515625" style="21" customWidth="1"/>
    <col min="10046" max="10046" width="17.140625" style="21" customWidth="1"/>
    <col min="10047" max="10047" width="1.42578125" style="21" customWidth="1"/>
    <col min="10048" max="10048" width="9.28515625" style="21" customWidth="1"/>
    <col min="10049" max="10049" width="12" style="21" customWidth="1"/>
    <col min="10050" max="10050" width="12.85546875" style="21" customWidth="1"/>
    <col min="10051" max="10051" width="2.42578125" style="21" customWidth="1"/>
    <col min="10052" max="10052" width="12" style="21" customWidth="1"/>
    <col min="10053" max="10053" width="9.28515625" style="21" customWidth="1"/>
    <col min="10054" max="10054" width="12.85546875" style="21" customWidth="1"/>
    <col min="10055" max="10055" width="1.42578125" style="21" customWidth="1"/>
    <col min="10056" max="10056" width="12" style="21" customWidth="1"/>
    <col min="10057" max="10057" width="9.28515625" style="21" customWidth="1"/>
    <col min="10058" max="10058" width="12.85546875" style="21" customWidth="1"/>
    <col min="10059" max="10059" width="2.85546875" style="21" customWidth="1"/>
    <col min="10060" max="10060" width="12.7109375" style="21" customWidth="1"/>
    <col min="10061" max="10061" width="12" style="21" customWidth="1"/>
    <col min="10062" max="10062" width="12.85546875" style="21" customWidth="1"/>
    <col min="10063" max="10063" width="1.5703125" style="21" customWidth="1"/>
    <col min="10064" max="10095" width="0" style="21" hidden="1" customWidth="1"/>
    <col min="10096" max="10096" width="1.5703125" style="21" customWidth="1"/>
    <col min="10097" max="10097" width="16.85546875" style="21" customWidth="1"/>
    <col min="10098" max="10098" width="14.28515625" style="21" customWidth="1"/>
    <col min="10099" max="10099" width="17.140625" style="21" customWidth="1"/>
    <col min="10100" max="10240" width="9.140625" style="21"/>
    <col min="10241" max="10241" width="0.85546875" style="21" customWidth="1"/>
    <col min="10242" max="10242" width="5.5703125" style="21" bestFit="1" customWidth="1"/>
    <col min="10243" max="10243" width="46" style="21" bestFit="1" customWidth="1"/>
    <col min="10244" max="10244" width="1.42578125" style="21" customWidth="1"/>
    <col min="10245" max="10245" width="20.28515625" style="21" bestFit="1" customWidth="1"/>
    <col min="10246" max="10246" width="6.7109375" style="21" bestFit="1" customWidth="1"/>
    <col min="10247" max="10248" width="0" style="21" hidden="1" customWidth="1"/>
    <col min="10249" max="10249" width="15.85546875" style="21" bestFit="1" customWidth="1"/>
    <col min="10250" max="10250" width="1.5703125" style="21" customWidth="1"/>
    <col min="10251" max="10251" width="9.28515625" style="21" customWidth="1"/>
    <col min="10252" max="10252" width="12" style="21" customWidth="1"/>
    <col min="10253" max="10253" width="12.85546875" style="21" customWidth="1"/>
    <col min="10254" max="10254" width="2.42578125" style="21" customWidth="1"/>
    <col min="10255" max="10255" width="12" style="21" customWidth="1"/>
    <col min="10256" max="10256" width="9.28515625" style="21" customWidth="1"/>
    <col min="10257" max="10257" width="12.85546875" style="21" customWidth="1"/>
    <col min="10258" max="10258" width="1.42578125" style="21" customWidth="1"/>
    <col min="10259" max="10259" width="12" style="21" customWidth="1"/>
    <col min="10260" max="10260" width="9.28515625" style="21" customWidth="1"/>
    <col min="10261" max="10261" width="12.85546875" style="21" customWidth="1"/>
    <col min="10262" max="10262" width="2.85546875" style="21" customWidth="1"/>
    <col min="10263" max="10263" width="12.7109375" style="21" customWidth="1"/>
    <col min="10264" max="10264" width="12" style="21" customWidth="1"/>
    <col min="10265" max="10265" width="12.85546875" style="21" customWidth="1"/>
    <col min="10266" max="10266" width="1.5703125" style="21" customWidth="1"/>
    <col min="10267" max="10267" width="9.28515625" style="21" customWidth="1"/>
    <col min="10268" max="10268" width="12" style="21" customWidth="1"/>
    <col min="10269" max="10269" width="12.85546875" style="21" customWidth="1"/>
    <col min="10270" max="10270" width="0" style="21" hidden="1" customWidth="1"/>
    <col min="10271" max="10271" width="1.85546875" style="21" customWidth="1"/>
    <col min="10272" max="10272" width="9.28515625" style="21" customWidth="1"/>
    <col min="10273" max="10273" width="12" style="21" customWidth="1"/>
    <col min="10274" max="10274" width="12.85546875" style="21" customWidth="1"/>
    <col min="10275" max="10275" width="1.7109375" style="21" customWidth="1"/>
    <col min="10276" max="10276" width="9.28515625" style="21" customWidth="1"/>
    <col min="10277" max="10277" width="12" style="21" customWidth="1"/>
    <col min="10278" max="10278" width="12.85546875" style="21" customWidth="1"/>
    <col min="10279" max="10279" width="0.5703125" style="21" customWidth="1"/>
    <col min="10280" max="10280" width="9.28515625" style="21" customWidth="1"/>
    <col min="10281" max="10282" width="12.85546875" style="21" customWidth="1"/>
    <col min="10283" max="10283" width="0.5703125" style="21" customWidth="1"/>
    <col min="10284" max="10284" width="13" style="21" customWidth="1"/>
    <col min="10285" max="10285" width="12" style="21" customWidth="1"/>
    <col min="10286" max="10286" width="12.85546875" style="21" customWidth="1"/>
    <col min="10287" max="10287" width="0.42578125" style="21" customWidth="1"/>
    <col min="10288" max="10288" width="13.5703125" style="21" customWidth="1"/>
    <col min="10289" max="10289" width="12" style="21" customWidth="1"/>
    <col min="10290" max="10290" width="12.85546875" style="21" customWidth="1"/>
    <col min="10291" max="10291" width="1.140625" style="21" customWidth="1"/>
    <col min="10292" max="10292" width="13.5703125" style="21" customWidth="1"/>
    <col min="10293" max="10293" width="12" style="21" customWidth="1"/>
    <col min="10294" max="10294" width="12.85546875" style="21" customWidth="1"/>
    <col min="10295" max="10295" width="1.140625" style="21" customWidth="1"/>
    <col min="10296" max="10296" width="13.140625" style="21" customWidth="1"/>
    <col min="10297" max="10297" width="12" style="21" customWidth="1"/>
    <col min="10298" max="10298" width="12.85546875" style="21" customWidth="1"/>
    <col min="10299" max="10299" width="1.5703125" style="21" customWidth="1"/>
    <col min="10300" max="10300" width="16.85546875" style="21" customWidth="1"/>
    <col min="10301" max="10301" width="14.28515625" style="21" customWidth="1"/>
    <col min="10302" max="10302" width="17.140625" style="21" customWidth="1"/>
    <col min="10303" max="10303" width="1.42578125" style="21" customWidth="1"/>
    <col min="10304" max="10304" width="9.28515625" style="21" customWidth="1"/>
    <col min="10305" max="10305" width="12" style="21" customWidth="1"/>
    <col min="10306" max="10306" width="12.85546875" style="21" customWidth="1"/>
    <col min="10307" max="10307" width="2.42578125" style="21" customWidth="1"/>
    <col min="10308" max="10308" width="12" style="21" customWidth="1"/>
    <col min="10309" max="10309" width="9.28515625" style="21" customWidth="1"/>
    <col min="10310" max="10310" width="12.85546875" style="21" customWidth="1"/>
    <col min="10311" max="10311" width="1.42578125" style="21" customWidth="1"/>
    <col min="10312" max="10312" width="12" style="21" customWidth="1"/>
    <col min="10313" max="10313" width="9.28515625" style="21" customWidth="1"/>
    <col min="10314" max="10314" width="12.85546875" style="21" customWidth="1"/>
    <col min="10315" max="10315" width="2.85546875" style="21" customWidth="1"/>
    <col min="10316" max="10316" width="12.7109375" style="21" customWidth="1"/>
    <col min="10317" max="10317" width="12" style="21" customWidth="1"/>
    <col min="10318" max="10318" width="12.85546875" style="21" customWidth="1"/>
    <col min="10319" max="10319" width="1.5703125" style="21" customWidth="1"/>
    <col min="10320" max="10351" width="0" style="21" hidden="1" customWidth="1"/>
    <col min="10352" max="10352" width="1.5703125" style="21" customWidth="1"/>
    <col min="10353" max="10353" width="16.85546875" style="21" customWidth="1"/>
    <col min="10354" max="10354" width="14.28515625" style="21" customWidth="1"/>
    <col min="10355" max="10355" width="17.140625" style="21" customWidth="1"/>
    <col min="10356" max="10496" width="9.140625" style="21"/>
    <col min="10497" max="10497" width="0.85546875" style="21" customWidth="1"/>
    <col min="10498" max="10498" width="5.5703125" style="21" bestFit="1" customWidth="1"/>
    <col min="10499" max="10499" width="46" style="21" bestFit="1" customWidth="1"/>
    <col min="10500" max="10500" width="1.42578125" style="21" customWidth="1"/>
    <col min="10501" max="10501" width="20.28515625" style="21" bestFit="1" customWidth="1"/>
    <col min="10502" max="10502" width="6.7109375" style="21" bestFit="1" customWidth="1"/>
    <col min="10503" max="10504" width="0" style="21" hidden="1" customWidth="1"/>
    <col min="10505" max="10505" width="15.85546875" style="21" bestFit="1" customWidth="1"/>
    <col min="10506" max="10506" width="1.5703125" style="21" customWidth="1"/>
    <col min="10507" max="10507" width="9.28515625" style="21" customWidth="1"/>
    <col min="10508" max="10508" width="12" style="21" customWidth="1"/>
    <col min="10509" max="10509" width="12.85546875" style="21" customWidth="1"/>
    <col min="10510" max="10510" width="2.42578125" style="21" customWidth="1"/>
    <col min="10511" max="10511" width="12" style="21" customWidth="1"/>
    <col min="10512" max="10512" width="9.28515625" style="21" customWidth="1"/>
    <col min="10513" max="10513" width="12.85546875" style="21" customWidth="1"/>
    <col min="10514" max="10514" width="1.42578125" style="21" customWidth="1"/>
    <col min="10515" max="10515" width="12" style="21" customWidth="1"/>
    <col min="10516" max="10516" width="9.28515625" style="21" customWidth="1"/>
    <col min="10517" max="10517" width="12.85546875" style="21" customWidth="1"/>
    <col min="10518" max="10518" width="2.85546875" style="21" customWidth="1"/>
    <col min="10519" max="10519" width="12.7109375" style="21" customWidth="1"/>
    <col min="10520" max="10520" width="12" style="21" customWidth="1"/>
    <col min="10521" max="10521" width="12.85546875" style="21" customWidth="1"/>
    <col min="10522" max="10522" width="1.5703125" style="21" customWidth="1"/>
    <col min="10523" max="10523" width="9.28515625" style="21" customWidth="1"/>
    <col min="10524" max="10524" width="12" style="21" customWidth="1"/>
    <col min="10525" max="10525" width="12.85546875" style="21" customWidth="1"/>
    <col min="10526" max="10526" width="0" style="21" hidden="1" customWidth="1"/>
    <col min="10527" max="10527" width="1.85546875" style="21" customWidth="1"/>
    <col min="10528" max="10528" width="9.28515625" style="21" customWidth="1"/>
    <col min="10529" max="10529" width="12" style="21" customWidth="1"/>
    <col min="10530" max="10530" width="12.85546875" style="21" customWidth="1"/>
    <col min="10531" max="10531" width="1.7109375" style="21" customWidth="1"/>
    <col min="10532" max="10532" width="9.28515625" style="21" customWidth="1"/>
    <col min="10533" max="10533" width="12" style="21" customWidth="1"/>
    <col min="10534" max="10534" width="12.85546875" style="21" customWidth="1"/>
    <col min="10535" max="10535" width="0.5703125" style="21" customWidth="1"/>
    <col min="10536" max="10536" width="9.28515625" style="21" customWidth="1"/>
    <col min="10537" max="10538" width="12.85546875" style="21" customWidth="1"/>
    <col min="10539" max="10539" width="0.5703125" style="21" customWidth="1"/>
    <col min="10540" max="10540" width="13" style="21" customWidth="1"/>
    <col min="10541" max="10541" width="12" style="21" customWidth="1"/>
    <col min="10542" max="10542" width="12.85546875" style="21" customWidth="1"/>
    <col min="10543" max="10543" width="0.42578125" style="21" customWidth="1"/>
    <col min="10544" max="10544" width="13.5703125" style="21" customWidth="1"/>
    <col min="10545" max="10545" width="12" style="21" customWidth="1"/>
    <col min="10546" max="10546" width="12.85546875" style="21" customWidth="1"/>
    <col min="10547" max="10547" width="1.140625" style="21" customWidth="1"/>
    <col min="10548" max="10548" width="13.5703125" style="21" customWidth="1"/>
    <col min="10549" max="10549" width="12" style="21" customWidth="1"/>
    <col min="10550" max="10550" width="12.85546875" style="21" customWidth="1"/>
    <col min="10551" max="10551" width="1.140625" style="21" customWidth="1"/>
    <col min="10552" max="10552" width="13.140625" style="21" customWidth="1"/>
    <col min="10553" max="10553" width="12" style="21" customWidth="1"/>
    <col min="10554" max="10554" width="12.85546875" style="21" customWidth="1"/>
    <col min="10555" max="10555" width="1.5703125" style="21" customWidth="1"/>
    <col min="10556" max="10556" width="16.85546875" style="21" customWidth="1"/>
    <col min="10557" max="10557" width="14.28515625" style="21" customWidth="1"/>
    <col min="10558" max="10558" width="17.140625" style="21" customWidth="1"/>
    <col min="10559" max="10559" width="1.42578125" style="21" customWidth="1"/>
    <col min="10560" max="10560" width="9.28515625" style="21" customWidth="1"/>
    <col min="10561" max="10561" width="12" style="21" customWidth="1"/>
    <col min="10562" max="10562" width="12.85546875" style="21" customWidth="1"/>
    <col min="10563" max="10563" width="2.42578125" style="21" customWidth="1"/>
    <col min="10564" max="10564" width="12" style="21" customWidth="1"/>
    <col min="10565" max="10565" width="9.28515625" style="21" customWidth="1"/>
    <col min="10566" max="10566" width="12.85546875" style="21" customWidth="1"/>
    <col min="10567" max="10567" width="1.42578125" style="21" customWidth="1"/>
    <col min="10568" max="10568" width="12" style="21" customWidth="1"/>
    <col min="10569" max="10569" width="9.28515625" style="21" customWidth="1"/>
    <col min="10570" max="10570" width="12.85546875" style="21" customWidth="1"/>
    <col min="10571" max="10571" width="2.85546875" style="21" customWidth="1"/>
    <col min="10572" max="10572" width="12.7109375" style="21" customWidth="1"/>
    <col min="10573" max="10573" width="12" style="21" customWidth="1"/>
    <col min="10574" max="10574" width="12.85546875" style="21" customWidth="1"/>
    <col min="10575" max="10575" width="1.5703125" style="21" customWidth="1"/>
    <col min="10576" max="10607" width="0" style="21" hidden="1" customWidth="1"/>
    <col min="10608" max="10608" width="1.5703125" style="21" customWidth="1"/>
    <col min="10609" max="10609" width="16.85546875" style="21" customWidth="1"/>
    <col min="10610" max="10610" width="14.28515625" style="21" customWidth="1"/>
    <col min="10611" max="10611" width="17.140625" style="21" customWidth="1"/>
    <col min="10612" max="10752" width="9.140625" style="21"/>
    <col min="10753" max="10753" width="0.85546875" style="21" customWidth="1"/>
    <col min="10754" max="10754" width="5.5703125" style="21" bestFit="1" customWidth="1"/>
    <col min="10755" max="10755" width="46" style="21" bestFit="1" customWidth="1"/>
    <col min="10756" max="10756" width="1.42578125" style="21" customWidth="1"/>
    <col min="10757" max="10757" width="20.28515625" style="21" bestFit="1" customWidth="1"/>
    <col min="10758" max="10758" width="6.7109375" style="21" bestFit="1" customWidth="1"/>
    <col min="10759" max="10760" width="0" style="21" hidden="1" customWidth="1"/>
    <col min="10761" max="10761" width="15.85546875" style="21" bestFit="1" customWidth="1"/>
    <col min="10762" max="10762" width="1.5703125" style="21" customWidth="1"/>
    <col min="10763" max="10763" width="9.28515625" style="21" customWidth="1"/>
    <col min="10764" max="10764" width="12" style="21" customWidth="1"/>
    <col min="10765" max="10765" width="12.85546875" style="21" customWidth="1"/>
    <col min="10766" max="10766" width="2.42578125" style="21" customWidth="1"/>
    <col min="10767" max="10767" width="12" style="21" customWidth="1"/>
    <col min="10768" max="10768" width="9.28515625" style="21" customWidth="1"/>
    <col min="10769" max="10769" width="12.85546875" style="21" customWidth="1"/>
    <col min="10770" max="10770" width="1.42578125" style="21" customWidth="1"/>
    <col min="10771" max="10771" width="12" style="21" customWidth="1"/>
    <col min="10772" max="10772" width="9.28515625" style="21" customWidth="1"/>
    <col min="10773" max="10773" width="12.85546875" style="21" customWidth="1"/>
    <col min="10774" max="10774" width="2.85546875" style="21" customWidth="1"/>
    <col min="10775" max="10775" width="12.7109375" style="21" customWidth="1"/>
    <col min="10776" max="10776" width="12" style="21" customWidth="1"/>
    <col min="10777" max="10777" width="12.85546875" style="21" customWidth="1"/>
    <col min="10778" max="10778" width="1.5703125" style="21" customWidth="1"/>
    <col min="10779" max="10779" width="9.28515625" style="21" customWidth="1"/>
    <col min="10780" max="10780" width="12" style="21" customWidth="1"/>
    <col min="10781" max="10781" width="12.85546875" style="21" customWidth="1"/>
    <col min="10782" max="10782" width="0" style="21" hidden="1" customWidth="1"/>
    <col min="10783" max="10783" width="1.85546875" style="21" customWidth="1"/>
    <col min="10784" max="10784" width="9.28515625" style="21" customWidth="1"/>
    <col min="10785" max="10785" width="12" style="21" customWidth="1"/>
    <col min="10786" max="10786" width="12.85546875" style="21" customWidth="1"/>
    <col min="10787" max="10787" width="1.7109375" style="21" customWidth="1"/>
    <col min="10788" max="10788" width="9.28515625" style="21" customWidth="1"/>
    <col min="10789" max="10789" width="12" style="21" customWidth="1"/>
    <col min="10790" max="10790" width="12.85546875" style="21" customWidth="1"/>
    <col min="10791" max="10791" width="0.5703125" style="21" customWidth="1"/>
    <col min="10792" max="10792" width="9.28515625" style="21" customWidth="1"/>
    <col min="10793" max="10794" width="12.85546875" style="21" customWidth="1"/>
    <col min="10795" max="10795" width="0.5703125" style="21" customWidth="1"/>
    <col min="10796" max="10796" width="13" style="21" customWidth="1"/>
    <col min="10797" max="10797" width="12" style="21" customWidth="1"/>
    <col min="10798" max="10798" width="12.85546875" style="21" customWidth="1"/>
    <col min="10799" max="10799" width="0.42578125" style="21" customWidth="1"/>
    <col min="10800" max="10800" width="13.5703125" style="21" customWidth="1"/>
    <col min="10801" max="10801" width="12" style="21" customWidth="1"/>
    <col min="10802" max="10802" width="12.85546875" style="21" customWidth="1"/>
    <col min="10803" max="10803" width="1.140625" style="21" customWidth="1"/>
    <col min="10804" max="10804" width="13.5703125" style="21" customWidth="1"/>
    <col min="10805" max="10805" width="12" style="21" customWidth="1"/>
    <col min="10806" max="10806" width="12.85546875" style="21" customWidth="1"/>
    <col min="10807" max="10807" width="1.140625" style="21" customWidth="1"/>
    <col min="10808" max="10808" width="13.140625" style="21" customWidth="1"/>
    <col min="10809" max="10809" width="12" style="21" customWidth="1"/>
    <col min="10810" max="10810" width="12.85546875" style="21" customWidth="1"/>
    <col min="10811" max="10811" width="1.5703125" style="21" customWidth="1"/>
    <col min="10812" max="10812" width="16.85546875" style="21" customWidth="1"/>
    <col min="10813" max="10813" width="14.28515625" style="21" customWidth="1"/>
    <col min="10814" max="10814" width="17.140625" style="21" customWidth="1"/>
    <col min="10815" max="10815" width="1.42578125" style="21" customWidth="1"/>
    <col min="10816" max="10816" width="9.28515625" style="21" customWidth="1"/>
    <col min="10817" max="10817" width="12" style="21" customWidth="1"/>
    <col min="10818" max="10818" width="12.85546875" style="21" customWidth="1"/>
    <col min="10819" max="10819" width="2.42578125" style="21" customWidth="1"/>
    <col min="10820" max="10820" width="12" style="21" customWidth="1"/>
    <col min="10821" max="10821" width="9.28515625" style="21" customWidth="1"/>
    <col min="10822" max="10822" width="12.85546875" style="21" customWidth="1"/>
    <col min="10823" max="10823" width="1.42578125" style="21" customWidth="1"/>
    <col min="10824" max="10824" width="12" style="21" customWidth="1"/>
    <col min="10825" max="10825" width="9.28515625" style="21" customWidth="1"/>
    <col min="10826" max="10826" width="12.85546875" style="21" customWidth="1"/>
    <col min="10827" max="10827" width="2.85546875" style="21" customWidth="1"/>
    <col min="10828" max="10828" width="12.7109375" style="21" customWidth="1"/>
    <col min="10829" max="10829" width="12" style="21" customWidth="1"/>
    <col min="10830" max="10830" width="12.85546875" style="21" customWidth="1"/>
    <col min="10831" max="10831" width="1.5703125" style="21" customWidth="1"/>
    <col min="10832" max="10863" width="0" style="21" hidden="1" customWidth="1"/>
    <col min="10864" max="10864" width="1.5703125" style="21" customWidth="1"/>
    <col min="10865" max="10865" width="16.85546875" style="21" customWidth="1"/>
    <col min="10866" max="10866" width="14.28515625" style="21" customWidth="1"/>
    <col min="10867" max="10867" width="17.140625" style="21" customWidth="1"/>
    <col min="10868" max="11008" width="9.140625" style="21"/>
    <col min="11009" max="11009" width="0.85546875" style="21" customWidth="1"/>
    <col min="11010" max="11010" width="5.5703125" style="21" bestFit="1" customWidth="1"/>
    <col min="11011" max="11011" width="46" style="21" bestFit="1" customWidth="1"/>
    <col min="11012" max="11012" width="1.42578125" style="21" customWidth="1"/>
    <col min="11013" max="11013" width="20.28515625" style="21" bestFit="1" customWidth="1"/>
    <col min="11014" max="11014" width="6.7109375" style="21" bestFit="1" customWidth="1"/>
    <col min="11015" max="11016" width="0" style="21" hidden="1" customWidth="1"/>
    <col min="11017" max="11017" width="15.85546875" style="21" bestFit="1" customWidth="1"/>
    <col min="11018" max="11018" width="1.5703125" style="21" customWidth="1"/>
    <col min="11019" max="11019" width="9.28515625" style="21" customWidth="1"/>
    <col min="11020" max="11020" width="12" style="21" customWidth="1"/>
    <col min="11021" max="11021" width="12.85546875" style="21" customWidth="1"/>
    <col min="11022" max="11022" width="2.42578125" style="21" customWidth="1"/>
    <col min="11023" max="11023" width="12" style="21" customWidth="1"/>
    <col min="11024" max="11024" width="9.28515625" style="21" customWidth="1"/>
    <col min="11025" max="11025" width="12.85546875" style="21" customWidth="1"/>
    <col min="11026" max="11026" width="1.42578125" style="21" customWidth="1"/>
    <col min="11027" max="11027" width="12" style="21" customWidth="1"/>
    <col min="11028" max="11028" width="9.28515625" style="21" customWidth="1"/>
    <col min="11029" max="11029" width="12.85546875" style="21" customWidth="1"/>
    <col min="11030" max="11030" width="2.85546875" style="21" customWidth="1"/>
    <col min="11031" max="11031" width="12.7109375" style="21" customWidth="1"/>
    <col min="11032" max="11032" width="12" style="21" customWidth="1"/>
    <col min="11033" max="11033" width="12.85546875" style="21" customWidth="1"/>
    <col min="11034" max="11034" width="1.5703125" style="21" customWidth="1"/>
    <col min="11035" max="11035" width="9.28515625" style="21" customWidth="1"/>
    <col min="11036" max="11036" width="12" style="21" customWidth="1"/>
    <col min="11037" max="11037" width="12.85546875" style="21" customWidth="1"/>
    <col min="11038" max="11038" width="0" style="21" hidden="1" customWidth="1"/>
    <col min="11039" max="11039" width="1.85546875" style="21" customWidth="1"/>
    <col min="11040" max="11040" width="9.28515625" style="21" customWidth="1"/>
    <col min="11041" max="11041" width="12" style="21" customWidth="1"/>
    <col min="11042" max="11042" width="12.85546875" style="21" customWidth="1"/>
    <col min="11043" max="11043" width="1.7109375" style="21" customWidth="1"/>
    <col min="11044" max="11044" width="9.28515625" style="21" customWidth="1"/>
    <col min="11045" max="11045" width="12" style="21" customWidth="1"/>
    <col min="11046" max="11046" width="12.85546875" style="21" customWidth="1"/>
    <col min="11047" max="11047" width="0.5703125" style="21" customWidth="1"/>
    <col min="11048" max="11048" width="9.28515625" style="21" customWidth="1"/>
    <col min="11049" max="11050" width="12.85546875" style="21" customWidth="1"/>
    <col min="11051" max="11051" width="0.5703125" style="21" customWidth="1"/>
    <col min="11052" max="11052" width="13" style="21" customWidth="1"/>
    <col min="11053" max="11053" width="12" style="21" customWidth="1"/>
    <col min="11054" max="11054" width="12.85546875" style="21" customWidth="1"/>
    <col min="11055" max="11055" width="0.42578125" style="21" customWidth="1"/>
    <col min="11056" max="11056" width="13.5703125" style="21" customWidth="1"/>
    <col min="11057" max="11057" width="12" style="21" customWidth="1"/>
    <col min="11058" max="11058" width="12.85546875" style="21" customWidth="1"/>
    <col min="11059" max="11059" width="1.140625" style="21" customWidth="1"/>
    <col min="11060" max="11060" width="13.5703125" style="21" customWidth="1"/>
    <col min="11061" max="11061" width="12" style="21" customWidth="1"/>
    <col min="11062" max="11062" width="12.85546875" style="21" customWidth="1"/>
    <col min="11063" max="11063" width="1.140625" style="21" customWidth="1"/>
    <col min="11064" max="11064" width="13.140625" style="21" customWidth="1"/>
    <col min="11065" max="11065" width="12" style="21" customWidth="1"/>
    <col min="11066" max="11066" width="12.85546875" style="21" customWidth="1"/>
    <col min="11067" max="11067" width="1.5703125" style="21" customWidth="1"/>
    <col min="11068" max="11068" width="16.85546875" style="21" customWidth="1"/>
    <col min="11069" max="11069" width="14.28515625" style="21" customWidth="1"/>
    <col min="11070" max="11070" width="17.140625" style="21" customWidth="1"/>
    <col min="11071" max="11071" width="1.42578125" style="21" customWidth="1"/>
    <col min="11072" max="11072" width="9.28515625" style="21" customWidth="1"/>
    <col min="11073" max="11073" width="12" style="21" customWidth="1"/>
    <col min="11074" max="11074" width="12.85546875" style="21" customWidth="1"/>
    <col min="11075" max="11075" width="2.42578125" style="21" customWidth="1"/>
    <col min="11076" max="11076" width="12" style="21" customWidth="1"/>
    <col min="11077" max="11077" width="9.28515625" style="21" customWidth="1"/>
    <col min="11078" max="11078" width="12.85546875" style="21" customWidth="1"/>
    <col min="11079" max="11079" width="1.42578125" style="21" customWidth="1"/>
    <col min="11080" max="11080" width="12" style="21" customWidth="1"/>
    <col min="11081" max="11081" width="9.28515625" style="21" customWidth="1"/>
    <col min="11082" max="11082" width="12.85546875" style="21" customWidth="1"/>
    <col min="11083" max="11083" width="2.85546875" style="21" customWidth="1"/>
    <col min="11084" max="11084" width="12.7109375" style="21" customWidth="1"/>
    <col min="11085" max="11085" width="12" style="21" customWidth="1"/>
    <col min="11086" max="11086" width="12.85546875" style="21" customWidth="1"/>
    <col min="11087" max="11087" width="1.5703125" style="21" customWidth="1"/>
    <col min="11088" max="11119" width="0" style="21" hidden="1" customWidth="1"/>
    <col min="11120" max="11120" width="1.5703125" style="21" customWidth="1"/>
    <col min="11121" max="11121" width="16.85546875" style="21" customWidth="1"/>
    <col min="11122" max="11122" width="14.28515625" style="21" customWidth="1"/>
    <col min="11123" max="11123" width="17.140625" style="21" customWidth="1"/>
    <col min="11124" max="11264" width="9.140625" style="21"/>
    <col min="11265" max="11265" width="0.85546875" style="21" customWidth="1"/>
    <col min="11266" max="11266" width="5.5703125" style="21" bestFit="1" customWidth="1"/>
    <col min="11267" max="11267" width="46" style="21" bestFit="1" customWidth="1"/>
    <col min="11268" max="11268" width="1.42578125" style="21" customWidth="1"/>
    <col min="11269" max="11269" width="20.28515625" style="21" bestFit="1" customWidth="1"/>
    <col min="11270" max="11270" width="6.7109375" style="21" bestFit="1" customWidth="1"/>
    <col min="11271" max="11272" width="0" style="21" hidden="1" customWidth="1"/>
    <col min="11273" max="11273" width="15.85546875" style="21" bestFit="1" customWidth="1"/>
    <col min="11274" max="11274" width="1.5703125" style="21" customWidth="1"/>
    <col min="11275" max="11275" width="9.28515625" style="21" customWidth="1"/>
    <col min="11276" max="11276" width="12" style="21" customWidth="1"/>
    <col min="11277" max="11277" width="12.85546875" style="21" customWidth="1"/>
    <col min="11278" max="11278" width="2.42578125" style="21" customWidth="1"/>
    <col min="11279" max="11279" width="12" style="21" customWidth="1"/>
    <col min="11280" max="11280" width="9.28515625" style="21" customWidth="1"/>
    <col min="11281" max="11281" width="12.85546875" style="21" customWidth="1"/>
    <col min="11282" max="11282" width="1.42578125" style="21" customWidth="1"/>
    <col min="11283" max="11283" width="12" style="21" customWidth="1"/>
    <col min="11284" max="11284" width="9.28515625" style="21" customWidth="1"/>
    <col min="11285" max="11285" width="12.85546875" style="21" customWidth="1"/>
    <col min="11286" max="11286" width="2.85546875" style="21" customWidth="1"/>
    <col min="11287" max="11287" width="12.7109375" style="21" customWidth="1"/>
    <col min="11288" max="11288" width="12" style="21" customWidth="1"/>
    <col min="11289" max="11289" width="12.85546875" style="21" customWidth="1"/>
    <col min="11290" max="11290" width="1.5703125" style="21" customWidth="1"/>
    <col min="11291" max="11291" width="9.28515625" style="21" customWidth="1"/>
    <col min="11292" max="11292" width="12" style="21" customWidth="1"/>
    <col min="11293" max="11293" width="12.85546875" style="21" customWidth="1"/>
    <col min="11294" max="11294" width="0" style="21" hidden="1" customWidth="1"/>
    <col min="11295" max="11295" width="1.85546875" style="21" customWidth="1"/>
    <col min="11296" max="11296" width="9.28515625" style="21" customWidth="1"/>
    <col min="11297" max="11297" width="12" style="21" customWidth="1"/>
    <col min="11298" max="11298" width="12.85546875" style="21" customWidth="1"/>
    <col min="11299" max="11299" width="1.7109375" style="21" customWidth="1"/>
    <col min="11300" max="11300" width="9.28515625" style="21" customWidth="1"/>
    <col min="11301" max="11301" width="12" style="21" customWidth="1"/>
    <col min="11302" max="11302" width="12.85546875" style="21" customWidth="1"/>
    <col min="11303" max="11303" width="0.5703125" style="21" customWidth="1"/>
    <col min="11304" max="11304" width="9.28515625" style="21" customWidth="1"/>
    <col min="11305" max="11306" width="12.85546875" style="21" customWidth="1"/>
    <col min="11307" max="11307" width="0.5703125" style="21" customWidth="1"/>
    <col min="11308" max="11308" width="13" style="21" customWidth="1"/>
    <col min="11309" max="11309" width="12" style="21" customWidth="1"/>
    <col min="11310" max="11310" width="12.85546875" style="21" customWidth="1"/>
    <col min="11311" max="11311" width="0.42578125" style="21" customWidth="1"/>
    <col min="11312" max="11312" width="13.5703125" style="21" customWidth="1"/>
    <col min="11313" max="11313" width="12" style="21" customWidth="1"/>
    <col min="11314" max="11314" width="12.85546875" style="21" customWidth="1"/>
    <col min="11315" max="11315" width="1.140625" style="21" customWidth="1"/>
    <col min="11316" max="11316" width="13.5703125" style="21" customWidth="1"/>
    <col min="11317" max="11317" width="12" style="21" customWidth="1"/>
    <col min="11318" max="11318" width="12.85546875" style="21" customWidth="1"/>
    <col min="11319" max="11319" width="1.140625" style="21" customWidth="1"/>
    <col min="11320" max="11320" width="13.140625" style="21" customWidth="1"/>
    <col min="11321" max="11321" width="12" style="21" customWidth="1"/>
    <col min="11322" max="11322" width="12.85546875" style="21" customWidth="1"/>
    <col min="11323" max="11323" width="1.5703125" style="21" customWidth="1"/>
    <col min="11324" max="11324" width="16.85546875" style="21" customWidth="1"/>
    <col min="11325" max="11325" width="14.28515625" style="21" customWidth="1"/>
    <col min="11326" max="11326" width="17.140625" style="21" customWidth="1"/>
    <col min="11327" max="11327" width="1.42578125" style="21" customWidth="1"/>
    <col min="11328" max="11328" width="9.28515625" style="21" customWidth="1"/>
    <col min="11329" max="11329" width="12" style="21" customWidth="1"/>
    <col min="11330" max="11330" width="12.85546875" style="21" customWidth="1"/>
    <col min="11331" max="11331" width="2.42578125" style="21" customWidth="1"/>
    <col min="11332" max="11332" width="12" style="21" customWidth="1"/>
    <col min="11333" max="11333" width="9.28515625" style="21" customWidth="1"/>
    <col min="11334" max="11334" width="12.85546875" style="21" customWidth="1"/>
    <col min="11335" max="11335" width="1.42578125" style="21" customWidth="1"/>
    <col min="11336" max="11336" width="12" style="21" customWidth="1"/>
    <col min="11337" max="11337" width="9.28515625" style="21" customWidth="1"/>
    <col min="11338" max="11338" width="12.85546875" style="21" customWidth="1"/>
    <col min="11339" max="11339" width="2.85546875" style="21" customWidth="1"/>
    <col min="11340" max="11340" width="12.7109375" style="21" customWidth="1"/>
    <col min="11341" max="11341" width="12" style="21" customWidth="1"/>
    <col min="11342" max="11342" width="12.85546875" style="21" customWidth="1"/>
    <col min="11343" max="11343" width="1.5703125" style="21" customWidth="1"/>
    <col min="11344" max="11375" width="0" style="21" hidden="1" customWidth="1"/>
    <col min="11376" max="11376" width="1.5703125" style="21" customWidth="1"/>
    <col min="11377" max="11377" width="16.85546875" style="21" customWidth="1"/>
    <col min="11378" max="11378" width="14.28515625" style="21" customWidth="1"/>
    <col min="11379" max="11379" width="17.140625" style="21" customWidth="1"/>
    <col min="11380" max="11520" width="9.140625" style="21"/>
    <col min="11521" max="11521" width="0.85546875" style="21" customWidth="1"/>
    <col min="11522" max="11522" width="5.5703125" style="21" bestFit="1" customWidth="1"/>
    <col min="11523" max="11523" width="46" style="21" bestFit="1" customWidth="1"/>
    <col min="11524" max="11524" width="1.42578125" style="21" customWidth="1"/>
    <col min="11525" max="11525" width="20.28515625" style="21" bestFit="1" customWidth="1"/>
    <col min="11526" max="11526" width="6.7109375" style="21" bestFit="1" customWidth="1"/>
    <col min="11527" max="11528" width="0" style="21" hidden="1" customWidth="1"/>
    <col min="11529" max="11529" width="15.85546875" style="21" bestFit="1" customWidth="1"/>
    <col min="11530" max="11530" width="1.5703125" style="21" customWidth="1"/>
    <col min="11531" max="11531" width="9.28515625" style="21" customWidth="1"/>
    <col min="11532" max="11532" width="12" style="21" customWidth="1"/>
    <col min="11533" max="11533" width="12.85546875" style="21" customWidth="1"/>
    <col min="11534" max="11534" width="2.42578125" style="21" customWidth="1"/>
    <col min="11535" max="11535" width="12" style="21" customWidth="1"/>
    <col min="11536" max="11536" width="9.28515625" style="21" customWidth="1"/>
    <col min="11537" max="11537" width="12.85546875" style="21" customWidth="1"/>
    <col min="11538" max="11538" width="1.42578125" style="21" customWidth="1"/>
    <col min="11539" max="11539" width="12" style="21" customWidth="1"/>
    <col min="11540" max="11540" width="9.28515625" style="21" customWidth="1"/>
    <col min="11541" max="11541" width="12.85546875" style="21" customWidth="1"/>
    <col min="11542" max="11542" width="2.85546875" style="21" customWidth="1"/>
    <col min="11543" max="11543" width="12.7109375" style="21" customWidth="1"/>
    <col min="11544" max="11544" width="12" style="21" customWidth="1"/>
    <col min="11545" max="11545" width="12.85546875" style="21" customWidth="1"/>
    <col min="11546" max="11546" width="1.5703125" style="21" customWidth="1"/>
    <col min="11547" max="11547" width="9.28515625" style="21" customWidth="1"/>
    <col min="11548" max="11548" width="12" style="21" customWidth="1"/>
    <col min="11549" max="11549" width="12.85546875" style="21" customWidth="1"/>
    <col min="11550" max="11550" width="0" style="21" hidden="1" customWidth="1"/>
    <col min="11551" max="11551" width="1.85546875" style="21" customWidth="1"/>
    <col min="11552" max="11552" width="9.28515625" style="21" customWidth="1"/>
    <col min="11553" max="11553" width="12" style="21" customWidth="1"/>
    <col min="11554" max="11554" width="12.85546875" style="21" customWidth="1"/>
    <col min="11555" max="11555" width="1.7109375" style="21" customWidth="1"/>
    <col min="11556" max="11556" width="9.28515625" style="21" customWidth="1"/>
    <col min="11557" max="11557" width="12" style="21" customWidth="1"/>
    <col min="11558" max="11558" width="12.85546875" style="21" customWidth="1"/>
    <col min="11559" max="11559" width="0.5703125" style="21" customWidth="1"/>
    <col min="11560" max="11560" width="9.28515625" style="21" customWidth="1"/>
    <col min="11561" max="11562" width="12.85546875" style="21" customWidth="1"/>
    <col min="11563" max="11563" width="0.5703125" style="21" customWidth="1"/>
    <col min="11564" max="11564" width="13" style="21" customWidth="1"/>
    <col min="11565" max="11565" width="12" style="21" customWidth="1"/>
    <col min="11566" max="11566" width="12.85546875" style="21" customWidth="1"/>
    <col min="11567" max="11567" width="0.42578125" style="21" customWidth="1"/>
    <col min="11568" max="11568" width="13.5703125" style="21" customWidth="1"/>
    <col min="11569" max="11569" width="12" style="21" customWidth="1"/>
    <col min="11570" max="11570" width="12.85546875" style="21" customWidth="1"/>
    <col min="11571" max="11571" width="1.140625" style="21" customWidth="1"/>
    <col min="11572" max="11572" width="13.5703125" style="21" customWidth="1"/>
    <col min="11573" max="11573" width="12" style="21" customWidth="1"/>
    <col min="11574" max="11574" width="12.85546875" style="21" customWidth="1"/>
    <col min="11575" max="11575" width="1.140625" style="21" customWidth="1"/>
    <col min="11576" max="11576" width="13.140625" style="21" customWidth="1"/>
    <col min="11577" max="11577" width="12" style="21" customWidth="1"/>
    <col min="11578" max="11578" width="12.85546875" style="21" customWidth="1"/>
    <col min="11579" max="11579" width="1.5703125" style="21" customWidth="1"/>
    <col min="11580" max="11580" width="16.85546875" style="21" customWidth="1"/>
    <col min="11581" max="11581" width="14.28515625" style="21" customWidth="1"/>
    <col min="11582" max="11582" width="17.140625" style="21" customWidth="1"/>
    <col min="11583" max="11583" width="1.42578125" style="21" customWidth="1"/>
    <col min="11584" max="11584" width="9.28515625" style="21" customWidth="1"/>
    <col min="11585" max="11585" width="12" style="21" customWidth="1"/>
    <col min="11586" max="11586" width="12.85546875" style="21" customWidth="1"/>
    <col min="11587" max="11587" width="2.42578125" style="21" customWidth="1"/>
    <col min="11588" max="11588" width="12" style="21" customWidth="1"/>
    <col min="11589" max="11589" width="9.28515625" style="21" customWidth="1"/>
    <col min="11590" max="11590" width="12.85546875" style="21" customWidth="1"/>
    <col min="11591" max="11591" width="1.42578125" style="21" customWidth="1"/>
    <col min="11592" max="11592" width="12" style="21" customWidth="1"/>
    <col min="11593" max="11593" width="9.28515625" style="21" customWidth="1"/>
    <col min="11594" max="11594" width="12.85546875" style="21" customWidth="1"/>
    <col min="11595" max="11595" width="2.85546875" style="21" customWidth="1"/>
    <col min="11596" max="11596" width="12.7109375" style="21" customWidth="1"/>
    <col min="11597" max="11597" width="12" style="21" customWidth="1"/>
    <col min="11598" max="11598" width="12.85546875" style="21" customWidth="1"/>
    <col min="11599" max="11599" width="1.5703125" style="21" customWidth="1"/>
    <col min="11600" max="11631" width="0" style="21" hidden="1" customWidth="1"/>
    <col min="11632" max="11632" width="1.5703125" style="21" customWidth="1"/>
    <col min="11633" max="11633" width="16.85546875" style="21" customWidth="1"/>
    <col min="11634" max="11634" width="14.28515625" style="21" customWidth="1"/>
    <col min="11635" max="11635" width="17.140625" style="21" customWidth="1"/>
    <col min="11636" max="11776" width="9.140625" style="21"/>
    <col min="11777" max="11777" width="0.85546875" style="21" customWidth="1"/>
    <col min="11778" max="11778" width="5.5703125" style="21" bestFit="1" customWidth="1"/>
    <col min="11779" max="11779" width="46" style="21" bestFit="1" customWidth="1"/>
    <col min="11780" max="11780" width="1.42578125" style="21" customWidth="1"/>
    <col min="11781" max="11781" width="20.28515625" style="21" bestFit="1" customWidth="1"/>
    <col min="11782" max="11782" width="6.7109375" style="21" bestFit="1" customWidth="1"/>
    <col min="11783" max="11784" width="0" style="21" hidden="1" customWidth="1"/>
    <col min="11785" max="11785" width="15.85546875" style="21" bestFit="1" customWidth="1"/>
    <col min="11786" max="11786" width="1.5703125" style="21" customWidth="1"/>
    <col min="11787" max="11787" width="9.28515625" style="21" customWidth="1"/>
    <col min="11788" max="11788" width="12" style="21" customWidth="1"/>
    <col min="11789" max="11789" width="12.85546875" style="21" customWidth="1"/>
    <col min="11790" max="11790" width="2.42578125" style="21" customWidth="1"/>
    <col min="11791" max="11791" width="12" style="21" customWidth="1"/>
    <col min="11792" max="11792" width="9.28515625" style="21" customWidth="1"/>
    <col min="11793" max="11793" width="12.85546875" style="21" customWidth="1"/>
    <col min="11794" max="11794" width="1.42578125" style="21" customWidth="1"/>
    <col min="11795" max="11795" width="12" style="21" customWidth="1"/>
    <col min="11796" max="11796" width="9.28515625" style="21" customWidth="1"/>
    <col min="11797" max="11797" width="12.85546875" style="21" customWidth="1"/>
    <col min="11798" max="11798" width="2.85546875" style="21" customWidth="1"/>
    <col min="11799" max="11799" width="12.7109375" style="21" customWidth="1"/>
    <col min="11800" max="11800" width="12" style="21" customWidth="1"/>
    <col min="11801" max="11801" width="12.85546875" style="21" customWidth="1"/>
    <col min="11802" max="11802" width="1.5703125" style="21" customWidth="1"/>
    <col min="11803" max="11803" width="9.28515625" style="21" customWidth="1"/>
    <col min="11804" max="11804" width="12" style="21" customWidth="1"/>
    <col min="11805" max="11805" width="12.85546875" style="21" customWidth="1"/>
    <col min="11806" max="11806" width="0" style="21" hidden="1" customWidth="1"/>
    <col min="11807" max="11807" width="1.85546875" style="21" customWidth="1"/>
    <col min="11808" max="11808" width="9.28515625" style="21" customWidth="1"/>
    <col min="11809" max="11809" width="12" style="21" customWidth="1"/>
    <col min="11810" max="11810" width="12.85546875" style="21" customWidth="1"/>
    <col min="11811" max="11811" width="1.7109375" style="21" customWidth="1"/>
    <col min="11812" max="11812" width="9.28515625" style="21" customWidth="1"/>
    <col min="11813" max="11813" width="12" style="21" customWidth="1"/>
    <col min="11814" max="11814" width="12.85546875" style="21" customWidth="1"/>
    <col min="11815" max="11815" width="0.5703125" style="21" customWidth="1"/>
    <col min="11816" max="11816" width="9.28515625" style="21" customWidth="1"/>
    <col min="11817" max="11818" width="12.85546875" style="21" customWidth="1"/>
    <col min="11819" max="11819" width="0.5703125" style="21" customWidth="1"/>
    <col min="11820" max="11820" width="13" style="21" customWidth="1"/>
    <col min="11821" max="11821" width="12" style="21" customWidth="1"/>
    <col min="11822" max="11822" width="12.85546875" style="21" customWidth="1"/>
    <col min="11823" max="11823" width="0.42578125" style="21" customWidth="1"/>
    <col min="11824" max="11824" width="13.5703125" style="21" customWidth="1"/>
    <col min="11825" max="11825" width="12" style="21" customWidth="1"/>
    <col min="11826" max="11826" width="12.85546875" style="21" customWidth="1"/>
    <col min="11827" max="11827" width="1.140625" style="21" customWidth="1"/>
    <col min="11828" max="11828" width="13.5703125" style="21" customWidth="1"/>
    <col min="11829" max="11829" width="12" style="21" customWidth="1"/>
    <col min="11830" max="11830" width="12.85546875" style="21" customWidth="1"/>
    <col min="11831" max="11831" width="1.140625" style="21" customWidth="1"/>
    <col min="11832" max="11832" width="13.140625" style="21" customWidth="1"/>
    <col min="11833" max="11833" width="12" style="21" customWidth="1"/>
    <col min="11834" max="11834" width="12.85546875" style="21" customWidth="1"/>
    <col min="11835" max="11835" width="1.5703125" style="21" customWidth="1"/>
    <col min="11836" max="11836" width="16.85546875" style="21" customWidth="1"/>
    <col min="11837" max="11837" width="14.28515625" style="21" customWidth="1"/>
    <col min="11838" max="11838" width="17.140625" style="21" customWidth="1"/>
    <col min="11839" max="11839" width="1.42578125" style="21" customWidth="1"/>
    <col min="11840" max="11840" width="9.28515625" style="21" customWidth="1"/>
    <col min="11841" max="11841" width="12" style="21" customWidth="1"/>
    <col min="11842" max="11842" width="12.85546875" style="21" customWidth="1"/>
    <col min="11843" max="11843" width="2.42578125" style="21" customWidth="1"/>
    <col min="11844" max="11844" width="12" style="21" customWidth="1"/>
    <col min="11845" max="11845" width="9.28515625" style="21" customWidth="1"/>
    <col min="11846" max="11846" width="12.85546875" style="21" customWidth="1"/>
    <col min="11847" max="11847" width="1.42578125" style="21" customWidth="1"/>
    <col min="11848" max="11848" width="12" style="21" customWidth="1"/>
    <col min="11849" max="11849" width="9.28515625" style="21" customWidth="1"/>
    <col min="11850" max="11850" width="12.85546875" style="21" customWidth="1"/>
    <col min="11851" max="11851" width="2.85546875" style="21" customWidth="1"/>
    <col min="11852" max="11852" width="12.7109375" style="21" customWidth="1"/>
    <col min="11853" max="11853" width="12" style="21" customWidth="1"/>
    <col min="11854" max="11854" width="12.85546875" style="21" customWidth="1"/>
    <col min="11855" max="11855" width="1.5703125" style="21" customWidth="1"/>
    <col min="11856" max="11887" width="0" style="21" hidden="1" customWidth="1"/>
    <col min="11888" max="11888" width="1.5703125" style="21" customWidth="1"/>
    <col min="11889" max="11889" width="16.85546875" style="21" customWidth="1"/>
    <col min="11890" max="11890" width="14.28515625" style="21" customWidth="1"/>
    <col min="11891" max="11891" width="17.140625" style="21" customWidth="1"/>
    <col min="11892" max="12032" width="9.140625" style="21"/>
    <col min="12033" max="12033" width="0.85546875" style="21" customWidth="1"/>
    <col min="12034" max="12034" width="5.5703125" style="21" bestFit="1" customWidth="1"/>
    <col min="12035" max="12035" width="46" style="21" bestFit="1" customWidth="1"/>
    <col min="12036" max="12036" width="1.42578125" style="21" customWidth="1"/>
    <col min="12037" max="12037" width="20.28515625" style="21" bestFit="1" customWidth="1"/>
    <col min="12038" max="12038" width="6.7109375" style="21" bestFit="1" customWidth="1"/>
    <col min="12039" max="12040" width="0" style="21" hidden="1" customWidth="1"/>
    <col min="12041" max="12041" width="15.85546875" style="21" bestFit="1" customWidth="1"/>
    <col min="12042" max="12042" width="1.5703125" style="21" customWidth="1"/>
    <col min="12043" max="12043" width="9.28515625" style="21" customWidth="1"/>
    <col min="12044" max="12044" width="12" style="21" customWidth="1"/>
    <col min="12045" max="12045" width="12.85546875" style="21" customWidth="1"/>
    <col min="12046" max="12046" width="2.42578125" style="21" customWidth="1"/>
    <col min="12047" max="12047" width="12" style="21" customWidth="1"/>
    <col min="12048" max="12048" width="9.28515625" style="21" customWidth="1"/>
    <col min="12049" max="12049" width="12.85546875" style="21" customWidth="1"/>
    <col min="12050" max="12050" width="1.42578125" style="21" customWidth="1"/>
    <col min="12051" max="12051" width="12" style="21" customWidth="1"/>
    <col min="12052" max="12052" width="9.28515625" style="21" customWidth="1"/>
    <col min="12053" max="12053" width="12.85546875" style="21" customWidth="1"/>
    <col min="12054" max="12054" width="2.85546875" style="21" customWidth="1"/>
    <col min="12055" max="12055" width="12.7109375" style="21" customWidth="1"/>
    <col min="12056" max="12056" width="12" style="21" customWidth="1"/>
    <col min="12057" max="12057" width="12.85546875" style="21" customWidth="1"/>
    <col min="12058" max="12058" width="1.5703125" style="21" customWidth="1"/>
    <col min="12059" max="12059" width="9.28515625" style="21" customWidth="1"/>
    <col min="12060" max="12060" width="12" style="21" customWidth="1"/>
    <col min="12061" max="12061" width="12.85546875" style="21" customWidth="1"/>
    <col min="12062" max="12062" width="0" style="21" hidden="1" customWidth="1"/>
    <col min="12063" max="12063" width="1.85546875" style="21" customWidth="1"/>
    <col min="12064" max="12064" width="9.28515625" style="21" customWidth="1"/>
    <col min="12065" max="12065" width="12" style="21" customWidth="1"/>
    <col min="12066" max="12066" width="12.85546875" style="21" customWidth="1"/>
    <col min="12067" max="12067" width="1.7109375" style="21" customWidth="1"/>
    <col min="12068" max="12068" width="9.28515625" style="21" customWidth="1"/>
    <col min="12069" max="12069" width="12" style="21" customWidth="1"/>
    <col min="12070" max="12070" width="12.85546875" style="21" customWidth="1"/>
    <col min="12071" max="12071" width="0.5703125" style="21" customWidth="1"/>
    <col min="12072" max="12072" width="9.28515625" style="21" customWidth="1"/>
    <col min="12073" max="12074" width="12.85546875" style="21" customWidth="1"/>
    <col min="12075" max="12075" width="0.5703125" style="21" customWidth="1"/>
    <col min="12076" max="12076" width="13" style="21" customWidth="1"/>
    <col min="12077" max="12077" width="12" style="21" customWidth="1"/>
    <col min="12078" max="12078" width="12.85546875" style="21" customWidth="1"/>
    <col min="12079" max="12079" width="0.42578125" style="21" customWidth="1"/>
    <col min="12080" max="12080" width="13.5703125" style="21" customWidth="1"/>
    <col min="12081" max="12081" width="12" style="21" customWidth="1"/>
    <col min="12082" max="12082" width="12.85546875" style="21" customWidth="1"/>
    <col min="12083" max="12083" width="1.140625" style="21" customWidth="1"/>
    <col min="12084" max="12084" width="13.5703125" style="21" customWidth="1"/>
    <col min="12085" max="12085" width="12" style="21" customWidth="1"/>
    <col min="12086" max="12086" width="12.85546875" style="21" customWidth="1"/>
    <col min="12087" max="12087" width="1.140625" style="21" customWidth="1"/>
    <col min="12088" max="12088" width="13.140625" style="21" customWidth="1"/>
    <col min="12089" max="12089" width="12" style="21" customWidth="1"/>
    <col min="12090" max="12090" width="12.85546875" style="21" customWidth="1"/>
    <col min="12091" max="12091" width="1.5703125" style="21" customWidth="1"/>
    <col min="12092" max="12092" width="16.85546875" style="21" customWidth="1"/>
    <col min="12093" max="12093" width="14.28515625" style="21" customWidth="1"/>
    <col min="12094" max="12094" width="17.140625" style="21" customWidth="1"/>
    <col min="12095" max="12095" width="1.42578125" style="21" customWidth="1"/>
    <col min="12096" max="12096" width="9.28515625" style="21" customWidth="1"/>
    <col min="12097" max="12097" width="12" style="21" customWidth="1"/>
    <col min="12098" max="12098" width="12.85546875" style="21" customWidth="1"/>
    <col min="12099" max="12099" width="2.42578125" style="21" customWidth="1"/>
    <col min="12100" max="12100" width="12" style="21" customWidth="1"/>
    <col min="12101" max="12101" width="9.28515625" style="21" customWidth="1"/>
    <col min="12102" max="12102" width="12.85546875" style="21" customWidth="1"/>
    <col min="12103" max="12103" width="1.42578125" style="21" customWidth="1"/>
    <col min="12104" max="12104" width="12" style="21" customWidth="1"/>
    <col min="12105" max="12105" width="9.28515625" style="21" customWidth="1"/>
    <col min="12106" max="12106" width="12.85546875" style="21" customWidth="1"/>
    <col min="12107" max="12107" width="2.85546875" style="21" customWidth="1"/>
    <col min="12108" max="12108" width="12.7109375" style="21" customWidth="1"/>
    <col min="12109" max="12109" width="12" style="21" customWidth="1"/>
    <col min="12110" max="12110" width="12.85546875" style="21" customWidth="1"/>
    <col min="12111" max="12111" width="1.5703125" style="21" customWidth="1"/>
    <col min="12112" max="12143" width="0" style="21" hidden="1" customWidth="1"/>
    <col min="12144" max="12144" width="1.5703125" style="21" customWidth="1"/>
    <col min="12145" max="12145" width="16.85546875" style="21" customWidth="1"/>
    <col min="12146" max="12146" width="14.28515625" style="21" customWidth="1"/>
    <col min="12147" max="12147" width="17.140625" style="21" customWidth="1"/>
    <col min="12148" max="12288" width="9.140625" style="21"/>
    <col min="12289" max="12289" width="0.85546875" style="21" customWidth="1"/>
    <col min="12290" max="12290" width="5.5703125" style="21" bestFit="1" customWidth="1"/>
    <col min="12291" max="12291" width="46" style="21" bestFit="1" customWidth="1"/>
    <col min="12292" max="12292" width="1.42578125" style="21" customWidth="1"/>
    <col min="12293" max="12293" width="20.28515625" style="21" bestFit="1" customWidth="1"/>
    <col min="12294" max="12294" width="6.7109375" style="21" bestFit="1" customWidth="1"/>
    <col min="12295" max="12296" width="0" style="21" hidden="1" customWidth="1"/>
    <col min="12297" max="12297" width="15.85546875" style="21" bestFit="1" customWidth="1"/>
    <col min="12298" max="12298" width="1.5703125" style="21" customWidth="1"/>
    <col min="12299" max="12299" width="9.28515625" style="21" customWidth="1"/>
    <col min="12300" max="12300" width="12" style="21" customWidth="1"/>
    <col min="12301" max="12301" width="12.85546875" style="21" customWidth="1"/>
    <col min="12302" max="12302" width="2.42578125" style="21" customWidth="1"/>
    <col min="12303" max="12303" width="12" style="21" customWidth="1"/>
    <col min="12304" max="12304" width="9.28515625" style="21" customWidth="1"/>
    <col min="12305" max="12305" width="12.85546875" style="21" customWidth="1"/>
    <col min="12306" max="12306" width="1.42578125" style="21" customWidth="1"/>
    <col min="12307" max="12307" width="12" style="21" customWidth="1"/>
    <col min="12308" max="12308" width="9.28515625" style="21" customWidth="1"/>
    <col min="12309" max="12309" width="12.85546875" style="21" customWidth="1"/>
    <col min="12310" max="12310" width="2.85546875" style="21" customWidth="1"/>
    <col min="12311" max="12311" width="12.7109375" style="21" customWidth="1"/>
    <col min="12312" max="12312" width="12" style="21" customWidth="1"/>
    <col min="12313" max="12313" width="12.85546875" style="21" customWidth="1"/>
    <col min="12314" max="12314" width="1.5703125" style="21" customWidth="1"/>
    <col min="12315" max="12315" width="9.28515625" style="21" customWidth="1"/>
    <col min="12316" max="12316" width="12" style="21" customWidth="1"/>
    <col min="12317" max="12317" width="12.85546875" style="21" customWidth="1"/>
    <col min="12318" max="12318" width="0" style="21" hidden="1" customWidth="1"/>
    <col min="12319" max="12319" width="1.85546875" style="21" customWidth="1"/>
    <col min="12320" max="12320" width="9.28515625" style="21" customWidth="1"/>
    <col min="12321" max="12321" width="12" style="21" customWidth="1"/>
    <col min="12322" max="12322" width="12.85546875" style="21" customWidth="1"/>
    <col min="12323" max="12323" width="1.7109375" style="21" customWidth="1"/>
    <col min="12324" max="12324" width="9.28515625" style="21" customWidth="1"/>
    <col min="12325" max="12325" width="12" style="21" customWidth="1"/>
    <col min="12326" max="12326" width="12.85546875" style="21" customWidth="1"/>
    <col min="12327" max="12327" width="0.5703125" style="21" customWidth="1"/>
    <col min="12328" max="12328" width="9.28515625" style="21" customWidth="1"/>
    <col min="12329" max="12330" width="12.85546875" style="21" customWidth="1"/>
    <col min="12331" max="12331" width="0.5703125" style="21" customWidth="1"/>
    <col min="12332" max="12332" width="13" style="21" customWidth="1"/>
    <col min="12333" max="12333" width="12" style="21" customWidth="1"/>
    <col min="12334" max="12334" width="12.85546875" style="21" customWidth="1"/>
    <col min="12335" max="12335" width="0.42578125" style="21" customWidth="1"/>
    <col min="12336" max="12336" width="13.5703125" style="21" customWidth="1"/>
    <col min="12337" max="12337" width="12" style="21" customWidth="1"/>
    <col min="12338" max="12338" width="12.85546875" style="21" customWidth="1"/>
    <col min="12339" max="12339" width="1.140625" style="21" customWidth="1"/>
    <col min="12340" max="12340" width="13.5703125" style="21" customWidth="1"/>
    <col min="12341" max="12341" width="12" style="21" customWidth="1"/>
    <col min="12342" max="12342" width="12.85546875" style="21" customWidth="1"/>
    <col min="12343" max="12343" width="1.140625" style="21" customWidth="1"/>
    <col min="12344" max="12344" width="13.140625" style="21" customWidth="1"/>
    <col min="12345" max="12345" width="12" style="21" customWidth="1"/>
    <col min="12346" max="12346" width="12.85546875" style="21" customWidth="1"/>
    <col min="12347" max="12347" width="1.5703125" style="21" customWidth="1"/>
    <col min="12348" max="12348" width="16.85546875" style="21" customWidth="1"/>
    <col min="12349" max="12349" width="14.28515625" style="21" customWidth="1"/>
    <col min="12350" max="12350" width="17.140625" style="21" customWidth="1"/>
    <col min="12351" max="12351" width="1.42578125" style="21" customWidth="1"/>
    <col min="12352" max="12352" width="9.28515625" style="21" customWidth="1"/>
    <col min="12353" max="12353" width="12" style="21" customWidth="1"/>
    <col min="12354" max="12354" width="12.85546875" style="21" customWidth="1"/>
    <col min="12355" max="12355" width="2.42578125" style="21" customWidth="1"/>
    <col min="12356" max="12356" width="12" style="21" customWidth="1"/>
    <col min="12357" max="12357" width="9.28515625" style="21" customWidth="1"/>
    <col min="12358" max="12358" width="12.85546875" style="21" customWidth="1"/>
    <col min="12359" max="12359" width="1.42578125" style="21" customWidth="1"/>
    <col min="12360" max="12360" width="12" style="21" customWidth="1"/>
    <col min="12361" max="12361" width="9.28515625" style="21" customWidth="1"/>
    <col min="12362" max="12362" width="12.85546875" style="21" customWidth="1"/>
    <col min="12363" max="12363" width="2.85546875" style="21" customWidth="1"/>
    <col min="12364" max="12364" width="12.7109375" style="21" customWidth="1"/>
    <col min="12365" max="12365" width="12" style="21" customWidth="1"/>
    <col min="12366" max="12366" width="12.85546875" style="21" customWidth="1"/>
    <col min="12367" max="12367" width="1.5703125" style="21" customWidth="1"/>
    <col min="12368" max="12399" width="0" style="21" hidden="1" customWidth="1"/>
    <col min="12400" max="12400" width="1.5703125" style="21" customWidth="1"/>
    <col min="12401" max="12401" width="16.85546875" style="21" customWidth="1"/>
    <col min="12402" max="12402" width="14.28515625" style="21" customWidth="1"/>
    <col min="12403" max="12403" width="17.140625" style="21" customWidth="1"/>
    <col min="12404" max="12544" width="9.140625" style="21"/>
    <col min="12545" max="12545" width="0.85546875" style="21" customWidth="1"/>
    <col min="12546" max="12546" width="5.5703125" style="21" bestFit="1" customWidth="1"/>
    <col min="12547" max="12547" width="46" style="21" bestFit="1" customWidth="1"/>
    <col min="12548" max="12548" width="1.42578125" style="21" customWidth="1"/>
    <col min="12549" max="12549" width="20.28515625" style="21" bestFit="1" customWidth="1"/>
    <col min="12550" max="12550" width="6.7109375" style="21" bestFit="1" customWidth="1"/>
    <col min="12551" max="12552" width="0" style="21" hidden="1" customWidth="1"/>
    <col min="12553" max="12553" width="15.85546875" style="21" bestFit="1" customWidth="1"/>
    <col min="12554" max="12554" width="1.5703125" style="21" customWidth="1"/>
    <col min="12555" max="12555" width="9.28515625" style="21" customWidth="1"/>
    <col min="12556" max="12556" width="12" style="21" customWidth="1"/>
    <col min="12557" max="12557" width="12.85546875" style="21" customWidth="1"/>
    <col min="12558" max="12558" width="2.42578125" style="21" customWidth="1"/>
    <col min="12559" max="12559" width="12" style="21" customWidth="1"/>
    <col min="12560" max="12560" width="9.28515625" style="21" customWidth="1"/>
    <col min="12561" max="12561" width="12.85546875" style="21" customWidth="1"/>
    <col min="12562" max="12562" width="1.42578125" style="21" customWidth="1"/>
    <col min="12563" max="12563" width="12" style="21" customWidth="1"/>
    <col min="12564" max="12564" width="9.28515625" style="21" customWidth="1"/>
    <col min="12565" max="12565" width="12.85546875" style="21" customWidth="1"/>
    <col min="12566" max="12566" width="2.85546875" style="21" customWidth="1"/>
    <col min="12567" max="12567" width="12.7109375" style="21" customWidth="1"/>
    <col min="12568" max="12568" width="12" style="21" customWidth="1"/>
    <col min="12569" max="12569" width="12.85546875" style="21" customWidth="1"/>
    <col min="12570" max="12570" width="1.5703125" style="21" customWidth="1"/>
    <col min="12571" max="12571" width="9.28515625" style="21" customWidth="1"/>
    <col min="12572" max="12572" width="12" style="21" customWidth="1"/>
    <col min="12573" max="12573" width="12.85546875" style="21" customWidth="1"/>
    <col min="12574" max="12574" width="0" style="21" hidden="1" customWidth="1"/>
    <col min="12575" max="12575" width="1.85546875" style="21" customWidth="1"/>
    <col min="12576" max="12576" width="9.28515625" style="21" customWidth="1"/>
    <col min="12577" max="12577" width="12" style="21" customWidth="1"/>
    <col min="12578" max="12578" width="12.85546875" style="21" customWidth="1"/>
    <col min="12579" max="12579" width="1.7109375" style="21" customWidth="1"/>
    <col min="12580" max="12580" width="9.28515625" style="21" customWidth="1"/>
    <col min="12581" max="12581" width="12" style="21" customWidth="1"/>
    <col min="12582" max="12582" width="12.85546875" style="21" customWidth="1"/>
    <col min="12583" max="12583" width="0.5703125" style="21" customWidth="1"/>
    <col min="12584" max="12584" width="9.28515625" style="21" customWidth="1"/>
    <col min="12585" max="12586" width="12.85546875" style="21" customWidth="1"/>
    <col min="12587" max="12587" width="0.5703125" style="21" customWidth="1"/>
    <col min="12588" max="12588" width="13" style="21" customWidth="1"/>
    <col min="12589" max="12589" width="12" style="21" customWidth="1"/>
    <col min="12590" max="12590" width="12.85546875" style="21" customWidth="1"/>
    <col min="12591" max="12591" width="0.42578125" style="21" customWidth="1"/>
    <col min="12592" max="12592" width="13.5703125" style="21" customWidth="1"/>
    <col min="12593" max="12593" width="12" style="21" customWidth="1"/>
    <col min="12594" max="12594" width="12.85546875" style="21" customWidth="1"/>
    <col min="12595" max="12595" width="1.140625" style="21" customWidth="1"/>
    <col min="12596" max="12596" width="13.5703125" style="21" customWidth="1"/>
    <col min="12597" max="12597" width="12" style="21" customWidth="1"/>
    <col min="12598" max="12598" width="12.85546875" style="21" customWidth="1"/>
    <col min="12599" max="12599" width="1.140625" style="21" customWidth="1"/>
    <col min="12600" max="12600" width="13.140625" style="21" customWidth="1"/>
    <col min="12601" max="12601" width="12" style="21" customWidth="1"/>
    <col min="12602" max="12602" width="12.85546875" style="21" customWidth="1"/>
    <col min="12603" max="12603" width="1.5703125" style="21" customWidth="1"/>
    <col min="12604" max="12604" width="16.85546875" style="21" customWidth="1"/>
    <col min="12605" max="12605" width="14.28515625" style="21" customWidth="1"/>
    <col min="12606" max="12606" width="17.140625" style="21" customWidth="1"/>
    <col min="12607" max="12607" width="1.42578125" style="21" customWidth="1"/>
    <col min="12608" max="12608" width="9.28515625" style="21" customWidth="1"/>
    <col min="12609" max="12609" width="12" style="21" customWidth="1"/>
    <col min="12610" max="12610" width="12.85546875" style="21" customWidth="1"/>
    <col min="12611" max="12611" width="2.42578125" style="21" customWidth="1"/>
    <col min="12612" max="12612" width="12" style="21" customWidth="1"/>
    <col min="12613" max="12613" width="9.28515625" style="21" customWidth="1"/>
    <col min="12614" max="12614" width="12.85546875" style="21" customWidth="1"/>
    <col min="12615" max="12615" width="1.42578125" style="21" customWidth="1"/>
    <col min="12616" max="12616" width="12" style="21" customWidth="1"/>
    <col min="12617" max="12617" width="9.28515625" style="21" customWidth="1"/>
    <col min="12618" max="12618" width="12.85546875" style="21" customWidth="1"/>
    <col min="12619" max="12619" width="2.85546875" style="21" customWidth="1"/>
    <col min="12620" max="12620" width="12.7109375" style="21" customWidth="1"/>
    <col min="12621" max="12621" width="12" style="21" customWidth="1"/>
    <col min="12622" max="12622" width="12.85546875" style="21" customWidth="1"/>
    <col min="12623" max="12623" width="1.5703125" style="21" customWidth="1"/>
    <col min="12624" max="12655" width="0" style="21" hidden="1" customWidth="1"/>
    <col min="12656" max="12656" width="1.5703125" style="21" customWidth="1"/>
    <col min="12657" max="12657" width="16.85546875" style="21" customWidth="1"/>
    <col min="12658" max="12658" width="14.28515625" style="21" customWidth="1"/>
    <col min="12659" max="12659" width="17.140625" style="21" customWidth="1"/>
    <col min="12660" max="12800" width="9.140625" style="21"/>
    <col min="12801" max="12801" width="0.85546875" style="21" customWidth="1"/>
    <col min="12802" max="12802" width="5.5703125" style="21" bestFit="1" customWidth="1"/>
    <col min="12803" max="12803" width="46" style="21" bestFit="1" customWidth="1"/>
    <col min="12804" max="12804" width="1.42578125" style="21" customWidth="1"/>
    <col min="12805" max="12805" width="20.28515625" style="21" bestFit="1" customWidth="1"/>
    <col min="12806" max="12806" width="6.7109375" style="21" bestFit="1" customWidth="1"/>
    <col min="12807" max="12808" width="0" style="21" hidden="1" customWidth="1"/>
    <col min="12809" max="12809" width="15.85546875" style="21" bestFit="1" customWidth="1"/>
    <col min="12810" max="12810" width="1.5703125" style="21" customWidth="1"/>
    <col min="12811" max="12811" width="9.28515625" style="21" customWidth="1"/>
    <col min="12812" max="12812" width="12" style="21" customWidth="1"/>
    <col min="12813" max="12813" width="12.85546875" style="21" customWidth="1"/>
    <col min="12814" max="12814" width="2.42578125" style="21" customWidth="1"/>
    <col min="12815" max="12815" width="12" style="21" customWidth="1"/>
    <col min="12816" max="12816" width="9.28515625" style="21" customWidth="1"/>
    <col min="12817" max="12817" width="12.85546875" style="21" customWidth="1"/>
    <col min="12818" max="12818" width="1.42578125" style="21" customWidth="1"/>
    <col min="12819" max="12819" width="12" style="21" customWidth="1"/>
    <col min="12820" max="12820" width="9.28515625" style="21" customWidth="1"/>
    <col min="12821" max="12821" width="12.85546875" style="21" customWidth="1"/>
    <col min="12822" max="12822" width="2.85546875" style="21" customWidth="1"/>
    <col min="12823" max="12823" width="12.7109375" style="21" customWidth="1"/>
    <col min="12824" max="12824" width="12" style="21" customWidth="1"/>
    <col min="12825" max="12825" width="12.85546875" style="21" customWidth="1"/>
    <col min="12826" max="12826" width="1.5703125" style="21" customWidth="1"/>
    <col min="12827" max="12827" width="9.28515625" style="21" customWidth="1"/>
    <col min="12828" max="12828" width="12" style="21" customWidth="1"/>
    <col min="12829" max="12829" width="12.85546875" style="21" customWidth="1"/>
    <col min="12830" max="12830" width="0" style="21" hidden="1" customWidth="1"/>
    <col min="12831" max="12831" width="1.85546875" style="21" customWidth="1"/>
    <col min="12832" max="12832" width="9.28515625" style="21" customWidth="1"/>
    <col min="12833" max="12833" width="12" style="21" customWidth="1"/>
    <col min="12834" max="12834" width="12.85546875" style="21" customWidth="1"/>
    <col min="12835" max="12835" width="1.7109375" style="21" customWidth="1"/>
    <col min="12836" max="12836" width="9.28515625" style="21" customWidth="1"/>
    <col min="12837" max="12837" width="12" style="21" customWidth="1"/>
    <col min="12838" max="12838" width="12.85546875" style="21" customWidth="1"/>
    <col min="12839" max="12839" width="0.5703125" style="21" customWidth="1"/>
    <col min="12840" max="12840" width="9.28515625" style="21" customWidth="1"/>
    <col min="12841" max="12842" width="12.85546875" style="21" customWidth="1"/>
    <col min="12843" max="12843" width="0.5703125" style="21" customWidth="1"/>
    <col min="12844" max="12844" width="13" style="21" customWidth="1"/>
    <col min="12845" max="12845" width="12" style="21" customWidth="1"/>
    <col min="12846" max="12846" width="12.85546875" style="21" customWidth="1"/>
    <col min="12847" max="12847" width="0.42578125" style="21" customWidth="1"/>
    <col min="12848" max="12848" width="13.5703125" style="21" customWidth="1"/>
    <col min="12849" max="12849" width="12" style="21" customWidth="1"/>
    <col min="12850" max="12850" width="12.85546875" style="21" customWidth="1"/>
    <col min="12851" max="12851" width="1.140625" style="21" customWidth="1"/>
    <col min="12852" max="12852" width="13.5703125" style="21" customWidth="1"/>
    <col min="12853" max="12853" width="12" style="21" customWidth="1"/>
    <col min="12854" max="12854" width="12.85546875" style="21" customWidth="1"/>
    <col min="12855" max="12855" width="1.140625" style="21" customWidth="1"/>
    <col min="12856" max="12856" width="13.140625" style="21" customWidth="1"/>
    <col min="12857" max="12857" width="12" style="21" customWidth="1"/>
    <col min="12858" max="12858" width="12.85546875" style="21" customWidth="1"/>
    <col min="12859" max="12859" width="1.5703125" style="21" customWidth="1"/>
    <col min="12860" max="12860" width="16.85546875" style="21" customWidth="1"/>
    <col min="12861" max="12861" width="14.28515625" style="21" customWidth="1"/>
    <col min="12862" max="12862" width="17.140625" style="21" customWidth="1"/>
    <col min="12863" max="12863" width="1.42578125" style="21" customWidth="1"/>
    <col min="12864" max="12864" width="9.28515625" style="21" customWidth="1"/>
    <col min="12865" max="12865" width="12" style="21" customWidth="1"/>
    <col min="12866" max="12866" width="12.85546875" style="21" customWidth="1"/>
    <col min="12867" max="12867" width="2.42578125" style="21" customWidth="1"/>
    <col min="12868" max="12868" width="12" style="21" customWidth="1"/>
    <col min="12869" max="12869" width="9.28515625" style="21" customWidth="1"/>
    <col min="12870" max="12870" width="12.85546875" style="21" customWidth="1"/>
    <col min="12871" max="12871" width="1.42578125" style="21" customWidth="1"/>
    <col min="12872" max="12872" width="12" style="21" customWidth="1"/>
    <col min="12873" max="12873" width="9.28515625" style="21" customWidth="1"/>
    <col min="12874" max="12874" width="12.85546875" style="21" customWidth="1"/>
    <col min="12875" max="12875" width="2.85546875" style="21" customWidth="1"/>
    <col min="12876" max="12876" width="12.7109375" style="21" customWidth="1"/>
    <col min="12877" max="12877" width="12" style="21" customWidth="1"/>
    <col min="12878" max="12878" width="12.85546875" style="21" customWidth="1"/>
    <col min="12879" max="12879" width="1.5703125" style="21" customWidth="1"/>
    <col min="12880" max="12911" width="0" style="21" hidden="1" customWidth="1"/>
    <col min="12912" max="12912" width="1.5703125" style="21" customWidth="1"/>
    <col min="12913" max="12913" width="16.85546875" style="21" customWidth="1"/>
    <col min="12914" max="12914" width="14.28515625" style="21" customWidth="1"/>
    <col min="12915" max="12915" width="17.140625" style="21" customWidth="1"/>
    <col min="12916" max="13056" width="9.140625" style="21"/>
    <col min="13057" max="13057" width="0.85546875" style="21" customWidth="1"/>
    <col min="13058" max="13058" width="5.5703125" style="21" bestFit="1" customWidth="1"/>
    <col min="13059" max="13059" width="46" style="21" bestFit="1" customWidth="1"/>
    <col min="13060" max="13060" width="1.42578125" style="21" customWidth="1"/>
    <col min="13061" max="13061" width="20.28515625" style="21" bestFit="1" customWidth="1"/>
    <col min="13062" max="13062" width="6.7109375" style="21" bestFit="1" customWidth="1"/>
    <col min="13063" max="13064" width="0" style="21" hidden="1" customWidth="1"/>
    <col min="13065" max="13065" width="15.85546875" style="21" bestFit="1" customWidth="1"/>
    <col min="13066" max="13066" width="1.5703125" style="21" customWidth="1"/>
    <col min="13067" max="13067" width="9.28515625" style="21" customWidth="1"/>
    <col min="13068" max="13068" width="12" style="21" customWidth="1"/>
    <col min="13069" max="13069" width="12.85546875" style="21" customWidth="1"/>
    <col min="13070" max="13070" width="2.42578125" style="21" customWidth="1"/>
    <col min="13071" max="13071" width="12" style="21" customWidth="1"/>
    <col min="13072" max="13072" width="9.28515625" style="21" customWidth="1"/>
    <col min="13073" max="13073" width="12.85546875" style="21" customWidth="1"/>
    <col min="13074" max="13074" width="1.42578125" style="21" customWidth="1"/>
    <col min="13075" max="13075" width="12" style="21" customWidth="1"/>
    <col min="13076" max="13076" width="9.28515625" style="21" customWidth="1"/>
    <col min="13077" max="13077" width="12.85546875" style="21" customWidth="1"/>
    <col min="13078" max="13078" width="2.85546875" style="21" customWidth="1"/>
    <col min="13079" max="13079" width="12.7109375" style="21" customWidth="1"/>
    <col min="13080" max="13080" width="12" style="21" customWidth="1"/>
    <col min="13081" max="13081" width="12.85546875" style="21" customWidth="1"/>
    <col min="13082" max="13082" width="1.5703125" style="21" customWidth="1"/>
    <col min="13083" max="13083" width="9.28515625" style="21" customWidth="1"/>
    <col min="13084" max="13084" width="12" style="21" customWidth="1"/>
    <col min="13085" max="13085" width="12.85546875" style="21" customWidth="1"/>
    <col min="13086" max="13086" width="0" style="21" hidden="1" customWidth="1"/>
    <col min="13087" max="13087" width="1.85546875" style="21" customWidth="1"/>
    <col min="13088" max="13088" width="9.28515625" style="21" customWidth="1"/>
    <col min="13089" max="13089" width="12" style="21" customWidth="1"/>
    <col min="13090" max="13090" width="12.85546875" style="21" customWidth="1"/>
    <col min="13091" max="13091" width="1.7109375" style="21" customWidth="1"/>
    <col min="13092" max="13092" width="9.28515625" style="21" customWidth="1"/>
    <col min="13093" max="13093" width="12" style="21" customWidth="1"/>
    <col min="13094" max="13094" width="12.85546875" style="21" customWidth="1"/>
    <col min="13095" max="13095" width="0.5703125" style="21" customWidth="1"/>
    <col min="13096" max="13096" width="9.28515625" style="21" customWidth="1"/>
    <col min="13097" max="13098" width="12.85546875" style="21" customWidth="1"/>
    <col min="13099" max="13099" width="0.5703125" style="21" customWidth="1"/>
    <col min="13100" max="13100" width="13" style="21" customWidth="1"/>
    <col min="13101" max="13101" width="12" style="21" customWidth="1"/>
    <col min="13102" max="13102" width="12.85546875" style="21" customWidth="1"/>
    <col min="13103" max="13103" width="0.42578125" style="21" customWidth="1"/>
    <col min="13104" max="13104" width="13.5703125" style="21" customWidth="1"/>
    <col min="13105" max="13105" width="12" style="21" customWidth="1"/>
    <col min="13106" max="13106" width="12.85546875" style="21" customWidth="1"/>
    <col min="13107" max="13107" width="1.140625" style="21" customWidth="1"/>
    <col min="13108" max="13108" width="13.5703125" style="21" customWidth="1"/>
    <col min="13109" max="13109" width="12" style="21" customWidth="1"/>
    <col min="13110" max="13110" width="12.85546875" style="21" customWidth="1"/>
    <col min="13111" max="13111" width="1.140625" style="21" customWidth="1"/>
    <col min="13112" max="13112" width="13.140625" style="21" customWidth="1"/>
    <col min="13113" max="13113" width="12" style="21" customWidth="1"/>
    <col min="13114" max="13114" width="12.85546875" style="21" customWidth="1"/>
    <col min="13115" max="13115" width="1.5703125" style="21" customWidth="1"/>
    <col min="13116" max="13116" width="16.85546875" style="21" customWidth="1"/>
    <col min="13117" max="13117" width="14.28515625" style="21" customWidth="1"/>
    <col min="13118" max="13118" width="17.140625" style="21" customWidth="1"/>
    <col min="13119" max="13119" width="1.42578125" style="21" customWidth="1"/>
    <col min="13120" max="13120" width="9.28515625" style="21" customWidth="1"/>
    <col min="13121" max="13121" width="12" style="21" customWidth="1"/>
    <col min="13122" max="13122" width="12.85546875" style="21" customWidth="1"/>
    <col min="13123" max="13123" width="2.42578125" style="21" customWidth="1"/>
    <col min="13124" max="13124" width="12" style="21" customWidth="1"/>
    <col min="13125" max="13125" width="9.28515625" style="21" customWidth="1"/>
    <col min="13126" max="13126" width="12.85546875" style="21" customWidth="1"/>
    <col min="13127" max="13127" width="1.42578125" style="21" customWidth="1"/>
    <col min="13128" max="13128" width="12" style="21" customWidth="1"/>
    <col min="13129" max="13129" width="9.28515625" style="21" customWidth="1"/>
    <col min="13130" max="13130" width="12.85546875" style="21" customWidth="1"/>
    <col min="13131" max="13131" width="2.85546875" style="21" customWidth="1"/>
    <col min="13132" max="13132" width="12.7109375" style="21" customWidth="1"/>
    <col min="13133" max="13133" width="12" style="21" customWidth="1"/>
    <col min="13134" max="13134" width="12.85546875" style="21" customWidth="1"/>
    <col min="13135" max="13135" width="1.5703125" style="21" customWidth="1"/>
    <col min="13136" max="13167" width="0" style="21" hidden="1" customWidth="1"/>
    <col min="13168" max="13168" width="1.5703125" style="21" customWidth="1"/>
    <col min="13169" max="13169" width="16.85546875" style="21" customWidth="1"/>
    <col min="13170" max="13170" width="14.28515625" style="21" customWidth="1"/>
    <col min="13171" max="13171" width="17.140625" style="21" customWidth="1"/>
    <col min="13172" max="13312" width="9.140625" style="21"/>
    <col min="13313" max="13313" width="0.85546875" style="21" customWidth="1"/>
    <col min="13314" max="13314" width="5.5703125" style="21" bestFit="1" customWidth="1"/>
    <col min="13315" max="13315" width="46" style="21" bestFit="1" customWidth="1"/>
    <col min="13316" max="13316" width="1.42578125" style="21" customWidth="1"/>
    <col min="13317" max="13317" width="20.28515625" style="21" bestFit="1" customWidth="1"/>
    <col min="13318" max="13318" width="6.7109375" style="21" bestFit="1" customWidth="1"/>
    <col min="13319" max="13320" width="0" style="21" hidden="1" customWidth="1"/>
    <col min="13321" max="13321" width="15.85546875" style="21" bestFit="1" customWidth="1"/>
    <col min="13322" max="13322" width="1.5703125" style="21" customWidth="1"/>
    <col min="13323" max="13323" width="9.28515625" style="21" customWidth="1"/>
    <col min="13324" max="13324" width="12" style="21" customWidth="1"/>
    <col min="13325" max="13325" width="12.85546875" style="21" customWidth="1"/>
    <col min="13326" max="13326" width="2.42578125" style="21" customWidth="1"/>
    <col min="13327" max="13327" width="12" style="21" customWidth="1"/>
    <col min="13328" max="13328" width="9.28515625" style="21" customWidth="1"/>
    <col min="13329" max="13329" width="12.85546875" style="21" customWidth="1"/>
    <col min="13330" max="13330" width="1.42578125" style="21" customWidth="1"/>
    <col min="13331" max="13331" width="12" style="21" customWidth="1"/>
    <col min="13332" max="13332" width="9.28515625" style="21" customWidth="1"/>
    <col min="13333" max="13333" width="12.85546875" style="21" customWidth="1"/>
    <col min="13334" max="13334" width="2.85546875" style="21" customWidth="1"/>
    <col min="13335" max="13335" width="12.7109375" style="21" customWidth="1"/>
    <col min="13336" max="13336" width="12" style="21" customWidth="1"/>
    <col min="13337" max="13337" width="12.85546875" style="21" customWidth="1"/>
    <col min="13338" max="13338" width="1.5703125" style="21" customWidth="1"/>
    <col min="13339" max="13339" width="9.28515625" style="21" customWidth="1"/>
    <col min="13340" max="13340" width="12" style="21" customWidth="1"/>
    <col min="13341" max="13341" width="12.85546875" style="21" customWidth="1"/>
    <col min="13342" max="13342" width="0" style="21" hidden="1" customWidth="1"/>
    <col min="13343" max="13343" width="1.85546875" style="21" customWidth="1"/>
    <col min="13344" max="13344" width="9.28515625" style="21" customWidth="1"/>
    <col min="13345" max="13345" width="12" style="21" customWidth="1"/>
    <col min="13346" max="13346" width="12.85546875" style="21" customWidth="1"/>
    <col min="13347" max="13347" width="1.7109375" style="21" customWidth="1"/>
    <col min="13348" max="13348" width="9.28515625" style="21" customWidth="1"/>
    <col min="13349" max="13349" width="12" style="21" customWidth="1"/>
    <col min="13350" max="13350" width="12.85546875" style="21" customWidth="1"/>
    <col min="13351" max="13351" width="0.5703125" style="21" customWidth="1"/>
    <col min="13352" max="13352" width="9.28515625" style="21" customWidth="1"/>
    <col min="13353" max="13354" width="12.85546875" style="21" customWidth="1"/>
    <col min="13355" max="13355" width="0.5703125" style="21" customWidth="1"/>
    <col min="13356" max="13356" width="13" style="21" customWidth="1"/>
    <col min="13357" max="13357" width="12" style="21" customWidth="1"/>
    <col min="13358" max="13358" width="12.85546875" style="21" customWidth="1"/>
    <col min="13359" max="13359" width="0.42578125" style="21" customWidth="1"/>
    <col min="13360" max="13360" width="13.5703125" style="21" customWidth="1"/>
    <col min="13361" max="13361" width="12" style="21" customWidth="1"/>
    <col min="13362" max="13362" width="12.85546875" style="21" customWidth="1"/>
    <col min="13363" max="13363" width="1.140625" style="21" customWidth="1"/>
    <col min="13364" max="13364" width="13.5703125" style="21" customWidth="1"/>
    <col min="13365" max="13365" width="12" style="21" customWidth="1"/>
    <col min="13366" max="13366" width="12.85546875" style="21" customWidth="1"/>
    <col min="13367" max="13367" width="1.140625" style="21" customWidth="1"/>
    <col min="13368" max="13368" width="13.140625" style="21" customWidth="1"/>
    <col min="13369" max="13369" width="12" style="21" customWidth="1"/>
    <col min="13370" max="13370" width="12.85546875" style="21" customWidth="1"/>
    <col min="13371" max="13371" width="1.5703125" style="21" customWidth="1"/>
    <col min="13372" max="13372" width="16.85546875" style="21" customWidth="1"/>
    <col min="13373" max="13373" width="14.28515625" style="21" customWidth="1"/>
    <col min="13374" max="13374" width="17.140625" style="21" customWidth="1"/>
    <col min="13375" max="13375" width="1.42578125" style="21" customWidth="1"/>
    <col min="13376" max="13376" width="9.28515625" style="21" customWidth="1"/>
    <col min="13377" max="13377" width="12" style="21" customWidth="1"/>
    <col min="13378" max="13378" width="12.85546875" style="21" customWidth="1"/>
    <col min="13379" max="13379" width="2.42578125" style="21" customWidth="1"/>
    <col min="13380" max="13380" width="12" style="21" customWidth="1"/>
    <col min="13381" max="13381" width="9.28515625" style="21" customWidth="1"/>
    <col min="13382" max="13382" width="12.85546875" style="21" customWidth="1"/>
    <col min="13383" max="13383" width="1.42578125" style="21" customWidth="1"/>
    <col min="13384" max="13384" width="12" style="21" customWidth="1"/>
    <col min="13385" max="13385" width="9.28515625" style="21" customWidth="1"/>
    <col min="13386" max="13386" width="12.85546875" style="21" customWidth="1"/>
    <col min="13387" max="13387" width="2.85546875" style="21" customWidth="1"/>
    <col min="13388" max="13388" width="12.7109375" style="21" customWidth="1"/>
    <col min="13389" max="13389" width="12" style="21" customWidth="1"/>
    <col min="13390" max="13390" width="12.85546875" style="21" customWidth="1"/>
    <col min="13391" max="13391" width="1.5703125" style="21" customWidth="1"/>
    <col min="13392" max="13423" width="0" style="21" hidden="1" customWidth="1"/>
    <col min="13424" max="13424" width="1.5703125" style="21" customWidth="1"/>
    <col min="13425" max="13425" width="16.85546875" style="21" customWidth="1"/>
    <col min="13426" max="13426" width="14.28515625" style="21" customWidth="1"/>
    <col min="13427" max="13427" width="17.140625" style="21" customWidth="1"/>
    <col min="13428" max="13568" width="9.140625" style="21"/>
    <col min="13569" max="13569" width="0.85546875" style="21" customWidth="1"/>
    <col min="13570" max="13570" width="5.5703125" style="21" bestFit="1" customWidth="1"/>
    <col min="13571" max="13571" width="46" style="21" bestFit="1" customWidth="1"/>
    <col min="13572" max="13572" width="1.42578125" style="21" customWidth="1"/>
    <col min="13573" max="13573" width="20.28515625" style="21" bestFit="1" customWidth="1"/>
    <col min="13574" max="13574" width="6.7109375" style="21" bestFit="1" customWidth="1"/>
    <col min="13575" max="13576" width="0" style="21" hidden="1" customWidth="1"/>
    <col min="13577" max="13577" width="15.85546875" style="21" bestFit="1" customWidth="1"/>
    <col min="13578" max="13578" width="1.5703125" style="21" customWidth="1"/>
    <col min="13579" max="13579" width="9.28515625" style="21" customWidth="1"/>
    <col min="13580" max="13580" width="12" style="21" customWidth="1"/>
    <col min="13581" max="13581" width="12.85546875" style="21" customWidth="1"/>
    <col min="13582" max="13582" width="2.42578125" style="21" customWidth="1"/>
    <col min="13583" max="13583" width="12" style="21" customWidth="1"/>
    <col min="13584" max="13584" width="9.28515625" style="21" customWidth="1"/>
    <col min="13585" max="13585" width="12.85546875" style="21" customWidth="1"/>
    <col min="13586" max="13586" width="1.42578125" style="21" customWidth="1"/>
    <col min="13587" max="13587" width="12" style="21" customWidth="1"/>
    <col min="13588" max="13588" width="9.28515625" style="21" customWidth="1"/>
    <col min="13589" max="13589" width="12.85546875" style="21" customWidth="1"/>
    <col min="13590" max="13590" width="2.85546875" style="21" customWidth="1"/>
    <col min="13591" max="13591" width="12.7109375" style="21" customWidth="1"/>
    <col min="13592" max="13592" width="12" style="21" customWidth="1"/>
    <col min="13593" max="13593" width="12.85546875" style="21" customWidth="1"/>
    <col min="13594" max="13594" width="1.5703125" style="21" customWidth="1"/>
    <col min="13595" max="13595" width="9.28515625" style="21" customWidth="1"/>
    <col min="13596" max="13596" width="12" style="21" customWidth="1"/>
    <col min="13597" max="13597" width="12.85546875" style="21" customWidth="1"/>
    <col min="13598" max="13598" width="0" style="21" hidden="1" customWidth="1"/>
    <col min="13599" max="13599" width="1.85546875" style="21" customWidth="1"/>
    <col min="13600" max="13600" width="9.28515625" style="21" customWidth="1"/>
    <col min="13601" max="13601" width="12" style="21" customWidth="1"/>
    <col min="13602" max="13602" width="12.85546875" style="21" customWidth="1"/>
    <col min="13603" max="13603" width="1.7109375" style="21" customWidth="1"/>
    <col min="13604" max="13604" width="9.28515625" style="21" customWidth="1"/>
    <col min="13605" max="13605" width="12" style="21" customWidth="1"/>
    <col min="13606" max="13606" width="12.85546875" style="21" customWidth="1"/>
    <col min="13607" max="13607" width="0.5703125" style="21" customWidth="1"/>
    <col min="13608" max="13608" width="9.28515625" style="21" customWidth="1"/>
    <col min="13609" max="13610" width="12.85546875" style="21" customWidth="1"/>
    <col min="13611" max="13611" width="0.5703125" style="21" customWidth="1"/>
    <col min="13612" max="13612" width="13" style="21" customWidth="1"/>
    <col min="13613" max="13613" width="12" style="21" customWidth="1"/>
    <col min="13614" max="13614" width="12.85546875" style="21" customWidth="1"/>
    <col min="13615" max="13615" width="0.42578125" style="21" customWidth="1"/>
    <col min="13616" max="13616" width="13.5703125" style="21" customWidth="1"/>
    <col min="13617" max="13617" width="12" style="21" customWidth="1"/>
    <col min="13618" max="13618" width="12.85546875" style="21" customWidth="1"/>
    <col min="13619" max="13619" width="1.140625" style="21" customWidth="1"/>
    <col min="13620" max="13620" width="13.5703125" style="21" customWidth="1"/>
    <col min="13621" max="13621" width="12" style="21" customWidth="1"/>
    <col min="13622" max="13622" width="12.85546875" style="21" customWidth="1"/>
    <col min="13623" max="13623" width="1.140625" style="21" customWidth="1"/>
    <col min="13624" max="13624" width="13.140625" style="21" customWidth="1"/>
    <col min="13625" max="13625" width="12" style="21" customWidth="1"/>
    <col min="13626" max="13626" width="12.85546875" style="21" customWidth="1"/>
    <col min="13627" max="13627" width="1.5703125" style="21" customWidth="1"/>
    <col min="13628" max="13628" width="16.85546875" style="21" customWidth="1"/>
    <col min="13629" max="13629" width="14.28515625" style="21" customWidth="1"/>
    <col min="13630" max="13630" width="17.140625" style="21" customWidth="1"/>
    <col min="13631" max="13631" width="1.42578125" style="21" customWidth="1"/>
    <col min="13632" max="13632" width="9.28515625" style="21" customWidth="1"/>
    <col min="13633" max="13633" width="12" style="21" customWidth="1"/>
    <col min="13634" max="13634" width="12.85546875" style="21" customWidth="1"/>
    <col min="13635" max="13635" width="2.42578125" style="21" customWidth="1"/>
    <col min="13636" max="13636" width="12" style="21" customWidth="1"/>
    <col min="13637" max="13637" width="9.28515625" style="21" customWidth="1"/>
    <col min="13638" max="13638" width="12.85546875" style="21" customWidth="1"/>
    <col min="13639" max="13639" width="1.42578125" style="21" customWidth="1"/>
    <col min="13640" max="13640" width="12" style="21" customWidth="1"/>
    <col min="13641" max="13641" width="9.28515625" style="21" customWidth="1"/>
    <col min="13642" max="13642" width="12.85546875" style="21" customWidth="1"/>
    <col min="13643" max="13643" width="2.85546875" style="21" customWidth="1"/>
    <col min="13644" max="13644" width="12.7109375" style="21" customWidth="1"/>
    <col min="13645" max="13645" width="12" style="21" customWidth="1"/>
    <col min="13646" max="13646" width="12.85546875" style="21" customWidth="1"/>
    <col min="13647" max="13647" width="1.5703125" style="21" customWidth="1"/>
    <col min="13648" max="13679" width="0" style="21" hidden="1" customWidth="1"/>
    <col min="13680" max="13680" width="1.5703125" style="21" customWidth="1"/>
    <col min="13681" max="13681" width="16.85546875" style="21" customWidth="1"/>
    <col min="13682" max="13682" width="14.28515625" style="21" customWidth="1"/>
    <col min="13683" max="13683" width="17.140625" style="21" customWidth="1"/>
    <col min="13684" max="13824" width="9.140625" style="21"/>
    <col min="13825" max="13825" width="0.85546875" style="21" customWidth="1"/>
    <col min="13826" max="13826" width="5.5703125" style="21" bestFit="1" customWidth="1"/>
    <col min="13827" max="13827" width="46" style="21" bestFit="1" customWidth="1"/>
    <col min="13828" max="13828" width="1.42578125" style="21" customWidth="1"/>
    <col min="13829" max="13829" width="20.28515625" style="21" bestFit="1" customWidth="1"/>
    <col min="13830" max="13830" width="6.7109375" style="21" bestFit="1" customWidth="1"/>
    <col min="13831" max="13832" width="0" style="21" hidden="1" customWidth="1"/>
    <col min="13833" max="13833" width="15.85546875" style="21" bestFit="1" customWidth="1"/>
    <col min="13834" max="13834" width="1.5703125" style="21" customWidth="1"/>
    <col min="13835" max="13835" width="9.28515625" style="21" customWidth="1"/>
    <col min="13836" max="13836" width="12" style="21" customWidth="1"/>
    <col min="13837" max="13837" width="12.85546875" style="21" customWidth="1"/>
    <col min="13838" max="13838" width="2.42578125" style="21" customWidth="1"/>
    <col min="13839" max="13839" width="12" style="21" customWidth="1"/>
    <col min="13840" max="13840" width="9.28515625" style="21" customWidth="1"/>
    <col min="13841" max="13841" width="12.85546875" style="21" customWidth="1"/>
    <col min="13842" max="13842" width="1.42578125" style="21" customWidth="1"/>
    <col min="13843" max="13843" width="12" style="21" customWidth="1"/>
    <col min="13844" max="13844" width="9.28515625" style="21" customWidth="1"/>
    <col min="13845" max="13845" width="12.85546875" style="21" customWidth="1"/>
    <col min="13846" max="13846" width="2.85546875" style="21" customWidth="1"/>
    <col min="13847" max="13847" width="12.7109375" style="21" customWidth="1"/>
    <col min="13848" max="13848" width="12" style="21" customWidth="1"/>
    <col min="13849" max="13849" width="12.85546875" style="21" customWidth="1"/>
    <col min="13850" max="13850" width="1.5703125" style="21" customWidth="1"/>
    <col min="13851" max="13851" width="9.28515625" style="21" customWidth="1"/>
    <col min="13852" max="13852" width="12" style="21" customWidth="1"/>
    <col min="13853" max="13853" width="12.85546875" style="21" customWidth="1"/>
    <col min="13854" max="13854" width="0" style="21" hidden="1" customWidth="1"/>
    <col min="13855" max="13855" width="1.85546875" style="21" customWidth="1"/>
    <col min="13856" max="13856" width="9.28515625" style="21" customWidth="1"/>
    <col min="13857" max="13857" width="12" style="21" customWidth="1"/>
    <col min="13858" max="13858" width="12.85546875" style="21" customWidth="1"/>
    <col min="13859" max="13859" width="1.7109375" style="21" customWidth="1"/>
    <col min="13860" max="13860" width="9.28515625" style="21" customWidth="1"/>
    <col min="13861" max="13861" width="12" style="21" customWidth="1"/>
    <col min="13862" max="13862" width="12.85546875" style="21" customWidth="1"/>
    <col min="13863" max="13863" width="0.5703125" style="21" customWidth="1"/>
    <col min="13864" max="13864" width="9.28515625" style="21" customWidth="1"/>
    <col min="13865" max="13866" width="12.85546875" style="21" customWidth="1"/>
    <col min="13867" max="13867" width="0.5703125" style="21" customWidth="1"/>
    <col min="13868" max="13868" width="13" style="21" customWidth="1"/>
    <col min="13869" max="13869" width="12" style="21" customWidth="1"/>
    <col min="13870" max="13870" width="12.85546875" style="21" customWidth="1"/>
    <col min="13871" max="13871" width="0.42578125" style="21" customWidth="1"/>
    <col min="13872" max="13872" width="13.5703125" style="21" customWidth="1"/>
    <col min="13873" max="13873" width="12" style="21" customWidth="1"/>
    <col min="13874" max="13874" width="12.85546875" style="21" customWidth="1"/>
    <col min="13875" max="13875" width="1.140625" style="21" customWidth="1"/>
    <col min="13876" max="13876" width="13.5703125" style="21" customWidth="1"/>
    <col min="13877" max="13877" width="12" style="21" customWidth="1"/>
    <col min="13878" max="13878" width="12.85546875" style="21" customWidth="1"/>
    <col min="13879" max="13879" width="1.140625" style="21" customWidth="1"/>
    <col min="13880" max="13880" width="13.140625" style="21" customWidth="1"/>
    <col min="13881" max="13881" width="12" style="21" customWidth="1"/>
    <col min="13882" max="13882" width="12.85546875" style="21" customWidth="1"/>
    <col min="13883" max="13883" width="1.5703125" style="21" customWidth="1"/>
    <col min="13884" max="13884" width="16.85546875" style="21" customWidth="1"/>
    <col min="13885" max="13885" width="14.28515625" style="21" customWidth="1"/>
    <col min="13886" max="13886" width="17.140625" style="21" customWidth="1"/>
    <col min="13887" max="13887" width="1.42578125" style="21" customWidth="1"/>
    <col min="13888" max="13888" width="9.28515625" style="21" customWidth="1"/>
    <col min="13889" max="13889" width="12" style="21" customWidth="1"/>
    <col min="13890" max="13890" width="12.85546875" style="21" customWidth="1"/>
    <col min="13891" max="13891" width="2.42578125" style="21" customWidth="1"/>
    <col min="13892" max="13892" width="12" style="21" customWidth="1"/>
    <col min="13893" max="13893" width="9.28515625" style="21" customWidth="1"/>
    <col min="13894" max="13894" width="12.85546875" style="21" customWidth="1"/>
    <col min="13895" max="13895" width="1.42578125" style="21" customWidth="1"/>
    <col min="13896" max="13896" width="12" style="21" customWidth="1"/>
    <col min="13897" max="13897" width="9.28515625" style="21" customWidth="1"/>
    <col min="13898" max="13898" width="12.85546875" style="21" customWidth="1"/>
    <col min="13899" max="13899" width="2.85546875" style="21" customWidth="1"/>
    <col min="13900" max="13900" width="12.7109375" style="21" customWidth="1"/>
    <col min="13901" max="13901" width="12" style="21" customWidth="1"/>
    <col min="13902" max="13902" width="12.85546875" style="21" customWidth="1"/>
    <col min="13903" max="13903" width="1.5703125" style="21" customWidth="1"/>
    <col min="13904" max="13935" width="0" style="21" hidden="1" customWidth="1"/>
    <col min="13936" max="13936" width="1.5703125" style="21" customWidth="1"/>
    <col min="13937" max="13937" width="16.85546875" style="21" customWidth="1"/>
    <col min="13938" max="13938" width="14.28515625" style="21" customWidth="1"/>
    <col min="13939" max="13939" width="17.140625" style="21" customWidth="1"/>
    <col min="13940" max="14080" width="9.140625" style="21"/>
    <col min="14081" max="14081" width="0.85546875" style="21" customWidth="1"/>
    <col min="14082" max="14082" width="5.5703125" style="21" bestFit="1" customWidth="1"/>
    <col min="14083" max="14083" width="46" style="21" bestFit="1" customWidth="1"/>
    <col min="14084" max="14084" width="1.42578125" style="21" customWidth="1"/>
    <col min="14085" max="14085" width="20.28515625" style="21" bestFit="1" customWidth="1"/>
    <col min="14086" max="14086" width="6.7109375" style="21" bestFit="1" customWidth="1"/>
    <col min="14087" max="14088" width="0" style="21" hidden="1" customWidth="1"/>
    <col min="14089" max="14089" width="15.85546875" style="21" bestFit="1" customWidth="1"/>
    <col min="14090" max="14090" width="1.5703125" style="21" customWidth="1"/>
    <col min="14091" max="14091" width="9.28515625" style="21" customWidth="1"/>
    <col min="14092" max="14092" width="12" style="21" customWidth="1"/>
    <col min="14093" max="14093" width="12.85546875" style="21" customWidth="1"/>
    <col min="14094" max="14094" width="2.42578125" style="21" customWidth="1"/>
    <col min="14095" max="14095" width="12" style="21" customWidth="1"/>
    <col min="14096" max="14096" width="9.28515625" style="21" customWidth="1"/>
    <col min="14097" max="14097" width="12.85546875" style="21" customWidth="1"/>
    <col min="14098" max="14098" width="1.42578125" style="21" customWidth="1"/>
    <col min="14099" max="14099" width="12" style="21" customWidth="1"/>
    <col min="14100" max="14100" width="9.28515625" style="21" customWidth="1"/>
    <col min="14101" max="14101" width="12.85546875" style="21" customWidth="1"/>
    <col min="14102" max="14102" width="2.85546875" style="21" customWidth="1"/>
    <col min="14103" max="14103" width="12.7109375" style="21" customWidth="1"/>
    <col min="14104" max="14104" width="12" style="21" customWidth="1"/>
    <col min="14105" max="14105" width="12.85546875" style="21" customWidth="1"/>
    <col min="14106" max="14106" width="1.5703125" style="21" customWidth="1"/>
    <col min="14107" max="14107" width="9.28515625" style="21" customWidth="1"/>
    <col min="14108" max="14108" width="12" style="21" customWidth="1"/>
    <col min="14109" max="14109" width="12.85546875" style="21" customWidth="1"/>
    <col min="14110" max="14110" width="0" style="21" hidden="1" customWidth="1"/>
    <col min="14111" max="14111" width="1.85546875" style="21" customWidth="1"/>
    <col min="14112" max="14112" width="9.28515625" style="21" customWidth="1"/>
    <col min="14113" max="14113" width="12" style="21" customWidth="1"/>
    <col min="14114" max="14114" width="12.85546875" style="21" customWidth="1"/>
    <col min="14115" max="14115" width="1.7109375" style="21" customWidth="1"/>
    <col min="14116" max="14116" width="9.28515625" style="21" customWidth="1"/>
    <col min="14117" max="14117" width="12" style="21" customWidth="1"/>
    <col min="14118" max="14118" width="12.85546875" style="21" customWidth="1"/>
    <col min="14119" max="14119" width="0.5703125" style="21" customWidth="1"/>
    <col min="14120" max="14120" width="9.28515625" style="21" customWidth="1"/>
    <col min="14121" max="14122" width="12.85546875" style="21" customWidth="1"/>
    <col min="14123" max="14123" width="0.5703125" style="21" customWidth="1"/>
    <col min="14124" max="14124" width="13" style="21" customWidth="1"/>
    <col min="14125" max="14125" width="12" style="21" customWidth="1"/>
    <col min="14126" max="14126" width="12.85546875" style="21" customWidth="1"/>
    <col min="14127" max="14127" width="0.42578125" style="21" customWidth="1"/>
    <col min="14128" max="14128" width="13.5703125" style="21" customWidth="1"/>
    <col min="14129" max="14129" width="12" style="21" customWidth="1"/>
    <col min="14130" max="14130" width="12.85546875" style="21" customWidth="1"/>
    <col min="14131" max="14131" width="1.140625" style="21" customWidth="1"/>
    <col min="14132" max="14132" width="13.5703125" style="21" customWidth="1"/>
    <col min="14133" max="14133" width="12" style="21" customWidth="1"/>
    <col min="14134" max="14134" width="12.85546875" style="21" customWidth="1"/>
    <col min="14135" max="14135" width="1.140625" style="21" customWidth="1"/>
    <col min="14136" max="14136" width="13.140625" style="21" customWidth="1"/>
    <col min="14137" max="14137" width="12" style="21" customWidth="1"/>
    <col min="14138" max="14138" width="12.85546875" style="21" customWidth="1"/>
    <col min="14139" max="14139" width="1.5703125" style="21" customWidth="1"/>
    <col min="14140" max="14140" width="16.85546875" style="21" customWidth="1"/>
    <col min="14141" max="14141" width="14.28515625" style="21" customWidth="1"/>
    <col min="14142" max="14142" width="17.140625" style="21" customWidth="1"/>
    <col min="14143" max="14143" width="1.42578125" style="21" customWidth="1"/>
    <col min="14144" max="14144" width="9.28515625" style="21" customWidth="1"/>
    <col min="14145" max="14145" width="12" style="21" customWidth="1"/>
    <col min="14146" max="14146" width="12.85546875" style="21" customWidth="1"/>
    <col min="14147" max="14147" width="2.42578125" style="21" customWidth="1"/>
    <col min="14148" max="14148" width="12" style="21" customWidth="1"/>
    <col min="14149" max="14149" width="9.28515625" style="21" customWidth="1"/>
    <col min="14150" max="14150" width="12.85546875" style="21" customWidth="1"/>
    <col min="14151" max="14151" width="1.42578125" style="21" customWidth="1"/>
    <col min="14152" max="14152" width="12" style="21" customWidth="1"/>
    <col min="14153" max="14153" width="9.28515625" style="21" customWidth="1"/>
    <col min="14154" max="14154" width="12.85546875" style="21" customWidth="1"/>
    <col min="14155" max="14155" width="2.85546875" style="21" customWidth="1"/>
    <col min="14156" max="14156" width="12.7109375" style="21" customWidth="1"/>
    <col min="14157" max="14157" width="12" style="21" customWidth="1"/>
    <col min="14158" max="14158" width="12.85546875" style="21" customWidth="1"/>
    <col min="14159" max="14159" width="1.5703125" style="21" customWidth="1"/>
    <col min="14160" max="14191" width="0" style="21" hidden="1" customWidth="1"/>
    <col min="14192" max="14192" width="1.5703125" style="21" customWidth="1"/>
    <col min="14193" max="14193" width="16.85546875" style="21" customWidth="1"/>
    <col min="14194" max="14194" width="14.28515625" style="21" customWidth="1"/>
    <col min="14195" max="14195" width="17.140625" style="21" customWidth="1"/>
    <col min="14196" max="14336" width="9.140625" style="21"/>
    <col min="14337" max="14337" width="0.85546875" style="21" customWidth="1"/>
    <col min="14338" max="14338" width="5.5703125" style="21" bestFit="1" customWidth="1"/>
    <col min="14339" max="14339" width="46" style="21" bestFit="1" customWidth="1"/>
    <col min="14340" max="14340" width="1.42578125" style="21" customWidth="1"/>
    <col min="14341" max="14341" width="20.28515625" style="21" bestFit="1" customWidth="1"/>
    <col min="14342" max="14342" width="6.7109375" style="21" bestFit="1" customWidth="1"/>
    <col min="14343" max="14344" width="0" style="21" hidden="1" customWidth="1"/>
    <col min="14345" max="14345" width="15.85546875" style="21" bestFit="1" customWidth="1"/>
    <col min="14346" max="14346" width="1.5703125" style="21" customWidth="1"/>
    <col min="14347" max="14347" width="9.28515625" style="21" customWidth="1"/>
    <col min="14348" max="14348" width="12" style="21" customWidth="1"/>
    <col min="14349" max="14349" width="12.85546875" style="21" customWidth="1"/>
    <col min="14350" max="14350" width="2.42578125" style="21" customWidth="1"/>
    <col min="14351" max="14351" width="12" style="21" customWidth="1"/>
    <col min="14352" max="14352" width="9.28515625" style="21" customWidth="1"/>
    <col min="14353" max="14353" width="12.85546875" style="21" customWidth="1"/>
    <col min="14354" max="14354" width="1.42578125" style="21" customWidth="1"/>
    <col min="14355" max="14355" width="12" style="21" customWidth="1"/>
    <col min="14356" max="14356" width="9.28515625" style="21" customWidth="1"/>
    <col min="14357" max="14357" width="12.85546875" style="21" customWidth="1"/>
    <col min="14358" max="14358" width="2.85546875" style="21" customWidth="1"/>
    <col min="14359" max="14359" width="12.7109375" style="21" customWidth="1"/>
    <col min="14360" max="14360" width="12" style="21" customWidth="1"/>
    <col min="14361" max="14361" width="12.85546875" style="21" customWidth="1"/>
    <col min="14362" max="14362" width="1.5703125" style="21" customWidth="1"/>
    <col min="14363" max="14363" width="9.28515625" style="21" customWidth="1"/>
    <col min="14364" max="14364" width="12" style="21" customWidth="1"/>
    <col min="14365" max="14365" width="12.85546875" style="21" customWidth="1"/>
    <col min="14366" max="14366" width="0" style="21" hidden="1" customWidth="1"/>
    <col min="14367" max="14367" width="1.85546875" style="21" customWidth="1"/>
    <col min="14368" max="14368" width="9.28515625" style="21" customWidth="1"/>
    <col min="14369" max="14369" width="12" style="21" customWidth="1"/>
    <col min="14370" max="14370" width="12.85546875" style="21" customWidth="1"/>
    <col min="14371" max="14371" width="1.7109375" style="21" customWidth="1"/>
    <col min="14372" max="14372" width="9.28515625" style="21" customWidth="1"/>
    <col min="14373" max="14373" width="12" style="21" customWidth="1"/>
    <col min="14374" max="14374" width="12.85546875" style="21" customWidth="1"/>
    <col min="14375" max="14375" width="0.5703125" style="21" customWidth="1"/>
    <col min="14376" max="14376" width="9.28515625" style="21" customWidth="1"/>
    <col min="14377" max="14378" width="12.85546875" style="21" customWidth="1"/>
    <col min="14379" max="14379" width="0.5703125" style="21" customWidth="1"/>
    <col min="14380" max="14380" width="13" style="21" customWidth="1"/>
    <col min="14381" max="14381" width="12" style="21" customWidth="1"/>
    <col min="14382" max="14382" width="12.85546875" style="21" customWidth="1"/>
    <col min="14383" max="14383" width="0.42578125" style="21" customWidth="1"/>
    <col min="14384" max="14384" width="13.5703125" style="21" customWidth="1"/>
    <col min="14385" max="14385" width="12" style="21" customWidth="1"/>
    <col min="14386" max="14386" width="12.85546875" style="21" customWidth="1"/>
    <col min="14387" max="14387" width="1.140625" style="21" customWidth="1"/>
    <col min="14388" max="14388" width="13.5703125" style="21" customWidth="1"/>
    <col min="14389" max="14389" width="12" style="21" customWidth="1"/>
    <col min="14390" max="14390" width="12.85546875" style="21" customWidth="1"/>
    <col min="14391" max="14391" width="1.140625" style="21" customWidth="1"/>
    <col min="14392" max="14392" width="13.140625" style="21" customWidth="1"/>
    <col min="14393" max="14393" width="12" style="21" customWidth="1"/>
    <col min="14394" max="14394" width="12.85546875" style="21" customWidth="1"/>
    <col min="14395" max="14395" width="1.5703125" style="21" customWidth="1"/>
    <col min="14396" max="14396" width="16.85546875" style="21" customWidth="1"/>
    <col min="14397" max="14397" width="14.28515625" style="21" customWidth="1"/>
    <col min="14398" max="14398" width="17.140625" style="21" customWidth="1"/>
    <col min="14399" max="14399" width="1.42578125" style="21" customWidth="1"/>
    <col min="14400" max="14400" width="9.28515625" style="21" customWidth="1"/>
    <col min="14401" max="14401" width="12" style="21" customWidth="1"/>
    <col min="14402" max="14402" width="12.85546875" style="21" customWidth="1"/>
    <col min="14403" max="14403" width="2.42578125" style="21" customWidth="1"/>
    <col min="14404" max="14404" width="12" style="21" customWidth="1"/>
    <col min="14405" max="14405" width="9.28515625" style="21" customWidth="1"/>
    <col min="14406" max="14406" width="12.85546875" style="21" customWidth="1"/>
    <col min="14407" max="14407" width="1.42578125" style="21" customWidth="1"/>
    <col min="14408" max="14408" width="12" style="21" customWidth="1"/>
    <col min="14409" max="14409" width="9.28515625" style="21" customWidth="1"/>
    <col min="14410" max="14410" width="12.85546875" style="21" customWidth="1"/>
    <col min="14411" max="14411" width="2.85546875" style="21" customWidth="1"/>
    <col min="14412" max="14412" width="12.7109375" style="21" customWidth="1"/>
    <col min="14413" max="14413" width="12" style="21" customWidth="1"/>
    <col min="14414" max="14414" width="12.85546875" style="21" customWidth="1"/>
    <col min="14415" max="14415" width="1.5703125" style="21" customWidth="1"/>
    <col min="14416" max="14447" width="0" style="21" hidden="1" customWidth="1"/>
    <col min="14448" max="14448" width="1.5703125" style="21" customWidth="1"/>
    <col min="14449" max="14449" width="16.85546875" style="21" customWidth="1"/>
    <col min="14450" max="14450" width="14.28515625" style="21" customWidth="1"/>
    <col min="14451" max="14451" width="17.140625" style="21" customWidth="1"/>
    <col min="14452" max="14592" width="9.140625" style="21"/>
    <col min="14593" max="14593" width="0.85546875" style="21" customWidth="1"/>
    <col min="14594" max="14594" width="5.5703125" style="21" bestFit="1" customWidth="1"/>
    <col min="14595" max="14595" width="46" style="21" bestFit="1" customWidth="1"/>
    <col min="14596" max="14596" width="1.42578125" style="21" customWidth="1"/>
    <col min="14597" max="14597" width="20.28515625" style="21" bestFit="1" customWidth="1"/>
    <col min="14598" max="14598" width="6.7109375" style="21" bestFit="1" customWidth="1"/>
    <col min="14599" max="14600" width="0" style="21" hidden="1" customWidth="1"/>
    <col min="14601" max="14601" width="15.85546875" style="21" bestFit="1" customWidth="1"/>
    <col min="14602" max="14602" width="1.5703125" style="21" customWidth="1"/>
    <col min="14603" max="14603" width="9.28515625" style="21" customWidth="1"/>
    <col min="14604" max="14604" width="12" style="21" customWidth="1"/>
    <col min="14605" max="14605" width="12.85546875" style="21" customWidth="1"/>
    <col min="14606" max="14606" width="2.42578125" style="21" customWidth="1"/>
    <col min="14607" max="14607" width="12" style="21" customWidth="1"/>
    <col min="14608" max="14608" width="9.28515625" style="21" customWidth="1"/>
    <col min="14609" max="14609" width="12.85546875" style="21" customWidth="1"/>
    <col min="14610" max="14610" width="1.42578125" style="21" customWidth="1"/>
    <col min="14611" max="14611" width="12" style="21" customWidth="1"/>
    <col min="14612" max="14612" width="9.28515625" style="21" customWidth="1"/>
    <col min="14613" max="14613" width="12.85546875" style="21" customWidth="1"/>
    <col min="14614" max="14614" width="2.85546875" style="21" customWidth="1"/>
    <col min="14615" max="14615" width="12.7109375" style="21" customWidth="1"/>
    <col min="14616" max="14616" width="12" style="21" customWidth="1"/>
    <col min="14617" max="14617" width="12.85546875" style="21" customWidth="1"/>
    <col min="14618" max="14618" width="1.5703125" style="21" customWidth="1"/>
    <col min="14619" max="14619" width="9.28515625" style="21" customWidth="1"/>
    <col min="14620" max="14620" width="12" style="21" customWidth="1"/>
    <col min="14621" max="14621" width="12.85546875" style="21" customWidth="1"/>
    <col min="14622" max="14622" width="0" style="21" hidden="1" customWidth="1"/>
    <col min="14623" max="14623" width="1.85546875" style="21" customWidth="1"/>
    <col min="14624" max="14624" width="9.28515625" style="21" customWidth="1"/>
    <col min="14625" max="14625" width="12" style="21" customWidth="1"/>
    <col min="14626" max="14626" width="12.85546875" style="21" customWidth="1"/>
    <col min="14627" max="14627" width="1.7109375" style="21" customWidth="1"/>
    <col min="14628" max="14628" width="9.28515625" style="21" customWidth="1"/>
    <col min="14629" max="14629" width="12" style="21" customWidth="1"/>
    <col min="14630" max="14630" width="12.85546875" style="21" customWidth="1"/>
    <col min="14631" max="14631" width="0.5703125" style="21" customWidth="1"/>
    <col min="14632" max="14632" width="9.28515625" style="21" customWidth="1"/>
    <col min="14633" max="14634" width="12.85546875" style="21" customWidth="1"/>
    <col min="14635" max="14635" width="0.5703125" style="21" customWidth="1"/>
    <col min="14636" max="14636" width="13" style="21" customWidth="1"/>
    <col min="14637" max="14637" width="12" style="21" customWidth="1"/>
    <col min="14638" max="14638" width="12.85546875" style="21" customWidth="1"/>
    <col min="14639" max="14639" width="0.42578125" style="21" customWidth="1"/>
    <col min="14640" max="14640" width="13.5703125" style="21" customWidth="1"/>
    <col min="14641" max="14641" width="12" style="21" customWidth="1"/>
    <col min="14642" max="14642" width="12.85546875" style="21" customWidth="1"/>
    <col min="14643" max="14643" width="1.140625" style="21" customWidth="1"/>
    <col min="14644" max="14644" width="13.5703125" style="21" customWidth="1"/>
    <col min="14645" max="14645" width="12" style="21" customWidth="1"/>
    <col min="14646" max="14646" width="12.85546875" style="21" customWidth="1"/>
    <col min="14647" max="14647" width="1.140625" style="21" customWidth="1"/>
    <col min="14648" max="14648" width="13.140625" style="21" customWidth="1"/>
    <col min="14649" max="14649" width="12" style="21" customWidth="1"/>
    <col min="14650" max="14650" width="12.85546875" style="21" customWidth="1"/>
    <col min="14651" max="14651" width="1.5703125" style="21" customWidth="1"/>
    <col min="14652" max="14652" width="16.85546875" style="21" customWidth="1"/>
    <col min="14653" max="14653" width="14.28515625" style="21" customWidth="1"/>
    <col min="14654" max="14654" width="17.140625" style="21" customWidth="1"/>
    <col min="14655" max="14655" width="1.42578125" style="21" customWidth="1"/>
    <col min="14656" max="14656" width="9.28515625" style="21" customWidth="1"/>
    <col min="14657" max="14657" width="12" style="21" customWidth="1"/>
    <col min="14658" max="14658" width="12.85546875" style="21" customWidth="1"/>
    <col min="14659" max="14659" width="2.42578125" style="21" customWidth="1"/>
    <col min="14660" max="14660" width="12" style="21" customWidth="1"/>
    <col min="14661" max="14661" width="9.28515625" style="21" customWidth="1"/>
    <col min="14662" max="14662" width="12.85546875" style="21" customWidth="1"/>
    <col min="14663" max="14663" width="1.42578125" style="21" customWidth="1"/>
    <col min="14664" max="14664" width="12" style="21" customWidth="1"/>
    <col min="14665" max="14665" width="9.28515625" style="21" customWidth="1"/>
    <col min="14666" max="14666" width="12.85546875" style="21" customWidth="1"/>
    <col min="14667" max="14667" width="2.85546875" style="21" customWidth="1"/>
    <col min="14668" max="14668" width="12.7109375" style="21" customWidth="1"/>
    <col min="14669" max="14669" width="12" style="21" customWidth="1"/>
    <col min="14670" max="14670" width="12.85546875" style="21" customWidth="1"/>
    <col min="14671" max="14671" width="1.5703125" style="21" customWidth="1"/>
    <col min="14672" max="14703" width="0" style="21" hidden="1" customWidth="1"/>
    <col min="14704" max="14704" width="1.5703125" style="21" customWidth="1"/>
    <col min="14705" max="14705" width="16.85546875" style="21" customWidth="1"/>
    <col min="14706" max="14706" width="14.28515625" style="21" customWidth="1"/>
    <col min="14707" max="14707" width="17.140625" style="21" customWidth="1"/>
    <col min="14708" max="14848" width="9.140625" style="21"/>
    <col min="14849" max="14849" width="0.85546875" style="21" customWidth="1"/>
    <col min="14850" max="14850" width="5.5703125" style="21" bestFit="1" customWidth="1"/>
    <col min="14851" max="14851" width="46" style="21" bestFit="1" customWidth="1"/>
    <col min="14852" max="14852" width="1.42578125" style="21" customWidth="1"/>
    <col min="14853" max="14853" width="20.28515625" style="21" bestFit="1" customWidth="1"/>
    <col min="14854" max="14854" width="6.7109375" style="21" bestFit="1" customWidth="1"/>
    <col min="14855" max="14856" width="0" style="21" hidden="1" customWidth="1"/>
    <col min="14857" max="14857" width="15.85546875" style="21" bestFit="1" customWidth="1"/>
    <col min="14858" max="14858" width="1.5703125" style="21" customWidth="1"/>
    <col min="14859" max="14859" width="9.28515625" style="21" customWidth="1"/>
    <col min="14860" max="14860" width="12" style="21" customWidth="1"/>
    <col min="14861" max="14861" width="12.85546875" style="21" customWidth="1"/>
    <col min="14862" max="14862" width="2.42578125" style="21" customWidth="1"/>
    <col min="14863" max="14863" width="12" style="21" customWidth="1"/>
    <col min="14864" max="14864" width="9.28515625" style="21" customWidth="1"/>
    <col min="14865" max="14865" width="12.85546875" style="21" customWidth="1"/>
    <col min="14866" max="14866" width="1.42578125" style="21" customWidth="1"/>
    <col min="14867" max="14867" width="12" style="21" customWidth="1"/>
    <col min="14868" max="14868" width="9.28515625" style="21" customWidth="1"/>
    <col min="14869" max="14869" width="12.85546875" style="21" customWidth="1"/>
    <col min="14870" max="14870" width="2.85546875" style="21" customWidth="1"/>
    <col min="14871" max="14871" width="12.7109375" style="21" customWidth="1"/>
    <col min="14872" max="14872" width="12" style="21" customWidth="1"/>
    <col min="14873" max="14873" width="12.85546875" style="21" customWidth="1"/>
    <col min="14874" max="14874" width="1.5703125" style="21" customWidth="1"/>
    <col min="14875" max="14875" width="9.28515625" style="21" customWidth="1"/>
    <col min="14876" max="14876" width="12" style="21" customWidth="1"/>
    <col min="14877" max="14877" width="12.85546875" style="21" customWidth="1"/>
    <col min="14878" max="14878" width="0" style="21" hidden="1" customWidth="1"/>
    <col min="14879" max="14879" width="1.85546875" style="21" customWidth="1"/>
    <col min="14880" max="14880" width="9.28515625" style="21" customWidth="1"/>
    <col min="14881" max="14881" width="12" style="21" customWidth="1"/>
    <col min="14882" max="14882" width="12.85546875" style="21" customWidth="1"/>
    <col min="14883" max="14883" width="1.7109375" style="21" customWidth="1"/>
    <col min="14884" max="14884" width="9.28515625" style="21" customWidth="1"/>
    <col min="14885" max="14885" width="12" style="21" customWidth="1"/>
    <col min="14886" max="14886" width="12.85546875" style="21" customWidth="1"/>
    <col min="14887" max="14887" width="0.5703125" style="21" customWidth="1"/>
    <col min="14888" max="14888" width="9.28515625" style="21" customWidth="1"/>
    <col min="14889" max="14890" width="12.85546875" style="21" customWidth="1"/>
    <col min="14891" max="14891" width="0.5703125" style="21" customWidth="1"/>
    <col min="14892" max="14892" width="13" style="21" customWidth="1"/>
    <col min="14893" max="14893" width="12" style="21" customWidth="1"/>
    <col min="14894" max="14894" width="12.85546875" style="21" customWidth="1"/>
    <col min="14895" max="14895" width="0.42578125" style="21" customWidth="1"/>
    <col min="14896" max="14896" width="13.5703125" style="21" customWidth="1"/>
    <col min="14897" max="14897" width="12" style="21" customWidth="1"/>
    <col min="14898" max="14898" width="12.85546875" style="21" customWidth="1"/>
    <col min="14899" max="14899" width="1.140625" style="21" customWidth="1"/>
    <col min="14900" max="14900" width="13.5703125" style="21" customWidth="1"/>
    <col min="14901" max="14901" width="12" style="21" customWidth="1"/>
    <col min="14902" max="14902" width="12.85546875" style="21" customWidth="1"/>
    <col min="14903" max="14903" width="1.140625" style="21" customWidth="1"/>
    <col min="14904" max="14904" width="13.140625" style="21" customWidth="1"/>
    <col min="14905" max="14905" width="12" style="21" customWidth="1"/>
    <col min="14906" max="14906" width="12.85546875" style="21" customWidth="1"/>
    <col min="14907" max="14907" width="1.5703125" style="21" customWidth="1"/>
    <col min="14908" max="14908" width="16.85546875" style="21" customWidth="1"/>
    <col min="14909" max="14909" width="14.28515625" style="21" customWidth="1"/>
    <col min="14910" max="14910" width="17.140625" style="21" customWidth="1"/>
    <col min="14911" max="14911" width="1.42578125" style="21" customWidth="1"/>
    <col min="14912" max="14912" width="9.28515625" style="21" customWidth="1"/>
    <col min="14913" max="14913" width="12" style="21" customWidth="1"/>
    <col min="14914" max="14914" width="12.85546875" style="21" customWidth="1"/>
    <col min="14915" max="14915" width="2.42578125" style="21" customWidth="1"/>
    <col min="14916" max="14916" width="12" style="21" customWidth="1"/>
    <col min="14917" max="14917" width="9.28515625" style="21" customWidth="1"/>
    <col min="14918" max="14918" width="12.85546875" style="21" customWidth="1"/>
    <col min="14919" max="14919" width="1.42578125" style="21" customWidth="1"/>
    <col min="14920" max="14920" width="12" style="21" customWidth="1"/>
    <col min="14921" max="14921" width="9.28515625" style="21" customWidth="1"/>
    <col min="14922" max="14922" width="12.85546875" style="21" customWidth="1"/>
    <col min="14923" max="14923" width="2.85546875" style="21" customWidth="1"/>
    <col min="14924" max="14924" width="12.7109375" style="21" customWidth="1"/>
    <col min="14925" max="14925" width="12" style="21" customWidth="1"/>
    <col min="14926" max="14926" width="12.85546875" style="21" customWidth="1"/>
    <col min="14927" max="14927" width="1.5703125" style="21" customWidth="1"/>
    <col min="14928" max="14959" width="0" style="21" hidden="1" customWidth="1"/>
    <col min="14960" max="14960" width="1.5703125" style="21" customWidth="1"/>
    <col min="14961" max="14961" width="16.85546875" style="21" customWidth="1"/>
    <col min="14962" max="14962" width="14.28515625" style="21" customWidth="1"/>
    <col min="14963" max="14963" width="17.140625" style="21" customWidth="1"/>
    <col min="14964" max="15104" width="9.140625" style="21"/>
    <col min="15105" max="15105" width="0.85546875" style="21" customWidth="1"/>
    <col min="15106" max="15106" width="5.5703125" style="21" bestFit="1" customWidth="1"/>
    <col min="15107" max="15107" width="46" style="21" bestFit="1" customWidth="1"/>
    <col min="15108" max="15108" width="1.42578125" style="21" customWidth="1"/>
    <col min="15109" max="15109" width="20.28515625" style="21" bestFit="1" customWidth="1"/>
    <col min="15110" max="15110" width="6.7109375" style="21" bestFit="1" customWidth="1"/>
    <col min="15111" max="15112" width="0" style="21" hidden="1" customWidth="1"/>
    <col min="15113" max="15113" width="15.85546875" style="21" bestFit="1" customWidth="1"/>
    <col min="15114" max="15114" width="1.5703125" style="21" customWidth="1"/>
    <col min="15115" max="15115" width="9.28515625" style="21" customWidth="1"/>
    <col min="15116" max="15116" width="12" style="21" customWidth="1"/>
    <col min="15117" max="15117" width="12.85546875" style="21" customWidth="1"/>
    <col min="15118" max="15118" width="2.42578125" style="21" customWidth="1"/>
    <col min="15119" max="15119" width="12" style="21" customWidth="1"/>
    <col min="15120" max="15120" width="9.28515625" style="21" customWidth="1"/>
    <col min="15121" max="15121" width="12.85546875" style="21" customWidth="1"/>
    <col min="15122" max="15122" width="1.42578125" style="21" customWidth="1"/>
    <col min="15123" max="15123" width="12" style="21" customWidth="1"/>
    <col min="15124" max="15124" width="9.28515625" style="21" customWidth="1"/>
    <col min="15125" max="15125" width="12.85546875" style="21" customWidth="1"/>
    <col min="15126" max="15126" width="2.85546875" style="21" customWidth="1"/>
    <col min="15127" max="15127" width="12.7109375" style="21" customWidth="1"/>
    <col min="15128" max="15128" width="12" style="21" customWidth="1"/>
    <col min="15129" max="15129" width="12.85546875" style="21" customWidth="1"/>
    <col min="15130" max="15130" width="1.5703125" style="21" customWidth="1"/>
    <col min="15131" max="15131" width="9.28515625" style="21" customWidth="1"/>
    <col min="15132" max="15132" width="12" style="21" customWidth="1"/>
    <col min="15133" max="15133" width="12.85546875" style="21" customWidth="1"/>
    <col min="15134" max="15134" width="0" style="21" hidden="1" customWidth="1"/>
    <col min="15135" max="15135" width="1.85546875" style="21" customWidth="1"/>
    <col min="15136" max="15136" width="9.28515625" style="21" customWidth="1"/>
    <col min="15137" max="15137" width="12" style="21" customWidth="1"/>
    <col min="15138" max="15138" width="12.85546875" style="21" customWidth="1"/>
    <col min="15139" max="15139" width="1.7109375" style="21" customWidth="1"/>
    <col min="15140" max="15140" width="9.28515625" style="21" customWidth="1"/>
    <col min="15141" max="15141" width="12" style="21" customWidth="1"/>
    <col min="15142" max="15142" width="12.85546875" style="21" customWidth="1"/>
    <col min="15143" max="15143" width="0.5703125" style="21" customWidth="1"/>
    <col min="15144" max="15144" width="9.28515625" style="21" customWidth="1"/>
    <col min="15145" max="15146" width="12.85546875" style="21" customWidth="1"/>
    <col min="15147" max="15147" width="0.5703125" style="21" customWidth="1"/>
    <col min="15148" max="15148" width="13" style="21" customWidth="1"/>
    <col min="15149" max="15149" width="12" style="21" customWidth="1"/>
    <col min="15150" max="15150" width="12.85546875" style="21" customWidth="1"/>
    <col min="15151" max="15151" width="0.42578125" style="21" customWidth="1"/>
    <col min="15152" max="15152" width="13.5703125" style="21" customWidth="1"/>
    <col min="15153" max="15153" width="12" style="21" customWidth="1"/>
    <col min="15154" max="15154" width="12.85546875" style="21" customWidth="1"/>
    <col min="15155" max="15155" width="1.140625" style="21" customWidth="1"/>
    <col min="15156" max="15156" width="13.5703125" style="21" customWidth="1"/>
    <col min="15157" max="15157" width="12" style="21" customWidth="1"/>
    <col min="15158" max="15158" width="12.85546875" style="21" customWidth="1"/>
    <col min="15159" max="15159" width="1.140625" style="21" customWidth="1"/>
    <col min="15160" max="15160" width="13.140625" style="21" customWidth="1"/>
    <col min="15161" max="15161" width="12" style="21" customWidth="1"/>
    <col min="15162" max="15162" width="12.85546875" style="21" customWidth="1"/>
    <col min="15163" max="15163" width="1.5703125" style="21" customWidth="1"/>
    <col min="15164" max="15164" width="16.85546875" style="21" customWidth="1"/>
    <col min="15165" max="15165" width="14.28515625" style="21" customWidth="1"/>
    <col min="15166" max="15166" width="17.140625" style="21" customWidth="1"/>
    <col min="15167" max="15167" width="1.42578125" style="21" customWidth="1"/>
    <col min="15168" max="15168" width="9.28515625" style="21" customWidth="1"/>
    <col min="15169" max="15169" width="12" style="21" customWidth="1"/>
    <col min="15170" max="15170" width="12.85546875" style="21" customWidth="1"/>
    <col min="15171" max="15171" width="2.42578125" style="21" customWidth="1"/>
    <col min="15172" max="15172" width="12" style="21" customWidth="1"/>
    <col min="15173" max="15173" width="9.28515625" style="21" customWidth="1"/>
    <col min="15174" max="15174" width="12.85546875" style="21" customWidth="1"/>
    <col min="15175" max="15175" width="1.42578125" style="21" customWidth="1"/>
    <col min="15176" max="15176" width="12" style="21" customWidth="1"/>
    <col min="15177" max="15177" width="9.28515625" style="21" customWidth="1"/>
    <col min="15178" max="15178" width="12.85546875" style="21" customWidth="1"/>
    <col min="15179" max="15179" width="2.85546875" style="21" customWidth="1"/>
    <col min="15180" max="15180" width="12.7109375" style="21" customWidth="1"/>
    <col min="15181" max="15181" width="12" style="21" customWidth="1"/>
    <col min="15182" max="15182" width="12.85546875" style="21" customWidth="1"/>
    <col min="15183" max="15183" width="1.5703125" style="21" customWidth="1"/>
    <col min="15184" max="15215" width="0" style="21" hidden="1" customWidth="1"/>
    <col min="15216" max="15216" width="1.5703125" style="21" customWidth="1"/>
    <col min="15217" max="15217" width="16.85546875" style="21" customWidth="1"/>
    <col min="15218" max="15218" width="14.28515625" style="21" customWidth="1"/>
    <col min="15219" max="15219" width="17.140625" style="21" customWidth="1"/>
    <col min="15220" max="15360" width="9.140625" style="21"/>
    <col min="15361" max="15361" width="0.85546875" style="21" customWidth="1"/>
    <col min="15362" max="15362" width="5.5703125" style="21" bestFit="1" customWidth="1"/>
    <col min="15363" max="15363" width="46" style="21" bestFit="1" customWidth="1"/>
    <col min="15364" max="15364" width="1.42578125" style="21" customWidth="1"/>
    <col min="15365" max="15365" width="20.28515625" style="21" bestFit="1" customWidth="1"/>
    <col min="15366" max="15366" width="6.7109375" style="21" bestFit="1" customWidth="1"/>
    <col min="15367" max="15368" width="0" style="21" hidden="1" customWidth="1"/>
    <col min="15369" max="15369" width="15.85546875" style="21" bestFit="1" customWidth="1"/>
    <col min="15370" max="15370" width="1.5703125" style="21" customWidth="1"/>
    <col min="15371" max="15371" width="9.28515625" style="21" customWidth="1"/>
    <col min="15372" max="15372" width="12" style="21" customWidth="1"/>
    <col min="15373" max="15373" width="12.85546875" style="21" customWidth="1"/>
    <col min="15374" max="15374" width="2.42578125" style="21" customWidth="1"/>
    <col min="15375" max="15375" width="12" style="21" customWidth="1"/>
    <col min="15376" max="15376" width="9.28515625" style="21" customWidth="1"/>
    <col min="15377" max="15377" width="12.85546875" style="21" customWidth="1"/>
    <col min="15378" max="15378" width="1.42578125" style="21" customWidth="1"/>
    <col min="15379" max="15379" width="12" style="21" customWidth="1"/>
    <col min="15380" max="15380" width="9.28515625" style="21" customWidth="1"/>
    <col min="15381" max="15381" width="12.85546875" style="21" customWidth="1"/>
    <col min="15382" max="15382" width="2.85546875" style="21" customWidth="1"/>
    <col min="15383" max="15383" width="12.7109375" style="21" customWidth="1"/>
    <col min="15384" max="15384" width="12" style="21" customWidth="1"/>
    <col min="15385" max="15385" width="12.85546875" style="21" customWidth="1"/>
    <col min="15386" max="15386" width="1.5703125" style="21" customWidth="1"/>
    <col min="15387" max="15387" width="9.28515625" style="21" customWidth="1"/>
    <col min="15388" max="15388" width="12" style="21" customWidth="1"/>
    <col min="15389" max="15389" width="12.85546875" style="21" customWidth="1"/>
    <col min="15390" max="15390" width="0" style="21" hidden="1" customWidth="1"/>
    <col min="15391" max="15391" width="1.85546875" style="21" customWidth="1"/>
    <col min="15392" max="15392" width="9.28515625" style="21" customWidth="1"/>
    <col min="15393" max="15393" width="12" style="21" customWidth="1"/>
    <col min="15394" max="15394" width="12.85546875" style="21" customWidth="1"/>
    <col min="15395" max="15395" width="1.7109375" style="21" customWidth="1"/>
    <col min="15396" max="15396" width="9.28515625" style="21" customWidth="1"/>
    <col min="15397" max="15397" width="12" style="21" customWidth="1"/>
    <col min="15398" max="15398" width="12.85546875" style="21" customWidth="1"/>
    <col min="15399" max="15399" width="0.5703125" style="21" customWidth="1"/>
    <col min="15400" max="15400" width="9.28515625" style="21" customWidth="1"/>
    <col min="15401" max="15402" width="12.85546875" style="21" customWidth="1"/>
    <col min="15403" max="15403" width="0.5703125" style="21" customWidth="1"/>
    <col min="15404" max="15404" width="13" style="21" customWidth="1"/>
    <col min="15405" max="15405" width="12" style="21" customWidth="1"/>
    <col min="15406" max="15406" width="12.85546875" style="21" customWidth="1"/>
    <col min="15407" max="15407" width="0.42578125" style="21" customWidth="1"/>
    <col min="15408" max="15408" width="13.5703125" style="21" customWidth="1"/>
    <col min="15409" max="15409" width="12" style="21" customWidth="1"/>
    <col min="15410" max="15410" width="12.85546875" style="21" customWidth="1"/>
    <col min="15411" max="15411" width="1.140625" style="21" customWidth="1"/>
    <col min="15412" max="15412" width="13.5703125" style="21" customWidth="1"/>
    <col min="15413" max="15413" width="12" style="21" customWidth="1"/>
    <col min="15414" max="15414" width="12.85546875" style="21" customWidth="1"/>
    <col min="15415" max="15415" width="1.140625" style="21" customWidth="1"/>
    <col min="15416" max="15416" width="13.140625" style="21" customWidth="1"/>
    <col min="15417" max="15417" width="12" style="21" customWidth="1"/>
    <col min="15418" max="15418" width="12.85546875" style="21" customWidth="1"/>
    <col min="15419" max="15419" width="1.5703125" style="21" customWidth="1"/>
    <col min="15420" max="15420" width="16.85546875" style="21" customWidth="1"/>
    <col min="15421" max="15421" width="14.28515625" style="21" customWidth="1"/>
    <col min="15422" max="15422" width="17.140625" style="21" customWidth="1"/>
    <col min="15423" max="15423" width="1.42578125" style="21" customWidth="1"/>
    <col min="15424" max="15424" width="9.28515625" style="21" customWidth="1"/>
    <col min="15425" max="15425" width="12" style="21" customWidth="1"/>
    <col min="15426" max="15426" width="12.85546875" style="21" customWidth="1"/>
    <col min="15427" max="15427" width="2.42578125" style="21" customWidth="1"/>
    <col min="15428" max="15428" width="12" style="21" customWidth="1"/>
    <col min="15429" max="15429" width="9.28515625" style="21" customWidth="1"/>
    <col min="15430" max="15430" width="12.85546875" style="21" customWidth="1"/>
    <col min="15431" max="15431" width="1.42578125" style="21" customWidth="1"/>
    <col min="15432" max="15432" width="12" style="21" customWidth="1"/>
    <col min="15433" max="15433" width="9.28515625" style="21" customWidth="1"/>
    <col min="15434" max="15434" width="12.85546875" style="21" customWidth="1"/>
    <col min="15435" max="15435" width="2.85546875" style="21" customWidth="1"/>
    <col min="15436" max="15436" width="12.7109375" style="21" customWidth="1"/>
    <col min="15437" max="15437" width="12" style="21" customWidth="1"/>
    <col min="15438" max="15438" width="12.85546875" style="21" customWidth="1"/>
    <col min="15439" max="15439" width="1.5703125" style="21" customWidth="1"/>
    <col min="15440" max="15471" width="0" style="21" hidden="1" customWidth="1"/>
    <col min="15472" max="15472" width="1.5703125" style="21" customWidth="1"/>
    <col min="15473" max="15473" width="16.85546875" style="21" customWidth="1"/>
    <col min="15474" max="15474" width="14.28515625" style="21" customWidth="1"/>
    <col min="15475" max="15475" width="17.140625" style="21" customWidth="1"/>
    <col min="15476" max="15616" width="9.140625" style="21"/>
    <col min="15617" max="15617" width="0.85546875" style="21" customWidth="1"/>
    <col min="15618" max="15618" width="5.5703125" style="21" bestFit="1" customWidth="1"/>
    <col min="15619" max="15619" width="46" style="21" bestFit="1" customWidth="1"/>
    <col min="15620" max="15620" width="1.42578125" style="21" customWidth="1"/>
    <col min="15621" max="15621" width="20.28515625" style="21" bestFit="1" customWidth="1"/>
    <col min="15622" max="15622" width="6.7109375" style="21" bestFit="1" customWidth="1"/>
    <col min="15623" max="15624" width="0" style="21" hidden="1" customWidth="1"/>
    <col min="15625" max="15625" width="15.85546875" style="21" bestFit="1" customWidth="1"/>
    <col min="15626" max="15626" width="1.5703125" style="21" customWidth="1"/>
    <col min="15627" max="15627" width="9.28515625" style="21" customWidth="1"/>
    <col min="15628" max="15628" width="12" style="21" customWidth="1"/>
    <col min="15629" max="15629" width="12.85546875" style="21" customWidth="1"/>
    <col min="15630" max="15630" width="2.42578125" style="21" customWidth="1"/>
    <col min="15631" max="15631" width="12" style="21" customWidth="1"/>
    <col min="15632" max="15632" width="9.28515625" style="21" customWidth="1"/>
    <col min="15633" max="15633" width="12.85546875" style="21" customWidth="1"/>
    <col min="15634" max="15634" width="1.42578125" style="21" customWidth="1"/>
    <col min="15635" max="15635" width="12" style="21" customWidth="1"/>
    <col min="15636" max="15636" width="9.28515625" style="21" customWidth="1"/>
    <col min="15637" max="15637" width="12.85546875" style="21" customWidth="1"/>
    <col min="15638" max="15638" width="2.85546875" style="21" customWidth="1"/>
    <col min="15639" max="15639" width="12.7109375" style="21" customWidth="1"/>
    <col min="15640" max="15640" width="12" style="21" customWidth="1"/>
    <col min="15641" max="15641" width="12.85546875" style="21" customWidth="1"/>
    <col min="15642" max="15642" width="1.5703125" style="21" customWidth="1"/>
    <col min="15643" max="15643" width="9.28515625" style="21" customWidth="1"/>
    <col min="15644" max="15644" width="12" style="21" customWidth="1"/>
    <col min="15645" max="15645" width="12.85546875" style="21" customWidth="1"/>
    <col min="15646" max="15646" width="0" style="21" hidden="1" customWidth="1"/>
    <col min="15647" max="15647" width="1.85546875" style="21" customWidth="1"/>
    <col min="15648" max="15648" width="9.28515625" style="21" customWidth="1"/>
    <col min="15649" max="15649" width="12" style="21" customWidth="1"/>
    <col min="15650" max="15650" width="12.85546875" style="21" customWidth="1"/>
    <col min="15651" max="15651" width="1.7109375" style="21" customWidth="1"/>
    <col min="15652" max="15652" width="9.28515625" style="21" customWidth="1"/>
    <col min="15653" max="15653" width="12" style="21" customWidth="1"/>
    <col min="15654" max="15654" width="12.85546875" style="21" customWidth="1"/>
    <col min="15655" max="15655" width="0.5703125" style="21" customWidth="1"/>
    <col min="15656" max="15656" width="9.28515625" style="21" customWidth="1"/>
    <col min="15657" max="15658" width="12.85546875" style="21" customWidth="1"/>
    <col min="15659" max="15659" width="0.5703125" style="21" customWidth="1"/>
    <col min="15660" max="15660" width="13" style="21" customWidth="1"/>
    <col min="15661" max="15661" width="12" style="21" customWidth="1"/>
    <col min="15662" max="15662" width="12.85546875" style="21" customWidth="1"/>
    <col min="15663" max="15663" width="0.42578125" style="21" customWidth="1"/>
    <col min="15664" max="15664" width="13.5703125" style="21" customWidth="1"/>
    <col min="15665" max="15665" width="12" style="21" customWidth="1"/>
    <col min="15666" max="15666" width="12.85546875" style="21" customWidth="1"/>
    <col min="15667" max="15667" width="1.140625" style="21" customWidth="1"/>
    <col min="15668" max="15668" width="13.5703125" style="21" customWidth="1"/>
    <col min="15669" max="15669" width="12" style="21" customWidth="1"/>
    <col min="15670" max="15670" width="12.85546875" style="21" customWidth="1"/>
    <col min="15671" max="15671" width="1.140625" style="21" customWidth="1"/>
    <col min="15672" max="15672" width="13.140625" style="21" customWidth="1"/>
    <col min="15673" max="15673" width="12" style="21" customWidth="1"/>
    <col min="15674" max="15674" width="12.85546875" style="21" customWidth="1"/>
    <col min="15675" max="15675" width="1.5703125" style="21" customWidth="1"/>
    <col min="15676" max="15676" width="16.85546875" style="21" customWidth="1"/>
    <col min="15677" max="15677" width="14.28515625" style="21" customWidth="1"/>
    <col min="15678" max="15678" width="17.140625" style="21" customWidth="1"/>
    <col min="15679" max="15679" width="1.42578125" style="21" customWidth="1"/>
    <col min="15680" max="15680" width="9.28515625" style="21" customWidth="1"/>
    <col min="15681" max="15681" width="12" style="21" customWidth="1"/>
    <col min="15682" max="15682" width="12.85546875" style="21" customWidth="1"/>
    <col min="15683" max="15683" width="2.42578125" style="21" customWidth="1"/>
    <col min="15684" max="15684" width="12" style="21" customWidth="1"/>
    <col min="15685" max="15685" width="9.28515625" style="21" customWidth="1"/>
    <col min="15686" max="15686" width="12.85546875" style="21" customWidth="1"/>
    <col min="15687" max="15687" width="1.42578125" style="21" customWidth="1"/>
    <col min="15688" max="15688" width="12" style="21" customWidth="1"/>
    <col min="15689" max="15689" width="9.28515625" style="21" customWidth="1"/>
    <col min="15690" max="15690" width="12.85546875" style="21" customWidth="1"/>
    <col min="15691" max="15691" width="2.85546875" style="21" customWidth="1"/>
    <col min="15692" max="15692" width="12.7109375" style="21" customWidth="1"/>
    <col min="15693" max="15693" width="12" style="21" customWidth="1"/>
    <col min="15694" max="15694" width="12.85546875" style="21" customWidth="1"/>
    <col min="15695" max="15695" width="1.5703125" style="21" customWidth="1"/>
    <col min="15696" max="15727" width="0" style="21" hidden="1" customWidth="1"/>
    <col min="15728" max="15728" width="1.5703125" style="21" customWidth="1"/>
    <col min="15729" max="15729" width="16.85546875" style="21" customWidth="1"/>
    <col min="15730" max="15730" width="14.28515625" style="21" customWidth="1"/>
    <col min="15731" max="15731" width="17.140625" style="21" customWidth="1"/>
    <col min="15732" max="15872" width="9.140625" style="21"/>
    <col min="15873" max="15873" width="0.85546875" style="21" customWidth="1"/>
    <col min="15874" max="15874" width="5.5703125" style="21" bestFit="1" customWidth="1"/>
    <col min="15875" max="15875" width="46" style="21" bestFit="1" customWidth="1"/>
    <col min="15876" max="15876" width="1.42578125" style="21" customWidth="1"/>
    <col min="15877" max="15877" width="20.28515625" style="21" bestFit="1" customWidth="1"/>
    <col min="15878" max="15878" width="6.7109375" style="21" bestFit="1" customWidth="1"/>
    <col min="15879" max="15880" width="0" style="21" hidden="1" customWidth="1"/>
    <col min="15881" max="15881" width="15.85546875" style="21" bestFit="1" customWidth="1"/>
    <col min="15882" max="15882" width="1.5703125" style="21" customWidth="1"/>
    <col min="15883" max="15883" width="9.28515625" style="21" customWidth="1"/>
    <col min="15884" max="15884" width="12" style="21" customWidth="1"/>
    <col min="15885" max="15885" width="12.85546875" style="21" customWidth="1"/>
    <col min="15886" max="15886" width="2.42578125" style="21" customWidth="1"/>
    <col min="15887" max="15887" width="12" style="21" customWidth="1"/>
    <col min="15888" max="15888" width="9.28515625" style="21" customWidth="1"/>
    <col min="15889" max="15889" width="12.85546875" style="21" customWidth="1"/>
    <col min="15890" max="15890" width="1.42578125" style="21" customWidth="1"/>
    <col min="15891" max="15891" width="12" style="21" customWidth="1"/>
    <col min="15892" max="15892" width="9.28515625" style="21" customWidth="1"/>
    <col min="15893" max="15893" width="12.85546875" style="21" customWidth="1"/>
    <col min="15894" max="15894" width="2.85546875" style="21" customWidth="1"/>
    <col min="15895" max="15895" width="12.7109375" style="21" customWidth="1"/>
    <col min="15896" max="15896" width="12" style="21" customWidth="1"/>
    <col min="15897" max="15897" width="12.85546875" style="21" customWidth="1"/>
    <col min="15898" max="15898" width="1.5703125" style="21" customWidth="1"/>
    <col min="15899" max="15899" width="9.28515625" style="21" customWidth="1"/>
    <col min="15900" max="15900" width="12" style="21" customWidth="1"/>
    <col min="15901" max="15901" width="12.85546875" style="21" customWidth="1"/>
    <col min="15902" max="15902" width="0" style="21" hidden="1" customWidth="1"/>
    <col min="15903" max="15903" width="1.85546875" style="21" customWidth="1"/>
    <col min="15904" max="15904" width="9.28515625" style="21" customWidth="1"/>
    <col min="15905" max="15905" width="12" style="21" customWidth="1"/>
    <col min="15906" max="15906" width="12.85546875" style="21" customWidth="1"/>
    <col min="15907" max="15907" width="1.7109375" style="21" customWidth="1"/>
    <col min="15908" max="15908" width="9.28515625" style="21" customWidth="1"/>
    <col min="15909" max="15909" width="12" style="21" customWidth="1"/>
    <col min="15910" max="15910" width="12.85546875" style="21" customWidth="1"/>
    <col min="15911" max="15911" width="0.5703125" style="21" customWidth="1"/>
    <col min="15912" max="15912" width="9.28515625" style="21" customWidth="1"/>
    <col min="15913" max="15914" width="12.85546875" style="21" customWidth="1"/>
    <col min="15915" max="15915" width="0.5703125" style="21" customWidth="1"/>
    <col min="15916" max="15916" width="13" style="21" customWidth="1"/>
    <col min="15917" max="15917" width="12" style="21" customWidth="1"/>
    <col min="15918" max="15918" width="12.85546875" style="21" customWidth="1"/>
    <col min="15919" max="15919" width="0.42578125" style="21" customWidth="1"/>
    <col min="15920" max="15920" width="13.5703125" style="21" customWidth="1"/>
    <col min="15921" max="15921" width="12" style="21" customWidth="1"/>
    <col min="15922" max="15922" width="12.85546875" style="21" customWidth="1"/>
    <col min="15923" max="15923" width="1.140625" style="21" customWidth="1"/>
    <col min="15924" max="15924" width="13.5703125" style="21" customWidth="1"/>
    <col min="15925" max="15925" width="12" style="21" customWidth="1"/>
    <col min="15926" max="15926" width="12.85546875" style="21" customWidth="1"/>
    <col min="15927" max="15927" width="1.140625" style="21" customWidth="1"/>
    <col min="15928" max="15928" width="13.140625" style="21" customWidth="1"/>
    <col min="15929" max="15929" width="12" style="21" customWidth="1"/>
    <col min="15930" max="15930" width="12.85546875" style="21" customWidth="1"/>
    <col min="15931" max="15931" width="1.5703125" style="21" customWidth="1"/>
    <col min="15932" max="15932" width="16.85546875" style="21" customWidth="1"/>
    <col min="15933" max="15933" width="14.28515625" style="21" customWidth="1"/>
    <col min="15934" max="15934" width="17.140625" style="21" customWidth="1"/>
    <col min="15935" max="15935" width="1.42578125" style="21" customWidth="1"/>
    <col min="15936" max="15936" width="9.28515625" style="21" customWidth="1"/>
    <col min="15937" max="15937" width="12" style="21" customWidth="1"/>
    <col min="15938" max="15938" width="12.85546875" style="21" customWidth="1"/>
    <col min="15939" max="15939" width="2.42578125" style="21" customWidth="1"/>
    <col min="15940" max="15940" width="12" style="21" customWidth="1"/>
    <col min="15941" max="15941" width="9.28515625" style="21" customWidth="1"/>
    <col min="15942" max="15942" width="12.85546875" style="21" customWidth="1"/>
    <col min="15943" max="15943" width="1.42578125" style="21" customWidth="1"/>
    <col min="15944" max="15944" width="12" style="21" customWidth="1"/>
    <col min="15945" max="15945" width="9.28515625" style="21" customWidth="1"/>
    <col min="15946" max="15946" width="12.85546875" style="21" customWidth="1"/>
    <col min="15947" max="15947" width="2.85546875" style="21" customWidth="1"/>
    <col min="15948" max="15948" width="12.7109375" style="21" customWidth="1"/>
    <col min="15949" max="15949" width="12" style="21" customWidth="1"/>
    <col min="15950" max="15950" width="12.85546875" style="21" customWidth="1"/>
    <col min="15951" max="15951" width="1.5703125" style="21" customWidth="1"/>
    <col min="15952" max="15983" width="0" style="21" hidden="1" customWidth="1"/>
    <col min="15984" max="15984" width="1.5703125" style="21" customWidth="1"/>
    <col min="15985" max="15985" width="16.85546875" style="21" customWidth="1"/>
    <col min="15986" max="15986" width="14.28515625" style="21" customWidth="1"/>
    <col min="15987" max="15987" width="17.140625" style="21" customWidth="1"/>
    <col min="15988" max="16128" width="9.140625" style="21"/>
    <col min="16129" max="16129" width="0.85546875" style="21" customWidth="1"/>
    <col min="16130" max="16130" width="5.5703125" style="21" bestFit="1" customWidth="1"/>
    <col min="16131" max="16131" width="46" style="21" bestFit="1" customWidth="1"/>
    <col min="16132" max="16132" width="1.42578125" style="21" customWidth="1"/>
    <col min="16133" max="16133" width="20.28515625" style="21" bestFit="1" customWidth="1"/>
    <col min="16134" max="16134" width="6.7109375" style="21" bestFit="1" customWidth="1"/>
    <col min="16135" max="16136" width="0" style="21" hidden="1" customWidth="1"/>
    <col min="16137" max="16137" width="15.85546875" style="21" bestFit="1" customWidth="1"/>
    <col min="16138" max="16138" width="1.5703125" style="21" customWidth="1"/>
    <col min="16139" max="16139" width="9.28515625" style="21" customWidth="1"/>
    <col min="16140" max="16140" width="12" style="21" customWidth="1"/>
    <col min="16141" max="16141" width="12.85546875" style="21" customWidth="1"/>
    <col min="16142" max="16142" width="2.42578125" style="21" customWidth="1"/>
    <col min="16143" max="16143" width="12" style="21" customWidth="1"/>
    <col min="16144" max="16144" width="9.28515625" style="21" customWidth="1"/>
    <col min="16145" max="16145" width="12.85546875" style="21" customWidth="1"/>
    <col min="16146" max="16146" width="1.42578125" style="21" customWidth="1"/>
    <col min="16147" max="16147" width="12" style="21" customWidth="1"/>
    <col min="16148" max="16148" width="9.28515625" style="21" customWidth="1"/>
    <col min="16149" max="16149" width="12.85546875" style="21" customWidth="1"/>
    <col min="16150" max="16150" width="2.85546875" style="21" customWidth="1"/>
    <col min="16151" max="16151" width="12.7109375" style="21" customWidth="1"/>
    <col min="16152" max="16152" width="12" style="21" customWidth="1"/>
    <col min="16153" max="16153" width="12.85546875" style="21" customWidth="1"/>
    <col min="16154" max="16154" width="1.5703125" style="21" customWidth="1"/>
    <col min="16155" max="16155" width="9.28515625" style="21" customWidth="1"/>
    <col min="16156" max="16156" width="12" style="21" customWidth="1"/>
    <col min="16157" max="16157" width="12.85546875" style="21" customWidth="1"/>
    <col min="16158" max="16158" width="0" style="21" hidden="1" customWidth="1"/>
    <col min="16159" max="16159" width="1.85546875" style="21" customWidth="1"/>
    <col min="16160" max="16160" width="9.28515625" style="21" customWidth="1"/>
    <col min="16161" max="16161" width="12" style="21" customWidth="1"/>
    <col min="16162" max="16162" width="12.85546875" style="21" customWidth="1"/>
    <col min="16163" max="16163" width="1.7109375" style="21" customWidth="1"/>
    <col min="16164" max="16164" width="9.28515625" style="21" customWidth="1"/>
    <col min="16165" max="16165" width="12" style="21" customWidth="1"/>
    <col min="16166" max="16166" width="12.85546875" style="21" customWidth="1"/>
    <col min="16167" max="16167" width="0.5703125" style="21" customWidth="1"/>
    <col min="16168" max="16168" width="9.28515625" style="21" customWidth="1"/>
    <col min="16169" max="16170" width="12.85546875" style="21" customWidth="1"/>
    <col min="16171" max="16171" width="0.5703125" style="21" customWidth="1"/>
    <col min="16172" max="16172" width="13" style="21" customWidth="1"/>
    <col min="16173" max="16173" width="12" style="21" customWidth="1"/>
    <col min="16174" max="16174" width="12.85546875" style="21" customWidth="1"/>
    <col min="16175" max="16175" width="0.42578125" style="21" customWidth="1"/>
    <col min="16176" max="16176" width="13.5703125" style="21" customWidth="1"/>
    <col min="16177" max="16177" width="12" style="21" customWidth="1"/>
    <col min="16178" max="16178" width="12.85546875" style="21" customWidth="1"/>
    <col min="16179" max="16179" width="1.140625" style="21" customWidth="1"/>
    <col min="16180" max="16180" width="13.5703125" style="21" customWidth="1"/>
    <col min="16181" max="16181" width="12" style="21" customWidth="1"/>
    <col min="16182" max="16182" width="12.85546875" style="21" customWidth="1"/>
    <col min="16183" max="16183" width="1.140625" style="21" customWidth="1"/>
    <col min="16184" max="16184" width="13.140625" style="21" customWidth="1"/>
    <col min="16185" max="16185" width="12" style="21" customWidth="1"/>
    <col min="16186" max="16186" width="12.85546875" style="21" customWidth="1"/>
    <col min="16187" max="16187" width="1.5703125" style="21" customWidth="1"/>
    <col min="16188" max="16188" width="16.85546875" style="21" customWidth="1"/>
    <col min="16189" max="16189" width="14.28515625" style="21" customWidth="1"/>
    <col min="16190" max="16190" width="17.140625" style="21" customWidth="1"/>
    <col min="16191" max="16191" width="1.42578125" style="21" customWidth="1"/>
    <col min="16192" max="16192" width="9.28515625" style="21" customWidth="1"/>
    <col min="16193" max="16193" width="12" style="21" customWidth="1"/>
    <col min="16194" max="16194" width="12.85546875" style="21" customWidth="1"/>
    <col min="16195" max="16195" width="2.42578125" style="21" customWidth="1"/>
    <col min="16196" max="16196" width="12" style="21" customWidth="1"/>
    <col min="16197" max="16197" width="9.28515625" style="21" customWidth="1"/>
    <col min="16198" max="16198" width="12.85546875" style="21" customWidth="1"/>
    <col min="16199" max="16199" width="1.42578125" style="21" customWidth="1"/>
    <col min="16200" max="16200" width="12" style="21" customWidth="1"/>
    <col min="16201" max="16201" width="9.28515625" style="21" customWidth="1"/>
    <col min="16202" max="16202" width="12.85546875" style="21" customWidth="1"/>
    <col min="16203" max="16203" width="2.85546875" style="21" customWidth="1"/>
    <col min="16204" max="16204" width="12.7109375" style="21" customWidth="1"/>
    <col min="16205" max="16205" width="12" style="21" customWidth="1"/>
    <col min="16206" max="16206" width="12.85546875" style="21" customWidth="1"/>
    <col min="16207" max="16207" width="1.5703125" style="21" customWidth="1"/>
    <col min="16208" max="16239" width="0" style="21" hidden="1" customWidth="1"/>
    <col min="16240" max="16240" width="1.5703125" style="21" customWidth="1"/>
    <col min="16241" max="16241" width="16.85546875" style="21" customWidth="1"/>
    <col min="16242" max="16242" width="14.28515625" style="21" customWidth="1"/>
    <col min="16243" max="16243" width="17.140625" style="21" customWidth="1"/>
    <col min="16244" max="16384" width="9.140625" style="21"/>
  </cols>
  <sheetData>
    <row r="1" spans="2:118" ht="18" customHeight="1">
      <c r="B1" s="19" t="s">
        <v>44</v>
      </c>
      <c r="C1" s="19"/>
      <c r="D1" s="19"/>
      <c r="E1" s="19"/>
      <c r="F1" s="19"/>
      <c r="G1" s="19"/>
      <c r="H1" s="19"/>
      <c r="I1" s="19"/>
      <c r="K1" s="19"/>
      <c r="L1" s="19"/>
      <c r="M1" s="19"/>
      <c r="N1" s="19"/>
      <c r="O1" s="19"/>
      <c r="P1" s="19"/>
      <c r="Q1" s="19"/>
      <c r="R1" s="19"/>
      <c r="S1" s="19"/>
      <c r="T1" s="19"/>
      <c r="U1" s="19"/>
      <c r="W1" s="19"/>
      <c r="X1" s="19"/>
      <c r="Y1" s="19"/>
      <c r="AA1" s="19"/>
      <c r="AB1" s="19"/>
      <c r="AC1" s="19"/>
      <c r="AD1" s="19"/>
      <c r="AF1" s="19"/>
      <c r="AG1" s="19"/>
      <c r="AH1" s="19"/>
      <c r="AJ1" s="19"/>
      <c r="AK1" s="19"/>
      <c r="AL1" s="19"/>
      <c r="AN1" s="19"/>
      <c r="AO1" s="19"/>
      <c r="AP1" s="20"/>
      <c r="AR1" s="19"/>
      <c r="AS1" s="19"/>
      <c r="AT1" s="19"/>
      <c r="AV1" s="19"/>
      <c r="AW1" s="19"/>
      <c r="AX1" s="19"/>
      <c r="AZ1" s="19"/>
      <c r="BA1" s="19"/>
      <c r="BB1" s="19"/>
      <c r="BD1" s="19"/>
      <c r="BE1" s="19"/>
      <c r="BF1" s="19"/>
      <c r="BG1" s="19"/>
      <c r="BH1" s="19"/>
      <c r="BI1" s="19"/>
      <c r="BJ1" s="19"/>
      <c r="BK1" s="19"/>
      <c r="BL1" s="19"/>
      <c r="BM1" s="19"/>
      <c r="BN1" s="19"/>
      <c r="BO1" s="19"/>
      <c r="BP1" s="19"/>
      <c r="BQ1" s="19"/>
      <c r="BR1" s="19"/>
      <c r="BS1" s="19"/>
      <c r="BT1" s="19"/>
      <c r="BU1" s="19"/>
      <c r="BV1" s="19"/>
      <c r="BX1" s="19"/>
      <c r="BY1" s="19"/>
      <c r="BZ1" s="19"/>
      <c r="CB1" s="19"/>
      <c r="CC1" s="19"/>
      <c r="CD1" s="19"/>
      <c r="CE1" s="19"/>
      <c r="CG1" s="19"/>
      <c r="CH1" s="19"/>
      <c r="CI1" s="19"/>
      <c r="CK1" s="19"/>
      <c r="CL1" s="19"/>
      <c r="CM1" s="19"/>
      <c r="CO1" s="19"/>
      <c r="CP1" s="19"/>
      <c r="CQ1" s="20"/>
      <c r="CS1" s="19"/>
      <c r="CT1" s="19"/>
      <c r="CU1" s="19"/>
      <c r="CW1" s="19"/>
      <c r="CX1" s="19"/>
      <c r="CY1" s="19"/>
      <c r="DA1" s="19"/>
      <c r="DB1" s="19"/>
      <c r="DC1" s="19"/>
      <c r="DE1" s="19"/>
      <c r="DF1" s="19"/>
      <c r="DG1" s="19"/>
      <c r="DH1" s="19"/>
      <c r="DI1" s="19"/>
      <c r="DJ1" s="19"/>
      <c r="DK1" s="19"/>
    </row>
    <row r="2" spans="2:118" ht="18" customHeight="1">
      <c r="B2" s="22" t="s">
        <v>45</v>
      </c>
      <c r="C2" s="22"/>
      <c r="D2" s="23"/>
      <c r="F2" s="23"/>
      <c r="G2" s="23"/>
      <c r="H2" s="23"/>
      <c r="I2" s="23"/>
      <c r="K2" s="23"/>
      <c r="L2" s="23"/>
      <c r="M2" s="23"/>
      <c r="N2" s="23"/>
      <c r="O2" s="23"/>
      <c r="P2" s="23"/>
      <c r="Q2" s="23"/>
      <c r="R2" s="23"/>
      <c r="S2" s="23"/>
      <c r="T2" s="23"/>
      <c r="U2" s="23"/>
      <c r="W2" s="23"/>
      <c r="X2" s="23"/>
      <c r="Y2" s="23"/>
      <c r="AA2" s="23"/>
      <c r="AB2" s="23"/>
      <c r="AC2" s="23"/>
      <c r="AD2" s="23"/>
      <c r="AF2" s="23"/>
      <c r="AG2" s="23"/>
      <c r="AH2" s="23"/>
      <c r="AJ2" s="23"/>
      <c r="AK2" s="23"/>
      <c r="AL2" s="23"/>
      <c r="AN2" s="23"/>
      <c r="AO2" s="23"/>
      <c r="AR2" s="23"/>
      <c r="AS2" s="23"/>
      <c r="AT2" s="23"/>
      <c r="AV2" s="23"/>
      <c r="AW2" s="23"/>
      <c r="AX2" s="23"/>
      <c r="AZ2" s="23"/>
      <c r="BA2" s="23"/>
      <c r="BB2" s="23"/>
      <c r="BD2" s="23"/>
      <c r="BE2" s="23"/>
      <c r="BF2" s="23"/>
      <c r="BG2" s="23"/>
      <c r="BH2" s="23"/>
      <c r="BI2" s="23"/>
      <c r="BJ2" s="23"/>
      <c r="BK2" s="23"/>
      <c r="BL2" s="23"/>
      <c r="BM2" s="23"/>
      <c r="BN2" s="23"/>
      <c r="BO2" s="23"/>
      <c r="BP2" s="23"/>
      <c r="BQ2" s="23"/>
      <c r="BR2" s="23"/>
      <c r="BS2" s="23"/>
      <c r="BT2" s="23"/>
      <c r="BU2" s="23"/>
      <c r="BV2" s="23"/>
      <c r="BX2" s="23"/>
      <c r="BY2" s="23"/>
      <c r="BZ2" s="23"/>
      <c r="CB2" s="23"/>
      <c r="CC2" s="23"/>
      <c r="CD2" s="23"/>
      <c r="CE2" s="23"/>
      <c r="CG2" s="23"/>
      <c r="CH2" s="23"/>
      <c r="CI2" s="23"/>
      <c r="CK2" s="23"/>
      <c r="CL2" s="23"/>
      <c r="CM2" s="23"/>
      <c r="CO2" s="23"/>
      <c r="CP2" s="23"/>
      <c r="CS2" s="23"/>
      <c r="CT2" s="23"/>
      <c r="CU2" s="23"/>
      <c r="CW2" s="23"/>
      <c r="CX2" s="23"/>
      <c r="CY2" s="23"/>
      <c r="DA2" s="23"/>
      <c r="DB2" s="23"/>
      <c r="DC2" s="23"/>
      <c r="DE2" s="23"/>
      <c r="DF2" s="23"/>
      <c r="DG2" s="23"/>
      <c r="DH2" s="23"/>
      <c r="DI2" s="23"/>
      <c r="DJ2" s="23"/>
      <c r="DK2" s="23"/>
    </row>
    <row r="3" spans="2:118" ht="12.75" customHeight="1">
      <c r="C3" s="25"/>
      <c r="E3" s="21"/>
      <c r="F3" s="27"/>
      <c r="G3" s="27"/>
      <c r="H3" s="27"/>
      <c r="I3" s="27"/>
      <c r="Q3" s="27"/>
      <c r="S3" s="27"/>
      <c r="T3" s="27"/>
      <c r="U3" s="27"/>
      <c r="W3" s="27"/>
      <c r="X3" s="27"/>
      <c r="Y3" s="27"/>
      <c r="AA3" s="27"/>
      <c r="AB3" s="27"/>
      <c r="AC3" s="27"/>
      <c r="AD3" s="27"/>
      <c r="AF3" s="27"/>
      <c r="AG3" s="27"/>
      <c r="AH3" s="27"/>
      <c r="AJ3" s="27"/>
      <c r="AK3" s="27"/>
      <c r="AL3" s="27"/>
      <c r="AN3" s="27"/>
      <c r="AO3" s="27"/>
      <c r="AP3" s="28"/>
      <c r="AR3" s="27"/>
      <c r="AS3" s="27"/>
      <c r="AT3" s="27"/>
      <c r="AV3" s="27"/>
      <c r="AW3" s="27"/>
      <c r="AX3" s="27"/>
      <c r="AZ3" s="27"/>
      <c r="BA3" s="27"/>
      <c r="BB3" s="27"/>
      <c r="BD3" s="27"/>
      <c r="BE3" s="27"/>
      <c r="BF3" s="27"/>
      <c r="BG3" s="27"/>
      <c r="BH3" s="27"/>
      <c r="BI3" s="27"/>
      <c r="BJ3" s="27"/>
      <c r="BK3" s="27"/>
      <c r="BR3" s="27"/>
      <c r="BT3" s="27"/>
      <c r="BU3" s="27"/>
      <c r="BV3" s="27"/>
      <c r="BX3" s="27"/>
      <c r="BY3" s="27"/>
      <c r="BZ3" s="27"/>
      <c r="CB3" s="27"/>
      <c r="CC3" s="27"/>
      <c r="CD3" s="27"/>
      <c r="CE3" s="27"/>
      <c r="CG3" s="27"/>
      <c r="CH3" s="27"/>
      <c r="CI3" s="27"/>
      <c r="CK3" s="27"/>
      <c r="CL3" s="27"/>
      <c r="CM3" s="27"/>
      <c r="CO3" s="27"/>
      <c r="CP3" s="27"/>
      <c r="CQ3" s="28"/>
      <c r="CS3" s="27"/>
      <c r="CT3" s="27"/>
      <c r="CU3" s="27"/>
      <c r="CW3" s="27"/>
      <c r="CX3" s="27"/>
      <c r="CY3" s="27"/>
      <c r="DA3" s="27"/>
      <c r="DB3" s="27"/>
      <c r="DC3" s="27"/>
      <c r="DE3" s="27"/>
      <c r="DF3" s="27"/>
      <c r="DG3" s="27"/>
      <c r="DH3" s="27"/>
      <c r="DI3" s="27"/>
      <c r="DJ3" s="27"/>
      <c r="DK3" s="27"/>
    </row>
    <row r="4" spans="2:118" ht="22.5" customHeight="1">
      <c r="B4" s="29" t="s">
        <v>46</v>
      </c>
      <c r="C4" s="30"/>
      <c r="D4" s="30"/>
      <c r="E4" s="30"/>
      <c r="F4" s="30"/>
      <c r="K4" s="31" t="s">
        <v>47</v>
      </c>
      <c r="L4" s="32"/>
      <c r="M4" s="33"/>
      <c r="O4" s="31" t="s">
        <v>48</v>
      </c>
      <c r="P4" s="32"/>
      <c r="Q4" s="33"/>
      <c r="S4" s="31" t="s">
        <v>49</v>
      </c>
      <c r="T4" s="32"/>
      <c r="U4" s="33"/>
      <c r="W4" s="31" t="s">
        <v>50</v>
      </c>
      <c r="X4" s="32"/>
      <c r="Y4" s="33"/>
      <c r="AA4" s="31" t="s">
        <v>51</v>
      </c>
      <c r="AB4" s="32"/>
      <c r="AC4" s="32"/>
      <c r="AD4" s="34"/>
      <c r="AF4" s="31" t="s">
        <v>52</v>
      </c>
      <c r="AG4" s="32"/>
      <c r="AH4" s="33"/>
      <c r="AJ4" s="31" t="s">
        <v>53</v>
      </c>
      <c r="AK4" s="32"/>
      <c r="AL4" s="32"/>
      <c r="AN4" s="31" t="s">
        <v>54</v>
      </c>
      <c r="AO4" s="32"/>
      <c r="AP4" s="33"/>
      <c r="AR4" s="32" t="s">
        <v>55</v>
      </c>
      <c r="AS4" s="32"/>
      <c r="AT4" s="32"/>
      <c r="AV4" s="32" t="s">
        <v>56</v>
      </c>
      <c r="AW4" s="32"/>
      <c r="AX4" s="32"/>
      <c r="AZ4" s="32" t="s">
        <v>57</v>
      </c>
      <c r="BA4" s="32"/>
      <c r="BB4" s="32"/>
      <c r="BD4" s="32" t="s">
        <v>58</v>
      </c>
      <c r="BE4" s="32"/>
      <c r="BF4" s="32"/>
      <c r="BG4" s="35"/>
      <c r="BH4" s="36" t="s">
        <v>59</v>
      </c>
      <c r="BI4" s="37"/>
      <c r="BJ4" s="38"/>
      <c r="BK4" s="35"/>
      <c r="BL4" s="31" t="s">
        <v>47</v>
      </c>
      <c r="BM4" s="32"/>
      <c r="BN4" s="33"/>
      <c r="BP4" s="31" t="s">
        <v>48</v>
      </c>
      <c r="BQ4" s="32"/>
      <c r="BR4" s="33"/>
      <c r="BT4" s="31" t="s">
        <v>49</v>
      </c>
      <c r="BU4" s="32"/>
      <c r="BV4" s="33"/>
      <c r="BX4" s="31" t="s">
        <v>50</v>
      </c>
      <c r="BY4" s="32"/>
      <c r="BZ4" s="33"/>
      <c r="CB4" s="31" t="s">
        <v>51</v>
      </c>
      <c r="CC4" s="32"/>
      <c r="CD4" s="32"/>
      <c r="CE4" s="34"/>
      <c r="CG4" s="31" t="s">
        <v>52</v>
      </c>
      <c r="CH4" s="32"/>
      <c r="CI4" s="33"/>
      <c r="CK4" s="31" t="s">
        <v>53</v>
      </c>
      <c r="CL4" s="32"/>
      <c r="CM4" s="32"/>
      <c r="CO4" s="31" t="s">
        <v>54</v>
      </c>
      <c r="CP4" s="32"/>
      <c r="CQ4" s="33"/>
      <c r="CS4" s="32" t="s">
        <v>55</v>
      </c>
      <c r="CT4" s="32"/>
      <c r="CU4" s="32"/>
      <c r="CW4" s="32" t="s">
        <v>56</v>
      </c>
      <c r="CX4" s="32"/>
      <c r="CY4" s="32"/>
      <c r="DA4" s="32" t="s">
        <v>57</v>
      </c>
      <c r="DB4" s="32"/>
      <c r="DC4" s="32"/>
      <c r="DE4" s="32" t="s">
        <v>58</v>
      </c>
      <c r="DF4" s="32"/>
      <c r="DG4" s="32"/>
      <c r="DH4" s="35"/>
      <c r="DI4" s="36" t="s">
        <v>60</v>
      </c>
      <c r="DJ4" s="37"/>
      <c r="DK4" s="38"/>
      <c r="DL4" s="39"/>
      <c r="DM4" s="39"/>
      <c r="DN4" s="39"/>
    </row>
    <row r="5" spans="2:118" ht="12.75" customHeight="1">
      <c r="B5" s="40"/>
      <c r="C5" s="40"/>
      <c r="E5" s="41" t="s">
        <v>61</v>
      </c>
      <c r="F5" s="41"/>
      <c r="G5" s="41"/>
      <c r="H5" s="41"/>
      <c r="I5" s="41"/>
      <c r="K5" s="42"/>
      <c r="L5" s="43"/>
      <c r="M5" s="44"/>
      <c r="O5" s="42"/>
      <c r="P5" s="43"/>
      <c r="Q5" s="44"/>
      <c r="S5" s="42"/>
      <c r="T5" s="43"/>
      <c r="U5" s="44"/>
      <c r="W5" s="42"/>
      <c r="X5" s="43"/>
      <c r="Y5" s="44"/>
      <c r="AA5" s="42"/>
      <c r="AB5" s="43"/>
      <c r="AC5" s="43"/>
      <c r="AD5" s="45"/>
      <c r="AF5" s="42"/>
      <c r="AG5" s="43"/>
      <c r="AH5" s="44"/>
      <c r="AJ5" s="42"/>
      <c r="AK5" s="43"/>
      <c r="AL5" s="43"/>
      <c r="AN5" s="42"/>
      <c r="AO5" s="43"/>
      <c r="AP5" s="44"/>
      <c r="AR5" s="43"/>
      <c r="AS5" s="43"/>
      <c r="AT5" s="43"/>
      <c r="AV5" s="43"/>
      <c r="AW5" s="43"/>
      <c r="AX5" s="43"/>
      <c r="AZ5" s="43"/>
      <c r="BA5" s="43"/>
      <c r="BB5" s="43"/>
      <c r="BD5" s="43"/>
      <c r="BE5" s="43"/>
      <c r="BF5" s="43"/>
      <c r="BG5" s="35"/>
      <c r="BH5" s="46"/>
      <c r="BI5" s="47"/>
      <c r="BJ5" s="48"/>
      <c r="BK5" s="35"/>
      <c r="BL5" s="42"/>
      <c r="BM5" s="43"/>
      <c r="BN5" s="44"/>
      <c r="BP5" s="42"/>
      <c r="BQ5" s="43"/>
      <c r="BR5" s="44"/>
      <c r="BT5" s="42"/>
      <c r="BU5" s="43"/>
      <c r="BV5" s="44"/>
      <c r="BX5" s="42"/>
      <c r="BY5" s="43"/>
      <c r="BZ5" s="44"/>
      <c r="CB5" s="42"/>
      <c r="CC5" s="43"/>
      <c r="CD5" s="43"/>
      <c r="CE5" s="45"/>
      <c r="CG5" s="42"/>
      <c r="CH5" s="43"/>
      <c r="CI5" s="44"/>
      <c r="CK5" s="42"/>
      <c r="CL5" s="43"/>
      <c r="CM5" s="43"/>
      <c r="CO5" s="42"/>
      <c r="CP5" s="43"/>
      <c r="CQ5" s="44"/>
      <c r="CS5" s="43"/>
      <c r="CT5" s="43"/>
      <c r="CU5" s="43"/>
      <c r="CW5" s="43"/>
      <c r="CX5" s="43"/>
      <c r="CY5" s="43"/>
      <c r="DA5" s="43"/>
      <c r="DB5" s="43"/>
      <c r="DC5" s="43"/>
      <c r="DE5" s="43"/>
      <c r="DF5" s="43"/>
      <c r="DG5" s="43"/>
      <c r="DH5" s="35"/>
      <c r="DI5" s="46"/>
      <c r="DJ5" s="47"/>
      <c r="DK5" s="48"/>
      <c r="DL5" s="39"/>
      <c r="DM5" s="39"/>
      <c r="DN5" s="39"/>
    </row>
    <row r="6" spans="2:118" s="23" customFormat="1" ht="6" customHeight="1">
      <c r="B6" s="40"/>
      <c r="C6" s="40"/>
      <c r="D6" s="26"/>
      <c r="E6" s="41"/>
      <c r="F6" s="41"/>
      <c r="G6" s="49"/>
      <c r="H6" s="41"/>
      <c r="I6" s="41"/>
      <c r="J6" s="20"/>
      <c r="K6" s="26"/>
      <c r="L6" s="26"/>
      <c r="M6" s="26"/>
      <c r="N6" s="26"/>
      <c r="O6" s="26"/>
      <c r="P6" s="26"/>
      <c r="Q6" s="35"/>
      <c r="R6" s="26"/>
      <c r="S6" s="35"/>
      <c r="T6" s="35"/>
      <c r="U6" s="35"/>
      <c r="W6" s="35"/>
      <c r="X6" s="35"/>
      <c r="Y6" s="35"/>
      <c r="AA6" s="35"/>
      <c r="AB6" s="35"/>
      <c r="AC6" s="35"/>
      <c r="AD6" s="35"/>
      <c r="AF6" s="35"/>
      <c r="AG6" s="35"/>
      <c r="AH6" s="35"/>
      <c r="AJ6" s="35"/>
      <c r="AK6" s="35"/>
      <c r="AL6" s="35"/>
      <c r="AN6" s="35"/>
      <c r="AO6" s="35"/>
      <c r="AP6" s="35"/>
      <c r="AR6" s="35"/>
      <c r="AS6" s="35"/>
      <c r="AT6" s="35"/>
      <c r="AV6" s="35"/>
      <c r="AW6" s="35"/>
      <c r="AX6" s="35"/>
      <c r="AZ6" s="35"/>
      <c r="BA6" s="35"/>
      <c r="BB6" s="35"/>
      <c r="BD6" s="35"/>
      <c r="BE6" s="35"/>
      <c r="BF6" s="35"/>
      <c r="BG6" s="35"/>
      <c r="BH6" s="35"/>
      <c r="BI6" s="35"/>
      <c r="BJ6" s="35"/>
      <c r="BK6" s="35"/>
      <c r="BL6" s="26"/>
      <c r="BM6" s="26"/>
      <c r="BN6" s="26"/>
      <c r="BO6" s="26"/>
      <c r="BP6" s="26"/>
      <c r="BQ6" s="26"/>
      <c r="BR6" s="35"/>
      <c r="BS6" s="26"/>
      <c r="BT6" s="35"/>
      <c r="BU6" s="35"/>
      <c r="BV6" s="35"/>
      <c r="BX6" s="35"/>
      <c r="BY6" s="35"/>
      <c r="BZ6" s="35"/>
      <c r="CB6" s="35"/>
      <c r="CC6" s="35"/>
      <c r="CD6" s="35"/>
      <c r="CE6" s="35"/>
      <c r="CG6" s="35"/>
      <c r="CH6" s="35"/>
      <c r="CI6" s="35"/>
      <c r="CK6" s="35"/>
      <c r="CL6" s="35"/>
      <c r="CM6" s="35"/>
      <c r="CO6" s="35"/>
      <c r="CP6" s="35"/>
      <c r="CQ6" s="35"/>
      <c r="CS6" s="35"/>
      <c r="CT6" s="35"/>
      <c r="CU6" s="35"/>
      <c r="CW6" s="35"/>
      <c r="CX6" s="35"/>
      <c r="CY6" s="35"/>
      <c r="DA6" s="35"/>
      <c r="DB6" s="35"/>
      <c r="DC6" s="35"/>
      <c r="DE6" s="35"/>
      <c r="DF6" s="35"/>
      <c r="DG6" s="35"/>
      <c r="DH6" s="35"/>
      <c r="DI6" s="35"/>
      <c r="DJ6" s="35"/>
      <c r="DK6" s="35"/>
    </row>
    <row r="7" spans="2:118" ht="15" customHeight="1">
      <c r="B7" s="50" t="s">
        <v>62</v>
      </c>
      <c r="C7" s="51" t="s">
        <v>63</v>
      </c>
      <c r="D7" s="52"/>
      <c r="E7" s="53" t="s">
        <v>64</v>
      </c>
      <c r="F7" s="54" t="s">
        <v>65</v>
      </c>
      <c r="G7" s="55" t="s">
        <v>66</v>
      </c>
      <c r="H7" s="56" t="s">
        <v>67</v>
      </c>
      <c r="I7" s="55" t="s">
        <v>68</v>
      </c>
      <c r="K7" s="57" t="s">
        <v>69</v>
      </c>
      <c r="L7" s="57" t="s">
        <v>33</v>
      </c>
      <c r="M7" s="58" t="s">
        <v>70</v>
      </c>
      <c r="O7" s="59" t="s">
        <v>69</v>
      </c>
      <c r="P7" s="57" t="s">
        <v>33</v>
      </c>
      <c r="Q7" s="58" t="s">
        <v>70</v>
      </c>
      <c r="S7" s="59" t="s">
        <v>69</v>
      </c>
      <c r="T7" s="57" t="s">
        <v>33</v>
      </c>
      <c r="U7" s="58" t="s">
        <v>70</v>
      </c>
      <c r="W7" s="59" t="s">
        <v>69</v>
      </c>
      <c r="X7" s="57" t="s">
        <v>33</v>
      </c>
      <c r="Y7" s="58" t="s">
        <v>70</v>
      </c>
      <c r="AA7" s="60" t="s">
        <v>71</v>
      </c>
      <c r="AB7" s="59" t="s">
        <v>69</v>
      </c>
      <c r="AC7" s="58" t="s">
        <v>70</v>
      </c>
      <c r="AD7" s="58" t="s">
        <v>72</v>
      </c>
      <c r="AF7" s="60" t="s">
        <v>71</v>
      </c>
      <c r="AG7" s="59" t="s">
        <v>69</v>
      </c>
      <c r="AH7" s="58" t="s">
        <v>70</v>
      </c>
      <c r="AJ7" s="60" t="s">
        <v>71</v>
      </c>
      <c r="AK7" s="59" t="s">
        <v>69</v>
      </c>
      <c r="AL7" s="58" t="s">
        <v>70</v>
      </c>
      <c r="AN7" s="60" t="s">
        <v>71</v>
      </c>
      <c r="AO7" s="59" t="s">
        <v>69</v>
      </c>
      <c r="AP7" s="58" t="s">
        <v>70</v>
      </c>
      <c r="AR7" s="59" t="s">
        <v>71</v>
      </c>
      <c r="AS7" s="59" t="s">
        <v>69</v>
      </c>
      <c r="AT7" s="58" t="s">
        <v>70</v>
      </c>
      <c r="AU7" s="28"/>
      <c r="AV7" s="59" t="s">
        <v>71</v>
      </c>
      <c r="AW7" s="59" t="s">
        <v>69</v>
      </c>
      <c r="AX7" s="58" t="s">
        <v>70</v>
      </c>
      <c r="AY7" s="28"/>
      <c r="AZ7" s="59" t="s">
        <v>71</v>
      </c>
      <c r="BA7" s="59" t="s">
        <v>69</v>
      </c>
      <c r="BB7" s="58" t="s">
        <v>70</v>
      </c>
      <c r="BC7" s="28"/>
      <c r="BD7" s="59" t="s">
        <v>71</v>
      </c>
      <c r="BE7" s="59" t="s">
        <v>69</v>
      </c>
      <c r="BF7" s="58" t="s">
        <v>70</v>
      </c>
      <c r="BG7" s="61"/>
      <c r="BH7" s="60" t="s">
        <v>71</v>
      </c>
      <c r="BI7" s="59" t="s">
        <v>69</v>
      </c>
      <c r="BJ7" s="58" t="s">
        <v>70</v>
      </c>
      <c r="BK7" s="62"/>
      <c r="BL7" s="59" t="s">
        <v>71</v>
      </c>
      <c r="BM7" s="59" t="s">
        <v>69</v>
      </c>
      <c r="BN7" s="58" t="s">
        <v>70</v>
      </c>
      <c r="BP7" s="59" t="s">
        <v>69</v>
      </c>
      <c r="BQ7" s="57" t="s">
        <v>33</v>
      </c>
      <c r="BR7" s="58" t="s">
        <v>70</v>
      </c>
      <c r="BT7" s="59" t="s">
        <v>69</v>
      </c>
      <c r="BU7" s="57" t="s">
        <v>33</v>
      </c>
      <c r="BV7" s="58" t="s">
        <v>70</v>
      </c>
      <c r="BX7" s="59" t="s">
        <v>69</v>
      </c>
      <c r="BY7" s="57" t="s">
        <v>33</v>
      </c>
      <c r="BZ7" s="58" t="s">
        <v>70</v>
      </c>
      <c r="CB7" s="60" t="s">
        <v>71</v>
      </c>
      <c r="CC7" s="59" t="s">
        <v>69</v>
      </c>
      <c r="CD7" s="58" t="s">
        <v>70</v>
      </c>
      <c r="CE7" s="58" t="s">
        <v>72</v>
      </c>
      <c r="CG7" s="60" t="s">
        <v>71</v>
      </c>
      <c r="CH7" s="59" t="s">
        <v>69</v>
      </c>
      <c r="CI7" s="58" t="s">
        <v>70</v>
      </c>
      <c r="CK7" s="60" t="s">
        <v>71</v>
      </c>
      <c r="CL7" s="59" t="s">
        <v>69</v>
      </c>
      <c r="CM7" s="58" t="s">
        <v>70</v>
      </c>
      <c r="CO7" s="60" t="s">
        <v>71</v>
      </c>
      <c r="CP7" s="59" t="s">
        <v>69</v>
      </c>
      <c r="CQ7" s="58" t="s">
        <v>70</v>
      </c>
      <c r="CS7" s="59" t="s">
        <v>71</v>
      </c>
      <c r="CT7" s="59" t="s">
        <v>69</v>
      </c>
      <c r="CU7" s="58" t="s">
        <v>70</v>
      </c>
      <c r="CV7" s="28"/>
      <c r="CW7" s="59" t="s">
        <v>69</v>
      </c>
      <c r="CX7" s="57" t="s">
        <v>33</v>
      </c>
      <c r="CY7" s="58" t="s">
        <v>70</v>
      </c>
      <c r="CZ7" s="28"/>
      <c r="DA7" s="59" t="s">
        <v>69</v>
      </c>
      <c r="DB7" s="57" t="s">
        <v>33</v>
      </c>
      <c r="DC7" s="58" t="s">
        <v>70</v>
      </c>
      <c r="DD7" s="28"/>
      <c r="DE7" s="59" t="s">
        <v>69</v>
      </c>
      <c r="DF7" s="57" t="s">
        <v>33</v>
      </c>
      <c r="DG7" s="58" t="s">
        <v>70</v>
      </c>
      <c r="DH7" s="61"/>
      <c r="DI7" s="59" t="s">
        <v>71</v>
      </c>
      <c r="DJ7" s="59" t="s">
        <v>69</v>
      </c>
      <c r="DK7" s="58" t="s">
        <v>70</v>
      </c>
    </row>
    <row r="8" spans="2:118" ht="16.5" customHeight="1">
      <c r="B8" s="63"/>
      <c r="C8" s="64"/>
      <c r="D8" s="52"/>
      <c r="E8" s="65"/>
      <c r="F8" s="66"/>
      <c r="G8" s="55"/>
      <c r="H8" s="67"/>
      <c r="I8" s="55"/>
      <c r="K8" s="68" t="s">
        <v>73</v>
      </c>
      <c r="L8" s="69" t="s">
        <v>74</v>
      </c>
      <c r="M8" s="68"/>
      <c r="O8" s="68" t="s">
        <v>73</v>
      </c>
      <c r="P8" s="69" t="s">
        <v>73</v>
      </c>
      <c r="Q8" s="68"/>
      <c r="S8" s="68" t="s">
        <v>73</v>
      </c>
      <c r="T8" s="69" t="s">
        <v>73</v>
      </c>
      <c r="U8" s="68"/>
      <c r="W8" s="68" t="s">
        <v>73</v>
      </c>
      <c r="X8" s="69" t="s">
        <v>73</v>
      </c>
      <c r="Y8" s="68"/>
      <c r="AA8" s="59" t="s">
        <v>73</v>
      </c>
      <c r="AB8" s="59" t="s">
        <v>73</v>
      </c>
      <c r="AC8" s="68"/>
      <c r="AD8" s="68"/>
      <c r="AF8" s="59" t="s">
        <v>73</v>
      </c>
      <c r="AG8" s="59" t="s">
        <v>73</v>
      </c>
      <c r="AH8" s="68"/>
      <c r="AJ8" s="59" t="s">
        <v>73</v>
      </c>
      <c r="AK8" s="59" t="s">
        <v>73</v>
      </c>
      <c r="AL8" s="68"/>
      <c r="AN8" s="59" t="s">
        <v>73</v>
      </c>
      <c r="AO8" s="59" t="s">
        <v>73</v>
      </c>
      <c r="AP8" s="68"/>
      <c r="AR8" s="59" t="s">
        <v>73</v>
      </c>
      <c r="AS8" s="59" t="s">
        <v>73</v>
      </c>
      <c r="AT8" s="68"/>
      <c r="AU8" s="28"/>
      <c r="AV8" s="59" t="s">
        <v>73</v>
      </c>
      <c r="AW8" s="59" t="s">
        <v>73</v>
      </c>
      <c r="AX8" s="68"/>
      <c r="AY8" s="28"/>
      <c r="AZ8" s="59" t="s">
        <v>73</v>
      </c>
      <c r="BA8" s="59" t="s">
        <v>73</v>
      </c>
      <c r="BB8" s="68"/>
      <c r="BC8" s="28"/>
      <c r="BD8" s="59" t="s">
        <v>73</v>
      </c>
      <c r="BE8" s="59" t="s">
        <v>73</v>
      </c>
      <c r="BF8" s="68"/>
      <c r="BG8" s="62"/>
      <c r="BH8" s="59" t="s">
        <v>73</v>
      </c>
      <c r="BI8" s="59" t="s">
        <v>73</v>
      </c>
      <c r="BJ8" s="68"/>
      <c r="BK8" s="62"/>
      <c r="BL8" s="59" t="s">
        <v>73</v>
      </c>
      <c r="BM8" s="59" t="s">
        <v>73</v>
      </c>
      <c r="BN8" s="68"/>
      <c r="BP8" s="68" t="s">
        <v>73</v>
      </c>
      <c r="BQ8" s="69" t="s">
        <v>73</v>
      </c>
      <c r="BR8" s="68"/>
      <c r="BT8" s="68" t="s">
        <v>73</v>
      </c>
      <c r="BU8" s="69" t="s">
        <v>73</v>
      </c>
      <c r="BV8" s="68"/>
      <c r="BX8" s="68" t="s">
        <v>73</v>
      </c>
      <c r="BY8" s="69" t="s">
        <v>73</v>
      </c>
      <c r="BZ8" s="68"/>
      <c r="CB8" s="59" t="s">
        <v>73</v>
      </c>
      <c r="CC8" s="59" t="s">
        <v>73</v>
      </c>
      <c r="CD8" s="68"/>
      <c r="CE8" s="68"/>
      <c r="CG8" s="59" t="s">
        <v>73</v>
      </c>
      <c r="CH8" s="59" t="s">
        <v>73</v>
      </c>
      <c r="CI8" s="68"/>
      <c r="CK8" s="59" t="s">
        <v>73</v>
      </c>
      <c r="CL8" s="59" t="s">
        <v>73</v>
      </c>
      <c r="CM8" s="68"/>
      <c r="CO8" s="59" t="s">
        <v>73</v>
      </c>
      <c r="CP8" s="59" t="s">
        <v>73</v>
      </c>
      <c r="CQ8" s="68"/>
      <c r="CS8" s="59" t="s">
        <v>73</v>
      </c>
      <c r="CT8" s="59" t="s">
        <v>73</v>
      </c>
      <c r="CU8" s="68"/>
      <c r="CV8" s="28"/>
      <c r="CW8" s="59" t="s">
        <v>74</v>
      </c>
      <c r="CX8" s="69" t="s">
        <v>74</v>
      </c>
      <c r="CY8" s="68"/>
      <c r="CZ8" s="28"/>
      <c r="DA8" s="59" t="s">
        <v>74</v>
      </c>
      <c r="DB8" s="69" t="s">
        <v>74</v>
      </c>
      <c r="DC8" s="68"/>
      <c r="DD8" s="28"/>
      <c r="DE8" s="59" t="s">
        <v>74</v>
      </c>
      <c r="DF8" s="69" t="s">
        <v>74</v>
      </c>
      <c r="DG8" s="68"/>
      <c r="DH8" s="62"/>
      <c r="DI8" s="59" t="s">
        <v>73</v>
      </c>
      <c r="DJ8" s="59" t="s">
        <v>73</v>
      </c>
      <c r="DK8" s="68"/>
    </row>
    <row r="9" spans="2:118" s="23" customFormat="1" ht="4.5" customHeight="1">
      <c r="B9" s="70"/>
      <c r="C9" s="70"/>
      <c r="D9" s="71"/>
      <c r="E9" s="71"/>
      <c r="F9" s="24"/>
      <c r="G9" s="72"/>
      <c r="H9" s="73"/>
      <c r="I9" s="72"/>
      <c r="J9" s="20"/>
      <c r="K9" s="62"/>
      <c r="L9" s="62"/>
      <c r="M9" s="62"/>
      <c r="N9" s="26"/>
      <c r="O9" s="62"/>
      <c r="P9" s="62"/>
      <c r="Q9" s="62"/>
      <c r="R9" s="26"/>
      <c r="S9" s="62"/>
      <c r="T9" s="62"/>
      <c r="U9" s="62"/>
      <c r="W9" s="62"/>
      <c r="X9" s="62"/>
      <c r="Y9" s="62"/>
      <c r="AA9" s="62"/>
      <c r="AB9" s="62"/>
      <c r="AC9" s="62"/>
      <c r="AD9" s="62"/>
      <c r="AF9" s="62"/>
      <c r="AG9" s="74"/>
      <c r="AH9" s="74"/>
      <c r="AJ9" s="62"/>
      <c r="AK9" s="74"/>
      <c r="AL9" s="74"/>
      <c r="AN9" s="74"/>
      <c r="AO9" s="74"/>
      <c r="AP9" s="74"/>
      <c r="AR9" s="74"/>
      <c r="AS9" s="74"/>
      <c r="AT9" s="74"/>
      <c r="AV9" s="74"/>
      <c r="AW9" s="74"/>
      <c r="AX9" s="74"/>
      <c r="AZ9" s="74"/>
      <c r="BA9" s="74"/>
      <c r="BB9" s="74"/>
      <c r="BD9" s="74"/>
      <c r="BE9" s="74"/>
      <c r="BF9" s="74"/>
      <c r="BG9" s="62"/>
      <c r="BH9" s="62"/>
      <c r="BI9" s="62"/>
      <c r="BJ9" s="62"/>
      <c r="BK9" s="62"/>
      <c r="BL9" s="62"/>
      <c r="BM9" s="62"/>
      <c r="BN9" s="74"/>
      <c r="BO9" s="26"/>
      <c r="BP9" s="62"/>
      <c r="BQ9" s="62"/>
      <c r="BR9" s="62"/>
      <c r="BS9" s="26"/>
      <c r="BT9" s="62"/>
      <c r="BU9" s="62"/>
      <c r="BV9" s="62"/>
      <c r="BX9" s="62"/>
      <c r="BY9" s="62"/>
      <c r="BZ9" s="62"/>
      <c r="CB9" s="62"/>
      <c r="CC9" s="62"/>
      <c r="CD9" s="62"/>
      <c r="CE9" s="62"/>
      <c r="CG9" s="62"/>
      <c r="CH9" s="74"/>
      <c r="CI9" s="74"/>
      <c r="CK9" s="62"/>
      <c r="CL9" s="74"/>
      <c r="CM9" s="74"/>
      <c r="CO9" s="74"/>
      <c r="CP9" s="74"/>
      <c r="CQ9" s="74"/>
      <c r="CS9" s="74"/>
      <c r="CT9" s="74"/>
      <c r="CU9" s="74"/>
      <c r="CW9" s="74"/>
      <c r="CX9" s="74"/>
      <c r="CY9" s="74"/>
      <c r="DA9" s="74"/>
      <c r="DB9" s="74"/>
      <c r="DC9" s="74"/>
      <c r="DE9" s="74"/>
      <c r="DF9" s="74"/>
      <c r="DG9" s="74"/>
      <c r="DH9" s="62"/>
      <c r="DI9" s="62"/>
      <c r="DJ9" s="62"/>
      <c r="DK9" s="74"/>
    </row>
    <row r="10" spans="2:118">
      <c r="B10" s="75">
        <v>1</v>
      </c>
      <c r="C10" s="76" t="s">
        <v>75</v>
      </c>
      <c r="D10" s="77"/>
      <c r="E10" s="78" t="s">
        <v>76</v>
      </c>
      <c r="F10" s="79" t="s">
        <v>77</v>
      </c>
      <c r="G10" s="80">
        <v>0.98499999999999999</v>
      </c>
      <c r="H10" s="81"/>
      <c r="I10" s="80">
        <v>1.4999999999999999E-2</v>
      </c>
      <c r="K10" s="82"/>
      <c r="L10" s="83"/>
      <c r="M10" s="84" t="e">
        <f>+(K10-L10)/K10</f>
        <v>#DIV/0!</v>
      </c>
      <c r="N10" s="85"/>
      <c r="O10" s="86">
        <v>436.74793499999998</v>
      </c>
      <c r="P10" s="87">
        <v>442</v>
      </c>
      <c r="Q10" s="88">
        <f>+(P10-O10)/O10</f>
        <v>1.2025391717078218E-2</v>
      </c>
      <c r="R10" s="89"/>
      <c r="S10" s="86">
        <v>393.26745453550001</v>
      </c>
      <c r="T10" s="87">
        <v>398</v>
      </c>
      <c r="U10" s="88">
        <f>+(T10-S10)/S10</f>
        <v>1.2033910790023913E-2</v>
      </c>
      <c r="V10" s="90"/>
      <c r="W10" s="86">
        <v>171</v>
      </c>
      <c r="X10" s="86">
        <v>174</v>
      </c>
      <c r="Y10" s="84">
        <f>+(X10-W10)/W10</f>
        <v>1.7543859649122806E-2</v>
      </c>
      <c r="Z10" s="90"/>
      <c r="AA10" s="86">
        <v>360</v>
      </c>
      <c r="AB10" s="86">
        <v>365</v>
      </c>
      <c r="AC10" s="88">
        <v>1.3888888888888888E-2</v>
      </c>
      <c r="AD10" s="91"/>
      <c r="AE10" s="90"/>
      <c r="AF10" s="86">
        <v>459</v>
      </c>
      <c r="AG10" s="86">
        <v>465</v>
      </c>
      <c r="AH10" s="88">
        <v>1.3071895424836602E-2</v>
      </c>
      <c r="AI10" s="90"/>
      <c r="AJ10" s="86">
        <v>497</v>
      </c>
      <c r="AK10" s="86">
        <v>505</v>
      </c>
      <c r="AL10" s="84">
        <v>1.6096579476861168E-2</v>
      </c>
      <c r="AM10" s="90"/>
      <c r="AN10" s="86">
        <v>508.03219999999993</v>
      </c>
      <c r="AO10" s="86">
        <v>516.45510810464441</v>
      </c>
      <c r="AP10" s="88">
        <f>+(AO10-AN10)/AN10</f>
        <v>1.6579476861199899E-2</v>
      </c>
      <c r="AQ10" s="90"/>
      <c r="AR10" s="86">
        <v>140</v>
      </c>
      <c r="AS10" s="86">
        <v>146</v>
      </c>
      <c r="AT10" s="88">
        <f>+(AS10-AR10)/AR10</f>
        <v>4.2857142857142858E-2</v>
      </c>
      <c r="AU10" s="90"/>
      <c r="AV10" s="86">
        <v>378</v>
      </c>
      <c r="AW10" s="86">
        <v>434</v>
      </c>
      <c r="AX10" s="88">
        <f>+(AW10-AV10)/AV10</f>
        <v>0.14814814814814814</v>
      </c>
      <c r="AZ10" s="86">
        <v>378</v>
      </c>
      <c r="BA10" s="86">
        <v>402.6</v>
      </c>
      <c r="BB10" s="88">
        <f>+(BA10-AZ10)/AZ10</f>
        <v>6.507936507936514E-2</v>
      </c>
      <c r="BD10" s="86">
        <v>227</v>
      </c>
      <c r="BE10" s="86">
        <v>231.5</v>
      </c>
      <c r="BF10" s="88">
        <f>+(BE10-BD10)/BD10</f>
        <v>1.9823788546255508E-2</v>
      </c>
      <c r="BG10" s="92"/>
      <c r="BH10" s="93">
        <f>K10+O10+S10+W10+AA10+AF10+AJ10+AN10+AR10+AV10+AZ10+BD10</f>
        <v>3948.0475895354998</v>
      </c>
      <c r="BI10" s="93">
        <f>L10+P10+T10+X10+AB10+AG10+AK10+AO10+AS10+AW10+BA10+BE10</f>
        <v>4079.5551081046442</v>
      </c>
      <c r="BJ10" s="88">
        <f>+(BI10-BH10)/BH10</f>
        <v>3.3309506936469495E-2</v>
      </c>
      <c r="BK10" s="94"/>
      <c r="BL10" s="87">
        <v>151</v>
      </c>
      <c r="BM10" s="86">
        <v>195</v>
      </c>
      <c r="BN10" s="88">
        <f>+(BM10-BL10)/BL10</f>
        <v>0.29139072847682118</v>
      </c>
      <c r="BO10" s="85"/>
      <c r="BP10" s="86"/>
      <c r="BQ10" s="87"/>
      <c r="BR10" s="88" t="e">
        <f>+(BQ10-BP10)/BP10</f>
        <v>#DIV/0!</v>
      </c>
      <c r="BS10" s="89"/>
      <c r="BT10" s="86"/>
      <c r="BU10" s="87"/>
      <c r="BV10" s="88" t="e">
        <f>+(BU10-BT10)/BT10</f>
        <v>#DIV/0!</v>
      </c>
      <c r="BW10" s="90"/>
      <c r="BX10" s="86"/>
      <c r="BY10" s="86"/>
      <c r="BZ10" s="84" t="e">
        <f>+(BY10-BX10)/BX10</f>
        <v>#DIV/0!</v>
      </c>
      <c r="CA10" s="90"/>
      <c r="CB10" s="86"/>
      <c r="CC10" s="86"/>
      <c r="CD10" s="84" t="e">
        <f>+(CC10-CB10)/CB10</f>
        <v>#DIV/0!</v>
      </c>
      <c r="CE10" s="91"/>
      <c r="CF10" s="90"/>
      <c r="CG10" s="86"/>
      <c r="CH10" s="86"/>
      <c r="CI10" s="84" t="e">
        <f>+(CH10-CG10)/CG10</f>
        <v>#DIV/0!</v>
      </c>
      <c r="CJ10" s="90"/>
      <c r="CK10" s="86"/>
      <c r="CL10" s="86"/>
      <c r="CM10" s="84" t="e">
        <f>+(CL10-CK10)/CK10</f>
        <v>#DIV/0!</v>
      </c>
      <c r="CN10" s="90"/>
      <c r="CO10" s="86"/>
      <c r="CP10" s="86"/>
      <c r="CQ10" s="84" t="e">
        <f>+(CP10-CO10)/CO10</f>
        <v>#DIV/0!</v>
      </c>
      <c r="CR10" s="90"/>
      <c r="CS10" s="86"/>
      <c r="CT10" s="86"/>
      <c r="CU10" s="84" t="e">
        <f>+(CT10-CS10)/CS10</f>
        <v>#DIV/0!</v>
      </c>
      <c r="CV10" s="90"/>
      <c r="CW10" s="95"/>
      <c r="CX10" s="86"/>
      <c r="CY10" s="84" t="e">
        <f>+(CX10-CW10)/CW10</f>
        <v>#DIV/0!</v>
      </c>
      <c r="CZ10" s="90"/>
      <c r="DA10" s="95"/>
      <c r="DB10" s="86"/>
      <c r="DC10" s="84" t="e">
        <f>+(DB10-DA10)/DA10</f>
        <v>#DIV/0!</v>
      </c>
      <c r="DD10" s="90"/>
      <c r="DE10" s="95"/>
      <c r="DF10" s="86"/>
      <c r="DG10" s="84" t="e">
        <f>+(DF10-DE10)/DE10</f>
        <v>#DIV/0!</v>
      </c>
      <c r="DH10" s="92"/>
      <c r="DI10" s="93">
        <f>BL10+BP10+BT10+BX10+CB10+CG10+CK10+CO10+CS10+CW10+DA10+DE10</f>
        <v>151</v>
      </c>
      <c r="DJ10" s="93">
        <f>BM10+BQ10+BU10+BY10+CC10+CH10+CL10+CP10+CT10+CX10+DB10+DF10</f>
        <v>195</v>
      </c>
      <c r="DK10" s="88">
        <f>+(DJ10-DI10)/DI10</f>
        <v>0.29139072847682118</v>
      </c>
    </row>
    <row r="11" spans="2:118" ht="5.25" customHeight="1">
      <c r="B11" s="96"/>
      <c r="C11" s="97"/>
      <c r="D11" s="77"/>
      <c r="E11" s="98"/>
      <c r="F11" s="24"/>
      <c r="G11" s="99"/>
      <c r="H11" s="100"/>
      <c r="I11" s="100"/>
      <c r="K11" s="101"/>
      <c r="L11" s="102"/>
      <c r="M11" s="102"/>
      <c r="N11" s="85"/>
      <c r="O11" s="103"/>
      <c r="P11" s="103"/>
      <c r="Q11" s="103"/>
      <c r="R11" s="89"/>
      <c r="S11" s="103"/>
      <c r="T11" s="103"/>
      <c r="U11" s="103"/>
      <c r="V11" s="90"/>
      <c r="W11" s="103"/>
      <c r="X11" s="103"/>
      <c r="Y11" s="103"/>
      <c r="Z11" s="90"/>
      <c r="AA11" s="104"/>
      <c r="AB11" s="103"/>
      <c r="AC11" s="103"/>
      <c r="AD11" s="103"/>
      <c r="AE11" s="90"/>
      <c r="AF11" s="86"/>
      <c r="AG11" s="86"/>
      <c r="AH11" s="105"/>
      <c r="AI11" s="90"/>
      <c r="AJ11" s="86"/>
      <c r="AK11" s="86"/>
      <c r="AL11" s="105"/>
      <c r="AM11" s="90"/>
      <c r="AN11" s="95"/>
      <c r="AO11" s="86"/>
      <c r="AP11" s="105"/>
      <c r="AQ11" s="90"/>
      <c r="AR11" s="86"/>
      <c r="AS11" s="86"/>
      <c r="AT11" s="105"/>
      <c r="AU11" s="90"/>
      <c r="AV11" s="86"/>
      <c r="AW11" s="86"/>
      <c r="AX11" s="106"/>
      <c r="AZ11" s="86"/>
      <c r="BA11" s="86"/>
      <c r="BB11" s="106"/>
      <c r="BD11" s="86"/>
      <c r="BE11" s="86"/>
      <c r="BF11" s="105"/>
      <c r="BG11" s="92"/>
      <c r="BH11" s="107"/>
      <c r="BI11" s="108"/>
      <c r="BJ11" s="108"/>
      <c r="BK11" s="94"/>
      <c r="BL11" s="104"/>
      <c r="BM11" s="103"/>
      <c r="BN11" s="106"/>
      <c r="BO11" s="85"/>
      <c r="BP11" s="103"/>
      <c r="BQ11" s="103"/>
      <c r="BR11" s="103"/>
      <c r="BS11" s="89"/>
      <c r="BT11" s="103"/>
      <c r="BU11" s="103"/>
      <c r="BV11" s="103"/>
      <c r="BW11" s="90"/>
      <c r="BX11" s="103"/>
      <c r="BY11" s="103"/>
      <c r="BZ11" s="103"/>
      <c r="CA11" s="90"/>
      <c r="CB11" s="104"/>
      <c r="CC11" s="103"/>
      <c r="CD11" s="103"/>
      <c r="CE11" s="103"/>
      <c r="CF11" s="90"/>
      <c r="CG11" s="86"/>
      <c r="CH11" s="86"/>
      <c r="CI11" s="103"/>
      <c r="CJ11" s="90"/>
      <c r="CK11" s="86"/>
      <c r="CL11" s="86"/>
      <c r="CM11" s="103"/>
      <c r="CN11" s="90"/>
      <c r="CO11" s="95"/>
      <c r="CP11" s="86"/>
      <c r="CQ11" s="103"/>
      <c r="CR11" s="90"/>
      <c r="CS11" s="86"/>
      <c r="CT11" s="86"/>
      <c r="CU11" s="103"/>
      <c r="CV11" s="90"/>
      <c r="CW11" s="95"/>
      <c r="CX11" s="86"/>
      <c r="CY11" s="103"/>
      <c r="CZ11" s="90"/>
      <c r="DA11" s="95"/>
      <c r="DB11" s="86"/>
      <c r="DC11" s="103"/>
      <c r="DD11" s="90"/>
      <c r="DE11" s="95"/>
      <c r="DF11" s="86"/>
      <c r="DG11" s="103"/>
      <c r="DH11" s="92"/>
      <c r="DI11" s="21"/>
      <c r="DJ11" s="21"/>
      <c r="DK11" s="106"/>
    </row>
    <row r="12" spans="2:118">
      <c r="B12" s="96"/>
      <c r="C12" s="97"/>
      <c r="D12" s="77"/>
      <c r="E12" s="78" t="s">
        <v>78</v>
      </c>
      <c r="F12" s="79" t="s">
        <v>79</v>
      </c>
      <c r="G12" s="80">
        <v>0.98499999999999999</v>
      </c>
      <c r="H12" s="81"/>
      <c r="I12" s="80">
        <v>1.4999999999999999E-2</v>
      </c>
      <c r="K12" s="83"/>
      <c r="L12" s="83"/>
      <c r="M12" s="84" t="e">
        <f>+(K12-L12)/K12</f>
        <v>#DIV/0!</v>
      </c>
      <c r="N12" s="85"/>
      <c r="O12" s="86">
        <v>978.50026996401209</v>
      </c>
      <c r="P12" s="86">
        <v>994.63900000000001</v>
      </c>
      <c r="Q12" s="84">
        <f>+(P12-O12)/O12</f>
        <v>1.649333222624607E-2</v>
      </c>
      <c r="R12" s="89"/>
      <c r="S12" s="86">
        <v>894.53937999999994</v>
      </c>
      <c r="T12" s="86">
        <v>908.9</v>
      </c>
      <c r="U12" s="84">
        <f>+(T12-S12)/S12</f>
        <v>1.6053647632595047E-2</v>
      </c>
      <c r="V12" s="90"/>
      <c r="W12" s="86">
        <v>608</v>
      </c>
      <c r="X12" s="86">
        <v>614.70039579013019</v>
      </c>
      <c r="Y12" s="88">
        <f>+(X12-W12)/W12</f>
        <v>1.1020387812714125E-2</v>
      </c>
      <c r="Z12" s="90"/>
      <c r="AA12" s="86">
        <v>905</v>
      </c>
      <c r="AB12" s="86">
        <v>914</v>
      </c>
      <c r="AC12" s="88">
        <v>9.9447513812154689E-3</v>
      </c>
      <c r="AD12" s="91"/>
      <c r="AE12" s="90"/>
      <c r="AF12" s="86">
        <v>1143</v>
      </c>
      <c r="AG12" s="86">
        <v>1163</v>
      </c>
      <c r="AH12" s="84">
        <v>1.7497812773403325E-2</v>
      </c>
      <c r="AI12" s="90"/>
      <c r="AJ12" s="86">
        <v>1073</v>
      </c>
      <c r="AK12" s="86">
        <v>1084</v>
      </c>
      <c r="AL12" s="88">
        <v>1.0251630941286114E-2</v>
      </c>
      <c r="AM12" s="90"/>
      <c r="AN12" s="86">
        <v>1318.1376</v>
      </c>
      <c r="AO12" s="86">
        <v>1328</v>
      </c>
      <c r="AP12" s="88">
        <f>+(AO12-AN12)/AN12</f>
        <v>7.4820716744594638E-3</v>
      </c>
      <c r="AQ12" s="90"/>
      <c r="AR12" s="109">
        <v>337.48200000000003</v>
      </c>
      <c r="AS12" s="109">
        <v>341.05274466747602</v>
      </c>
      <c r="AT12" s="88">
        <f>+(AS12-AR12)/AR12</f>
        <v>1.0580548495848644E-2</v>
      </c>
      <c r="AU12" s="90"/>
      <c r="AV12" s="86">
        <v>905.71199999999999</v>
      </c>
      <c r="AW12" s="86">
        <v>1075</v>
      </c>
      <c r="AX12" s="88">
        <f>+(AW12-AV12)/AV12</f>
        <v>0.18691151271044218</v>
      </c>
      <c r="AZ12" s="86">
        <v>905.75900000000001</v>
      </c>
      <c r="BA12" s="86">
        <v>973</v>
      </c>
      <c r="BB12" s="88">
        <f>+(BA12-AZ12)/AZ12</f>
        <v>7.4237186713021874E-2</v>
      </c>
      <c r="BD12" s="86">
        <v>543.41800000000001</v>
      </c>
      <c r="BE12" s="86">
        <v>600.65</v>
      </c>
      <c r="BF12" s="88">
        <f>+(BE12-BD12)/BD12</f>
        <v>0.10531855772168013</v>
      </c>
      <c r="BG12" s="92"/>
      <c r="BH12" s="93">
        <f>K12+O12+S12+W12+AA12+AF12+AJ12+AN12+AR12+AV12+AZ12+BD12</f>
        <v>9612.5482499640111</v>
      </c>
      <c r="BI12" s="93">
        <f>L12+P12+T12+X12+AB12+AG12+AK12+AO12+AS12+AW12+BA12+BE12</f>
        <v>9996.942140457606</v>
      </c>
      <c r="BJ12" s="88">
        <f>+(BI12-BH12)/BH12</f>
        <v>3.9988760576055785E-2</v>
      </c>
      <c r="BK12" s="94"/>
      <c r="BL12" s="86">
        <v>362.2</v>
      </c>
      <c r="BM12" s="86">
        <v>480</v>
      </c>
      <c r="BN12" s="88">
        <f>+(BM12-BL12)/BL12</f>
        <v>0.32523467697404751</v>
      </c>
      <c r="BO12" s="85"/>
      <c r="BP12" s="86"/>
      <c r="BQ12" s="86"/>
      <c r="BR12" s="84" t="e">
        <f>+(BQ12-BP12)/BP12</f>
        <v>#DIV/0!</v>
      </c>
      <c r="BS12" s="89"/>
      <c r="BT12" s="86"/>
      <c r="BU12" s="86"/>
      <c r="BV12" s="84" t="e">
        <f>+(BU12-BT12)/BT12</f>
        <v>#DIV/0!</v>
      </c>
      <c r="BW12" s="90"/>
      <c r="BX12" s="86"/>
      <c r="BY12" s="86"/>
      <c r="BZ12" s="88" t="e">
        <f>+(BY12-BX12)/BX12</f>
        <v>#DIV/0!</v>
      </c>
      <c r="CA12" s="90"/>
      <c r="CB12" s="86"/>
      <c r="CC12" s="86"/>
      <c r="CD12" s="88" t="e">
        <f>+(CC12-CB12)/CB12</f>
        <v>#DIV/0!</v>
      </c>
      <c r="CE12" s="91"/>
      <c r="CF12" s="90"/>
      <c r="CG12" s="86"/>
      <c r="CH12" s="86"/>
      <c r="CI12" s="88" t="e">
        <f>+(CH12-CG12)/CG12</f>
        <v>#DIV/0!</v>
      </c>
      <c r="CJ12" s="90"/>
      <c r="CK12" s="86"/>
      <c r="CL12" s="86"/>
      <c r="CM12" s="88" t="e">
        <f>+(CL12-CK12)/CK12</f>
        <v>#DIV/0!</v>
      </c>
      <c r="CN12" s="90"/>
      <c r="CO12" s="86"/>
      <c r="CP12" s="86"/>
      <c r="CQ12" s="88" t="e">
        <f>+(CP12-CO12)/CO12</f>
        <v>#DIV/0!</v>
      </c>
      <c r="CR12" s="90"/>
      <c r="CS12" s="109"/>
      <c r="CT12" s="109"/>
      <c r="CU12" s="88" t="e">
        <f>+(CT12-CS12)/CS12</f>
        <v>#DIV/0!</v>
      </c>
      <c r="CV12" s="90"/>
      <c r="CW12" s="95"/>
      <c r="CX12" s="86"/>
      <c r="CY12" s="88" t="e">
        <f>+(CX12-CW12)/CW12</f>
        <v>#DIV/0!</v>
      </c>
      <c r="CZ12" s="90"/>
      <c r="DA12" s="95"/>
      <c r="DB12" s="86"/>
      <c r="DC12" s="88" t="e">
        <f>+(DB12-DA12)/DA12</f>
        <v>#DIV/0!</v>
      </c>
      <c r="DD12" s="90"/>
      <c r="DE12" s="95"/>
      <c r="DF12" s="86"/>
      <c r="DG12" s="88" t="e">
        <f>+(DF12-DE12)/DE12</f>
        <v>#DIV/0!</v>
      </c>
      <c r="DH12" s="92"/>
      <c r="DI12" s="93">
        <f>BL12+BP12+BT12+BX12+CB12+CG12+CK12+CO12+CS12+CW12+DA12+DE12</f>
        <v>362.2</v>
      </c>
      <c r="DJ12" s="93">
        <f>BM12+BQ12+BU12+BY12+CC12+CH12+CL12+CP12+CT12+CX12+DB12+DF12</f>
        <v>480</v>
      </c>
      <c r="DK12" s="88">
        <f>+(DJ12-DI12)/DI12</f>
        <v>0.32523467697404751</v>
      </c>
    </row>
    <row r="13" spans="2:118" ht="21" customHeight="1">
      <c r="B13" s="110"/>
      <c r="C13" s="110"/>
      <c r="D13" s="110"/>
      <c r="E13" s="110"/>
      <c r="F13" s="110"/>
      <c r="G13" s="110"/>
      <c r="H13" s="110"/>
      <c r="I13" s="110"/>
      <c r="K13" s="111"/>
      <c r="L13" s="112"/>
      <c r="M13" s="112"/>
      <c r="N13" s="113"/>
      <c r="O13" s="114"/>
      <c r="P13" s="114"/>
      <c r="Q13" s="114"/>
      <c r="R13" s="115"/>
      <c r="S13" s="114"/>
      <c r="T13" s="114"/>
      <c r="U13" s="114"/>
      <c r="W13" s="114"/>
      <c r="X13" s="114"/>
      <c r="Y13" s="114"/>
      <c r="AA13" s="116"/>
      <c r="AB13" s="114"/>
      <c r="AC13" s="114"/>
      <c r="AD13" s="117"/>
      <c r="AF13" s="95"/>
      <c r="AG13" s="95"/>
      <c r="AH13" s="118"/>
      <c r="AJ13" s="95"/>
      <c r="AK13" s="95"/>
      <c r="AL13" s="118"/>
      <c r="AN13" s="95"/>
      <c r="AO13" s="95"/>
      <c r="AP13" s="118"/>
      <c r="AR13" s="95"/>
      <c r="AS13" s="95"/>
      <c r="AT13" s="105"/>
      <c r="AV13" s="86"/>
      <c r="AW13" s="86"/>
      <c r="AX13" s="106"/>
      <c r="AZ13" s="86"/>
      <c r="BA13" s="86"/>
      <c r="BB13" s="106"/>
      <c r="BD13" s="86"/>
      <c r="BE13" s="86"/>
      <c r="BF13" s="105"/>
      <c r="BG13" s="119"/>
      <c r="BK13" s="120"/>
      <c r="BL13" s="116"/>
      <c r="BM13" s="114"/>
      <c r="BN13" s="106"/>
      <c r="BO13" s="113"/>
      <c r="BP13" s="114"/>
      <c r="BQ13" s="114"/>
      <c r="BR13" s="114"/>
      <c r="BS13" s="115"/>
      <c r="BT13" s="114"/>
      <c r="BU13" s="114"/>
      <c r="BV13" s="114"/>
      <c r="BX13" s="114"/>
      <c r="BY13" s="114"/>
      <c r="BZ13" s="114"/>
      <c r="CB13" s="116"/>
      <c r="CC13" s="114"/>
      <c r="CD13" s="114"/>
      <c r="CE13" s="117"/>
      <c r="CG13" s="95"/>
      <c r="CH13" s="95"/>
      <c r="CI13" s="114"/>
      <c r="CK13" s="95"/>
      <c r="CL13" s="95"/>
      <c r="CM13" s="114"/>
      <c r="CO13" s="95"/>
      <c r="CP13" s="95"/>
      <c r="CQ13" s="114"/>
      <c r="CS13" s="95"/>
      <c r="CT13" s="95"/>
      <c r="CU13" s="114"/>
      <c r="CW13" s="95"/>
      <c r="CX13" s="95"/>
      <c r="CY13" s="114"/>
      <c r="DA13" s="95"/>
      <c r="DB13" s="95"/>
      <c r="DC13" s="114"/>
      <c r="DE13" s="95"/>
      <c r="DF13" s="95"/>
      <c r="DG13" s="114"/>
      <c r="DH13" s="119"/>
      <c r="DK13" s="106"/>
    </row>
    <row r="14" spans="2:118">
      <c r="B14" s="75">
        <v>2</v>
      </c>
      <c r="C14" s="76" t="s">
        <v>80</v>
      </c>
      <c r="D14" s="77"/>
      <c r="E14" s="78" t="s">
        <v>76</v>
      </c>
      <c r="F14" s="79" t="s">
        <v>77</v>
      </c>
      <c r="G14" s="80">
        <v>0.98499999999999999</v>
      </c>
      <c r="H14" s="81"/>
      <c r="I14" s="80">
        <v>1.4999999999999999E-2</v>
      </c>
      <c r="K14" s="82"/>
      <c r="L14" s="83"/>
      <c r="M14" s="84" t="e">
        <f>+(K14-L14)/K14</f>
        <v>#DIV/0!</v>
      </c>
      <c r="N14" s="85"/>
      <c r="O14" s="86">
        <v>82.963624800000005</v>
      </c>
      <c r="P14" s="87">
        <v>84</v>
      </c>
      <c r="Q14" s="88">
        <f>+(P14-O14)/O14</f>
        <v>1.2491922845685436E-2</v>
      </c>
      <c r="R14" s="89"/>
      <c r="S14" s="86">
        <v>196.5428077</v>
      </c>
      <c r="T14" s="87">
        <v>199</v>
      </c>
      <c r="U14" s="88">
        <f>+(T14-S14)/S14</f>
        <v>1.25020718323645E-2</v>
      </c>
      <c r="V14" s="90"/>
      <c r="W14" s="86">
        <v>88.5</v>
      </c>
      <c r="X14" s="86">
        <v>90</v>
      </c>
      <c r="Y14" s="84">
        <f>+(X14-W14)/W14</f>
        <v>1.6949152542372881E-2</v>
      </c>
      <c r="Z14" s="90"/>
      <c r="AA14" s="86">
        <v>148</v>
      </c>
      <c r="AB14" s="86">
        <v>150</v>
      </c>
      <c r="AC14" s="88">
        <v>1.3513513513513514E-2</v>
      </c>
      <c r="AD14" s="91"/>
      <c r="AE14" s="90"/>
      <c r="AF14" s="86">
        <v>153.4</v>
      </c>
      <c r="AG14" s="86">
        <v>155</v>
      </c>
      <c r="AH14" s="88">
        <v>1.0430247718383275E-2</v>
      </c>
      <c r="AI14" s="90"/>
      <c r="AJ14" s="86">
        <v>162</v>
      </c>
      <c r="AK14" s="86">
        <v>165</v>
      </c>
      <c r="AL14" s="84">
        <v>1.8518518518518517E-2</v>
      </c>
      <c r="AM14" s="90"/>
      <c r="AN14" s="86">
        <v>74.035519999999991</v>
      </c>
      <c r="AO14" s="86">
        <v>75.085727561467763</v>
      </c>
      <c r="AP14" s="88">
        <f>+(AO14-AN14)/AN14</f>
        <v>1.4185185185000015E-2</v>
      </c>
      <c r="AQ14" s="90"/>
      <c r="AR14" s="86">
        <v>145</v>
      </c>
      <c r="AS14" s="86">
        <v>151</v>
      </c>
      <c r="AT14" s="88">
        <f>+(AS14-AR14)/AR14</f>
        <v>4.1379310344827586E-2</v>
      </c>
      <c r="AU14" s="90"/>
      <c r="AV14" s="86">
        <v>73</v>
      </c>
      <c r="AW14" s="86">
        <v>78</v>
      </c>
      <c r="AX14" s="88">
        <f>+(AW14-AV14)/AV14</f>
        <v>6.8493150684931503E-2</v>
      </c>
      <c r="AZ14" s="86">
        <v>73</v>
      </c>
      <c r="BA14" s="86">
        <v>78.400000000000006</v>
      </c>
      <c r="BB14" s="88">
        <f>+(BA14-AZ14)/AZ14</f>
        <v>7.3972602739726112E-2</v>
      </c>
      <c r="BD14" s="86">
        <v>73</v>
      </c>
      <c r="BE14" s="86">
        <v>94.5</v>
      </c>
      <c r="BF14" s="88">
        <f>+(BE14-BD14)/BD14</f>
        <v>0.29452054794520549</v>
      </c>
      <c r="BH14" s="93">
        <f>K14+O14+S14+W14+AA14+AF14+AJ14+AN14+AR14+AV14+AZ14+BD14</f>
        <v>1269.4419525000001</v>
      </c>
      <c r="BI14" s="93">
        <f>L14+P14+T14+X14+AB14+AG14+AK14+AO14+AS14+AW14+BA14+BE14</f>
        <v>1319.9857275614679</v>
      </c>
      <c r="BJ14" s="88">
        <f>+(BI14-BH14)/BH14</f>
        <v>3.9815743415386955E-2</v>
      </c>
      <c r="BL14" s="87">
        <v>73</v>
      </c>
      <c r="BM14" s="86">
        <v>94</v>
      </c>
      <c r="BN14" s="88">
        <f>+(BM14-BL14)/BL14</f>
        <v>0.28767123287671231</v>
      </c>
      <c r="BO14" s="85"/>
      <c r="BP14" s="86"/>
      <c r="BQ14" s="87"/>
      <c r="BR14" s="88" t="e">
        <f>+(BQ14-BP14)/BP14</f>
        <v>#DIV/0!</v>
      </c>
      <c r="BS14" s="89"/>
      <c r="BT14" s="86"/>
      <c r="BU14" s="87"/>
      <c r="BV14" s="88" t="e">
        <f>+(BU14-BT14)/BT14</f>
        <v>#DIV/0!</v>
      </c>
      <c r="BW14" s="90"/>
      <c r="BX14" s="86"/>
      <c r="BY14" s="86"/>
      <c r="BZ14" s="84" t="e">
        <f>+(BY14-BX14)/BX14</f>
        <v>#DIV/0!</v>
      </c>
      <c r="CA14" s="90"/>
      <c r="CB14" s="86"/>
      <c r="CC14" s="86"/>
      <c r="CD14" s="84" t="e">
        <f>+(CC14-CB14)/CB14</f>
        <v>#DIV/0!</v>
      </c>
      <c r="CE14" s="91"/>
      <c r="CF14" s="90"/>
      <c r="CG14" s="86"/>
      <c r="CH14" s="86"/>
      <c r="CI14" s="84" t="e">
        <f>+(CH14-CG14)/CG14</f>
        <v>#DIV/0!</v>
      </c>
      <c r="CJ14" s="90"/>
      <c r="CK14" s="86"/>
      <c r="CL14" s="86"/>
      <c r="CM14" s="84" t="e">
        <f>+(CL14-CK14)/CK14</f>
        <v>#DIV/0!</v>
      </c>
      <c r="CN14" s="90"/>
      <c r="CO14" s="86"/>
      <c r="CP14" s="86"/>
      <c r="CQ14" s="84" t="e">
        <f>+(CP14-CO14)/CO14</f>
        <v>#DIV/0!</v>
      </c>
      <c r="CR14" s="90"/>
      <c r="CS14" s="86"/>
      <c r="CT14" s="86"/>
      <c r="CU14" s="84" t="e">
        <f>+(CT14-CS14)/CS14</f>
        <v>#DIV/0!</v>
      </c>
      <c r="CV14" s="90"/>
      <c r="CW14" s="95"/>
      <c r="CX14" s="86"/>
      <c r="CY14" s="84" t="e">
        <f>+(CX14-CW14)/CW14</f>
        <v>#DIV/0!</v>
      </c>
      <c r="CZ14" s="90"/>
      <c r="DA14" s="95"/>
      <c r="DB14" s="86"/>
      <c r="DC14" s="84" t="e">
        <f>+(DB14-DA14)/DA14</f>
        <v>#DIV/0!</v>
      </c>
      <c r="DD14" s="90"/>
      <c r="DE14" s="95"/>
      <c r="DF14" s="86"/>
      <c r="DG14" s="84" t="e">
        <f>+(DF14-DE14)/DE14</f>
        <v>#DIV/0!</v>
      </c>
      <c r="DI14" s="93">
        <f>BL14+BP14+BT14+BX14+CB14+CG14+CK14+CO14+CS14+CW14+DA14+DE14</f>
        <v>73</v>
      </c>
      <c r="DJ14" s="93">
        <f>BM14+BQ14+BU14+BY14+CC14+CH14+CL14+CP14+CT14+CX14+DB14+DF14</f>
        <v>94</v>
      </c>
      <c r="DK14" s="88">
        <f>+(DJ14-DI14)/DI14</f>
        <v>0.28767123287671231</v>
      </c>
    </row>
    <row r="15" spans="2:118" ht="5.25" customHeight="1">
      <c r="B15" s="96"/>
      <c r="C15" s="97"/>
      <c r="D15" s="77"/>
      <c r="E15" s="98"/>
      <c r="F15" s="24"/>
      <c r="G15" s="99"/>
      <c r="H15" s="100"/>
      <c r="I15" s="100"/>
      <c r="K15" s="121"/>
      <c r="L15" s="122"/>
      <c r="M15" s="122"/>
      <c r="N15" s="85"/>
      <c r="O15" s="123"/>
      <c r="P15" s="123"/>
      <c r="Q15" s="123"/>
      <c r="R15" s="89"/>
      <c r="S15" s="123"/>
      <c r="T15" s="123"/>
      <c r="U15" s="123"/>
      <c r="V15" s="90"/>
      <c r="W15" s="123"/>
      <c r="X15" s="123"/>
      <c r="Y15" s="123"/>
      <c r="Z15" s="90"/>
      <c r="AA15" s="124"/>
      <c r="AB15" s="123"/>
      <c r="AC15" s="123"/>
      <c r="AD15" s="123"/>
      <c r="AE15" s="90"/>
      <c r="AF15" s="86"/>
      <c r="AG15" s="86"/>
      <c r="AH15" s="105"/>
      <c r="AI15" s="90"/>
      <c r="AJ15" s="86"/>
      <c r="AK15" s="86"/>
      <c r="AL15" s="105"/>
      <c r="AM15" s="90"/>
      <c r="AN15" s="95"/>
      <c r="AO15" s="86"/>
      <c r="AP15" s="105"/>
      <c r="AQ15" s="90"/>
      <c r="AR15" s="86"/>
      <c r="AS15" s="86"/>
      <c r="AT15" s="105"/>
      <c r="AU15" s="90"/>
      <c r="AV15" s="86"/>
      <c r="AW15" s="86"/>
      <c r="AX15" s="106"/>
      <c r="AZ15" s="86"/>
      <c r="BA15" s="86"/>
      <c r="BB15" s="106"/>
      <c r="BD15" s="86"/>
      <c r="BE15" s="86"/>
      <c r="BF15" s="105"/>
      <c r="BH15" s="125"/>
      <c r="BI15" s="126"/>
      <c r="BJ15" s="126"/>
      <c r="BL15" s="124"/>
      <c r="BM15" s="123"/>
      <c r="BN15" s="106"/>
      <c r="BO15" s="85"/>
      <c r="BP15" s="123"/>
      <c r="BQ15" s="123"/>
      <c r="BR15" s="123"/>
      <c r="BS15" s="89"/>
      <c r="BT15" s="123"/>
      <c r="BU15" s="123"/>
      <c r="BV15" s="123"/>
      <c r="BW15" s="90"/>
      <c r="BX15" s="123"/>
      <c r="BY15" s="123"/>
      <c r="BZ15" s="123"/>
      <c r="CA15" s="90"/>
      <c r="CB15" s="124"/>
      <c r="CC15" s="123"/>
      <c r="CD15" s="123"/>
      <c r="CE15" s="123"/>
      <c r="CF15" s="90"/>
      <c r="CG15" s="86"/>
      <c r="CH15" s="86"/>
      <c r="CI15" s="123"/>
      <c r="CJ15" s="90"/>
      <c r="CK15" s="86"/>
      <c r="CL15" s="86"/>
      <c r="CM15" s="123"/>
      <c r="CN15" s="90"/>
      <c r="CO15" s="95"/>
      <c r="CP15" s="86"/>
      <c r="CQ15" s="123"/>
      <c r="CR15" s="90"/>
      <c r="CS15" s="86"/>
      <c r="CT15" s="86"/>
      <c r="CU15" s="123"/>
      <c r="CV15" s="90"/>
      <c r="CW15" s="95"/>
      <c r="CX15" s="86"/>
      <c r="CY15" s="123"/>
      <c r="CZ15" s="90"/>
      <c r="DA15" s="95"/>
      <c r="DB15" s="86"/>
      <c r="DC15" s="123"/>
      <c r="DD15" s="90"/>
      <c r="DE15" s="95"/>
      <c r="DF15" s="86"/>
      <c r="DG15" s="123"/>
      <c r="DI15" s="21"/>
      <c r="DJ15" s="21"/>
      <c r="DK15" s="106"/>
    </row>
    <row r="16" spans="2:118">
      <c r="B16" s="96"/>
      <c r="C16" s="97"/>
      <c r="D16" s="77"/>
      <c r="E16" s="78" t="s">
        <v>78</v>
      </c>
      <c r="F16" s="79" t="s">
        <v>79</v>
      </c>
      <c r="G16" s="80">
        <v>0.98499999999999999</v>
      </c>
      <c r="H16" s="81"/>
      <c r="I16" s="80">
        <v>1.4999999999999999E-2</v>
      </c>
      <c r="K16" s="83"/>
      <c r="L16" s="83"/>
      <c r="M16" s="84" t="e">
        <f>+(K16-L16)/K16</f>
        <v>#DIV/0!</v>
      </c>
      <c r="N16" s="85"/>
      <c r="O16" s="86">
        <v>191.14807475060002</v>
      </c>
      <c r="P16" s="86">
        <v>194.227</v>
      </c>
      <c r="Q16" s="84">
        <f>+(P16-O16)/O16</f>
        <v>1.6107539944711487E-2</v>
      </c>
      <c r="R16" s="89"/>
      <c r="S16" s="86">
        <v>420.57395840000004</v>
      </c>
      <c r="T16" s="86">
        <v>427.45600000000002</v>
      </c>
      <c r="U16" s="84">
        <f>+(T16-S16)/S16</f>
        <v>1.6363451570281483E-2</v>
      </c>
      <c r="V16" s="90"/>
      <c r="W16" s="86">
        <v>303</v>
      </c>
      <c r="X16" s="86">
        <v>307.3114839263165</v>
      </c>
      <c r="Y16" s="88">
        <f>+(X16-W16)/W16</f>
        <v>1.4229319888833327E-2</v>
      </c>
      <c r="Z16" s="90"/>
      <c r="AA16" s="86">
        <v>371</v>
      </c>
      <c r="AB16" s="86">
        <v>375</v>
      </c>
      <c r="AC16" s="88">
        <v>1.078167115902965E-2</v>
      </c>
      <c r="AD16" s="91"/>
      <c r="AE16" s="90"/>
      <c r="AF16" s="86">
        <v>386.4</v>
      </c>
      <c r="AG16" s="86">
        <v>388</v>
      </c>
      <c r="AH16" s="88">
        <v>4.1407867494824609E-3</v>
      </c>
      <c r="AI16" s="90"/>
      <c r="AJ16" s="86">
        <v>369.2</v>
      </c>
      <c r="AK16" s="86">
        <v>373</v>
      </c>
      <c r="AL16" s="88">
        <v>1.029252437703145E-2</v>
      </c>
      <c r="AM16" s="90"/>
      <c r="AN16" s="86">
        <v>192.09215999999998</v>
      </c>
      <c r="AO16" s="86">
        <v>194.19081367436632</v>
      </c>
      <c r="AP16" s="88">
        <f>+(AO16-AN16)/AN16</f>
        <v>1.0925243770314971E-2</v>
      </c>
      <c r="AQ16" s="90"/>
      <c r="AR16" s="109">
        <v>362.29700000000003</v>
      </c>
      <c r="AS16" s="109">
        <v>365.84961390978401</v>
      </c>
      <c r="AT16" s="88">
        <f>+(AS16-AR16)/AR16</f>
        <v>9.8058054849584336E-3</v>
      </c>
      <c r="AU16" s="90"/>
      <c r="AV16" s="86">
        <v>181.26599999999999</v>
      </c>
      <c r="AW16" s="86">
        <v>175</v>
      </c>
      <c r="AX16" s="88">
        <f>+(AW16-AV16)/AV16</f>
        <v>-3.4567982964262417E-2</v>
      </c>
      <c r="AZ16" s="86">
        <v>181.125</v>
      </c>
      <c r="BA16" s="86">
        <v>182</v>
      </c>
      <c r="BB16" s="88">
        <f>+(BA16-AZ16)/AZ16</f>
        <v>4.830917874396135E-3</v>
      </c>
      <c r="BD16" s="86">
        <v>181.125</v>
      </c>
      <c r="BE16" s="86">
        <v>261.45</v>
      </c>
      <c r="BF16" s="88">
        <f>+(BE16-BD16)/BD16</f>
        <v>0.44347826086956516</v>
      </c>
      <c r="BH16" s="93">
        <f>K16+O16+S16+W16+AA16+AF16+AJ16+AN16+AR16+AV16+AZ16+BD16</f>
        <v>3139.2271931506002</v>
      </c>
      <c r="BI16" s="93">
        <f>L16+P16+T16+X16+AB16+AG16+AK16+AO16+AS16+AW16+BA16+BE16</f>
        <v>3243.4849115104662</v>
      </c>
      <c r="BJ16" s="88">
        <f>+(BI16-BH16)/BH16</f>
        <v>3.3211268871314328E-2</v>
      </c>
      <c r="BK16" s="94"/>
      <c r="BL16" s="86">
        <v>181.172</v>
      </c>
      <c r="BM16" s="86">
        <v>250</v>
      </c>
      <c r="BN16" s="88">
        <f>+(BM16-BL16)/BL16</f>
        <v>0.37990417945377875</v>
      </c>
      <c r="BO16" s="85"/>
      <c r="BP16" s="86"/>
      <c r="BQ16" s="86"/>
      <c r="BR16" s="84" t="e">
        <f>+(BQ16-BP16)/BP16</f>
        <v>#DIV/0!</v>
      </c>
      <c r="BS16" s="89"/>
      <c r="BT16" s="86"/>
      <c r="BU16" s="86"/>
      <c r="BV16" s="84" t="e">
        <f>+(BU16-BT16)/BT16</f>
        <v>#DIV/0!</v>
      </c>
      <c r="BW16" s="90"/>
      <c r="BX16" s="86"/>
      <c r="BY16" s="86"/>
      <c r="BZ16" s="88" t="e">
        <f>+(BY16-BX16)/BX16</f>
        <v>#DIV/0!</v>
      </c>
      <c r="CA16" s="90"/>
      <c r="CB16" s="86"/>
      <c r="CC16" s="86"/>
      <c r="CD16" s="88" t="e">
        <f>+(CC16-CB16)/CB16</f>
        <v>#DIV/0!</v>
      </c>
      <c r="CE16" s="91"/>
      <c r="CF16" s="90"/>
      <c r="CG16" s="86"/>
      <c r="CH16" s="86"/>
      <c r="CI16" s="88" t="e">
        <f>+(CH16-CG16)/CG16</f>
        <v>#DIV/0!</v>
      </c>
      <c r="CJ16" s="90"/>
      <c r="CK16" s="86"/>
      <c r="CL16" s="86"/>
      <c r="CM16" s="88" t="e">
        <f>+(CL16-CK16)/CK16</f>
        <v>#DIV/0!</v>
      </c>
      <c r="CN16" s="90"/>
      <c r="CO16" s="86"/>
      <c r="CP16" s="86"/>
      <c r="CQ16" s="88" t="e">
        <f>+(CP16-CO16)/CO16</f>
        <v>#DIV/0!</v>
      </c>
      <c r="CR16" s="90"/>
      <c r="CS16" s="109"/>
      <c r="CT16" s="109"/>
      <c r="CU16" s="88" t="e">
        <f>+(CT16-CS16)/CS16</f>
        <v>#DIV/0!</v>
      </c>
      <c r="CV16" s="90"/>
      <c r="CW16" s="95"/>
      <c r="CX16" s="86"/>
      <c r="CY16" s="88" t="e">
        <f>+(CX16-CW16)/CW16</f>
        <v>#DIV/0!</v>
      </c>
      <c r="CZ16" s="90"/>
      <c r="DA16" s="95"/>
      <c r="DB16" s="86"/>
      <c r="DC16" s="88" t="e">
        <f>+(DB16-DA16)/DA16</f>
        <v>#DIV/0!</v>
      </c>
      <c r="DD16" s="90"/>
      <c r="DE16" s="95"/>
      <c r="DF16" s="86"/>
      <c r="DG16" s="88" t="e">
        <f>+(DF16-DE16)/DE16</f>
        <v>#DIV/0!</v>
      </c>
      <c r="DI16" s="93">
        <f>BL16+BP16+BT16+BX16+CB16+CG16+CK16+CO16+CS16+CW16+DA16+DE16</f>
        <v>181.172</v>
      </c>
      <c r="DJ16" s="93">
        <f>BM16+BQ16+BU16+BY16+CC16+CH16+CL16+CP16+CT16+CX16+DB16+DF16</f>
        <v>250</v>
      </c>
      <c r="DK16" s="88">
        <f>+(DJ16-DI16)/DI16</f>
        <v>0.37990417945377875</v>
      </c>
    </row>
    <row r="17" spans="2:115" ht="21" customHeight="1">
      <c r="B17" s="110"/>
      <c r="C17" s="110"/>
      <c r="D17" s="110"/>
      <c r="E17" s="110"/>
      <c r="F17" s="110"/>
      <c r="G17" s="110"/>
      <c r="H17" s="110"/>
      <c r="I17" s="110"/>
      <c r="K17" s="111"/>
      <c r="L17" s="112"/>
      <c r="M17" s="112"/>
      <c r="N17" s="113"/>
      <c r="O17" s="114"/>
      <c r="P17" s="114"/>
      <c r="Q17" s="114"/>
      <c r="R17" s="115"/>
      <c r="S17" s="114"/>
      <c r="T17" s="114"/>
      <c r="U17" s="114"/>
      <c r="W17" s="114"/>
      <c r="X17" s="114"/>
      <c r="Y17" s="114"/>
      <c r="AA17" s="116"/>
      <c r="AB17" s="114"/>
      <c r="AC17" s="114"/>
      <c r="AD17" s="117"/>
      <c r="AF17" s="95"/>
      <c r="AG17" s="95"/>
      <c r="AH17" s="118"/>
      <c r="AJ17" s="95"/>
      <c r="AK17" s="95"/>
      <c r="AL17" s="118"/>
      <c r="AN17" s="95"/>
      <c r="AO17" s="95"/>
      <c r="AP17" s="118"/>
      <c r="AR17" s="95"/>
      <c r="AS17" s="95"/>
      <c r="AT17" s="105"/>
      <c r="AV17" s="86"/>
      <c r="AW17" s="86"/>
      <c r="AX17" s="106"/>
      <c r="AZ17" s="86"/>
      <c r="BA17" s="86"/>
      <c r="BB17" s="106"/>
      <c r="BD17" s="86"/>
      <c r="BE17" s="86"/>
      <c r="BF17" s="105"/>
      <c r="BL17" s="116"/>
      <c r="BM17" s="114"/>
      <c r="BN17" s="106"/>
      <c r="BO17" s="113"/>
      <c r="BP17" s="114"/>
      <c r="BQ17" s="114"/>
      <c r="BR17" s="114"/>
      <c r="BS17" s="115"/>
      <c r="BT17" s="114"/>
      <c r="BU17" s="114"/>
      <c r="BV17" s="114"/>
      <c r="BX17" s="114"/>
      <c r="BY17" s="114"/>
      <c r="BZ17" s="114"/>
      <c r="CB17" s="116"/>
      <c r="CC17" s="114"/>
      <c r="CD17" s="114"/>
      <c r="CE17" s="117"/>
      <c r="CG17" s="95"/>
      <c r="CH17" s="95"/>
      <c r="CI17" s="114"/>
      <c r="CK17" s="95"/>
      <c r="CL17" s="95"/>
      <c r="CM17" s="114"/>
      <c r="CO17" s="95"/>
      <c r="CP17" s="95"/>
      <c r="CQ17" s="114"/>
      <c r="CS17" s="95"/>
      <c r="CT17" s="95"/>
      <c r="CU17" s="114"/>
      <c r="CW17" s="95"/>
      <c r="CX17" s="95"/>
      <c r="CY17" s="114"/>
      <c r="DA17" s="95"/>
      <c r="DB17" s="95"/>
      <c r="DC17" s="114"/>
      <c r="DE17" s="95"/>
      <c r="DF17" s="95"/>
      <c r="DG17" s="114"/>
      <c r="DK17" s="106"/>
    </row>
    <row r="18" spans="2:115">
      <c r="B18" s="75">
        <v>3</v>
      </c>
      <c r="C18" s="76" t="s">
        <v>81</v>
      </c>
      <c r="D18" s="77"/>
      <c r="E18" s="78" t="s">
        <v>76</v>
      </c>
      <c r="F18" s="79" t="s">
        <v>77</v>
      </c>
      <c r="G18" s="80">
        <v>0.98499999999999999</v>
      </c>
      <c r="H18" s="81"/>
      <c r="I18" s="80">
        <v>1.4999999999999999E-2</v>
      </c>
      <c r="K18" s="82"/>
      <c r="L18" s="83"/>
      <c r="M18" s="84" t="e">
        <f>+(K18-L18)/K18</f>
        <v>#DIV/0!</v>
      </c>
      <c r="N18" s="85"/>
      <c r="O18" s="86">
        <v>7.3138455000000002</v>
      </c>
      <c r="P18" s="87">
        <v>7.4</v>
      </c>
      <c r="Q18" s="88">
        <f>+(P18-O18)/O18</f>
        <v>1.177964451122192E-2</v>
      </c>
      <c r="R18" s="89"/>
      <c r="S18" s="86">
        <v>18.778615799999997</v>
      </c>
      <c r="T18" s="87">
        <v>19</v>
      </c>
      <c r="U18" s="88">
        <f>+(T18-S18)/S18</f>
        <v>1.1789164992661645E-2</v>
      </c>
      <c r="V18" s="90"/>
      <c r="W18" s="86"/>
      <c r="X18" s="86"/>
      <c r="Y18" s="88" t="e">
        <f>+(X18-W18)/W18</f>
        <v>#DIV/0!</v>
      </c>
      <c r="Z18" s="90"/>
      <c r="AA18" s="86">
        <v>0</v>
      </c>
      <c r="AB18" s="86"/>
      <c r="AC18" s="88" t="e">
        <v>#DIV/0!</v>
      </c>
      <c r="AD18" s="91"/>
      <c r="AE18" s="90"/>
      <c r="AF18" s="86">
        <v>10.9</v>
      </c>
      <c r="AG18" s="86">
        <v>11</v>
      </c>
      <c r="AH18" s="88">
        <v>9.1743119266054721E-3</v>
      </c>
      <c r="AI18" s="90"/>
      <c r="AJ18" s="86">
        <v>15.8</v>
      </c>
      <c r="AK18" s="86">
        <v>16</v>
      </c>
      <c r="AL18" s="88">
        <v>1.2658227848101221E-2</v>
      </c>
      <c r="AM18" s="90"/>
      <c r="AN18" s="86">
        <v>10.139479999999999</v>
      </c>
      <c r="AO18" s="86">
        <v>10.289646915537599</v>
      </c>
      <c r="AP18" s="88">
        <f>+(AO18-AN18)/AN18</f>
        <v>1.481012E-2</v>
      </c>
      <c r="AQ18" s="90"/>
      <c r="AR18" s="86">
        <v>13</v>
      </c>
      <c r="AS18" s="86">
        <v>13.567114093959701</v>
      </c>
      <c r="AT18" s="88">
        <f>+(AS18-AR18)/AR18</f>
        <v>4.3624161073823123E-2</v>
      </c>
      <c r="AU18" s="90"/>
      <c r="AV18" s="86">
        <v>7</v>
      </c>
      <c r="AW18" s="86">
        <v>7</v>
      </c>
      <c r="AX18" s="88">
        <f>+(AW18-AV18)/AV18</f>
        <v>0</v>
      </c>
      <c r="AZ18" s="86">
        <v>7</v>
      </c>
      <c r="BA18" s="86">
        <v>7</v>
      </c>
      <c r="BB18" s="88">
        <f>+(BA18-AZ18)/AZ18</f>
        <v>0</v>
      </c>
      <c r="BD18" s="86">
        <v>14</v>
      </c>
      <c r="BE18" s="86">
        <v>14</v>
      </c>
      <c r="BF18" s="88">
        <f>+(BE18-BD18)/BD18</f>
        <v>0</v>
      </c>
      <c r="BH18" s="93">
        <f>K18+O18+S18+W18+AA18+AF18+AJ18+AN18+AR18+AV18+AZ18+BD18</f>
        <v>103.93194130000001</v>
      </c>
      <c r="BI18" s="93">
        <f>L18+P18+T18+X18+AB18+AG18+AK18+AO18+AS18+AW18+BA18+BE18</f>
        <v>105.2567610094973</v>
      </c>
      <c r="BJ18" s="88">
        <f>+(BI18-BH18)/BH18</f>
        <v>1.2746992819783795E-2</v>
      </c>
      <c r="BL18" s="87">
        <v>14</v>
      </c>
      <c r="BM18" s="86">
        <v>10</v>
      </c>
      <c r="BN18" s="88">
        <f>+(BM18-BL18)/BL18</f>
        <v>-0.2857142857142857</v>
      </c>
      <c r="BO18" s="85"/>
      <c r="BP18" s="86"/>
      <c r="BQ18" s="87"/>
      <c r="BR18" s="88" t="e">
        <f>+(BQ18-BP18)/BP18</f>
        <v>#DIV/0!</v>
      </c>
      <c r="BS18" s="89"/>
      <c r="BT18" s="86"/>
      <c r="BU18" s="87"/>
      <c r="BV18" s="88" t="e">
        <f>+(BU18-BT18)/BT18</f>
        <v>#DIV/0!</v>
      </c>
      <c r="BW18" s="90"/>
      <c r="BX18" s="86"/>
      <c r="BY18" s="86"/>
      <c r="BZ18" s="88" t="e">
        <f>+(BY18-BX18)/BX18</f>
        <v>#DIV/0!</v>
      </c>
      <c r="CA18" s="90"/>
      <c r="CB18" s="86"/>
      <c r="CC18" s="86"/>
      <c r="CD18" s="88" t="e">
        <f>+(CC18-CB18)/CB18</f>
        <v>#DIV/0!</v>
      </c>
      <c r="CE18" s="91"/>
      <c r="CF18" s="90"/>
      <c r="CG18" s="86"/>
      <c r="CH18" s="86"/>
      <c r="CI18" s="88" t="e">
        <f>+(CH18-CG18)/CG18</f>
        <v>#DIV/0!</v>
      </c>
      <c r="CJ18" s="90"/>
      <c r="CK18" s="86"/>
      <c r="CL18" s="86"/>
      <c r="CM18" s="88" t="e">
        <f>+(CL18-CK18)/CK18</f>
        <v>#DIV/0!</v>
      </c>
      <c r="CN18" s="90"/>
      <c r="CO18" s="86"/>
      <c r="CP18" s="86"/>
      <c r="CQ18" s="88" t="e">
        <f>+(CP18-CO18)/CO18</f>
        <v>#DIV/0!</v>
      </c>
      <c r="CR18" s="90"/>
      <c r="CS18" s="86"/>
      <c r="CT18" s="86"/>
      <c r="CU18" s="88" t="e">
        <f>+(CT18-CS18)/CS18</f>
        <v>#DIV/0!</v>
      </c>
      <c r="CV18" s="90"/>
      <c r="CW18" s="95"/>
      <c r="CX18" s="86"/>
      <c r="CY18" s="88" t="e">
        <f>+(CX18-CW18)/CW18</f>
        <v>#DIV/0!</v>
      </c>
      <c r="CZ18" s="90"/>
      <c r="DA18" s="95"/>
      <c r="DB18" s="86"/>
      <c r="DC18" s="88" t="e">
        <f>+(DB18-DA18)/DA18</f>
        <v>#DIV/0!</v>
      </c>
      <c r="DD18" s="90"/>
      <c r="DE18" s="95"/>
      <c r="DF18" s="86"/>
      <c r="DG18" s="88" t="e">
        <f>+(DF18-DE18)/DE18</f>
        <v>#DIV/0!</v>
      </c>
      <c r="DI18" s="93">
        <f>BL18+BP18+BT18+BX18+CB18+CG18+CK18+CO18+CS18+CW18+DA18+DE18</f>
        <v>14</v>
      </c>
      <c r="DJ18" s="93">
        <f>BM18+BQ18+BU18+BY18+CC18+CH18+CL18+CP18+CT18+CX18+DB18+DF18</f>
        <v>10</v>
      </c>
      <c r="DK18" s="88">
        <f>+(DJ18-DI18)/DI18</f>
        <v>-0.2857142857142857</v>
      </c>
    </row>
    <row r="19" spans="2:115" ht="5.25" customHeight="1">
      <c r="B19" s="96"/>
      <c r="C19" s="97"/>
      <c r="D19" s="77"/>
      <c r="E19" s="98"/>
      <c r="F19" s="24"/>
      <c r="G19" s="99"/>
      <c r="H19" s="100"/>
      <c r="I19" s="100"/>
      <c r="K19" s="121"/>
      <c r="L19" s="122"/>
      <c r="M19" s="122"/>
      <c r="N19" s="85"/>
      <c r="O19" s="123"/>
      <c r="P19" s="123"/>
      <c r="Q19" s="123"/>
      <c r="R19" s="89"/>
      <c r="S19" s="123"/>
      <c r="T19" s="123"/>
      <c r="U19" s="123"/>
      <c r="V19" s="90"/>
      <c r="W19" s="123"/>
      <c r="X19" s="123"/>
      <c r="Y19" s="123"/>
      <c r="Z19" s="90"/>
      <c r="AA19" s="124"/>
      <c r="AB19" s="123"/>
      <c r="AC19" s="123"/>
      <c r="AD19" s="123"/>
      <c r="AE19" s="90"/>
      <c r="AF19" s="86"/>
      <c r="AG19" s="86"/>
      <c r="AH19" s="105"/>
      <c r="AI19" s="90"/>
      <c r="AJ19" s="86"/>
      <c r="AK19" s="86"/>
      <c r="AL19" s="105"/>
      <c r="AM19" s="90"/>
      <c r="AN19" s="95"/>
      <c r="AO19" s="86"/>
      <c r="AP19" s="105"/>
      <c r="AQ19" s="90"/>
      <c r="AR19" s="86"/>
      <c r="AS19" s="86"/>
      <c r="AT19" s="105"/>
      <c r="AU19" s="90"/>
      <c r="AV19" s="86"/>
      <c r="AW19" s="86"/>
      <c r="AX19" s="106"/>
      <c r="AZ19" s="86"/>
      <c r="BA19" s="86"/>
      <c r="BB19" s="106"/>
      <c r="BD19" s="86"/>
      <c r="BE19" s="86"/>
      <c r="BF19" s="105"/>
      <c r="BH19" s="125"/>
      <c r="BI19" s="126"/>
      <c r="BJ19" s="126"/>
      <c r="BL19" s="124"/>
      <c r="BM19" s="123"/>
      <c r="BN19" s="106"/>
      <c r="BO19" s="85"/>
      <c r="BP19" s="123"/>
      <c r="BQ19" s="123"/>
      <c r="BR19" s="123"/>
      <c r="BS19" s="89"/>
      <c r="BT19" s="123"/>
      <c r="BU19" s="123"/>
      <c r="BV19" s="123"/>
      <c r="BW19" s="90"/>
      <c r="BX19" s="123"/>
      <c r="BY19" s="123"/>
      <c r="BZ19" s="123"/>
      <c r="CA19" s="90"/>
      <c r="CB19" s="124"/>
      <c r="CC19" s="123"/>
      <c r="CD19" s="123"/>
      <c r="CE19" s="123"/>
      <c r="CF19" s="90"/>
      <c r="CG19" s="86"/>
      <c r="CH19" s="86"/>
      <c r="CI19" s="123"/>
      <c r="CJ19" s="90"/>
      <c r="CK19" s="86"/>
      <c r="CL19" s="86"/>
      <c r="CM19" s="123"/>
      <c r="CN19" s="90"/>
      <c r="CO19" s="95"/>
      <c r="CP19" s="86"/>
      <c r="CQ19" s="123"/>
      <c r="CR19" s="90"/>
      <c r="CS19" s="86"/>
      <c r="CT19" s="86"/>
      <c r="CU19" s="123"/>
      <c r="CV19" s="90"/>
      <c r="CW19" s="95"/>
      <c r="CX19" s="86"/>
      <c r="CY19" s="123"/>
      <c r="CZ19" s="90"/>
      <c r="DA19" s="95"/>
      <c r="DB19" s="86"/>
      <c r="DC19" s="123"/>
      <c r="DD19" s="90"/>
      <c r="DE19" s="95"/>
      <c r="DF19" s="86"/>
      <c r="DG19" s="123"/>
      <c r="DI19" s="21"/>
      <c r="DJ19" s="21"/>
      <c r="DK19" s="106"/>
    </row>
    <row r="20" spans="2:115">
      <c r="B20" s="96"/>
      <c r="C20" s="97"/>
      <c r="D20" s="77"/>
      <c r="E20" s="78" t="s">
        <v>78</v>
      </c>
      <c r="F20" s="79" t="s">
        <v>79</v>
      </c>
      <c r="G20" s="80">
        <v>0.98499999999999999</v>
      </c>
      <c r="H20" s="81"/>
      <c r="I20" s="80">
        <v>1.4999999999999999E-2</v>
      </c>
      <c r="K20" s="83"/>
      <c r="L20" s="83"/>
      <c r="M20" s="84" t="e">
        <f>+(K20-L20)/K20</f>
        <v>#DIV/0!</v>
      </c>
      <c r="N20" s="85"/>
      <c r="O20" s="86">
        <v>15.556304000000001</v>
      </c>
      <c r="P20" s="86">
        <v>15.835000000000001</v>
      </c>
      <c r="Q20" s="84">
        <f>+(P20-O20)/O20</f>
        <v>1.7915309446254073E-2</v>
      </c>
      <c r="R20" s="89"/>
      <c r="S20" s="86">
        <v>39.103646399999995</v>
      </c>
      <c r="T20" s="86">
        <v>39.787999999999997</v>
      </c>
      <c r="U20" s="84">
        <f>+(T20-S20)/S20</f>
        <v>1.7501017501017541E-2</v>
      </c>
      <c r="V20" s="90"/>
      <c r="W20" s="86"/>
      <c r="X20" s="86"/>
      <c r="Y20" s="88" t="e">
        <f>+(X20-W20)/W20</f>
        <v>#DIV/0!</v>
      </c>
      <c r="Z20" s="90"/>
      <c r="AA20" s="86">
        <v>0</v>
      </c>
      <c r="AB20" s="86"/>
      <c r="AC20" s="88" t="e">
        <v>#DIV/0!</v>
      </c>
      <c r="AD20" s="91"/>
      <c r="AE20" s="90"/>
      <c r="AF20" s="86">
        <v>24.3</v>
      </c>
      <c r="AG20" s="86">
        <v>24.5</v>
      </c>
      <c r="AH20" s="88">
        <v>8.2304526748970906E-3</v>
      </c>
      <c r="AI20" s="90"/>
      <c r="AJ20" s="86">
        <v>29.7</v>
      </c>
      <c r="AK20" s="86">
        <v>30</v>
      </c>
      <c r="AL20" s="88">
        <v>1.0101010101010124E-2</v>
      </c>
      <c r="AM20" s="90"/>
      <c r="AN20" s="86">
        <v>26.307840000000002</v>
      </c>
      <c r="AO20" s="86">
        <v>26.597491975757578</v>
      </c>
      <c r="AP20" s="88">
        <f>+(AO20-AN20)/AN20</f>
        <v>1.1010101010100991E-2</v>
      </c>
      <c r="AQ20" s="90"/>
      <c r="AR20" s="109">
        <v>26.459</v>
      </c>
      <c r="AS20" s="109">
        <v>26.718451807326499</v>
      </c>
      <c r="AT20" s="88">
        <f>+(AS20-AR20)/AR20</f>
        <v>9.8058054849578333E-3</v>
      </c>
      <c r="AU20" s="90"/>
      <c r="AV20" s="86">
        <v>13.18</v>
      </c>
      <c r="AW20" s="86">
        <v>13.18</v>
      </c>
      <c r="AX20" s="88">
        <f>+(AW20-AV20)/AV20</f>
        <v>0</v>
      </c>
      <c r="AZ20" s="86">
        <v>13.18</v>
      </c>
      <c r="BA20" s="86">
        <v>13.18</v>
      </c>
      <c r="BB20" s="88">
        <f>+(BA20-AZ20)/AZ20</f>
        <v>0</v>
      </c>
      <c r="BD20" s="86">
        <v>26.36</v>
      </c>
      <c r="BE20" s="86">
        <v>26.36</v>
      </c>
      <c r="BF20" s="88">
        <f>+(BE20-BD20)/BD20</f>
        <v>0</v>
      </c>
      <c r="BH20" s="93">
        <f>K20+O20+S20+W20+AA20+AF20+AJ20+AN20+AR20+AV20+AZ20+BD20</f>
        <v>214.14679040000004</v>
      </c>
      <c r="BI20" s="93">
        <f>L20+P20+T20+X20+AB20+AG20+AK20+AO20+AS20+AW20+BA20+BE20</f>
        <v>216.15894378308406</v>
      </c>
      <c r="BJ20" s="88">
        <f>+(BI20-BH20)/BH20</f>
        <v>9.3961407468473156E-3</v>
      </c>
      <c r="BK20" s="94"/>
      <c r="BL20" s="86">
        <v>26.36</v>
      </c>
      <c r="BM20" s="86">
        <v>30</v>
      </c>
      <c r="BN20" s="88">
        <f>+(BM20-BL20)/BL20</f>
        <v>0.13808801213960548</v>
      </c>
      <c r="BO20" s="85"/>
      <c r="BP20" s="86"/>
      <c r="BQ20" s="86"/>
      <c r="BR20" s="84" t="e">
        <f>+(BQ20-BP20)/BP20</f>
        <v>#DIV/0!</v>
      </c>
      <c r="BS20" s="89"/>
      <c r="BT20" s="86"/>
      <c r="BU20" s="86"/>
      <c r="BV20" s="84" t="e">
        <f>+(BU20-BT20)/BT20</f>
        <v>#DIV/0!</v>
      </c>
      <c r="BW20" s="90"/>
      <c r="BX20" s="86"/>
      <c r="BY20" s="86"/>
      <c r="BZ20" s="88" t="e">
        <f>+(BY20-BX20)/BX20</f>
        <v>#DIV/0!</v>
      </c>
      <c r="CA20" s="90"/>
      <c r="CB20" s="86"/>
      <c r="CC20" s="86"/>
      <c r="CD20" s="88" t="e">
        <f>+(CC20-CB20)/CB20</f>
        <v>#DIV/0!</v>
      </c>
      <c r="CE20" s="91"/>
      <c r="CF20" s="90"/>
      <c r="CG20" s="86"/>
      <c r="CH20" s="86"/>
      <c r="CI20" s="88" t="e">
        <f>+(CH20-CG20)/CG20</f>
        <v>#DIV/0!</v>
      </c>
      <c r="CJ20" s="90"/>
      <c r="CK20" s="86"/>
      <c r="CL20" s="86"/>
      <c r="CM20" s="88" t="e">
        <f>+(CL20-CK20)/CK20</f>
        <v>#DIV/0!</v>
      </c>
      <c r="CN20" s="90"/>
      <c r="CO20" s="86"/>
      <c r="CP20" s="86"/>
      <c r="CQ20" s="88" t="e">
        <f>+(CP20-CO20)/CO20</f>
        <v>#DIV/0!</v>
      </c>
      <c r="CR20" s="90"/>
      <c r="CS20" s="109"/>
      <c r="CT20" s="109"/>
      <c r="CU20" s="88" t="e">
        <f>+(CT20-CS20)/CS20</f>
        <v>#DIV/0!</v>
      </c>
      <c r="CV20" s="90"/>
      <c r="CW20" s="95"/>
      <c r="CX20" s="86"/>
      <c r="CY20" s="88" t="e">
        <f>+(CX20-CW20)/CW20</f>
        <v>#DIV/0!</v>
      </c>
      <c r="CZ20" s="90"/>
      <c r="DA20" s="95"/>
      <c r="DB20" s="86"/>
      <c r="DC20" s="88" t="e">
        <f>+(DB20-DA20)/DA20</f>
        <v>#DIV/0!</v>
      </c>
      <c r="DD20" s="90"/>
      <c r="DE20" s="95"/>
      <c r="DF20" s="86"/>
      <c r="DG20" s="88" t="e">
        <f>+(DF20-DE20)/DE20</f>
        <v>#DIV/0!</v>
      </c>
      <c r="DI20" s="93">
        <f>BL20+BP20+BT20+BX20+CB20+CG20+CK20+CO20+CS20+CW20+DA20+DE20</f>
        <v>26.36</v>
      </c>
      <c r="DJ20" s="93">
        <f>BM20+BQ20+BU20+BY20+CC20+CH20+CL20+CP20+CT20+CX20+DB20+DF20</f>
        <v>30</v>
      </c>
      <c r="DK20" s="88">
        <f>+(DJ20-DI20)/DI20</f>
        <v>0.13808801213960548</v>
      </c>
    </row>
    <row r="21" spans="2:115" ht="21" customHeight="1">
      <c r="B21" s="110"/>
      <c r="C21" s="110"/>
      <c r="D21" s="110"/>
      <c r="E21" s="110"/>
      <c r="F21" s="110"/>
      <c r="G21" s="110"/>
      <c r="H21" s="110"/>
      <c r="I21" s="110"/>
      <c r="K21" s="111"/>
      <c r="L21" s="112"/>
      <c r="M21" s="112"/>
      <c r="N21" s="113"/>
      <c r="O21" s="114"/>
      <c r="P21" s="114"/>
      <c r="Q21" s="114"/>
      <c r="R21" s="115"/>
      <c r="S21" s="114"/>
      <c r="T21" s="114"/>
      <c r="U21" s="114"/>
      <c r="W21" s="114"/>
      <c r="X21" s="114"/>
      <c r="Y21" s="114"/>
      <c r="AA21" s="116"/>
      <c r="AB21" s="114"/>
      <c r="AC21" s="114"/>
      <c r="AD21" s="117"/>
      <c r="AF21" s="95"/>
      <c r="AG21" s="95"/>
      <c r="AH21" s="118"/>
      <c r="AJ21" s="95"/>
      <c r="AK21" s="95"/>
      <c r="AL21" s="118"/>
      <c r="AN21" s="95"/>
      <c r="AO21" s="95"/>
      <c r="AP21" s="118"/>
      <c r="AR21" s="95"/>
      <c r="AS21" s="95"/>
      <c r="AT21" s="105"/>
      <c r="AV21" s="86"/>
      <c r="AW21" s="86"/>
      <c r="AX21" s="106"/>
      <c r="AZ21" s="86"/>
      <c r="BA21" s="86"/>
      <c r="BB21" s="106"/>
      <c r="BD21" s="86"/>
      <c r="BE21" s="86"/>
      <c r="BF21" s="105"/>
      <c r="BL21" s="116"/>
      <c r="BM21" s="114"/>
      <c r="BN21" s="106"/>
      <c r="BO21" s="113"/>
      <c r="BP21" s="114"/>
      <c r="BQ21" s="114"/>
      <c r="BR21" s="114"/>
      <c r="BS21" s="115"/>
      <c r="BT21" s="114"/>
      <c r="BU21" s="114"/>
      <c r="BV21" s="114"/>
      <c r="BX21" s="114"/>
      <c r="BY21" s="114"/>
      <c r="BZ21" s="114"/>
      <c r="CB21" s="116"/>
      <c r="CC21" s="114"/>
      <c r="CD21" s="114"/>
      <c r="CE21" s="117"/>
      <c r="CG21" s="95"/>
      <c r="CH21" s="95"/>
      <c r="CI21" s="114"/>
      <c r="CK21" s="95"/>
      <c r="CL21" s="95"/>
      <c r="CM21" s="114"/>
      <c r="CO21" s="95"/>
      <c r="CP21" s="95"/>
      <c r="CQ21" s="114"/>
      <c r="CS21" s="95"/>
      <c r="CT21" s="95"/>
      <c r="CU21" s="114"/>
      <c r="CW21" s="95"/>
      <c r="CX21" s="95"/>
      <c r="CY21" s="114"/>
      <c r="DA21" s="95"/>
      <c r="DB21" s="95"/>
      <c r="DC21" s="114"/>
      <c r="DE21" s="95"/>
      <c r="DF21" s="95"/>
      <c r="DG21" s="114"/>
      <c r="DK21" s="106"/>
    </row>
    <row r="22" spans="2:115">
      <c r="B22" s="75">
        <v>4</v>
      </c>
      <c r="C22" s="76" t="s">
        <v>82</v>
      </c>
      <c r="D22" s="77"/>
      <c r="E22" s="78" t="s">
        <v>76</v>
      </c>
      <c r="F22" s="79" t="s">
        <v>77</v>
      </c>
      <c r="G22" s="80">
        <v>0.98499999999999999</v>
      </c>
      <c r="H22" s="81"/>
      <c r="I22" s="80">
        <v>1.4999999999999999E-2</v>
      </c>
      <c r="K22" s="82"/>
      <c r="L22" s="83"/>
      <c r="M22" s="84" t="e">
        <f>+(K22-L22)/K22</f>
        <v>#DIV/0!</v>
      </c>
      <c r="N22" s="85"/>
      <c r="O22" s="86">
        <v>1064.9278978</v>
      </c>
      <c r="P22" s="87">
        <v>1079</v>
      </c>
      <c r="Q22" s="88">
        <f>+(P22-O22)/O22</f>
        <v>1.3214136120455777E-2</v>
      </c>
      <c r="R22" s="89"/>
      <c r="S22" s="86">
        <v>822.12535159999993</v>
      </c>
      <c r="T22" s="87">
        <v>833</v>
      </c>
      <c r="U22" s="88">
        <f>+(T22-S22)/S22</f>
        <v>1.3227482133759893E-2</v>
      </c>
      <c r="V22" s="90"/>
      <c r="W22" s="86">
        <v>1212</v>
      </c>
      <c r="X22" s="86">
        <v>1232</v>
      </c>
      <c r="Y22" s="84">
        <f>+(X22-W22)/W22</f>
        <v>1.65016501650165E-2</v>
      </c>
      <c r="Z22" s="90"/>
      <c r="AA22" s="86">
        <v>970</v>
      </c>
      <c r="AB22" s="86">
        <v>972</v>
      </c>
      <c r="AC22" s="88">
        <v>2.0618556701030928E-3</v>
      </c>
      <c r="AD22" s="91"/>
      <c r="AE22" s="90"/>
      <c r="AF22" s="86">
        <v>1204</v>
      </c>
      <c r="AG22" s="86">
        <v>1210</v>
      </c>
      <c r="AH22" s="88">
        <v>4.9833887043189366E-3</v>
      </c>
      <c r="AI22" s="90"/>
      <c r="AJ22" s="86">
        <v>1505</v>
      </c>
      <c r="AK22" s="86">
        <v>1514</v>
      </c>
      <c r="AL22" s="88">
        <v>5.980066445182724E-3</v>
      </c>
      <c r="AM22" s="90"/>
      <c r="AN22" s="86">
        <v>907.47180000000014</v>
      </c>
      <c r="AO22" s="86">
        <v>922.17284316000018</v>
      </c>
      <c r="AP22" s="88">
        <f>+(AO22-AN22)/AN22</f>
        <v>1.6200000000000041E-2</v>
      </c>
      <c r="AQ22" s="90"/>
      <c r="AR22" s="86">
        <v>607</v>
      </c>
      <c r="AS22" s="86">
        <v>615</v>
      </c>
      <c r="AT22" s="88">
        <f>+(AS22-AR22)/AR22</f>
        <v>1.3179571663920923E-2</v>
      </c>
      <c r="AU22" s="90"/>
      <c r="AV22" s="86">
        <v>647</v>
      </c>
      <c r="AW22" s="86">
        <v>647</v>
      </c>
      <c r="AX22" s="88">
        <f>+(AW22-AV22)/AV22</f>
        <v>0</v>
      </c>
      <c r="AZ22" s="86">
        <v>486</v>
      </c>
      <c r="BA22" s="86">
        <v>486</v>
      </c>
      <c r="BB22" s="88">
        <f>+(BA22-AZ22)/AZ22</f>
        <v>0</v>
      </c>
      <c r="BD22" s="86">
        <v>648</v>
      </c>
      <c r="BE22" s="86">
        <v>648</v>
      </c>
      <c r="BF22" s="88">
        <f>+(BE22-BD22)/BD22</f>
        <v>0</v>
      </c>
      <c r="BH22" s="93">
        <f>K22+O22+S22+W22+AA22+AF22+AJ22+AN22+AR22+AV22+AZ22+BD22</f>
        <v>10073.525049399999</v>
      </c>
      <c r="BI22" s="93">
        <f>L22+P22+T22+X22+AB22+AG22+AK22+AO22+AS22+AW22+BA22+BE22</f>
        <v>10158.17284316</v>
      </c>
      <c r="BJ22" s="88">
        <f>+(BI22-BH22)/BH22</f>
        <v>8.4029963041629564E-3</v>
      </c>
      <c r="BL22" s="87">
        <v>972</v>
      </c>
      <c r="BM22" s="86">
        <v>1029</v>
      </c>
      <c r="BN22" s="88">
        <f>+(BM22-BL22)/BL22</f>
        <v>5.8641975308641972E-2</v>
      </c>
      <c r="BO22" s="85"/>
      <c r="BP22" s="86"/>
      <c r="BQ22" s="87"/>
      <c r="BR22" s="88" t="e">
        <f>+(BQ22-BP22)/BP22</f>
        <v>#DIV/0!</v>
      </c>
      <c r="BS22" s="89"/>
      <c r="BT22" s="86"/>
      <c r="BU22" s="87"/>
      <c r="BV22" s="88" t="e">
        <f>+(BU22-BT22)/BT22</f>
        <v>#DIV/0!</v>
      </c>
      <c r="BW22" s="90"/>
      <c r="BX22" s="86"/>
      <c r="BY22" s="86"/>
      <c r="BZ22" s="84" t="e">
        <f>+(BY22-BX22)/BX22</f>
        <v>#DIV/0!</v>
      </c>
      <c r="CA22" s="90"/>
      <c r="CB22" s="86"/>
      <c r="CC22" s="86"/>
      <c r="CD22" s="84" t="e">
        <f>+(CC22-CB22)/CB22</f>
        <v>#DIV/0!</v>
      </c>
      <c r="CE22" s="91"/>
      <c r="CF22" s="90"/>
      <c r="CG22" s="86"/>
      <c r="CH22" s="86"/>
      <c r="CI22" s="84" t="e">
        <f>+(CH22-CG22)/CG22</f>
        <v>#DIV/0!</v>
      </c>
      <c r="CJ22" s="90"/>
      <c r="CK22" s="86"/>
      <c r="CL22" s="86"/>
      <c r="CM22" s="84" t="e">
        <f>+(CL22-CK22)/CK22</f>
        <v>#DIV/0!</v>
      </c>
      <c r="CN22" s="90"/>
      <c r="CO22" s="86"/>
      <c r="CP22" s="86"/>
      <c r="CQ22" s="84" t="e">
        <f>+(CP22-CO22)/CO22</f>
        <v>#DIV/0!</v>
      </c>
      <c r="CR22" s="90"/>
      <c r="CS22" s="86"/>
      <c r="CT22" s="86"/>
      <c r="CU22" s="84" t="e">
        <f>+(CT22-CS22)/CS22</f>
        <v>#DIV/0!</v>
      </c>
      <c r="CV22" s="90"/>
      <c r="CW22" s="95"/>
      <c r="CX22" s="86"/>
      <c r="CY22" s="84" t="e">
        <f>+(CX22-CW22)/CW22</f>
        <v>#DIV/0!</v>
      </c>
      <c r="CZ22" s="90"/>
      <c r="DA22" s="95"/>
      <c r="DB22" s="86"/>
      <c r="DC22" s="84" t="e">
        <f>+(DB22-DA22)/DA22</f>
        <v>#DIV/0!</v>
      </c>
      <c r="DD22" s="90"/>
      <c r="DE22" s="95"/>
      <c r="DF22" s="86"/>
      <c r="DG22" s="84" t="e">
        <f>+(DF22-DE22)/DE22</f>
        <v>#DIV/0!</v>
      </c>
      <c r="DI22" s="93">
        <f>BL22+BP22+BT22+BX22+CB22+CG22+CK22+CO22+CS22+CW22+DA22+DE22</f>
        <v>972</v>
      </c>
      <c r="DJ22" s="93">
        <f>BM22+BQ22+BU22+BY22+CC22+CH22+CL22+CP22+CT22+CX22+DB22+DF22</f>
        <v>1029</v>
      </c>
      <c r="DK22" s="88">
        <f>+(DJ22-DI22)/DI22</f>
        <v>5.8641975308641972E-2</v>
      </c>
    </row>
    <row r="23" spans="2:115" ht="5.25" customHeight="1">
      <c r="B23" s="96"/>
      <c r="C23" s="97"/>
      <c r="D23" s="77"/>
      <c r="E23" s="98"/>
      <c r="F23" s="24"/>
      <c r="G23" s="99"/>
      <c r="H23" s="100"/>
      <c r="I23" s="100"/>
      <c r="K23" s="121"/>
      <c r="L23" s="122"/>
      <c r="M23" s="122"/>
      <c r="N23" s="85"/>
      <c r="O23" s="123"/>
      <c r="P23" s="123"/>
      <c r="Q23" s="123"/>
      <c r="R23" s="89"/>
      <c r="S23" s="123"/>
      <c r="T23" s="123"/>
      <c r="U23" s="123"/>
      <c r="V23" s="90"/>
      <c r="W23" s="123"/>
      <c r="X23" s="123"/>
      <c r="Y23" s="123"/>
      <c r="Z23" s="90"/>
      <c r="AA23" s="124"/>
      <c r="AB23" s="123"/>
      <c r="AC23" s="123"/>
      <c r="AD23" s="123"/>
      <c r="AE23" s="90"/>
      <c r="AF23" s="86"/>
      <c r="AG23" s="86"/>
      <c r="AH23" s="105"/>
      <c r="AI23" s="90"/>
      <c r="AJ23" s="86"/>
      <c r="AK23" s="86"/>
      <c r="AL23" s="105"/>
      <c r="AM23" s="90"/>
      <c r="AN23" s="95"/>
      <c r="AO23" s="86"/>
      <c r="AP23" s="105"/>
      <c r="AQ23" s="90"/>
      <c r="AR23" s="86"/>
      <c r="AS23" s="86"/>
      <c r="AT23" s="105"/>
      <c r="AU23" s="90"/>
      <c r="AV23" s="86"/>
      <c r="AW23" s="86"/>
      <c r="AX23" s="106"/>
      <c r="AZ23" s="86"/>
      <c r="BA23" s="86"/>
      <c r="BB23" s="106"/>
      <c r="BD23" s="86"/>
      <c r="BE23" s="86"/>
      <c r="BF23" s="105"/>
      <c r="BH23" s="125"/>
      <c r="BI23" s="126"/>
      <c r="BJ23" s="126"/>
      <c r="BL23" s="124"/>
      <c r="BM23" s="123"/>
      <c r="BN23" s="106"/>
      <c r="BO23" s="85"/>
      <c r="BP23" s="123"/>
      <c r="BQ23" s="123"/>
      <c r="BR23" s="123"/>
      <c r="BS23" s="89"/>
      <c r="BT23" s="123"/>
      <c r="BU23" s="123"/>
      <c r="BV23" s="123"/>
      <c r="BW23" s="90"/>
      <c r="BX23" s="123"/>
      <c r="BY23" s="123"/>
      <c r="BZ23" s="123"/>
      <c r="CA23" s="90"/>
      <c r="CB23" s="124"/>
      <c r="CC23" s="123"/>
      <c r="CD23" s="123"/>
      <c r="CE23" s="123"/>
      <c r="CF23" s="90"/>
      <c r="CG23" s="86"/>
      <c r="CH23" s="86"/>
      <c r="CI23" s="123"/>
      <c r="CJ23" s="90"/>
      <c r="CK23" s="86"/>
      <c r="CL23" s="86"/>
      <c r="CM23" s="123"/>
      <c r="CN23" s="90"/>
      <c r="CO23" s="95"/>
      <c r="CP23" s="86"/>
      <c r="CQ23" s="123"/>
      <c r="CR23" s="90"/>
      <c r="CS23" s="86"/>
      <c r="CT23" s="86"/>
      <c r="CU23" s="123"/>
      <c r="CV23" s="90"/>
      <c r="CW23" s="95"/>
      <c r="CX23" s="86"/>
      <c r="CY23" s="123"/>
      <c r="CZ23" s="90"/>
      <c r="DA23" s="95"/>
      <c r="DB23" s="86"/>
      <c r="DC23" s="123"/>
      <c r="DD23" s="90"/>
      <c r="DE23" s="95"/>
      <c r="DF23" s="86"/>
      <c r="DG23" s="123"/>
      <c r="DI23" s="21"/>
      <c r="DJ23" s="21"/>
      <c r="DK23" s="106"/>
    </row>
    <row r="24" spans="2:115">
      <c r="B24" s="96"/>
      <c r="C24" s="97"/>
      <c r="D24" s="77"/>
      <c r="E24" s="78" t="s">
        <v>78</v>
      </c>
      <c r="F24" s="79" t="s">
        <v>79</v>
      </c>
      <c r="G24" s="80">
        <v>0.98499999999999999</v>
      </c>
      <c r="H24" s="81"/>
      <c r="I24" s="80">
        <v>1.4999999999999999E-2</v>
      </c>
      <c r="K24" s="83"/>
      <c r="L24" s="83"/>
      <c r="M24" s="84" t="e">
        <f>+(K24-L24)/K24</f>
        <v>#DIV/0!</v>
      </c>
      <c r="N24" s="85"/>
      <c r="O24" s="86">
        <v>3550.3426152000002</v>
      </c>
      <c r="P24" s="86">
        <v>3599.2930000000001</v>
      </c>
      <c r="Q24" s="88">
        <f>+(P24-O24)/O24</f>
        <v>1.3787510137875084E-2</v>
      </c>
      <c r="R24" s="89"/>
      <c r="S24" s="86">
        <v>2737.4932479999998</v>
      </c>
      <c r="T24" s="86">
        <v>2781.44</v>
      </c>
      <c r="U24" s="84">
        <f>+(T24-S24)/S24</f>
        <v>1.6053647632595109E-2</v>
      </c>
      <c r="V24" s="90"/>
      <c r="W24" s="86">
        <v>3740</v>
      </c>
      <c r="X24" s="86">
        <v>3783.6641202835522</v>
      </c>
      <c r="Y24" s="88">
        <f>+(X24-W24)/W24</f>
        <v>1.1674898471538011E-2</v>
      </c>
      <c r="Z24" s="90"/>
      <c r="AA24" s="86">
        <v>3504</v>
      </c>
      <c r="AB24" s="86">
        <v>3564</v>
      </c>
      <c r="AC24" s="84">
        <v>1.7123287671232876E-2</v>
      </c>
      <c r="AD24" s="91"/>
      <c r="AE24" s="90"/>
      <c r="AF24" s="86">
        <v>4105.5</v>
      </c>
      <c r="AG24" s="86">
        <v>4175.5</v>
      </c>
      <c r="AH24" s="84">
        <v>1.7050298380221655E-2</v>
      </c>
      <c r="AI24" s="90"/>
      <c r="AJ24" s="86">
        <v>5066</v>
      </c>
      <c r="AK24" s="86">
        <v>5119</v>
      </c>
      <c r="AL24" s="88">
        <v>1.0461902881958153E-2</v>
      </c>
      <c r="AM24" s="90"/>
      <c r="AN24" s="86">
        <v>3226.5664000000002</v>
      </c>
      <c r="AO24" s="86">
        <v>3273.7356671898951</v>
      </c>
      <c r="AP24" s="88">
        <f>+(AO24-AN24)/AN24</f>
        <v>1.4619028819582011E-2</v>
      </c>
      <c r="AQ24" s="90"/>
      <c r="AR24" s="109">
        <v>2022.8130000000001</v>
      </c>
      <c r="AS24" s="109">
        <v>2042.6483108104501</v>
      </c>
      <c r="AT24" s="88">
        <f>+(AS24-AR24)/AR24</f>
        <v>9.8058054849607858E-3</v>
      </c>
      <c r="AU24" s="90"/>
      <c r="AV24" s="86">
        <v>2157.6259999999997</v>
      </c>
      <c r="AW24" s="86">
        <v>2157.6259999999997</v>
      </c>
      <c r="AX24" s="88">
        <f>+(AW24-AV24)/AV24</f>
        <v>0</v>
      </c>
      <c r="AZ24" s="86">
        <v>1618.9409999999998</v>
      </c>
      <c r="BA24" s="86">
        <v>1618.9409999999998</v>
      </c>
      <c r="BB24" s="88">
        <f>+(BA24-AZ24)/AZ24</f>
        <v>0</v>
      </c>
      <c r="BD24" s="86">
        <v>2159.12</v>
      </c>
      <c r="BE24" s="86">
        <v>2159.12</v>
      </c>
      <c r="BF24" s="88">
        <f>+(BE24-BD24)/BD24</f>
        <v>0</v>
      </c>
      <c r="BH24" s="93">
        <f>K24+O24+S24+W24+AA24+AF24+AJ24+AN24+AR24+AV24+AZ24+BD24</f>
        <v>33888.402263199998</v>
      </c>
      <c r="BI24" s="93">
        <f>L24+P24+T24+X24+AB24+AG24+AK24+AO24+AS24+AW24+BA24+BE24</f>
        <v>34274.968098283898</v>
      </c>
      <c r="BJ24" s="88">
        <f>+(BI24-BH24)/BH24</f>
        <v>1.1407024505952552E-2</v>
      </c>
      <c r="BK24" s="94"/>
      <c r="BL24" s="86">
        <v>3238.3799999999997</v>
      </c>
      <c r="BM24" s="86">
        <v>3270</v>
      </c>
      <c r="BN24" s="88">
        <f>+(BM24-BL24)/BL24</f>
        <v>9.7641413299243297E-3</v>
      </c>
      <c r="BO24" s="85"/>
      <c r="BP24" s="86"/>
      <c r="BQ24" s="86"/>
      <c r="BR24" s="88" t="e">
        <f>+(BQ24-BP24)/BP24</f>
        <v>#DIV/0!</v>
      </c>
      <c r="BS24" s="89"/>
      <c r="BT24" s="86"/>
      <c r="BU24" s="86"/>
      <c r="BV24" s="84" t="e">
        <f>+(BU24-BT24)/BT24</f>
        <v>#DIV/0!</v>
      </c>
      <c r="BW24" s="90"/>
      <c r="BX24" s="86"/>
      <c r="BY24" s="86"/>
      <c r="BZ24" s="88" t="e">
        <f>+(BY24-BX24)/BX24</f>
        <v>#DIV/0!</v>
      </c>
      <c r="CA24" s="90"/>
      <c r="CB24" s="86"/>
      <c r="CC24" s="86"/>
      <c r="CD24" s="88" t="e">
        <f>+(CC24-CB24)/CB24</f>
        <v>#DIV/0!</v>
      </c>
      <c r="CE24" s="91"/>
      <c r="CF24" s="90"/>
      <c r="CG24" s="86"/>
      <c r="CH24" s="86"/>
      <c r="CI24" s="88" t="e">
        <f>+(CH24-CG24)/CG24</f>
        <v>#DIV/0!</v>
      </c>
      <c r="CJ24" s="90"/>
      <c r="CK24" s="86"/>
      <c r="CL24" s="86"/>
      <c r="CM24" s="88" t="e">
        <f>+(CL24-CK24)/CK24</f>
        <v>#DIV/0!</v>
      </c>
      <c r="CN24" s="90"/>
      <c r="CO24" s="86"/>
      <c r="CP24" s="86"/>
      <c r="CQ24" s="88" t="e">
        <f>+(CP24-CO24)/CO24</f>
        <v>#DIV/0!</v>
      </c>
      <c r="CR24" s="90"/>
      <c r="CS24" s="109"/>
      <c r="CT24" s="109"/>
      <c r="CU24" s="88" t="e">
        <f>+(CT24-CS24)/CS24</f>
        <v>#DIV/0!</v>
      </c>
      <c r="CV24" s="90"/>
      <c r="CW24" s="95"/>
      <c r="CX24" s="86"/>
      <c r="CY24" s="88" t="e">
        <f>+(CX24-CW24)/CW24</f>
        <v>#DIV/0!</v>
      </c>
      <c r="CZ24" s="90"/>
      <c r="DA24" s="95"/>
      <c r="DB24" s="86"/>
      <c r="DC24" s="88" t="e">
        <f>+(DB24-DA24)/DA24</f>
        <v>#DIV/0!</v>
      </c>
      <c r="DD24" s="90"/>
      <c r="DE24" s="95"/>
      <c r="DF24" s="86"/>
      <c r="DG24" s="88" t="e">
        <f>+(DF24-DE24)/DE24</f>
        <v>#DIV/0!</v>
      </c>
      <c r="DI24" s="93">
        <f>BL24+BP24+BT24+BX24+CB24+CG24+CK24+CO24+CS24+CW24+DA24+DE24</f>
        <v>3238.3799999999997</v>
      </c>
      <c r="DJ24" s="93">
        <f>BM24+BQ24+BU24+BY24+CC24+CH24+CL24+CP24+CT24+CX24+DB24+DF24</f>
        <v>3270</v>
      </c>
      <c r="DK24" s="88">
        <f>+(DJ24-DI24)/DI24</f>
        <v>9.7641413299243297E-3</v>
      </c>
    </row>
    <row r="25" spans="2:115" ht="21" customHeight="1">
      <c r="B25" s="80"/>
      <c r="C25" s="80"/>
      <c r="D25" s="80"/>
      <c r="E25" s="80"/>
      <c r="F25" s="80"/>
      <c r="G25" s="80"/>
      <c r="H25" s="80"/>
      <c r="I25" s="80"/>
      <c r="K25" s="116"/>
      <c r="L25" s="114"/>
      <c r="M25" s="117"/>
      <c r="N25" s="113"/>
      <c r="O25" s="116"/>
      <c r="P25" s="114"/>
      <c r="Q25" s="117"/>
      <c r="R25" s="115"/>
      <c r="S25" s="116"/>
      <c r="T25" s="114"/>
      <c r="U25" s="117"/>
      <c r="W25" s="116"/>
      <c r="X25" s="114"/>
      <c r="Y25" s="117"/>
      <c r="AA25" s="116"/>
      <c r="AB25" s="114"/>
      <c r="AC25" s="117"/>
      <c r="AD25" s="117"/>
      <c r="AF25" s="116"/>
      <c r="AG25" s="114"/>
      <c r="AH25" s="117"/>
      <c r="AJ25" s="116"/>
      <c r="AK25" s="114"/>
      <c r="AL25" s="117"/>
      <c r="AN25" s="116"/>
      <c r="AO25" s="114"/>
      <c r="AP25" s="117"/>
      <c r="AR25" s="116"/>
      <c r="AS25" s="114"/>
      <c r="AT25" s="117"/>
      <c r="AV25" s="116"/>
      <c r="AW25" s="114"/>
      <c r="AX25" s="117"/>
      <c r="AZ25" s="116"/>
      <c r="BA25" s="114"/>
      <c r="BB25" s="117"/>
      <c r="BD25" s="116"/>
      <c r="BE25" s="114"/>
      <c r="BF25" s="117"/>
      <c r="BH25" s="116"/>
      <c r="BI25" s="114"/>
      <c r="BJ25" s="117"/>
      <c r="BL25" s="116"/>
      <c r="BM25" s="114"/>
      <c r="BN25" s="117"/>
      <c r="BO25" s="113"/>
      <c r="BP25" s="116"/>
      <c r="BQ25" s="114"/>
      <c r="BR25" s="117"/>
      <c r="BS25" s="115"/>
      <c r="BT25" s="116"/>
      <c r="BU25" s="114"/>
      <c r="BV25" s="117"/>
      <c r="BX25" s="116"/>
      <c r="BY25" s="114"/>
      <c r="BZ25" s="117"/>
      <c r="CB25" s="116"/>
      <c r="CC25" s="114"/>
      <c r="CD25" s="117"/>
      <c r="CE25" s="117"/>
      <c r="CG25" s="116"/>
      <c r="CH25" s="114"/>
      <c r="CI25" s="117"/>
      <c r="CK25" s="116"/>
      <c r="CL25" s="114"/>
      <c r="CM25" s="117"/>
      <c r="CO25" s="116"/>
      <c r="CP25" s="114"/>
      <c r="CQ25" s="117"/>
      <c r="CS25" s="116"/>
      <c r="CT25" s="114"/>
      <c r="CU25" s="117"/>
      <c r="CW25" s="116"/>
      <c r="CX25" s="114"/>
      <c r="CY25" s="117"/>
      <c r="DA25" s="116"/>
      <c r="DB25" s="114"/>
      <c r="DC25" s="117"/>
      <c r="DE25" s="116"/>
      <c r="DF25" s="114"/>
      <c r="DG25" s="117"/>
      <c r="DI25" s="116"/>
      <c r="DJ25" s="114"/>
      <c r="DK25" s="117"/>
    </row>
    <row r="27" spans="2:115">
      <c r="R27" s="127"/>
      <c r="S27" s="128"/>
      <c r="T27" s="128"/>
      <c r="V27" s="23"/>
      <c r="Z27" s="23"/>
      <c r="AA27" s="85"/>
      <c r="AB27" s="85"/>
      <c r="AE27" s="23"/>
      <c r="AF27" s="85"/>
      <c r="AG27" s="85"/>
      <c r="AI27" s="23"/>
      <c r="AJ27" s="85"/>
      <c r="AK27" s="85"/>
      <c r="AL27" s="127"/>
      <c r="AM27" s="22"/>
      <c r="AN27" s="129"/>
      <c r="AO27" s="127"/>
      <c r="AP27" s="130"/>
      <c r="AQ27" s="23"/>
      <c r="AR27" s="85"/>
      <c r="AS27" s="85"/>
      <c r="AT27" s="131"/>
      <c r="AU27" s="23"/>
      <c r="AY27" s="23"/>
      <c r="BC27" s="23"/>
      <c r="BH27" s="132"/>
      <c r="BI27" s="133"/>
      <c r="BJ27" s="85"/>
      <c r="BK27" s="134"/>
      <c r="BS27" s="127"/>
      <c r="BT27" s="128"/>
      <c r="BU27" s="128"/>
      <c r="BW27" s="23"/>
      <c r="CA27" s="23"/>
      <c r="CB27" s="85"/>
      <c r="CC27" s="85"/>
      <c r="CF27" s="23"/>
      <c r="CG27" s="85"/>
      <c r="CH27" s="85"/>
      <c r="CJ27" s="23"/>
      <c r="CK27" s="85"/>
      <c r="CL27" s="85"/>
      <c r="CM27" s="127"/>
      <c r="CN27" s="22"/>
      <c r="CO27" s="129"/>
      <c r="CP27" s="127"/>
      <c r="CQ27" s="130"/>
      <c r="CR27" s="23"/>
      <c r="CS27" s="85"/>
      <c r="CT27" s="85"/>
      <c r="CU27" s="131"/>
      <c r="CV27" s="23"/>
      <c r="CZ27" s="23"/>
      <c r="DD27" s="23"/>
      <c r="DI27" s="132"/>
      <c r="DJ27" s="133"/>
      <c r="DK27" s="85"/>
    </row>
    <row r="28" spans="2:115">
      <c r="Q28" s="131"/>
      <c r="R28" s="127"/>
      <c r="S28" s="127"/>
      <c r="T28" s="127"/>
      <c r="U28" s="131"/>
      <c r="V28" s="23"/>
      <c r="Y28" s="131"/>
      <c r="Z28" s="23"/>
      <c r="AA28" s="85"/>
      <c r="AB28" s="85"/>
      <c r="AC28" s="131"/>
      <c r="AE28" s="23"/>
      <c r="AF28" s="85"/>
      <c r="AG28" s="85"/>
      <c r="AH28" s="131"/>
      <c r="AI28" s="23"/>
      <c r="AJ28" s="85"/>
      <c r="AK28" s="85"/>
      <c r="AL28" s="135"/>
      <c r="AM28" s="22"/>
      <c r="AN28" s="129"/>
      <c r="AO28" s="127"/>
      <c r="AQ28" s="23"/>
      <c r="AR28" s="133"/>
      <c r="AS28" s="133"/>
      <c r="AT28" s="136"/>
      <c r="AU28" s="23"/>
      <c r="AY28" s="23"/>
      <c r="BC28" s="23"/>
      <c r="BH28" s="134"/>
      <c r="BI28" s="85"/>
      <c r="BJ28" s="85"/>
      <c r="BK28" s="134"/>
      <c r="BR28" s="131"/>
      <c r="BS28" s="127"/>
      <c r="BT28" s="127"/>
      <c r="BU28" s="127"/>
      <c r="BV28" s="131"/>
      <c r="BW28" s="23"/>
      <c r="BZ28" s="131"/>
      <c r="CA28" s="23"/>
      <c r="CB28" s="85"/>
      <c r="CC28" s="85"/>
      <c r="CD28" s="131"/>
      <c r="CF28" s="23"/>
      <c r="CG28" s="85"/>
      <c r="CH28" s="85"/>
      <c r="CI28" s="131"/>
      <c r="CJ28" s="23"/>
      <c r="CK28" s="85"/>
      <c r="CL28" s="85"/>
      <c r="CM28" s="135"/>
      <c r="CN28" s="22"/>
      <c r="CO28" s="129"/>
      <c r="CP28" s="127"/>
      <c r="CR28" s="23"/>
      <c r="CS28" s="133"/>
      <c r="CT28" s="133"/>
      <c r="CU28" s="136"/>
      <c r="CV28" s="23"/>
      <c r="CZ28" s="23"/>
      <c r="DD28" s="23"/>
      <c r="DI28" s="134"/>
      <c r="DJ28" s="85"/>
      <c r="DK28" s="85"/>
    </row>
    <row r="29" spans="2:115">
      <c r="Q29" s="131"/>
      <c r="U29" s="131"/>
      <c r="V29" s="23"/>
      <c r="Y29" s="131"/>
      <c r="Z29" s="23"/>
      <c r="AA29" s="85"/>
      <c r="AB29" s="137"/>
      <c r="AC29" s="131"/>
      <c r="AE29" s="23"/>
      <c r="AF29" s="85"/>
      <c r="AG29" s="85"/>
      <c r="AH29" s="131"/>
      <c r="AI29" s="23"/>
      <c r="AJ29" s="85"/>
      <c r="AK29" s="85"/>
      <c r="AL29" s="135"/>
      <c r="AM29" s="22"/>
      <c r="AN29" s="127"/>
      <c r="AO29" s="127"/>
      <c r="AQ29" s="23"/>
      <c r="AU29" s="23"/>
      <c r="AY29" s="23"/>
      <c r="BC29" s="23"/>
      <c r="BR29" s="131"/>
      <c r="BV29" s="131"/>
      <c r="BW29" s="23"/>
      <c r="BZ29" s="131"/>
      <c r="CA29" s="23"/>
      <c r="CB29" s="85"/>
      <c r="CC29" s="137"/>
      <c r="CD29" s="131"/>
      <c r="CF29" s="23"/>
      <c r="CG29" s="85"/>
      <c r="CH29" s="85"/>
      <c r="CI29" s="131"/>
      <c r="CJ29" s="23"/>
      <c r="CK29" s="85"/>
      <c r="CL29" s="85"/>
      <c r="CM29" s="135"/>
      <c r="CN29" s="22"/>
      <c r="CO29" s="127"/>
      <c r="CP29" s="127"/>
      <c r="CR29" s="23"/>
      <c r="CV29" s="23"/>
      <c r="CZ29" s="23"/>
      <c r="DD29" s="23"/>
    </row>
    <row r="30" spans="2:115">
      <c r="AL30" s="127"/>
      <c r="AM30" s="22"/>
      <c r="AN30" s="127"/>
      <c r="AO30" s="127"/>
      <c r="CM30" s="127"/>
      <c r="CN30" s="22"/>
      <c r="CO30" s="127"/>
      <c r="CP30" s="127"/>
    </row>
    <row r="31" spans="2:115">
      <c r="AF31" s="85"/>
      <c r="AG31" s="85"/>
      <c r="AH31" s="85"/>
      <c r="BH31" s="138"/>
      <c r="BI31" s="138"/>
      <c r="BJ31" s="138"/>
      <c r="CG31" s="85"/>
      <c r="CH31" s="85"/>
      <c r="CI31" s="85"/>
      <c r="DI31" s="138"/>
      <c r="DJ31" s="138"/>
      <c r="DK31" s="138"/>
    </row>
    <row r="32" spans="2:115">
      <c r="AF32" s="85"/>
      <c r="CG32" s="85"/>
    </row>
    <row r="33" spans="60:115">
      <c r="BH33" s="133"/>
      <c r="BI33" s="133"/>
      <c r="BJ33" s="133"/>
      <c r="BK33" s="131"/>
      <c r="DI33" s="133"/>
      <c r="DJ33" s="133"/>
      <c r="DK33" s="133"/>
    </row>
    <row r="35" spans="60:115">
      <c r="BH35" s="85"/>
      <c r="DI35" s="85"/>
    </row>
    <row r="37" spans="60:115">
      <c r="BH37" s="133"/>
      <c r="DI37" s="133"/>
    </row>
  </sheetData>
  <mergeCells count="26">
    <mergeCell ref="DE4:DG5"/>
    <mergeCell ref="DI4:DK5"/>
    <mergeCell ref="CG4:CI5"/>
    <mergeCell ref="CK4:CM5"/>
    <mergeCell ref="CO4:CQ5"/>
    <mergeCell ref="CS4:CU5"/>
    <mergeCell ref="CW4:CY5"/>
    <mergeCell ref="DA4:DC5"/>
    <mergeCell ref="BH4:BJ5"/>
    <mergeCell ref="BL4:BN5"/>
    <mergeCell ref="BP4:BR5"/>
    <mergeCell ref="BT4:BV5"/>
    <mergeCell ref="BX4:BZ5"/>
    <mergeCell ref="CB4:CD5"/>
    <mergeCell ref="AJ4:AL5"/>
    <mergeCell ref="AN4:AP5"/>
    <mergeCell ref="AR4:AT5"/>
    <mergeCell ref="AV4:AX5"/>
    <mergeCell ref="AZ4:BB5"/>
    <mergeCell ref="BD4:BF5"/>
    <mergeCell ref="K4:M5"/>
    <mergeCell ref="O4:Q5"/>
    <mergeCell ref="S4:U5"/>
    <mergeCell ref="W4:Y5"/>
    <mergeCell ref="AA4:AC5"/>
    <mergeCell ref="AF4:AH5"/>
  </mergeCells>
  <conditionalFormatting sqref="BR10 BR12 BR14 BR16 BR18 BR20 BR22 BR24 BV10 BV12 BV14 BV16 BV18 BV20 BV22 BV24 BZ10 BZ12 BZ14 BZ16 BZ18 BZ20 BZ22 BZ24 AC10 AC12 AC14 AC16 AC18 AC20 AC22 AC24 AH10 AH12 AH14 AH16 AH18 AH20 AH22 AH24 AL10 AL12 AL14 AL16 AL18 AL20 AL22 AL24 AP10 AP12:AP14 AP16 AP18 AP20 AP22 AP24 AT24 AT20 AT18 AT16 AT14 AT12 AT10 AT22 BJ10 BJ12 BJ14 BJ16 BJ18 BJ20 BJ22 BJ24 Y10 Y12 Y14 Y16 Y18 Y20 Y22 Y24 U10 U12 U14 U16 U18 U20 U22 U24 Q10 Q12 Q14 Q16 Q18 Q20 Q22 Q24">
    <cfRule type="cellIs" dxfId="22" priority="23" stopIfTrue="1" operator="greaterThan">
      <formula>0.015</formula>
    </cfRule>
  </conditionalFormatting>
  <conditionalFormatting sqref="CD10 CD12 CD14 CD16 CD18 CD20 CD22 CD24 CU10 CU12 CU14 CU16 CU18 CU20 CU22 CU24 CI10 CI12 CI14 CI16 CI18 CI20 CI22 CI24 CM10 CM12 CM14 CM16 CM18 CM20 CM22 CM24 CQ10 CQ12:CQ14 CQ16 CQ18 CQ20 CQ22 CQ24">
    <cfRule type="cellIs" dxfId="21" priority="22" stopIfTrue="1" operator="greaterThan">
      <formula>0.015</formula>
    </cfRule>
  </conditionalFormatting>
  <conditionalFormatting sqref="CD10 CD12 CD14 CD16 CD18 CD20 CD22 CD24">
    <cfRule type="cellIs" dxfId="20" priority="21" stopIfTrue="1" operator="greaterThan">
      <formula>0.015</formula>
    </cfRule>
  </conditionalFormatting>
  <conditionalFormatting sqref="CI10 CI12 CI14 CI16 CI18 CI20 CI22 CI24">
    <cfRule type="cellIs" dxfId="19" priority="20" stopIfTrue="1" operator="greaterThan">
      <formula>0.015</formula>
    </cfRule>
  </conditionalFormatting>
  <conditionalFormatting sqref="CI10 CI12 CI14 CI16 CI18 CI20 CI22 CI24 CM10 CM12 CM14 CM16 CM18 CM20 CM22 CM24">
    <cfRule type="cellIs" dxfId="18" priority="19" stopIfTrue="1" operator="greaterThan">
      <formula>0.015</formula>
    </cfRule>
  </conditionalFormatting>
  <conditionalFormatting sqref="CI10 CI12 CI14 CI16 CI18 CI20 CI22 CI24 CM10 CM12 CM14 CM16 CM18 CM20 CM22 CM24 CQ10 CQ12 CQ14 CQ16 CQ18 CQ20 CQ22 CQ24">
    <cfRule type="cellIs" dxfId="17" priority="18" stopIfTrue="1" operator="greaterThan">
      <formula>0.015</formula>
    </cfRule>
  </conditionalFormatting>
  <conditionalFormatting sqref="CI10 CI12 CI14 CI16 CI18 CI20 CI22 CI24 CM10 CM12 CM14 CM16 CM18 CM20 CM22 CM24 CQ10 CQ12 CQ14 CQ16 CQ18 CQ20 CQ22 CQ24 CU10 CU12 CU14 CU16 CU18 CU20 CU22 CU24">
    <cfRule type="cellIs" dxfId="16" priority="17" stopIfTrue="1" operator="greaterThan">
      <formula>0.015</formula>
    </cfRule>
  </conditionalFormatting>
  <conditionalFormatting sqref="CI10 CI12 CI14 CI16 CI18 CI20 CI22 CI24 CM10 CM12 CM14 CM16 CM18 CM20 CM22 CM24 CQ10 CQ12 CQ14 CQ16 CQ18 CQ20 CQ22 CQ24 CU10 CU12 CU14 CU16 CU18 CU20 CU22 CU24 CY10 CY12 CY14 CY16 CY18 CY20 CY22 CY24">
    <cfRule type="cellIs" dxfId="15" priority="16" stopIfTrue="1" operator="greaterThan">
      <formula>0.015</formula>
    </cfRule>
  </conditionalFormatting>
  <conditionalFormatting sqref="CY10 CY12 CY14 CY16 CY18 CY20 CY22 CY24">
    <cfRule type="cellIs" dxfId="14" priority="15" stopIfTrue="1" operator="greaterThan">
      <formula>0.015</formula>
    </cfRule>
  </conditionalFormatting>
  <conditionalFormatting sqref="CI10 CI12 CI14 CI16 CI18 CI20 CI22 CI24 CM10 CM12 CM14 CM16 CM18 CM20 CM22 CM24 CQ10 CQ12 CQ14 CQ16 CQ18 CQ20 CQ22 CQ24 CU10 CU12 CU14 CU16 CU18 CU20 CU22 CU24 CY10 CY12 CY14 CY16 CY18 CY20 CY22 CY24 DC10 DC12 DC14 DC16 DC18 DC20 DC22 DC24">
    <cfRule type="cellIs" dxfId="13" priority="14" stopIfTrue="1" operator="greaterThan">
      <formula>0.015</formula>
    </cfRule>
  </conditionalFormatting>
  <conditionalFormatting sqref="CY10 CY12 CY14 CY16 CY18 CY20 CY22 CY24 DC10 DC12 DC14 DC16 DC18 DC20 DC22 DC24">
    <cfRule type="cellIs" dxfId="12" priority="13" stopIfTrue="1" operator="greaterThan">
      <formula>0.015</formula>
    </cfRule>
  </conditionalFormatting>
  <conditionalFormatting sqref="CI10 CI12 CI14 CI16 CI18 CI20 CI22 CI24 CM10 CM12 CM14 CM16 CM18 CM20 CM22 CM24 CQ10 CQ12 CQ14 CQ16 CQ18 CQ20 CQ22 CQ24 CU10 CU12 CU14 CU16 CU18 CU20 CU22 CU24 CY10 CY12 CY14 CY16 CY18 CY20 CY22 CY24 DC10 DC12 DC14 DC16 DC18 DC20 DC22 DC24 DG10 DG12 DG14 DG16 DG18 DG20 DG22 DG24">
    <cfRule type="cellIs" dxfId="11" priority="12" stopIfTrue="1" operator="greaterThan">
      <formula>0.015</formula>
    </cfRule>
  </conditionalFormatting>
  <conditionalFormatting sqref="CY10 CY12 CY14 CY16 CY18 CY20 CY22 CY24 DC10 DC12 DC14 DC16 DC18 DC20 DC22 DC24 DG10 DG12 DG14 DG16 DG18 DG20 DG22 DG24">
    <cfRule type="cellIs" dxfId="10" priority="11" stopIfTrue="1" operator="greaterThan">
      <formula>0.015</formula>
    </cfRule>
  </conditionalFormatting>
  <conditionalFormatting sqref="M10:M24 Q10:Q24 U10:U24 Y10:Y24 AC10:AC24 AH10:AH24 AL10:AL24 AP10:AP24 AT10:AT24 BJ10:BJ24">
    <cfRule type="cellIs" dxfId="9" priority="6" stopIfTrue="1" operator="greaterThan">
      <formula>"1.5%"</formula>
    </cfRule>
    <cfRule type="cellIs" dxfId="8" priority="7" stopIfTrue="1" operator="lessThan">
      <formula>"1.5%"</formula>
    </cfRule>
    <cfRule type="cellIs" dxfId="7" priority="8" stopIfTrue="1" operator="greaterThan">
      <formula>"1.5%"</formula>
    </cfRule>
    <cfRule type="cellIs" dxfId="6" priority="9" stopIfTrue="1" operator="lessThan">
      <formula>"1.5%"</formula>
    </cfRule>
    <cfRule type="cellIs" dxfId="5" priority="10" stopIfTrue="1" operator="greaterThan">
      <formula>"1.5%"</formula>
    </cfRule>
  </conditionalFormatting>
  <conditionalFormatting sqref="Q10:Q24">
    <cfRule type="cellIs" dxfId="4" priority="3" stopIfTrue="1" operator="greaterThan">
      <formula>0.015</formula>
    </cfRule>
    <cfRule type="cellIs" dxfId="3" priority="4" stopIfTrue="1" operator="greaterThan">
      <formula>"1.5%"</formula>
    </cfRule>
    <cfRule type="cellIs" dxfId="2" priority="5" stopIfTrue="1" operator="greaterThan">
      <formula>"1.5%"</formula>
    </cfRule>
  </conditionalFormatting>
  <conditionalFormatting sqref="U10:U24">
    <cfRule type="cellIs" dxfId="1" priority="2" stopIfTrue="1" operator="greaterThan">
      <formula>0.015</formula>
    </cfRule>
  </conditionalFormatting>
  <conditionalFormatting sqref="U10:U24 Y10:Y24 AC10:AC24 AH10:AH24 AL10:AL24 AP10:AP24 AT10:AT24 BJ10:BJ24">
    <cfRule type="cellIs" dxfId="0" priority="1" stopIfTrue="1" operator="greaterThan">
      <formula>0.015</formula>
    </cfRule>
  </conditionalFormatting>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dimension ref="A1:N82"/>
  <sheetViews>
    <sheetView showGridLines="0" workbookViewId="0">
      <selection activeCell="I13" sqref="I13"/>
    </sheetView>
  </sheetViews>
  <sheetFormatPr defaultRowHeight="16.5"/>
  <cols>
    <col min="1" max="1" width="2" style="139" customWidth="1"/>
    <col min="2" max="2" width="12.7109375" style="142" bestFit="1" customWidth="1"/>
    <col min="3" max="3" width="17.7109375" style="142" customWidth="1"/>
    <col min="4" max="4" width="3.5703125" style="142" bestFit="1" customWidth="1"/>
    <col min="5" max="5" width="29.140625" style="142" bestFit="1" customWidth="1"/>
    <col min="6" max="6" width="9.28515625" style="142" bestFit="1" customWidth="1"/>
    <col min="7" max="7" width="12.85546875" style="142" customWidth="1"/>
    <col min="8" max="8" width="10.42578125" style="142" bestFit="1" customWidth="1"/>
    <col min="9" max="10" width="9.28515625" style="142" bestFit="1" customWidth="1"/>
    <col min="11" max="12" width="2.28515625" style="142" customWidth="1"/>
    <col min="13" max="13" width="10.85546875" style="142" bestFit="1" customWidth="1"/>
    <col min="14" max="15" width="9.140625" style="142"/>
    <col min="16" max="16" width="11" style="142" bestFit="1" customWidth="1"/>
    <col min="17" max="256" width="9.140625" style="142"/>
    <col min="257" max="257" width="2" style="142" customWidth="1"/>
    <col min="258" max="258" width="12.7109375" style="142" bestFit="1" customWidth="1"/>
    <col min="259" max="259" width="17.7109375" style="142" customWidth="1"/>
    <col min="260" max="260" width="3.5703125" style="142" bestFit="1" customWidth="1"/>
    <col min="261" max="261" width="29.140625" style="142" bestFit="1" customWidth="1"/>
    <col min="262" max="262" width="9.28515625" style="142" bestFit="1" customWidth="1"/>
    <col min="263" max="263" width="12.85546875" style="142" customWidth="1"/>
    <col min="264" max="264" width="10.42578125" style="142" bestFit="1" customWidth="1"/>
    <col min="265" max="266" width="9.28515625" style="142" bestFit="1" customWidth="1"/>
    <col min="267" max="268" width="2.28515625" style="142" customWidth="1"/>
    <col min="269" max="269" width="10.85546875" style="142" bestFit="1" customWidth="1"/>
    <col min="270" max="271" width="9.140625" style="142"/>
    <col min="272" max="272" width="11" style="142" bestFit="1" customWidth="1"/>
    <col min="273" max="512" width="9.140625" style="142"/>
    <col min="513" max="513" width="2" style="142" customWidth="1"/>
    <col min="514" max="514" width="12.7109375" style="142" bestFit="1" customWidth="1"/>
    <col min="515" max="515" width="17.7109375" style="142" customWidth="1"/>
    <col min="516" max="516" width="3.5703125" style="142" bestFit="1" customWidth="1"/>
    <col min="517" max="517" width="29.140625" style="142" bestFit="1" customWidth="1"/>
    <col min="518" max="518" width="9.28515625" style="142" bestFit="1" customWidth="1"/>
    <col min="519" max="519" width="12.85546875" style="142" customWidth="1"/>
    <col min="520" max="520" width="10.42578125" style="142" bestFit="1" customWidth="1"/>
    <col min="521" max="522" width="9.28515625" style="142" bestFit="1" customWidth="1"/>
    <col min="523" max="524" width="2.28515625" style="142" customWidth="1"/>
    <col min="525" max="525" width="10.85546875" style="142" bestFit="1" customWidth="1"/>
    <col min="526" max="527" width="9.140625" style="142"/>
    <col min="528" max="528" width="11" style="142" bestFit="1" customWidth="1"/>
    <col min="529" max="768" width="9.140625" style="142"/>
    <col min="769" max="769" width="2" style="142" customWidth="1"/>
    <col min="770" max="770" width="12.7109375" style="142" bestFit="1" customWidth="1"/>
    <col min="771" max="771" width="17.7109375" style="142" customWidth="1"/>
    <col min="772" max="772" width="3.5703125" style="142" bestFit="1" customWidth="1"/>
    <col min="773" max="773" width="29.140625" style="142" bestFit="1" customWidth="1"/>
    <col min="774" max="774" width="9.28515625" style="142" bestFit="1" customWidth="1"/>
    <col min="775" max="775" width="12.85546875" style="142" customWidth="1"/>
    <col min="776" max="776" width="10.42578125" style="142" bestFit="1" customWidth="1"/>
    <col min="777" max="778" width="9.28515625" style="142" bestFit="1" customWidth="1"/>
    <col min="779" max="780" width="2.28515625" style="142" customWidth="1"/>
    <col min="781" max="781" width="10.85546875" style="142" bestFit="1" customWidth="1"/>
    <col min="782" max="783" width="9.140625" style="142"/>
    <col min="784" max="784" width="11" style="142" bestFit="1" customWidth="1"/>
    <col min="785" max="1024" width="9.140625" style="142"/>
    <col min="1025" max="1025" width="2" style="142" customWidth="1"/>
    <col min="1026" max="1026" width="12.7109375" style="142" bestFit="1" customWidth="1"/>
    <col min="1027" max="1027" width="17.7109375" style="142" customWidth="1"/>
    <col min="1028" max="1028" width="3.5703125" style="142" bestFit="1" customWidth="1"/>
    <col min="1029" max="1029" width="29.140625" style="142" bestFit="1" customWidth="1"/>
    <col min="1030" max="1030" width="9.28515625" style="142" bestFit="1" customWidth="1"/>
    <col min="1031" max="1031" width="12.85546875" style="142" customWidth="1"/>
    <col min="1032" max="1032" width="10.42578125" style="142" bestFit="1" customWidth="1"/>
    <col min="1033" max="1034" width="9.28515625" style="142" bestFit="1" customWidth="1"/>
    <col min="1035" max="1036" width="2.28515625" style="142" customWidth="1"/>
    <col min="1037" max="1037" width="10.85546875" style="142" bestFit="1" customWidth="1"/>
    <col min="1038" max="1039" width="9.140625" style="142"/>
    <col min="1040" max="1040" width="11" style="142" bestFit="1" customWidth="1"/>
    <col min="1041" max="1280" width="9.140625" style="142"/>
    <col min="1281" max="1281" width="2" style="142" customWidth="1"/>
    <col min="1282" max="1282" width="12.7109375" style="142" bestFit="1" customWidth="1"/>
    <col min="1283" max="1283" width="17.7109375" style="142" customWidth="1"/>
    <col min="1284" max="1284" width="3.5703125" style="142" bestFit="1" customWidth="1"/>
    <col min="1285" max="1285" width="29.140625" style="142" bestFit="1" customWidth="1"/>
    <col min="1286" max="1286" width="9.28515625" style="142" bestFit="1" customWidth="1"/>
    <col min="1287" max="1287" width="12.85546875" style="142" customWidth="1"/>
    <col min="1288" max="1288" width="10.42578125" style="142" bestFit="1" customWidth="1"/>
    <col min="1289" max="1290" width="9.28515625" style="142" bestFit="1" customWidth="1"/>
    <col min="1291" max="1292" width="2.28515625" style="142" customWidth="1"/>
    <col min="1293" max="1293" width="10.85546875" style="142" bestFit="1" customWidth="1"/>
    <col min="1294" max="1295" width="9.140625" style="142"/>
    <col min="1296" max="1296" width="11" style="142" bestFit="1" customWidth="1"/>
    <col min="1297" max="1536" width="9.140625" style="142"/>
    <col min="1537" max="1537" width="2" style="142" customWidth="1"/>
    <col min="1538" max="1538" width="12.7109375" style="142" bestFit="1" customWidth="1"/>
    <col min="1539" max="1539" width="17.7109375" style="142" customWidth="1"/>
    <col min="1540" max="1540" width="3.5703125" style="142" bestFit="1" customWidth="1"/>
    <col min="1541" max="1541" width="29.140625" style="142" bestFit="1" customWidth="1"/>
    <col min="1542" max="1542" width="9.28515625" style="142" bestFit="1" customWidth="1"/>
    <col min="1543" max="1543" width="12.85546875" style="142" customWidth="1"/>
    <col min="1544" max="1544" width="10.42578125" style="142" bestFit="1" customWidth="1"/>
    <col min="1545" max="1546" width="9.28515625" style="142" bestFit="1" customWidth="1"/>
    <col min="1547" max="1548" width="2.28515625" style="142" customWidth="1"/>
    <col min="1549" max="1549" width="10.85546875" style="142" bestFit="1" customWidth="1"/>
    <col min="1550" max="1551" width="9.140625" style="142"/>
    <col min="1552" max="1552" width="11" style="142" bestFit="1" customWidth="1"/>
    <col min="1553" max="1792" width="9.140625" style="142"/>
    <col min="1793" max="1793" width="2" style="142" customWidth="1"/>
    <col min="1794" max="1794" width="12.7109375" style="142" bestFit="1" customWidth="1"/>
    <col min="1795" max="1795" width="17.7109375" style="142" customWidth="1"/>
    <col min="1796" max="1796" width="3.5703125" style="142" bestFit="1" customWidth="1"/>
    <col min="1797" max="1797" width="29.140625" style="142" bestFit="1" customWidth="1"/>
    <col min="1798" max="1798" width="9.28515625" style="142" bestFit="1" customWidth="1"/>
    <col min="1799" max="1799" width="12.85546875" style="142" customWidth="1"/>
    <col min="1800" max="1800" width="10.42578125" style="142" bestFit="1" customWidth="1"/>
    <col min="1801" max="1802" width="9.28515625" style="142" bestFit="1" customWidth="1"/>
    <col min="1803" max="1804" width="2.28515625" style="142" customWidth="1"/>
    <col min="1805" max="1805" width="10.85546875" style="142" bestFit="1" customWidth="1"/>
    <col min="1806" max="1807" width="9.140625" style="142"/>
    <col min="1808" max="1808" width="11" style="142" bestFit="1" customWidth="1"/>
    <col min="1809" max="2048" width="9.140625" style="142"/>
    <col min="2049" max="2049" width="2" style="142" customWidth="1"/>
    <col min="2050" max="2050" width="12.7109375" style="142" bestFit="1" customWidth="1"/>
    <col min="2051" max="2051" width="17.7109375" style="142" customWidth="1"/>
    <col min="2052" max="2052" width="3.5703125" style="142" bestFit="1" customWidth="1"/>
    <col min="2053" max="2053" width="29.140625" style="142" bestFit="1" customWidth="1"/>
    <col min="2054" max="2054" width="9.28515625" style="142" bestFit="1" customWidth="1"/>
    <col min="2055" max="2055" width="12.85546875" style="142" customWidth="1"/>
    <col min="2056" max="2056" width="10.42578125" style="142" bestFit="1" customWidth="1"/>
    <col min="2057" max="2058" width="9.28515625" style="142" bestFit="1" customWidth="1"/>
    <col min="2059" max="2060" width="2.28515625" style="142" customWidth="1"/>
    <col min="2061" max="2061" width="10.85546875" style="142" bestFit="1" customWidth="1"/>
    <col min="2062" max="2063" width="9.140625" style="142"/>
    <col min="2064" max="2064" width="11" style="142" bestFit="1" customWidth="1"/>
    <col min="2065" max="2304" width="9.140625" style="142"/>
    <col min="2305" max="2305" width="2" style="142" customWidth="1"/>
    <col min="2306" max="2306" width="12.7109375" style="142" bestFit="1" customWidth="1"/>
    <col min="2307" max="2307" width="17.7109375" style="142" customWidth="1"/>
    <col min="2308" max="2308" width="3.5703125" style="142" bestFit="1" customWidth="1"/>
    <col min="2309" max="2309" width="29.140625" style="142" bestFit="1" customWidth="1"/>
    <col min="2310" max="2310" width="9.28515625" style="142" bestFit="1" customWidth="1"/>
    <col min="2311" max="2311" width="12.85546875" style="142" customWidth="1"/>
    <col min="2312" max="2312" width="10.42578125" style="142" bestFit="1" customWidth="1"/>
    <col min="2313" max="2314" width="9.28515625" style="142" bestFit="1" customWidth="1"/>
    <col min="2315" max="2316" width="2.28515625" style="142" customWidth="1"/>
    <col min="2317" max="2317" width="10.85546875" style="142" bestFit="1" customWidth="1"/>
    <col min="2318" max="2319" width="9.140625" style="142"/>
    <col min="2320" max="2320" width="11" style="142" bestFit="1" customWidth="1"/>
    <col min="2321" max="2560" width="9.140625" style="142"/>
    <col min="2561" max="2561" width="2" style="142" customWidth="1"/>
    <col min="2562" max="2562" width="12.7109375" style="142" bestFit="1" customWidth="1"/>
    <col min="2563" max="2563" width="17.7109375" style="142" customWidth="1"/>
    <col min="2564" max="2564" width="3.5703125" style="142" bestFit="1" customWidth="1"/>
    <col min="2565" max="2565" width="29.140625" style="142" bestFit="1" customWidth="1"/>
    <col min="2566" max="2566" width="9.28515625" style="142" bestFit="1" customWidth="1"/>
    <col min="2567" max="2567" width="12.85546875" style="142" customWidth="1"/>
    <col min="2568" max="2568" width="10.42578125" style="142" bestFit="1" customWidth="1"/>
    <col min="2569" max="2570" width="9.28515625" style="142" bestFit="1" customWidth="1"/>
    <col min="2571" max="2572" width="2.28515625" style="142" customWidth="1"/>
    <col min="2573" max="2573" width="10.85546875" style="142" bestFit="1" customWidth="1"/>
    <col min="2574" max="2575" width="9.140625" style="142"/>
    <col min="2576" max="2576" width="11" style="142" bestFit="1" customWidth="1"/>
    <col min="2577" max="2816" width="9.140625" style="142"/>
    <col min="2817" max="2817" width="2" style="142" customWidth="1"/>
    <col min="2818" max="2818" width="12.7109375" style="142" bestFit="1" customWidth="1"/>
    <col min="2819" max="2819" width="17.7109375" style="142" customWidth="1"/>
    <col min="2820" max="2820" width="3.5703125" style="142" bestFit="1" customWidth="1"/>
    <col min="2821" max="2821" width="29.140625" style="142" bestFit="1" customWidth="1"/>
    <col min="2822" max="2822" width="9.28515625" style="142" bestFit="1" customWidth="1"/>
    <col min="2823" max="2823" width="12.85546875" style="142" customWidth="1"/>
    <col min="2824" max="2824" width="10.42578125" style="142" bestFit="1" customWidth="1"/>
    <col min="2825" max="2826" width="9.28515625" style="142" bestFit="1" customWidth="1"/>
    <col min="2827" max="2828" width="2.28515625" style="142" customWidth="1"/>
    <col min="2829" max="2829" width="10.85546875" style="142" bestFit="1" customWidth="1"/>
    <col min="2830" max="2831" width="9.140625" style="142"/>
    <col min="2832" max="2832" width="11" style="142" bestFit="1" customWidth="1"/>
    <col min="2833" max="3072" width="9.140625" style="142"/>
    <col min="3073" max="3073" width="2" style="142" customWidth="1"/>
    <col min="3074" max="3074" width="12.7109375" style="142" bestFit="1" customWidth="1"/>
    <col min="3075" max="3075" width="17.7109375" style="142" customWidth="1"/>
    <col min="3076" max="3076" width="3.5703125" style="142" bestFit="1" customWidth="1"/>
    <col min="3077" max="3077" width="29.140625" style="142" bestFit="1" customWidth="1"/>
    <col min="3078" max="3078" width="9.28515625" style="142" bestFit="1" customWidth="1"/>
    <col min="3079" max="3079" width="12.85546875" style="142" customWidth="1"/>
    <col min="3080" max="3080" width="10.42578125" style="142" bestFit="1" customWidth="1"/>
    <col min="3081" max="3082" width="9.28515625" style="142" bestFit="1" customWidth="1"/>
    <col min="3083" max="3084" width="2.28515625" style="142" customWidth="1"/>
    <col min="3085" max="3085" width="10.85546875" style="142" bestFit="1" customWidth="1"/>
    <col min="3086" max="3087" width="9.140625" style="142"/>
    <col min="3088" max="3088" width="11" style="142" bestFit="1" customWidth="1"/>
    <col min="3089" max="3328" width="9.140625" style="142"/>
    <col min="3329" max="3329" width="2" style="142" customWidth="1"/>
    <col min="3330" max="3330" width="12.7109375" style="142" bestFit="1" customWidth="1"/>
    <col min="3331" max="3331" width="17.7109375" style="142" customWidth="1"/>
    <col min="3332" max="3332" width="3.5703125" style="142" bestFit="1" customWidth="1"/>
    <col min="3333" max="3333" width="29.140625" style="142" bestFit="1" customWidth="1"/>
    <col min="3334" max="3334" width="9.28515625" style="142" bestFit="1" customWidth="1"/>
    <col min="3335" max="3335" width="12.85546875" style="142" customWidth="1"/>
    <col min="3336" max="3336" width="10.42578125" style="142" bestFit="1" customWidth="1"/>
    <col min="3337" max="3338" width="9.28515625" style="142" bestFit="1" customWidth="1"/>
    <col min="3339" max="3340" width="2.28515625" style="142" customWidth="1"/>
    <col min="3341" max="3341" width="10.85546875" style="142" bestFit="1" customWidth="1"/>
    <col min="3342" max="3343" width="9.140625" style="142"/>
    <col min="3344" max="3344" width="11" style="142" bestFit="1" customWidth="1"/>
    <col min="3345" max="3584" width="9.140625" style="142"/>
    <col min="3585" max="3585" width="2" style="142" customWidth="1"/>
    <col min="3586" max="3586" width="12.7109375" style="142" bestFit="1" customWidth="1"/>
    <col min="3587" max="3587" width="17.7109375" style="142" customWidth="1"/>
    <col min="3588" max="3588" width="3.5703125" style="142" bestFit="1" customWidth="1"/>
    <col min="3589" max="3589" width="29.140625" style="142" bestFit="1" customWidth="1"/>
    <col min="3590" max="3590" width="9.28515625" style="142" bestFit="1" customWidth="1"/>
    <col min="3591" max="3591" width="12.85546875" style="142" customWidth="1"/>
    <col min="3592" max="3592" width="10.42578125" style="142" bestFit="1" customWidth="1"/>
    <col min="3593" max="3594" width="9.28515625" style="142" bestFit="1" customWidth="1"/>
    <col min="3595" max="3596" width="2.28515625" style="142" customWidth="1"/>
    <col min="3597" max="3597" width="10.85546875" style="142" bestFit="1" customWidth="1"/>
    <col min="3598" max="3599" width="9.140625" style="142"/>
    <col min="3600" max="3600" width="11" style="142" bestFit="1" customWidth="1"/>
    <col min="3601" max="3840" width="9.140625" style="142"/>
    <col min="3841" max="3841" width="2" style="142" customWidth="1"/>
    <col min="3842" max="3842" width="12.7109375" style="142" bestFit="1" customWidth="1"/>
    <col min="3843" max="3843" width="17.7109375" style="142" customWidth="1"/>
    <col min="3844" max="3844" width="3.5703125" style="142" bestFit="1" customWidth="1"/>
    <col min="3845" max="3845" width="29.140625" style="142" bestFit="1" customWidth="1"/>
    <col min="3846" max="3846" width="9.28515625" style="142" bestFit="1" customWidth="1"/>
    <col min="3847" max="3847" width="12.85546875" style="142" customWidth="1"/>
    <col min="3848" max="3848" width="10.42578125" style="142" bestFit="1" customWidth="1"/>
    <col min="3849" max="3850" width="9.28515625" style="142" bestFit="1" customWidth="1"/>
    <col min="3851" max="3852" width="2.28515625" style="142" customWidth="1"/>
    <col min="3853" max="3853" width="10.85546875" style="142" bestFit="1" customWidth="1"/>
    <col min="3854" max="3855" width="9.140625" style="142"/>
    <col min="3856" max="3856" width="11" style="142" bestFit="1" customWidth="1"/>
    <col min="3857" max="4096" width="9.140625" style="142"/>
    <col min="4097" max="4097" width="2" style="142" customWidth="1"/>
    <col min="4098" max="4098" width="12.7109375" style="142" bestFit="1" customWidth="1"/>
    <col min="4099" max="4099" width="17.7109375" style="142" customWidth="1"/>
    <col min="4100" max="4100" width="3.5703125" style="142" bestFit="1" customWidth="1"/>
    <col min="4101" max="4101" width="29.140625" style="142" bestFit="1" customWidth="1"/>
    <col min="4102" max="4102" width="9.28515625" style="142" bestFit="1" customWidth="1"/>
    <col min="4103" max="4103" width="12.85546875" style="142" customWidth="1"/>
    <col min="4104" max="4104" width="10.42578125" style="142" bestFit="1" customWidth="1"/>
    <col min="4105" max="4106" width="9.28515625" style="142" bestFit="1" customWidth="1"/>
    <col min="4107" max="4108" width="2.28515625" style="142" customWidth="1"/>
    <col min="4109" max="4109" width="10.85546875" style="142" bestFit="1" customWidth="1"/>
    <col min="4110" max="4111" width="9.140625" style="142"/>
    <col min="4112" max="4112" width="11" style="142" bestFit="1" customWidth="1"/>
    <col min="4113" max="4352" width="9.140625" style="142"/>
    <col min="4353" max="4353" width="2" style="142" customWidth="1"/>
    <col min="4354" max="4354" width="12.7109375" style="142" bestFit="1" customWidth="1"/>
    <col min="4355" max="4355" width="17.7109375" style="142" customWidth="1"/>
    <col min="4356" max="4356" width="3.5703125" style="142" bestFit="1" customWidth="1"/>
    <col min="4357" max="4357" width="29.140625" style="142" bestFit="1" customWidth="1"/>
    <col min="4358" max="4358" width="9.28515625" style="142" bestFit="1" customWidth="1"/>
    <col min="4359" max="4359" width="12.85546875" style="142" customWidth="1"/>
    <col min="4360" max="4360" width="10.42578125" style="142" bestFit="1" customWidth="1"/>
    <col min="4361" max="4362" width="9.28515625" style="142" bestFit="1" customWidth="1"/>
    <col min="4363" max="4364" width="2.28515625" style="142" customWidth="1"/>
    <col min="4365" max="4365" width="10.85546875" style="142" bestFit="1" customWidth="1"/>
    <col min="4366" max="4367" width="9.140625" style="142"/>
    <col min="4368" max="4368" width="11" style="142" bestFit="1" customWidth="1"/>
    <col min="4369" max="4608" width="9.140625" style="142"/>
    <col min="4609" max="4609" width="2" style="142" customWidth="1"/>
    <col min="4610" max="4610" width="12.7109375" style="142" bestFit="1" customWidth="1"/>
    <col min="4611" max="4611" width="17.7109375" style="142" customWidth="1"/>
    <col min="4612" max="4612" width="3.5703125" style="142" bestFit="1" customWidth="1"/>
    <col min="4613" max="4613" width="29.140625" style="142" bestFit="1" customWidth="1"/>
    <col min="4614" max="4614" width="9.28515625" style="142" bestFit="1" customWidth="1"/>
    <col min="4615" max="4615" width="12.85546875" style="142" customWidth="1"/>
    <col min="4616" max="4616" width="10.42578125" style="142" bestFit="1" customWidth="1"/>
    <col min="4617" max="4618" width="9.28515625" style="142" bestFit="1" customWidth="1"/>
    <col min="4619" max="4620" width="2.28515625" style="142" customWidth="1"/>
    <col min="4621" max="4621" width="10.85546875" style="142" bestFit="1" customWidth="1"/>
    <col min="4622" max="4623" width="9.140625" style="142"/>
    <col min="4624" max="4624" width="11" style="142" bestFit="1" customWidth="1"/>
    <col min="4625" max="4864" width="9.140625" style="142"/>
    <col min="4865" max="4865" width="2" style="142" customWidth="1"/>
    <col min="4866" max="4866" width="12.7109375" style="142" bestFit="1" customWidth="1"/>
    <col min="4867" max="4867" width="17.7109375" style="142" customWidth="1"/>
    <col min="4868" max="4868" width="3.5703125" style="142" bestFit="1" customWidth="1"/>
    <col min="4869" max="4869" width="29.140625" style="142" bestFit="1" customWidth="1"/>
    <col min="4870" max="4870" width="9.28515625" style="142" bestFit="1" customWidth="1"/>
    <col min="4871" max="4871" width="12.85546875" style="142" customWidth="1"/>
    <col min="4872" max="4872" width="10.42578125" style="142" bestFit="1" customWidth="1"/>
    <col min="4873" max="4874" width="9.28515625" style="142" bestFit="1" customWidth="1"/>
    <col min="4875" max="4876" width="2.28515625" style="142" customWidth="1"/>
    <col min="4877" max="4877" width="10.85546875" style="142" bestFit="1" customWidth="1"/>
    <col min="4878" max="4879" width="9.140625" style="142"/>
    <col min="4880" max="4880" width="11" style="142" bestFit="1" customWidth="1"/>
    <col min="4881" max="5120" width="9.140625" style="142"/>
    <col min="5121" max="5121" width="2" style="142" customWidth="1"/>
    <col min="5122" max="5122" width="12.7109375" style="142" bestFit="1" customWidth="1"/>
    <col min="5123" max="5123" width="17.7109375" style="142" customWidth="1"/>
    <col min="5124" max="5124" width="3.5703125" style="142" bestFit="1" customWidth="1"/>
    <col min="5125" max="5125" width="29.140625" style="142" bestFit="1" customWidth="1"/>
    <col min="5126" max="5126" width="9.28515625" style="142" bestFit="1" customWidth="1"/>
    <col min="5127" max="5127" width="12.85546875" style="142" customWidth="1"/>
    <col min="5128" max="5128" width="10.42578125" style="142" bestFit="1" customWidth="1"/>
    <col min="5129" max="5130" width="9.28515625" style="142" bestFit="1" customWidth="1"/>
    <col min="5131" max="5132" width="2.28515625" style="142" customWidth="1"/>
    <col min="5133" max="5133" width="10.85546875" style="142" bestFit="1" customWidth="1"/>
    <col min="5134" max="5135" width="9.140625" style="142"/>
    <col min="5136" max="5136" width="11" style="142" bestFit="1" customWidth="1"/>
    <col min="5137" max="5376" width="9.140625" style="142"/>
    <col min="5377" max="5377" width="2" style="142" customWidth="1"/>
    <col min="5378" max="5378" width="12.7109375" style="142" bestFit="1" customWidth="1"/>
    <col min="5379" max="5379" width="17.7109375" style="142" customWidth="1"/>
    <col min="5380" max="5380" width="3.5703125" style="142" bestFit="1" customWidth="1"/>
    <col min="5381" max="5381" width="29.140625" style="142" bestFit="1" customWidth="1"/>
    <col min="5382" max="5382" width="9.28515625" style="142" bestFit="1" customWidth="1"/>
    <col min="5383" max="5383" width="12.85546875" style="142" customWidth="1"/>
    <col min="5384" max="5384" width="10.42578125" style="142" bestFit="1" customWidth="1"/>
    <col min="5385" max="5386" width="9.28515625" style="142" bestFit="1" customWidth="1"/>
    <col min="5387" max="5388" width="2.28515625" style="142" customWidth="1"/>
    <col min="5389" max="5389" width="10.85546875" style="142" bestFit="1" customWidth="1"/>
    <col min="5390" max="5391" width="9.140625" style="142"/>
    <col min="5392" max="5392" width="11" style="142" bestFit="1" customWidth="1"/>
    <col min="5393" max="5632" width="9.140625" style="142"/>
    <col min="5633" max="5633" width="2" style="142" customWidth="1"/>
    <col min="5634" max="5634" width="12.7109375" style="142" bestFit="1" customWidth="1"/>
    <col min="5635" max="5635" width="17.7109375" style="142" customWidth="1"/>
    <col min="5636" max="5636" width="3.5703125" style="142" bestFit="1" customWidth="1"/>
    <col min="5637" max="5637" width="29.140625" style="142" bestFit="1" customWidth="1"/>
    <col min="5638" max="5638" width="9.28515625" style="142" bestFit="1" customWidth="1"/>
    <col min="5639" max="5639" width="12.85546875" style="142" customWidth="1"/>
    <col min="5640" max="5640" width="10.42578125" style="142" bestFit="1" customWidth="1"/>
    <col min="5641" max="5642" width="9.28515625" style="142" bestFit="1" customWidth="1"/>
    <col min="5643" max="5644" width="2.28515625" style="142" customWidth="1"/>
    <col min="5645" max="5645" width="10.85546875" style="142" bestFit="1" customWidth="1"/>
    <col min="5646" max="5647" width="9.140625" style="142"/>
    <col min="5648" max="5648" width="11" style="142" bestFit="1" customWidth="1"/>
    <col min="5649" max="5888" width="9.140625" style="142"/>
    <col min="5889" max="5889" width="2" style="142" customWidth="1"/>
    <col min="5890" max="5890" width="12.7109375" style="142" bestFit="1" customWidth="1"/>
    <col min="5891" max="5891" width="17.7109375" style="142" customWidth="1"/>
    <col min="5892" max="5892" width="3.5703125" style="142" bestFit="1" customWidth="1"/>
    <col min="5893" max="5893" width="29.140625" style="142" bestFit="1" customWidth="1"/>
    <col min="5894" max="5894" width="9.28515625" style="142" bestFit="1" customWidth="1"/>
    <col min="5895" max="5895" width="12.85546875" style="142" customWidth="1"/>
    <col min="5896" max="5896" width="10.42578125" style="142" bestFit="1" customWidth="1"/>
    <col min="5897" max="5898" width="9.28515625" style="142" bestFit="1" customWidth="1"/>
    <col min="5899" max="5900" width="2.28515625" style="142" customWidth="1"/>
    <col min="5901" max="5901" width="10.85546875" style="142" bestFit="1" customWidth="1"/>
    <col min="5902" max="5903" width="9.140625" style="142"/>
    <col min="5904" max="5904" width="11" style="142" bestFit="1" customWidth="1"/>
    <col min="5905" max="6144" width="9.140625" style="142"/>
    <col min="6145" max="6145" width="2" style="142" customWidth="1"/>
    <col min="6146" max="6146" width="12.7109375" style="142" bestFit="1" customWidth="1"/>
    <col min="6147" max="6147" width="17.7109375" style="142" customWidth="1"/>
    <col min="6148" max="6148" width="3.5703125" style="142" bestFit="1" customWidth="1"/>
    <col min="6149" max="6149" width="29.140625" style="142" bestFit="1" customWidth="1"/>
    <col min="6150" max="6150" width="9.28515625" style="142" bestFit="1" customWidth="1"/>
    <col min="6151" max="6151" width="12.85546875" style="142" customWidth="1"/>
    <col min="6152" max="6152" width="10.42578125" style="142" bestFit="1" customWidth="1"/>
    <col min="6153" max="6154" width="9.28515625" style="142" bestFit="1" customWidth="1"/>
    <col min="6155" max="6156" width="2.28515625" style="142" customWidth="1"/>
    <col min="6157" max="6157" width="10.85546875" style="142" bestFit="1" customWidth="1"/>
    <col min="6158" max="6159" width="9.140625" style="142"/>
    <col min="6160" max="6160" width="11" style="142" bestFit="1" customWidth="1"/>
    <col min="6161" max="6400" width="9.140625" style="142"/>
    <col min="6401" max="6401" width="2" style="142" customWidth="1"/>
    <col min="6402" max="6402" width="12.7109375" style="142" bestFit="1" customWidth="1"/>
    <col min="6403" max="6403" width="17.7109375" style="142" customWidth="1"/>
    <col min="6404" max="6404" width="3.5703125" style="142" bestFit="1" customWidth="1"/>
    <col min="6405" max="6405" width="29.140625" style="142" bestFit="1" customWidth="1"/>
    <col min="6406" max="6406" width="9.28515625" style="142" bestFit="1" customWidth="1"/>
    <col min="6407" max="6407" width="12.85546875" style="142" customWidth="1"/>
    <col min="6408" max="6408" width="10.42578125" style="142" bestFit="1" customWidth="1"/>
    <col min="6409" max="6410" width="9.28515625" style="142" bestFit="1" customWidth="1"/>
    <col min="6411" max="6412" width="2.28515625" style="142" customWidth="1"/>
    <col min="6413" max="6413" width="10.85546875" style="142" bestFit="1" customWidth="1"/>
    <col min="6414" max="6415" width="9.140625" style="142"/>
    <col min="6416" max="6416" width="11" style="142" bestFit="1" customWidth="1"/>
    <col min="6417" max="6656" width="9.140625" style="142"/>
    <col min="6657" max="6657" width="2" style="142" customWidth="1"/>
    <col min="6658" max="6658" width="12.7109375" style="142" bestFit="1" customWidth="1"/>
    <col min="6659" max="6659" width="17.7109375" style="142" customWidth="1"/>
    <col min="6660" max="6660" width="3.5703125" style="142" bestFit="1" customWidth="1"/>
    <col min="6661" max="6661" width="29.140625" style="142" bestFit="1" customWidth="1"/>
    <col min="6662" max="6662" width="9.28515625" style="142" bestFit="1" customWidth="1"/>
    <col min="6663" max="6663" width="12.85546875" style="142" customWidth="1"/>
    <col min="6664" max="6664" width="10.42578125" style="142" bestFit="1" customWidth="1"/>
    <col min="6665" max="6666" width="9.28515625" style="142" bestFit="1" customWidth="1"/>
    <col min="6667" max="6668" width="2.28515625" style="142" customWidth="1"/>
    <col min="6669" max="6669" width="10.85546875" style="142" bestFit="1" customWidth="1"/>
    <col min="6670" max="6671" width="9.140625" style="142"/>
    <col min="6672" max="6672" width="11" style="142" bestFit="1" customWidth="1"/>
    <col min="6673" max="6912" width="9.140625" style="142"/>
    <col min="6913" max="6913" width="2" style="142" customWidth="1"/>
    <col min="6914" max="6914" width="12.7109375" style="142" bestFit="1" customWidth="1"/>
    <col min="6915" max="6915" width="17.7109375" style="142" customWidth="1"/>
    <col min="6916" max="6916" width="3.5703125" style="142" bestFit="1" customWidth="1"/>
    <col min="6917" max="6917" width="29.140625" style="142" bestFit="1" customWidth="1"/>
    <col min="6918" max="6918" width="9.28515625" style="142" bestFit="1" customWidth="1"/>
    <col min="6919" max="6919" width="12.85546875" style="142" customWidth="1"/>
    <col min="6920" max="6920" width="10.42578125" style="142" bestFit="1" customWidth="1"/>
    <col min="6921" max="6922" width="9.28515625" style="142" bestFit="1" customWidth="1"/>
    <col min="6923" max="6924" width="2.28515625" style="142" customWidth="1"/>
    <col min="6925" max="6925" width="10.85546875" style="142" bestFit="1" customWidth="1"/>
    <col min="6926" max="6927" width="9.140625" style="142"/>
    <col min="6928" max="6928" width="11" style="142" bestFit="1" customWidth="1"/>
    <col min="6929" max="7168" width="9.140625" style="142"/>
    <col min="7169" max="7169" width="2" style="142" customWidth="1"/>
    <col min="7170" max="7170" width="12.7109375" style="142" bestFit="1" customWidth="1"/>
    <col min="7171" max="7171" width="17.7109375" style="142" customWidth="1"/>
    <col min="7172" max="7172" width="3.5703125" style="142" bestFit="1" customWidth="1"/>
    <col min="7173" max="7173" width="29.140625" style="142" bestFit="1" customWidth="1"/>
    <col min="7174" max="7174" width="9.28515625" style="142" bestFit="1" customWidth="1"/>
    <col min="7175" max="7175" width="12.85546875" style="142" customWidth="1"/>
    <col min="7176" max="7176" width="10.42578125" style="142" bestFit="1" customWidth="1"/>
    <col min="7177" max="7178" width="9.28515625" style="142" bestFit="1" customWidth="1"/>
    <col min="7179" max="7180" width="2.28515625" style="142" customWidth="1"/>
    <col min="7181" max="7181" width="10.85546875" style="142" bestFit="1" customWidth="1"/>
    <col min="7182" max="7183" width="9.140625" style="142"/>
    <col min="7184" max="7184" width="11" style="142" bestFit="1" customWidth="1"/>
    <col min="7185" max="7424" width="9.140625" style="142"/>
    <col min="7425" max="7425" width="2" style="142" customWidth="1"/>
    <col min="7426" max="7426" width="12.7109375" style="142" bestFit="1" customWidth="1"/>
    <col min="7427" max="7427" width="17.7109375" style="142" customWidth="1"/>
    <col min="7428" max="7428" width="3.5703125" style="142" bestFit="1" customWidth="1"/>
    <col min="7429" max="7429" width="29.140625" style="142" bestFit="1" customWidth="1"/>
    <col min="7430" max="7430" width="9.28515625" style="142" bestFit="1" customWidth="1"/>
    <col min="7431" max="7431" width="12.85546875" style="142" customWidth="1"/>
    <col min="7432" max="7432" width="10.42578125" style="142" bestFit="1" customWidth="1"/>
    <col min="7433" max="7434" width="9.28515625" style="142" bestFit="1" customWidth="1"/>
    <col min="7435" max="7436" width="2.28515625" style="142" customWidth="1"/>
    <col min="7437" max="7437" width="10.85546875" style="142" bestFit="1" customWidth="1"/>
    <col min="7438" max="7439" width="9.140625" style="142"/>
    <col min="7440" max="7440" width="11" style="142" bestFit="1" customWidth="1"/>
    <col min="7441" max="7680" width="9.140625" style="142"/>
    <col min="7681" max="7681" width="2" style="142" customWidth="1"/>
    <col min="7682" max="7682" width="12.7109375" style="142" bestFit="1" customWidth="1"/>
    <col min="7683" max="7683" width="17.7109375" style="142" customWidth="1"/>
    <col min="7684" max="7684" width="3.5703125" style="142" bestFit="1" customWidth="1"/>
    <col min="7685" max="7685" width="29.140625" style="142" bestFit="1" customWidth="1"/>
    <col min="7686" max="7686" width="9.28515625" style="142" bestFit="1" customWidth="1"/>
    <col min="7687" max="7687" width="12.85546875" style="142" customWidth="1"/>
    <col min="7688" max="7688" width="10.42578125" style="142" bestFit="1" customWidth="1"/>
    <col min="7689" max="7690" width="9.28515625" style="142" bestFit="1" customWidth="1"/>
    <col min="7691" max="7692" width="2.28515625" style="142" customWidth="1"/>
    <col min="7693" max="7693" width="10.85546875" style="142" bestFit="1" customWidth="1"/>
    <col min="7694" max="7695" width="9.140625" style="142"/>
    <col min="7696" max="7696" width="11" style="142" bestFit="1" customWidth="1"/>
    <col min="7697" max="7936" width="9.140625" style="142"/>
    <col min="7937" max="7937" width="2" style="142" customWidth="1"/>
    <col min="7938" max="7938" width="12.7109375" style="142" bestFit="1" customWidth="1"/>
    <col min="7939" max="7939" width="17.7109375" style="142" customWidth="1"/>
    <col min="7940" max="7940" width="3.5703125" style="142" bestFit="1" customWidth="1"/>
    <col min="7941" max="7941" width="29.140625" style="142" bestFit="1" customWidth="1"/>
    <col min="7942" max="7942" width="9.28515625" style="142" bestFit="1" customWidth="1"/>
    <col min="7943" max="7943" width="12.85546875" style="142" customWidth="1"/>
    <col min="7944" max="7944" width="10.42578125" style="142" bestFit="1" customWidth="1"/>
    <col min="7945" max="7946" width="9.28515625" style="142" bestFit="1" customWidth="1"/>
    <col min="7947" max="7948" width="2.28515625" style="142" customWidth="1"/>
    <col min="7949" max="7949" width="10.85546875" style="142" bestFit="1" customWidth="1"/>
    <col min="7950" max="7951" width="9.140625" style="142"/>
    <col min="7952" max="7952" width="11" style="142" bestFit="1" customWidth="1"/>
    <col min="7953" max="8192" width="9.140625" style="142"/>
    <col min="8193" max="8193" width="2" style="142" customWidth="1"/>
    <col min="8194" max="8194" width="12.7109375" style="142" bestFit="1" customWidth="1"/>
    <col min="8195" max="8195" width="17.7109375" style="142" customWidth="1"/>
    <col min="8196" max="8196" width="3.5703125" style="142" bestFit="1" customWidth="1"/>
    <col min="8197" max="8197" width="29.140625" style="142" bestFit="1" customWidth="1"/>
    <col min="8198" max="8198" width="9.28515625" style="142" bestFit="1" customWidth="1"/>
    <col min="8199" max="8199" width="12.85546875" style="142" customWidth="1"/>
    <col min="8200" max="8200" width="10.42578125" style="142" bestFit="1" customWidth="1"/>
    <col min="8201" max="8202" width="9.28515625" style="142" bestFit="1" customWidth="1"/>
    <col min="8203" max="8204" width="2.28515625" style="142" customWidth="1"/>
    <col min="8205" max="8205" width="10.85546875" style="142" bestFit="1" customWidth="1"/>
    <col min="8206" max="8207" width="9.140625" style="142"/>
    <col min="8208" max="8208" width="11" style="142" bestFit="1" customWidth="1"/>
    <col min="8209" max="8448" width="9.140625" style="142"/>
    <col min="8449" max="8449" width="2" style="142" customWidth="1"/>
    <col min="8450" max="8450" width="12.7109375" style="142" bestFit="1" customWidth="1"/>
    <col min="8451" max="8451" width="17.7109375" style="142" customWidth="1"/>
    <col min="8452" max="8452" width="3.5703125" style="142" bestFit="1" customWidth="1"/>
    <col min="8453" max="8453" width="29.140625" style="142" bestFit="1" customWidth="1"/>
    <col min="8454" max="8454" width="9.28515625" style="142" bestFit="1" customWidth="1"/>
    <col min="8455" max="8455" width="12.85546875" style="142" customWidth="1"/>
    <col min="8456" max="8456" width="10.42578125" style="142" bestFit="1" customWidth="1"/>
    <col min="8457" max="8458" width="9.28515625" style="142" bestFit="1" customWidth="1"/>
    <col min="8459" max="8460" width="2.28515625" style="142" customWidth="1"/>
    <col min="8461" max="8461" width="10.85546875" style="142" bestFit="1" customWidth="1"/>
    <col min="8462" max="8463" width="9.140625" style="142"/>
    <col min="8464" max="8464" width="11" style="142" bestFit="1" customWidth="1"/>
    <col min="8465" max="8704" width="9.140625" style="142"/>
    <col min="8705" max="8705" width="2" style="142" customWidth="1"/>
    <col min="8706" max="8706" width="12.7109375" style="142" bestFit="1" customWidth="1"/>
    <col min="8707" max="8707" width="17.7109375" style="142" customWidth="1"/>
    <col min="8708" max="8708" width="3.5703125" style="142" bestFit="1" customWidth="1"/>
    <col min="8709" max="8709" width="29.140625" style="142" bestFit="1" customWidth="1"/>
    <col min="8710" max="8710" width="9.28515625" style="142" bestFit="1" customWidth="1"/>
    <col min="8711" max="8711" width="12.85546875" style="142" customWidth="1"/>
    <col min="8712" max="8712" width="10.42578125" style="142" bestFit="1" customWidth="1"/>
    <col min="8713" max="8714" width="9.28515625" style="142" bestFit="1" customWidth="1"/>
    <col min="8715" max="8716" width="2.28515625" style="142" customWidth="1"/>
    <col min="8717" max="8717" width="10.85546875" style="142" bestFit="1" customWidth="1"/>
    <col min="8718" max="8719" width="9.140625" style="142"/>
    <col min="8720" max="8720" width="11" style="142" bestFit="1" customWidth="1"/>
    <col min="8721" max="8960" width="9.140625" style="142"/>
    <col min="8961" max="8961" width="2" style="142" customWidth="1"/>
    <col min="8962" max="8962" width="12.7109375" style="142" bestFit="1" customWidth="1"/>
    <col min="8963" max="8963" width="17.7109375" style="142" customWidth="1"/>
    <col min="8964" max="8964" width="3.5703125" style="142" bestFit="1" customWidth="1"/>
    <col min="8965" max="8965" width="29.140625" style="142" bestFit="1" customWidth="1"/>
    <col min="8966" max="8966" width="9.28515625" style="142" bestFit="1" customWidth="1"/>
    <col min="8967" max="8967" width="12.85546875" style="142" customWidth="1"/>
    <col min="8968" max="8968" width="10.42578125" style="142" bestFit="1" customWidth="1"/>
    <col min="8969" max="8970" width="9.28515625" style="142" bestFit="1" customWidth="1"/>
    <col min="8971" max="8972" width="2.28515625" style="142" customWidth="1"/>
    <col min="8973" max="8973" width="10.85546875" style="142" bestFit="1" customWidth="1"/>
    <col min="8974" max="8975" width="9.140625" style="142"/>
    <col min="8976" max="8976" width="11" style="142" bestFit="1" customWidth="1"/>
    <col min="8977" max="9216" width="9.140625" style="142"/>
    <col min="9217" max="9217" width="2" style="142" customWidth="1"/>
    <col min="9218" max="9218" width="12.7109375" style="142" bestFit="1" customWidth="1"/>
    <col min="9219" max="9219" width="17.7109375" style="142" customWidth="1"/>
    <col min="9220" max="9220" width="3.5703125" style="142" bestFit="1" customWidth="1"/>
    <col min="9221" max="9221" width="29.140625" style="142" bestFit="1" customWidth="1"/>
    <col min="9222" max="9222" width="9.28515625" style="142" bestFit="1" customWidth="1"/>
    <col min="9223" max="9223" width="12.85546875" style="142" customWidth="1"/>
    <col min="9224" max="9224" width="10.42578125" style="142" bestFit="1" customWidth="1"/>
    <col min="9225" max="9226" width="9.28515625" style="142" bestFit="1" customWidth="1"/>
    <col min="9227" max="9228" width="2.28515625" style="142" customWidth="1"/>
    <col min="9229" max="9229" width="10.85546875" style="142" bestFit="1" customWidth="1"/>
    <col min="9230" max="9231" width="9.140625" style="142"/>
    <col min="9232" max="9232" width="11" style="142" bestFit="1" customWidth="1"/>
    <col min="9233" max="9472" width="9.140625" style="142"/>
    <col min="9473" max="9473" width="2" style="142" customWidth="1"/>
    <col min="9474" max="9474" width="12.7109375" style="142" bestFit="1" customWidth="1"/>
    <col min="9475" max="9475" width="17.7109375" style="142" customWidth="1"/>
    <col min="9476" max="9476" width="3.5703125" style="142" bestFit="1" customWidth="1"/>
    <col min="9477" max="9477" width="29.140625" style="142" bestFit="1" customWidth="1"/>
    <col min="9478" max="9478" width="9.28515625" style="142" bestFit="1" customWidth="1"/>
    <col min="9479" max="9479" width="12.85546875" style="142" customWidth="1"/>
    <col min="9480" max="9480" width="10.42578125" style="142" bestFit="1" customWidth="1"/>
    <col min="9481" max="9482" width="9.28515625" style="142" bestFit="1" customWidth="1"/>
    <col min="9483" max="9484" width="2.28515625" style="142" customWidth="1"/>
    <col min="9485" max="9485" width="10.85546875" style="142" bestFit="1" customWidth="1"/>
    <col min="9486" max="9487" width="9.140625" style="142"/>
    <col min="9488" max="9488" width="11" style="142" bestFit="1" customWidth="1"/>
    <col min="9489" max="9728" width="9.140625" style="142"/>
    <col min="9729" max="9729" width="2" style="142" customWidth="1"/>
    <col min="9730" max="9730" width="12.7109375" style="142" bestFit="1" customWidth="1"/>
    <col min="9731" max="9731" width="17.7109375" style="142" customWidth="1"/>
    <col min="9732" max="9732" width="3.5703125" style="142" bestFit="1" customWidth="1"/>
    <col min="9733" max="9733" width="29.140625" style="142" bestFit="1" customWidth="1"/>
    <col min="9734" max="9734" width="9.28515625" style="142" bestFit="1" customWidth="1"/>
    <col min="9735" max="9735" width="12.85546875" style="142" customWidth="1"/>
    <col min="9736" max="9736" width="10.42578125" style="142" bestFit="1" customWidth="1"/>
    <col min="9737" max="9738" width="9.28515625" style="142" bestFit="1" customWidth="1"/>
    <col min="9739" max="9740" width="2.28515625" style="142" customWidth="1"/>
    <col min="9741" max="9741" width="10.85546875" style="142" bestFit="1" customWidth="1"/>
    <col min="9742" max="9743" width="9.140625" style="142"/>
    <col min="9744" max="9744" width="11" style="142" bestFit="1" customWidth="1"/>
    <col min="9745" max="9984" width="9.140625" style="142"/>
    <col min="9985" max="9985" width="2" style="142" customWidth="1"/>
    <col min="9986" max="9986" width="12.7109375" style="142" bestFit="1" customWidth="1"/>
    <col min="9987" max="9987" width="17.7109375" style="142" customWidth="1"/>
    <col min="9988" max="9988" width="3.5703125" style="142" bestFit="1" customWidth="1"/>
    <col min="9989" max="9989" width="29.140625" style="142" bestFit="1" customWidth="1"/>
    <col min="9990" max="9990" width="9.28515625" style="142" bestFit="1" customWidth="1"/>
    <col min="9991" max="9991" width="12.85546875" style="142" customWidth="1"/>
    <col min="9992" max="9992" width="10.42578125" style="142" bestFit="1" customWidth="1"/>
    <col min="9993" max="9994" width="9.28515625" style="142" bestFit="1" customWidth="1"/>
    <col min="9995" max="9996" width="2.28515625" style="142" customWidth="1"/>
    <col min="9997" max="9997" width="10.85546875" style="142" bestFit="1" customWidth="1"/>
    <col min="9998" max="9999" width="9.140625" style="142"/>
    <col min="10000" max="10000" width="11" style="142" bestFit="1" customWidth="1"/>
    <col min="10001" max="10240" width="9.140625" style="142"/>
    <col min="10241" max="10241" width="2" style="142" customWidth="1"/>
    <col min="10242" max="10242" width="12.7109375" style="142" bestFit="1" customWidth="1"/>
    <col min="10243" max="10243" width="17.7109375" style="142" customWidth="1"/>
    <col min="10244" max="10244" width="3.5703125" style="142" bestFit="1" customWidth="1"/>
    <col min="10245" max="10245" width="29.140625" style="142" bestFit="1" customWidth="1"/>
    <col min="10246" max="10246" width="9.28515625" style="142" bestFit="1" customWidth="1"/>
    <col min="10247" max="10247" width="12.85546875" style="142" customWidth="1"/>
    <col min="10248" max="10248" width="10.42578125" style="142" bestFit="1" customWidth="1"/>
    <col min="10249" max="10250" width="9.28515625" style="142" bestFit="1" customWidth="1"/>
    <col min="10251" max="10252" width="2.28515625" style="142" customWidth="1"/>
    <col min="10253" max="10253" width="10.85546875" style="142" bestFit="1" customWidth="1"/>
    <col min="10254" max="10255" width="9.140625" style="142"/>
    <col min="10256" max="10256" width="11" style="142" bestFit="1" customWidth="1"/>
    <col min="10257" max="10496" width="9.140625" style="142"/>
    <col min="10497" max="10497" width="2" style="142" customWidth="1"/>
    <col min="10498" max="10498" width="12.7109375" style="142" bestFit="1" customWidth="1"/>
    <col min="10499" max="10499" width="17.7109375" style="142" customWidth="1"/>
    <col min="10500" max="10500" width="3.5703125" style="142" bestFit="1" customWidth="1"/>
    <col min="10501" max="10501" width="29.140625" style="142" bestFit="1" customWidth="1"/>
    <col min="10502" max="10502" width="9.28515625" style="142" bestFit="1" customWidth="1"/>
    <col min="10503" max="10503" width="12.85546875" style="142" customWidth="1"/>
    <col min="10504" max="10504" width="10.42578125" style="142" bestFit="1" customWidth="1"/>
    <col min="10505" max="10506" width="9.28515625" style="142" bestFit="1" customWidth="1"/>
    <col min="10507" max="10508" width="2.28515625" style="142" customWidth="1"/>
    <col min="10509" max="10509" width="10.85546875" style="142" bestFit="1" customWidth="1"/>
    <col min="10510" max="10511" width="9.140625" style="142"/>
    <col min="10512" max="10512" width="11" style="142" bestFit="1" customWidth="1"/>
    <col min="10513" max="10752" width="9.140625" style="142"/>
    <col min="10753" max="10753" width="2" style="142" customWidth="1"/>
    <col min="10754" max="10754" width="12.7109375" style="142" bestFit="1" customWidth="1"/>
    <col min="10755" max="10755" width="17.7109375" style="142" customWidth="1"/>
    <col min="10756" max="10756" width="3.5703125" style="142" bestFit="1" customWidth="1"/>
    <col min="10757" max="10757" width="29.140625" style="142" bestFit="1" customWidth="1"/>
    <col min="10758" max="10758" width="9.28515625" style="142" bestFit="1" customWidth="1"/>
    <col min="10759" max="10759" width="12.85546875" style="142" customWidth="1"/>
    <col min="10760" max="10760" width="10.42578125" style="142" bestFit="1" customWidth="1"/>
    <col min="10761" max="10762" width="9.28515625" style="142" bestFit="1" customWidth="1"/>
    <col min="10763" max="10764" width="2.28515625" style="142" customWidth="1"/>
    <col min="10765" max="10765" width="10.85546875" style="142" bestFit="1" customWidth="1"/>
    <col min="10766" max="10767" width="9.140625" style="142"/>
    <col min="10768" max="10768" width="11" style="142" bestFit="1" customWidth="1"/>
    <col min="10769" max="11008" width="9.140625" style="142"/>
    <col min="11009" max="11009" width="2" style="142" customWidth="1"/>
    <col min="11010" max="11010" width="12.7109375" style="142" bestFit="1" customWidth="1"/>
    <col min="11011" max="11011" width="17.7109375" style="142" customWidth="1"/>
    <col min="11012" max="11012" width="3.5703125" style="142" bestFit="1" customWidth="1"/>
    <col min="11013" max="11013" width="29.140625" style="142" bestFit="1" customWidth="1"/>
    <col min="11014" max="11014" width="9.28515625" style="142" bestFit="1" customWidth="1"/>
    <col min="11015" max="11015" width="12.85546875" style="142" customWidth="1"/>
    <col min="11016" max="11016" width="10.42578125" style="142" bestFit="1" customWidth="1"/>
    <col min="11017" max="11018" width="9.28515625" style="142" bestFit="1" customWidth="1"/>
    <col min="11019" max="11020" width="2.28515625" style="142" customWidth="1"/>
    <col min="11021" max="11021" width="10.85546875" style="142" bestFit="1" customWidth="1"/>
    <col min="11022" max="11023" width="9.140625" style="142"/>
    <col min="11024" max="11024" width="11" style="142" bestFit="1" customWidth="1"/>
    <col min="11025" max="11264" width="9.140625" style="142"/>
    <col min="11265" max="11265" width="2" style="142" customWidth="1"/>
    <col min="11266" max="11266" width="12.7109375" style="142" bestFit="1" customWidth="1"/>
    <col min="11267" max="11267" width="17.7109375" style="142" customWidth="1"/>
    <col min="11268" max="11268" width="3.5703125" style="142" bestFit="1" customWidth="1"/>
    <col min="11269" max="11269" width="29.140625" style="142" bestFit="1" customWidth="1"/>
    <col min="11270" max="11270" width="9.28515625" style="142" bestFit="1" customWidth="1"/>
    <col min="11271" max="11271" width="12.85546875" style="142" customWidth="1"/>
    <col min="11272" max="11272" width="10.42578125" style="142" bestFit="1" customWidth="1"/>
    <col min="11273" max="11274" width="9.28515625" style="142" bestFit="1" customWidth="1"/>
    <col min="11275" max="11276" width="2.28515625" style="142" customWidth="1"/>
    <col min="11277" max="11277" width="10.85546875" style="142" bestFit="1" customWidth="1"/>
    <col min="11278" max="11279" width="9.140625" style="142"/>
    <col min="11280" max="11280" width="11" style="142" bestFit="1" customWidth="1"/>
    <col min="11281" max="11520" width="9.140625" style="142"/>
    <col min="11521" max="11521" width="2" style="142" customWidth="1"/>
    <col min="11522" max="11522" width="12.7109375" style="142" bestFit="1" customWidth="1"/>
    <col min="11523" max="11523" width="17.7109375" style="142" customWidth="1"/>
    <col min="11524" max="11524" width="3.5703125" style="142" bestFit="1" customWidth="1"/>
    <col min="11525" max="11525" width="29.140625" style="142" bestFit="1" customWidth="1"/>
    <col min="11526" max="11526" width="9.28515625" style="142" bestFit="1" customWidth="1"/>
    <col min="11527" max="11527" width="12.85546875" style="142" customWidth="1"/>
    <col min="11528" max="11528" width="10.42578125" style="142" bestFit="1" customWidth="1"/>
    <col min="11529" max="11530" width="9.28515625" style="142" bestFit="1" customWidth="1"/>
    <col min="11531" max="11532" width="2.28515625" style="142" customWidth="1"/>
    <col min="11533" max="11533" width="10.85546875" style="142" bestFit="1" customWidth="1"/>
    <col min="11534" max="11535" width="9.140625" style="142"/>
    <col min="11536" max="11536" width="11" style="142" bestFit="1" customWidth="1"/>
    <col min="11537" max="11776" width="9.140625" style="142"/>
    <col min="11777" max="11777" width="2" style="142" customWidth="1"/>
    <col min="11778" max="11778" width="12.7109375" style="142" bestFit="1" customWidth="1"/>
    <col min="11779" max="11779" width="17.7109375" style="142" customWidth="1"/>
    <col min="11780" max="11780" width="3.5703125" style="142" bestFit="1" customWidth="1"/>
    <col min="11781" max="11781" width="29.140625" style="142" bestFit="1" customWidth="1"/>
    <col min="11782" max="11782" width="9.28515625" style="142" bestFit="1" customWidth="1"/>
    <col min="11783" max="11783" width="12.85546875" style="142" customWidth="1"/>
    <col min="11784" max="11784" width="10.42578125" style="142" bestFit="1" customWidth="1"/>
    <col min="11785" max="11786" width="9.28515625" style="142" bestFit="1" customWidth="1"/>
    <col min="11787" max="11788" width="2.28515625" style="142" customWidth="1"/>
    <col min="11789" max="11789" width="10.85546875" style="142" bestFit="1" customWidth="1"/>
    <col min="11790" max="11791" width="9.140625" style="142"/>
    <col min="11792" max="11792" width="11" style="142" bestFit="1" customWidth="1"/>
    <col min="11793" max="12032" width="9.140625" style="142"/>
    <col min="12033" max="12033" width="2" style="142" customWidth="1"/>
    <col min="12034" max="12034" width="12.7109375" style="142" bestFit="1" customWidth="1"/>
    <col min="12035" max="12035" width="17.7109375" style="142" customWidth="1"/>
    <col min="12036" max="12036" width="3.5703125" style="142" bestFit="1" customWidth="1"/>
    <col min="12037" max="12037" width="29.140625" style="142" bestFit="1" customWidth="1"/>
    <col min="12038" max="12038" width="9.28515625" style="142" bestFit="1" customWidth="1"/>
    <col min="12039" max="12039" width="12.85546875" style="142" customWidth="1"/>
    <col min="12040" max="12040" width="10.42578125" style="142" bestFit="1" customWidth="1"/>
    <col min="12041" max="12042" width="9.28515625" style="142" bestFit="1" customWidth="1"/>
    <col min="12043" max="12044" width="2.28515625" style="142" customWidth="1"/>
    <col min="12045" max="12045" width="10.85546875" style="142" bestFit="1" customWidth="1"/>
    <col min="12046" max="12047" width="9.140625" style="142"/>
    <col min="12048" max="12048" width="11" style="142" bestFit="1" customWidth="1"/>
    <col min="12049" max="12288" width="9.140625" style="142"/>
    <col min="12289" max="12289" width="2" style="142" customWidth="1"/>
    <col min="12290" max="12290" width="12.7109375" style="142" bestFit="1" customWidth="1"/>
    <col min="12291" max="12291" width="17.7109375" style="142" customWidth="1"/>
    <col min="12292" max="12292" width="3.5703125" style="142" bestFit="1" customWidth="1"/>
    <col min="12293" max="12293" width="29.140625" style="142" bestFit="1" customWidth="1"/>
    <col min="12294" max="12294" width="9.28515625" style="142" bestFit="1" customWidth="1"/>
    <col min="12295" max="12295" width="12.85546875" style="142" customWidth="1"/>
    <col min="12296" max="12296" width="10.42578125" style="142" bestFit="1" customWidth="1"/>
    <col min="12297" max="12298" width="9.28515625" style="142" bestFit="1" customWidth="1"/>
    <col min="12299" max="12300" width="2.28515625" style="142" customWidth="1"/>
    <col min="12301" max="12301" width="10.85546875" style="142" bestFit="1" customWidth="1"/>
    <col min="12302" max="12303" width="9.140625" style="142"/>
    <col min="12304" max="12304" width="11" style="142" bestFit="1" customWidth="1"/>
    <col min="12305" max="12544" width="9.140625" style="142"/>
    <col min="12545" max="12545" width="2" style="142" customWidth="1"/>
    <col min="12546" max="12546" width="12.7109375" style="142" bestFit="1" customWidth="1"/>
    <col min="12547" max="12547" width="17.7109375" style="142" customWidth="1"/>
    <col min="12548" max="12548" width="3.5703125" style="142" bestFit="1" customWidth="1"/>
    <col min="12549" max="12549" width="29.140625" style="142" bestFit="1" customWidth="1"/>
    <col min="12550" max="12550" width="9.28515625" style="142" bestFit="1" customWidth="1"/>
    <col min="12551" max="12551" width="12.85546875" style="142" customWidth="1"/>
    <col min="12552" max="12552" width="10.42578125" style="142" bestFit="1" customWidth="1"/>
    <col min="12553" max="12554" width="9.28515625" style="142" bestFit="1" customWidth="1"/>
    <col min="12555" max="12556" width="2.28515625" style="142" customWidth="1"/>
    <col min="12557" max="12557" width="10.85546875" style="142" bestFit="1" customWidth="1"/>
    <col min="12558" max="12559" width="9.140625" style="142"/>
    <col min="12560" max="12560" width="11" style="142" bestFit="1" customWidth="1"/>
    <col min="12561" max="12800" width="9.140625" style="142"/>
    <col min="12801" max="12801" width="2" style="142" customWidth="1"/>
    <col min="12802" max="12802" width="12.7109375" style="142" bestFit="1" customWidth="1"/>
    <col min="12803" max="12803" width="17.7109375" style="142" customWidth="1"/>
    <col min="12804" max="12804" width="3.5703125" style="142" bestFit="1" customWidth="1"/>
    <col min="12805" max="12805" width="29.140625" style="142" bestFit="1" customWidth="1"/>
    <col min="12806" max="12806" width="9.28515625" style="142" bestFit="1" customWidth="1"/>
    <col min="12807" max="12807" width="12.85546875" style="142" customWidth="1"/>
    <col min="12808" max="12808" width="10.42578125" style="142" bestFit="1" customWidth="1"/>
    <col min="12809" max="12810" width="9.28515625" style="142" bestFit="1" customWidth="1"/>
    <col min="12811" max="12812" width="2.28515625" style="142" customWidth="1"/>
    <col min="12813" max="12813" width="10.85546875" style="142" bestFit="1" customWidth="1"/>
    <col min="12814" max="12815" width="9.140625" style="142"/>
    <col min="12816" max="12816" width="11" style="142" bestFit="1" customWidth="1"/>
    <col min="12817" max="13056" width="9.140625" style="142"/>
    <col min="13057" max="13057" width="2" style="142" customWidth="1"/>
    <col min="13058" max="13058" width="12.7109375" style="142" bestFit="1" customWidth="1"/>
    <col min="13059" max="13059" width="17.7109375" style="142" customWidth="1"/>
    <col min="13060" max="13060" width="3.5703125" style="142" bestFit="1" customWidth="1"/>
    <col min="13061" max="13061" width="29.140625" style="142" bestFit="1" customWidth="1"/>
    <col min="13062" max="13062" width="9.28515625" style="142" bestFit="1" customWidth="1"/>
    <col min="13063" max="13063" width="12.85546875" style="142" customWidth="1"/>
    <col min="13064" max="13064" width="10.42578125" style="142" bestFit="1" customWidth="1"/>
    <col min="13065" max="13066" width="9.28515625" style="142" bestFit="1" customWidth="1"/>
    <col min="13067" max="13068" width="2.28515625" style="142" customWidth="1"/>
    <col min="13069" max="13069" width="10.85546875" style="142" bestFit="1" customWidth="1"/>
    <col min="13070" max="13071" width="9.140625" style="142"/>
    <col min="13072" max="13072" width="11" style="142" bestFit="1" customWidth="1"/>
    <col min="13073" max="13312" width="9.140625" style="142"/>
    <col min="13313" max="13313" width="2" style="142" customWidth="1"/>
    <col min="13314" max="13314" width="12.7109375" style="142" bestFit="1" customWidth="1"/>
    <col min="13315" max="13315" width="17.7109375" style="142" customWidth="1"/>
    <col min="13316" max="13316" width="3.5703125" style="142" bestFit="1" customWidth="1"/>
    <col min="13317" max="13317" width="29.140625" style="142" bestFit="1" customWidth="1"/>
    <col min="13318" max="13318" width="9.28515625" style="142" bestFit="1" customWidth="1"/>
    <col min="13319" max="13319" width="12.85546875" style="142" customWidth="1"/>
    <col min="13320" max="13320" width="10.42578125" style="142" bestFit="1" customWidth="1"/>
    <col min="13321" max="13322" width="9.28515625" style="142" bestFit="1" customWidth="1"/>
    <col min="13323" max="13324" width="2.28515625" style="142" customWidth="1"/>
    <col min="13325" max="13325" width="10.85546875" style="142" bestFit="1" customWidth="1"/>
    <col min="13326" max="13327" width="9.140625" style="142"/>
    <col min="13328" max="13328" width="11" style="142" bestFit="1" customWidth="1"/>
    <col min="13329" max="13568" width="9.140625" style="142"/>
    <col min="13569" max="13569" width="2" style="142" customWidth="1"/>
    <col min="13570" max="13570" width="12.7109375" style="142" bestFit="1" customWidth="1"/>
    <col min="13571" max="13571" width="17.7109375" style="142" customWidth="1"/>
    <col min="13572" max="13572" width="3.5703125" style="142" bestFit="1" customWidth="1"/>
    <col min="13573" max="13573" width="29.140625" style="142" bestFit="1" customWidth="1"/>
    <col min="13574" max="13574" width="9.28515625" style="142" bestFit="1" customWidth="1"/>
    <col min="13575" max="13575" width="12.85546875" style="142" customWidth="1"/>
    <col min="13576" max="13576" width="10.42578125" style="142" bestFit="1" customWidth="1"/>
    <col min="13577" max="13578" width="9.28515625" style="142" bestFit="1" customWidth="1"/>
    <col min="13579" max="13580" width="2.28515625" style="142" customWidth="1"/>
    <col min="13581" max="13581" width="10.85546875" style="142" bestFit="1" customWidth="1"/>
    <col min="13582" max="13583" width="9.140625" style="142"/>
    <col min="13584" max="13584" width="11" style="142" bestFit="1" customWidth="1"/>
    <col min="13585" max="13824" width="9.140625" style="142"/>
    <col min="13825" max="13825" width="2" style="142" customWidth="1"/>
    <col min="13826" max="13826" width="12.7109375" style="142" bestFit="1" customWidth="1"/>
    <col min="13827" max="13827" width="17.7109375" style="142" customWidth="1"/>
    <col min="13828" max="13828" width="3.5703125" style="142" bestFit="1" customWidth="1"/>
    <col min="13829" max="13829" width="29.140625" style="142" bestFit="1" customWidth="1"/>
    <col min="13830" max="13830" width="9.28515625" style="142" bestFit="1" customWidth="1"/>
    <col min="13831" max="13831" width="12.85546875" style="142" customWidth="1"/>
    <col min="13832" max="13832" width="10.42578125" style="142" bestFit="1" customWidth="1"/>
    <col min="13833" max="13834" width="9.28515625" style="142" bestFit="1" customWidth="1"/>
    <col min="13835" max="13836" width="2.28515625" style="142" customWidth="1"/>
    <col min="13837" max="13837" width="10.85546875" style="142" bestFit="1" customWidth="1"/>
    <col min="13838" max="13839" width="9.140625" style="142"/>
    <col min="13840" max="13840" width="11" style="142" bestFit="1" customWidth="1"/>
    <col min="13841" max="14080" width="9.140625" style="142"/>
    <col min="14081" max="14081" width="2" style="142" customWidth="1"/>
    <col min="14082" max="14082" width="12.7109375" style="142" bestFit="1" customWidth="1"/>
    <col min="14083" max="14083" width="17.7109375" style="142" customWidth="1"/>
    <col min="14084" max="14084" width="3.5703125" style="142" bestFit="1" customWidth="1"/>
    <col min="14085" max="14085" width="29.140625" style="142" bestFit="1" customWidth="1"/>
    <col min="14086" max="14086" width="9.28515625" style="142" bestFit="1" customWidth="1"/>
    <col min="14087" max="14087" width="12.85546875" style="142" customWidth="1"/>
    <col min="14088" max="14088" width="10.42578125" style="142" bestFit="1" customWidth="1"/>
    <col min="14089" max="14090" width="9.28515625" style="142" bestFit="1" customWidth="1"/>
    <col min="14091" max="14092" width="2.28515625" style="142" customWidth="1"/>
    <col min="14093" max="14093" width="10.85546875" style="142" bestFit="1" customWidth="1"/>
    <col min="14094" max="14095" width="9.140625" style="142"/>
    <col min="14096" max="14096" width="11" style="142" bestFit="1" customWidth="1"/>
    <col min="14097" max="14336" width="9.140625" style="142"/>
    <col min="14337" max="14337" width="2" style="142" customWidth="1"/>
    <col min="14338" max="14338" width="12.7109375" style="142" bestFit="1" customWidth="1"/>
    <col min="14339" max="14339" width="17.7109375" style="142" customWidth="1"/>
    <col min="14340" max="14340" width="3.5703125" style="142" bestFit="1" customWidth="1"/>
    <col min="14341" max="14341" width="29.140625" style="142" bestFit="1" customWidth="1"/>
    <col min="14342" max="14342" width="9.28515625" style="142" bestFit="1" customWidth="1"/>
    <col min="14343" max="14343" width="12.85546875" style="142" customWidth="1"/>
    <col min="14344" max="14344" width="10.42578125" style="142" bestFit="1" customWidth="1"/>
    <col min="14345" max="14346" width="9.28515625" style="142" bestFit="1" customWidth="1"/>
    <col min="14347" max="14348" width="2.28515625" style="142" customWidth="1"/>
    <col min="14349" max="14349" width="10.85546875" style="142" bestFit="1" customWidth="1"/>
    <col min="14350" max="14351" width="9.140625" style="142"/>
    <col min="14352" max="14352" width="11" style="142" bestFit="1" customWidth="1"/>
    <col min="14353" max="14592" width="9.140625" style="142"/>
    <col min="14593" max="14593" width="2" style="142" customWidth="1"/>
    <col min="14594" max="14594" width="12.7109375" style="142" bestFit="1" customWidth="1"/>
    <col min="14595" max="14595" width="17.7109375" style="142" customWidth="1"/>
    <col min="14596" max="14596" width="3.5703125" style="142" bestFit="1" customWidth="1"/>
    <col min="14597" max="14597" width="29.140625" style="142" bestFit="1" customWidth="1"/>
    <col min="14598" max="14598" width="9.28515625" style="142" bestFit="1" customWidth="1"/>
    <col min="14599" max="14599" width="12.85546875" style="142" customWidth="1"/>
    <col min="14600" max="14600" width="10.42578125" style="142" bestFit="1" customWidth="1"/>
    <col min="14601" max="14602" width="9.28515625" style="142" bestFit="1" customWidth="1"/>
    <col min="14603" max="14604" width="2.28515625" style="142" customWidth="1"/>
    <col min="14605" max="14605" width="10.85546875" style="142" bestFit="1" customWidth="1"/>
    <col min="14606" max="14607" width="9.140625" style="142"/>
    <col min="14608" max="14608" width="11" style="142" bestFit="1" customWidth="1"/>
    <col min="14609" max="14848" width="9.140625" style="142"/>
    <col min="14849" max="14849" width="2" style="142" customWidth="1"/>
    <col min="14850" max="14850" width="12.7109375" style="142" bestFit="1" customWidth="1"/>
    <col min="14851" max="14851" width="17.7109375" style="142" customWidth="1"/>
    <col min="14852" max="14852" width="3.5703125" style="142" bestFit="1" customWidth="1"/>
    <col min="14853" max="14853" width="29.140625" style="142" bestFit="1" customWidth="1"/>
    <col min="14854" max="14854" width="9.28515625" style="142" bestFit="1" customWidth="1"/>
    <col min="14855" max="14855" width="12.85546875" style="142" customWidth="1"/>
    <col min="14856" max="14856" width="10.42578125" style="142" bestFit="1" customWidth="1"/>
    <col min="14857" max="14858" width="9.28515625" style="142" bestFit="1" customWidth="1"/>
    <col min="14859" max="14860" width="2.28515625" style="142" customWidth="1"/>
    <col min="14861" max="14861" width="10.85546875" style="142" bestFit="1" customWidth="1"/>
    <col min="14862" max="14863" width="9.140625" style="142"/>
    <col min="14864" max="14864" width="11" style="142" bestFit="1" customWidth="1"/>
    <col min="14865" max="15104" width="9.140625" style="142"/>
    <col min="15105" max="15105" width="2" style="142" customWidth="1"/>
    <col min="15106" max="15106" width="12.7109375" style="142" bestFit="1" customWidth="1"/>
    <col min="15107" max="15107" width="17.7109375" style="142" customWidth="1"/>
    <col min="15108" max="15108" width="3.5703125" style="142" bestFit="1" customWidth="1"/>
    <col min="15109" max="15109" width="29.140625" style="142" bestFit="1" customWidth="1"/>
    <col min="15110" max="15110" width="9.28515625" style="142" bestFit="1" customWidth="1"/>
    <col min="15111" max="15111" width="12.85546875" style="142" customWidth="1"/>
    <col min="15112" max="15112" width="10.42578125" style="142" bestFit="1" customWidth="1"/>
    <col min="15113" max="15114" width="9.28515625" style="142" bestFit="1" customWidth="1"/>
    <col min="15115" max="15116" width="2.28515625" style="142" customWidth="1"/>
    <col min="15117" max="15117" width="10.85546875" style="142" bestFit="1" customWidth="1"/>
    <col min="15118" max="15119" width="9.140625" style="142"/>
    <col min="15120" max="15120" width="11" style="142" bestFit="1" customWidth="1"/>
    <col min="15121" max="15360" width="9.140625" style="142"/>
    <col min="15361" max="15361" width="2" style="142" customWidth="1"/>
    <col min="15362" max="15362" width="12.7109375" style="142" bestFit="1" customWidth="1"/>
    <col min="15363" max="15363" width="17.7109375" style="142" customWidth="1"/>
    <col min="15364" max="15364" width="3.5703125" style="142" bestFit="1" customWidth="1"/>
    <col min="15365" max="15365" width="29.140625" style="142" bestFit="1" customWidth="1"/>
    <col min="15366" max="15366" width="9.28515625" style="142" bestFit="1" customWidth="1"/>
    <col min="15367" max="15367" width="12.85546875" style="142" customWidth="1"/>
    <col min="15368" max="15368" width="10.42578125" style="142" bestFit="1" customWidth="1"/>
    <col min="15369" max="15370" width="9.28515625" style="142" bestFit="1" customWidth="1"/>
    <col min="15371" max="15372" width="2.28515625" style="142" customWidth="1"/>
    <col min="15373" max="15373" width="10.85546875" style="142" bestFit="1" customWidth="1"/>
    <col min="15374" max="15375" width="9.140625" style="142"/>
    <col min="15376" max="15376" width="11" style="142" bestFit="1" customWidth="1"/>
    <col min="15377" max="15616" width="9.140625" style="142"/>
    <col min="15617" max="15617" width="2" style="142" customWidth="1"/>
    <col min="15618" max="15618" width="12.7109375" style="142" bestFit="1" customWidth="1"/>
    <col min="15619" max="15619" width="17.7109375" style="142" customWidth="1"/>
    <col min="15620" max="15620" width="3.5703125" style="142" bestFit="1" customWidth="1"/>
    <col min="15621" max="15621" width="29.140625" style="142" bestFit="1" customWidth="1"/>
    <col min="15622" max="15622" width="9.28515625" style="142" bestFit="1" customWidth="1"/>
    <col min="15623" max="15623" width="12.85546875" style="142" customWidth="1"/>
    <col min="15624" max="15624" width="10.42578125" style="142" bestFit="1" customWidth="1"/>
    <col min="15625" max="15626" width="9.28515625" style="142" bestFit="1" customWidth="1"/>
    <col min="15627" max="15628" width="2.28515625" style="142" customWidth="1"/>
    <col min="15629" max="15629" width="10.85546875" style="142" bestFit="1" customWidth="1"/>
    <col min="15630" max="15631" width="9.140625" style="142"/>
    <col min="15632" max="15632" width="11" style="142" bestFit="1" customWidth="1"/>
    <col min="15633" max="15872" width="9.140625" style="142"/>
    <col min="15873" max="15873" width="2" style="142" customWidth="1"/>
    <col min="15874" max="15874" width="12.7109375" style="142" bestFit="1" customWidth="1"/>
    <col min="15875" max="15875" width="17.7109375" style="142" customWidth="1"/>
    <col min="15876" max="15876" width="3.5703125" style="142" bestFit="1" customWidth="1"/>
    <col min="15877" max="15877" width="29.140625" style="142" bestFit="1" customWidth="1"/>
    <col min="15878" max="15878" width="9.28515625" style="142" bestFit="1" customWidth="1"/>
    <col min="15879" max="15879" width="12.85546875" style="142" customWidth="1"/>
    <col min="15880" max="15880" width="10.42578125" style="142" bestFit="1" customWidth="1"/>
    <col min="15881" max="15882" width="9.28515625" style="142" bestFit="1" customWidth="1"/>
    <col min="15883" max="15884" width="2.28515625" style="142" customWidth="1"/>
    <col min="15885" max="15885" width="10.85546875" style="142" bestFit="1" customWidth="1"/>
    <col min="15886" max="15887" width="9.140625" style="142"/>
    <col min="15888" max="15888" width="11" style="142" bestFit="1" customWidth="1"/>
    <col min="15889" max="16128" width="9.140625" style="142"/>
    <col min="16129" max="16129" width="2" style="142" customWidth="1"/>
    <col min="16130" max="16130" width="12.7109375" style="142" bestFit="1" customWidth="1"/>
    <col min="16131" max="16131" width="17.7109375" style="142" customWidth="1"/>
    <col min="16132" max="16132" width="3.5703125" style="142" bestFit="1" customWidth="1"/>
    <col min="16133" max="16133" width="29.140625" style="142" bestFit="1" customWidth="1"/>
    <col min="16134" max="16134" width="9.28515625" style="142" bestFit="1" customWidth="1"/>
    <col min="16135" max="16135" width="12.85546875" style="142" customWidth="1"/>
    <col min="16136" max="16136" width="10.42578125" style="142" bestFit="1" customWidth="1"/>
    <col min="16137" max="16138" width="9.28515625" style="142" bestFit="1" customWidth="1"/>
    <col min="16139" max="16140" width="2.28515625" style="142" customWidth="1"/>
    <col min="16141" max="16141" width="10.85546875" style="142" bestFit="1" customWidth="1"/>
    <col min="16142" max="16143" width="9.140625" style="142"/>
    <col min="16144" max="16144" width="11" style="142" bestFit="1" customWidth="1"/>
    <col min="16145" max="16384" width="9.140625" style="142"/>
  </cols>
  <sheetData>
    <row r="1" spans="1:10">
      <c r="B1" s="140">
        <f>+'[2]01'!B1:J1</f>
        <v>46174</v>
      </c>
      <c r="C1" s="141"/>
      <c r="D1" s="141"/>
      <c r="E1" s="141"/>
      <c r="F1" s="141"/>
      <c r="G1" s="141"/>
      <c r="H1" s="141"/>
      <c r="I1" s="141"/>
      <c r="J1" s="141"/>
    </row>
    <row r="2" spans="1:10">
      <c r="B2" s="143">
        <f>+'[2]08'!B2+1</f>
        <v>46182</v>
      </c>
    </row>
    <row r="3" spans="1:10" ht="15" customHeight="1">
      <c r="A3" s="144"/>
      <c r="B3" s="145" t="s">
        <v>83</v>
      </c>
      <c r="C3" s="145" t="s">
        <v>84</v>
      </c>
      <c r="D3" s="145" t="s">
        <v>85</v>
      </c>
      <c r="E3" s="145" t="s">
        <v>86</v>
      </c>
      <c r="F3" s="145" t="s">
        <v>87</v>
      </c>
      <c r="G3" s="145" t="s">
        <v>88</v>
      </c>
      <c r="H3" s="145" t="s">
        <v>89</v>
      </c>
      <c r="I3" s="145" t="s">
        <v>90</v>
      </c>
      <c r="J3" s="145" t="s">
        <v>91</v>
      </c>
    </row>
    <row r="4" spans="1:10">
      <c r="A4" s="144"/>
      <c r="B4" s="146">
        <v>0.01</v>
      </c>
      <c r="C4" s="147" t="s">
        <v>92</v>
      </c>
      <c r="D4" s="148">
        <v>1</v>
      </c>
      <c r="E4" s="148" t="s">
        <v>93</v>
      </c>
      <c r="F4" s="149"/>
      <c r="G4" s="150">
        <f>2977+25</f>
        <v>3002</v>
      </c>
      <c r="H4" s="149">
        <f>G4+F4</f>
        <v>3002</v>
      </c>
      <c r="I4" s="151">
        <f t="shared" ref="I4:I9" si="0">(H4-G4)/H4</f>
        <v>0</v>
      </c>
      <c r="J4" s="152">
        <f>G4/H4</f>
        <v>1</v>
      </c>
    </row>
    <row r="5" spans="1:10">
      <c r="A5" s="144"/>
      <c r="B5" s="146"/>
      <c r="C5" s="147"/>
      <c r="D5" s="148">
        <v>2</v>
      </c>
      <c r="E5" s="148" t="s">
        <v>94</v>
      </c>
      <c r="F5" s="149">
        <v>5</v>
      </c>
      <c r="G5" s="150">
        <f>G4</f>
        <v>3002</v>
      </c>
      <c r="H5" s="149">
        <f>G5+F5</f>
        <v>3007</v>
      </c>
      <c r="I5" s="152">
        <f t="shared" si="0"/>
        <v>1.6627868307283007E-3</v>
      </c>
      <c r="J5" s="152">
        <f>G5/H5</f>
        <v>0.99833721316927171</v>
      </c>
    </row>
    <row r="6" spans="1:10">
      <c r="A6" s="144"/>
      <c r="B6" s="147"/>
      <c r="C6" s="147"/>
      <c r="D6" s="148">
        <v>3</v>
      </c>
      <c r="E6" s="148" t="s">
        <v>95</v>
      </c>
      <c r="F6" s="149">
        <v>14</v>
      </c>
      <c r="G6" s="150">
        <f>G4</f>
        <v>3002</v>
      </c>
      <c r="H6" s="149">
        <f>$G$4+F6</f>
        <v>3016</v>
      </c>
      <c r="I6" s="152">
        <f t="shared" si="0"/>
        <v>4.6419098143236073E-3</v>
      </c>
      <c r="J6" s="152">
        <f>$G$4/H6</f>
        <v>0.99535809018567645</v>
      </c>
    </row>
    <row r="7" spans="1:10">
      <c r="A7" s="153"/>
      <c r="B7" s="147"/>
      <c r="C7" s="147"/>
      <c r="D7" s="148">
        <v>4</v>
      </c>
      <c r="E7" s="148" t="s">
        <v>96</v>
      </c>
      <c r="F7" s="149"/>
      <c r="G7" s="150">
        <f>G6</f>
        <v>3002</v>
      </c>
      <c r="H7" s="149">
        <f>$G$4+F7</f>
        <v>3002</v>
      </c>
      <c r="I7" s="152">
        <f t="shared" si="0"/>
        <v>0</v>
      </c>
      <c r="J7" s="152">
        <f>$G$4/H7</f>
        <v>1</v>
      </c>
    </row>
    <row r="8" spans="1:10">
      <c r="A8" s="153"/>
      <c r="B8" s="147"/>
      <c r="C8" s="147"/>
      <c r="D8" s="148">
        <v>5</v>
      </c>
      <c r="E8" s="148" t="s">
        <v>97</v>
      </c>
      <c r="F8" s="149">
        <v>6</v>
      </c>
      <c r="G8" s="150">
        <f>G7</f>
        <v>3002</v>
      </c>
      <c r="H8" s="149">
        <f>$G$4+F8</f>
        <v>3008</v>
      </c>
      <c r="I8" s="152">
        <f t="shared" si="0"/>
        <v>1.9946808510638296E-3</v>
      </c>
      <c r="J8" s="152">
        <f>$G$4/H8</f>
        <v>0.9980053191489362</v>
      </c>
    </row>
    <row r="9" spans="1:10">
      <c r="A9" s="153"/>
      <c r="B9" s="147"/>
      <c r="C9" s="147"/>
      <c r="D9" s="148">
        <v>6</v>
      </c>
      <c r="E9" s="148" t="s">
        <v>98</v>
      </c>
      <c r="F9" s="149"/>
      <c r="G9" s="150">
        <f>G8</f>
        <v>3002</v>
      </c>
      <c r="H9" s="149">
        <f>$G$4+F9</f>
        <v>3002</v>
      </c>
      <c r="I9" s="152">
        <f t="shared" si="0"/>
        <v>0</v>
      </c>
      <c r="J9" s="152">
        <f>$G$4/H9</f>
        <v>1</v>
      </c>
    </row>
    <row r="10" spans="1:10">
      <c r="A10" s="153"/>
      <c r="D10" s="154" t="s">
        <v>99</v>
      </c>
      <c r="E10" s="154"/>
      <c r="F10" s="155">
        <f>SUM(F4:F9)</f>
        <v>25</v>
      </c>
      <c r="G10" s="155">
        <f>G4</f>
        <v>3002</v>
      </c>
      <c r="H10" s="155">
        <f>G10+F10</f>
        <v>3027</v>
      </c>
      <c r="I10" s="156">
        <f>(H10-G4)/H10</f>
        <v>8.2590023125206479E-3</v>
      </c>
      <c r="J10" s="156">
        <f>G4/H10</f>
        <v>0.99174099768747936</v>
      </c>
    </row>
    <row r="11" spans="1:10">
      <c r="A11" s="153"/>
      <c r="B11" s="143"/>
    </row>
    <row r="12" spans="1:10">
      <c r="A12" s="153"/>
      <c r="B12" s="145" t="s">
        <v>83</v>
      </c>
      <c r="C12" s="145" t="s">
        <v>84</v>
      </c>
      <c r="D12" s="145" t="s">
        <v>85</v>
      </c>
      <c r="E12" s="145" t="s">
        <v>86</v>
      </c>
      <c r="F12" s="145" t="s">
        <v>87</v>
      </c>
      <c r="G12" s="145" t="s">
        <v>88</v>
      </c>
      <c r="H12" s="145" t="s">
        <v>89</v>
      </c>
      <c r="I12" s="145" t="s">
        <v>90</v>
      </c>
      <c r="J12" s="145" t="s">
        <v>91</v>
      </c>
    </row>
    <row r="13" spans="1:10">
      <c r="A13" s="153"/>
      <c r="B13" s="146">
        <v>0.01</v>
      </c>
      <c r="C13" s="147" t="s">
        <v>100</v>
      </c>
      <c r="D13" s="148">
        <v>1</v>
      </c>
      <c r="E13" s="148" t="s">
        <v>93</v>
      </c>
      <c r="F13" s="149"/>
      <c r="G13" s="150"/>
      <c r="H13" s="149">
        <f t="shared" ref="H13:H19" si="1">G13+F13</f>
        <v>0</v>
      </c>
      <c r="I13" s="152" t="e">
        <f t="shared" ref="I13:I19" si="2">(H13-G13)/H13</f>
        <v>#DIV/0!</v>
      </c>
      <c r="J13" s="152" t="e">
        <f t="shared" ref="J13:J19" si="3">G13/H13</f>
        <v>#DIV/0!</v>
      </c>
    </row>
    <row r="14" spans="1:10">
      <c r="A14" s="153"/>
      <c r="B14" s="146"/>
      <c r="C14" s="147"/>
      <c r="D14" s="148">
        <v>2</v>
      </c>
      <c r="E14" s="148" t="s">
        <v>94</v>
      </c>
      <c r="F14" s="149"/>
      <c r="G14" s="150">
        <f>G13</f>
        <v>0</v>
      </c>
      <c r="H14" s="149">
        <f t="shared" si="1"/>
        <v>0</v>
      </c>
      <c r="I14" s="152" t="e">
        <f t="shared" si="2"/>
        <v>#DIV/0!</v>
      </c>
      <c r="J14" s="152" t="e">
        <f t="shared" si="3"/>
        <v>#DIV/0!</v>
      </c>
    </row>
    <row r="15" spans="1:10">
      <c r="A15" s="153"/>
      <c r="B15" s="147"/>
      <c r="C15" s="147"/>
      <c r="D15" s="148">
        <v>2</v>
      </c>
      <c r="E15" s="148" t="s">
        <v>95</v>
      </c>
      <c r="F15" s="149">
        <v>1</v>
      </c>
      <c r="G15" s="150">
        <f>G13</f>
        <v>0</v>
      </c>
      <c r="H15" s="149">
        <f t="shared" si="1"/>
        <v>1</v>
      </c>
      <c r="I15" s="152">
        <f t="shared" si="2"/>
        <v>1</v>
      </c>
      <c r="J15" s="152">
        <f t="shared" si="3"/>
        <v>0</v>
      </c>
    </row>
    <row r="16" spans="1:10">
      <c r="A16" s="153"/>
      <c r="B16" s="147"/>
      <c r="C16" s="147"/>
      <c r="D16" s="148">
        <v>3</v>
      </c>
      <c r="E16" s="148" t="s">
        <v>96</v>
      </c>
      <c r="F16" s="149"/>
      <c r="G16" s="150">
        <f>G15</f>
        <v>0</v>
      </c>
      <c r="H16" s="149">
        <f t="shared" si="1"/>
        <v>0</v>
      </c>
      <c r="I16" s="152" t="e">
        <f t="shared" si="2"/>
        <v>#DIV/0!</v>
      </c>
      <c r="J16" s="152" t="e">
        <f t="shared" si="3"/>
        <v>#DIV/0!</v>
      </c>
    </row>
    <row r="17" spans="1:10">
      <c r="A17" s="153"/>
      <c r="B17" s="147"/>
      <c r="C17" s="147"/>
      <c r="D17" s="148">
        <v>4</v>
      </c>
      <c r="E17" s="148" t="s">
        <v>97</v>
      </c>
      <c r="F17" s="149">
        <v>5</v>
      </c>
      <c r="G17" s="150">
        <f>G16</f>
        <v>0</v>
      </c>
      <c r="H17" s="149">
        <f t="shared" si="1"/>
        <v>5</v>
      </c>
      <c r="I17" s="152">
        <f t="shared" si="2"/>
        <v>1</v>
      </c>
      <c r="J17" s="152">
        <f t="shared" si="3"/>
        <v>0</v>
      </c>
    </row>
    <row r="18" spans="1:10">
      <c r="A18" s="153"/>
      <c r="B18" s="147"/>
      <c r="C18" s="147"/>
      <c r="D18" s="148">
        <v>5</v>
      </c>
      <c r="E18" s="148" t="s">
        <v>98</v>
      </c>
      <c r="F18" s="149"/>
      <c r="G18" s="150">
        <f>G17</f>
        <v>0</v>
      </c>
      <c r="H18" s="149">
        <f t="shared" si="1"/>
        <v>0</v>
      </c>
      <c r="I18" s="152" t="e">
        <f t="shared" si="2"/>
        <v>#DIV/0!</v>
      </c>
      <c r="J18" s="152" t="e">
        <f t="shared" si="3"/>
        <v>#DIV/0!</v>
      </c>
    </row>
    <row r="19" spans="1:10">
      <c r="A19" s="153"/>
      <c r="D19" s="154" t="s">
        <v>99</v>
      </c>
      <c r="E19" s="154"/>
      <c r="F19" s="157">
        <f>SUM(F13:F18)</f>
        <v>6</v>
      </c>
      <c r="G19" s="157">
        <f>G13</f>
        <v>0</v>
      </c>
      <c r="H19" s="157">
        <f t="shared" si="1"/>
        <v>6</v>
      </c>
      <c r="I19" s="156">
        <f t="shared" si="2"/>
        <v>1</v>
      </c>
      <c r="J19" s="156">
        <f t="shared" si="3"/>
        <v>0</v>
      </c>
    </row>
    <row r="20" spans="1:10">
      <c r="B20" s="143"/>
    </row>
    <row r="21" spans="1:10">
      <c r="B21" s="145" t="s">
        <v>83</v>
      </c>
      <c r="C21" s="145" t="s">
        <v>84</v>
      </c>
      <c r="D21" s="145" t="s">
        <v>85</v>
      </c>
      <c r="E21" s="145" t="s">
        <v>86</v>
      </c>
      <c r="F21" s="145" t="s">
        <v>87</v>
      </c>
      <c r="G21" s="145" t="s">
        <v>88</v>
      </c>
      <c r="H21" s="145" t="s">
        <v>89</v>
      </c>
      <c r="I21" s="145" t="s">
        <v>90</v>
      </c>
      <c r="J21" s="145" t="s">
        <v>91</v>
      </c>
    </row>
    <row r="22" spans="1:10">
      <c r="B22" s="146">
        <v>0.01</v>
      </c>
      <c r="C22" s="147" t="s">
        <v>101</v>
      </c>
      <c r="D22" s="148">
        <v>1</v>
      </c>
      <c r="E22" s="148" t="s">
        <v>93</v>
      </c>
      <c r="F22" s="149"/>
      <c r="G22" s="150"/>
      <c r="H22" s="149">
        <f t="shared" ref="H22:H28" si="4">G22+F22</f>
        <v>0</v>
      </c>
      <c r="I22" s="152" t="e">
        <f t="shared" ref="I22:I28" si="5">(H22-G22)/H22</f>
        <v>#DIV/0!</v>
      </c>
      <c r="J22" s="152" t="e">
        <f t="shared" ref="J22:J28" si="6">G22/H22</f>
        <v>#DIV/0!</v>
      </c>
    </row>
    <row r="23" spans="1:10">
      <c r="B23" s="146"/>
      <c r="C23" s="147"/>
      <c r="D23" s="148">
        <v>2</v>
      </c>
      <c r="E23" s="148" t="s">
        <v>94</v>
      </c>
      <c r="F23" s="149"/>
      <c r="G23" s="150">
        <f>G22</f>
        <v>0</v>
      </c>
      <c r="H23" s="149">
        <f t="shared" si="4"/>
        <v>0</v>
      </c>
      <c r="I23" s="152" t="e">
        <f t="shared" si="5"/>
        <v>#DIV/0!</v>
      </c>
      <c r="J23" s="152" t="e">
        <f t="shared" si="6"/>
        <v>#DIV/0!</v>
      </c>
    </row>
    <row r="24" spans="1:10">
      <c r="B24" s="147"/>
      <c r="C24" s="147"/>
      <c r="D24" s="148">
        <v>2</v>
      </c>
      <c r="E24" s="148" t="s">
        <v>95</v>
      </c>
      <c r="F24" s="149">
        <v>6</v>
      </c>
      <c r="G24" s="150">
        <f>G22</f>
        <v>0</v>
      </c>
      <c r="H24" s="149">
        <f t="shared" si="4"/>
        <v>6</v>
      </c>
      <c r="I24" s="152">
        <f t="shared" si="5"/>
        <v>1</v>
      </c>
      <c r="J24" s="152">
        <f t="shared" si="6"/>
        <v>0</v>
      </c>
    </row>
    <row r="25" spans="1:10">
      <c r="B25" s="147"/>
      <c r="C25" s="147"/>
      <c r="D25" s="148">
        <v>3</v>
      </c>
      <c r="E25" s="148" t="s">
        <v>102</v>
      </c>
      <c r="F25" s="149"/>
      <c r="G25" s="150">
        <f>G24</f>
        <v>0</v>
      </c>
      <c r="H25" s="149">
        <f t="shared" si="4"/>
        <v>0</v>
      </c>
      <c r="I25" s="152" t="e">
        <f t="shared" si="5"/>
        <v>#DIV/0!</v>
      </c>
      <c r="J25" s="152" t="e">
        <f t="shared" si="6"/>
        <v>#DIV/0!</v>
      </c>
    </row>
    <row r="26" spans="1:10">
      <c r="B26" s="147"/>
      <c r="C26" s="147"/>
      <c r="D26" s="148">
        <v>4</v>
      </c>
      <c r="E26" s="148" t="s">
        <v>97</v>
      </c>
      <c r="F26" s="149"/>
      <c r="G26" s="150">
        <f>G25</f>
        <v>0</v>
      </c>
      <c r="H26" s="149">
        <f t="shared" si="4"/>
        <v>0</v>
      </c>
      <c r="I26" s="152" t="e">
        <f t="shared" si="5"/>
        <v>#DIV/0!</v>
      </c>
      <c r="J26" s="152" t="e">
        <f t="shared" si="6"/>
        <v>#DIV/0!</v>
      </c>
    </row>
    <row r="27" spans="1:10">
      <c r="B27" s="147"/>
      <c r="C27" s="147"/>
      <c r="D27" s="148">
        <v>5</v>
      </c>
      <c r="E27" s="148" t="s">
        <v>98</v>
      </c>
      <c r="F27" s="149"/>
      <c r="G27" s="150">
        <f>G26</f>
        <v>0</v>
      </c>
      <c r="H27" s="149">
        <f t="shared" si="4"/>
        <v>0</v>
      </c>
      <c r="I27" s="152" t="e">
        <f t="shared" si="5"/>
        <v>#DIV/0!</v>
      </c>
      <c r="J27" s="152" t="e">
        <f t="shared" si="6"/>
        <v>#DIV/0!</v>
      </c>
    </row>
    <row r="28" spans="1:10">
      <c r="D28" s="154" t="s">
        <v>99</v>
      </c>
      <c r="E28" s="154"/>
      <c r="F28" s="157">
        <f>SUM(F22:F27)</f>
        <v>6</v>
      </c>
      <c r="G28" s="157">
        <f>G22</f>
        <v>0</v>
      </c>
      <c r="H28" s="157">
        <f t="shared" si="4"/>
        <v>6</v>
      </c>
      <c r="I28" s="156">
        <f t="shared" si="5"/>
        <v>1</v>
      </c>
      <c r="J28" s="156">
        <f t="shared" si="6"/>
        <v>0</v>
      </c>
    </row>
    <row r="29" spans="1:10">
      <c r="B29" s="143"/>
    </row>
    <row r="30" spans="1:10">
      <c r="B30" s="145" t="s">
        <v>83</v>
      </c>
      <c r="C30" s="145" t="s">
        <v>84</v>
      </c>
      <c r="D30" s="145" t="s">
        <v>85</v>
      </c>
      <c r="E30" s="145" t="s">
        <v>86</v>
      </c>
      <c r="F30" s="145" t="s">
        <v>87</v>
      </c>
      <c r="G30" s="145" t="s">
        <v>88</v>
      </c>
      <c r="H30" s="145" t="s">
        <v>89</v>
      </c>
      <c r="I30" s="145" t="s">
        <v>90</v>
      </c>
      <c r="J30" s="145" t="s">
        <v>91</v>
      </c>
    </row>
    <row r="31" spans="1:10">
      <c r="B31" s="146">
        <v>0.01</v>
      </c>
      <c r="C31" s="147" t="s">
        <v>103</v>
      </c>
      <c r="D31" s="148">
        <v>1</v>
      </c>
      <c r="E31" s="148" t="s">
        <v>93</v>
      </c>
      <c r="F31" s="149"/>
      <c r="G31" s="150">
        <v>30160</v>
      </c>
      <c r="H31" s="149">
        <f t="shared" ref="H31:H37" si="7">G31+F31</f>
        <v>30160</v>
      </c>
      <c r="I31" s="152">
        <f t="shared" ref="I31:I37" si="8">(H31-G31)/H31</f>
        <v>0</v>
      </c>
      <c r="J31" s="152">
        <f t="shared" ref="J31:J37" si="9">G31/H31</f>
        <v>1</v>
      </c>
    </row>
    <row r="32" spans="1:10">
      <c r="B32" s="146"/>
      <c r="C32" s="147"/>
      <c r="D32" s="148">
        <v>2</v>
      </c>
      <c r="E32" s="148" t="s">
        <v>94</v>
      </c>
      <c r="F32" s="149">
        <v>114</v>
      </c>
      <c r="G32" s="150">
        <f>G31</f>
        <v>30160</v>
      </c>
      <c r="H32" s="149">
        <f t="shared" si="7"/>
        <v>30274</v>
      </c>
      <c r="I32" s="152">
        <f t="shared" si="8"/>
        <v>3.7656074519389574E-3</v>
      </c>
      <c r="J32" s="152">
        <f t="shared" si="9"/>
        <v>0.99623439254806101</v>
      </c>
    </row>
    <row r="33" spans="2:10">
      <c r="B33" s="147"/>
      <c r="C33" s="147"/>
      <c r="D33" s="148">
        <v>2</v>
      </c>
      <c r="E33" s="148" t="s">
        <v>95</v>
      </c>
      <c r="F33" s="149">
        <v>140</v>
      </c>
      <c r="G33" s="150">
        <f>G31</f>
        <v>30160</v>
      </c>
      <c r="H33" s="149">
        <f t="shared" si="7"/>
        <v>30300</v>
      </c>
      <c r="I33" s="152">
        <f t="shared" si="8"/>
        <v>4.6204620462046205E-3</v>
      </c>
      <c r="J33" s="152">
        <f t="shared" si="9"/>
        <v>0.99537953795379541</v>
      </c>
    </row>
    <row r="34" spans="2:10">
      <c r="B34" s="147"/>
      <c r="C34" s="147"/>
      <c r="D34" s="148">
        <v>3</v>
      </c>
      <c r="E34" s="148" t="s">
        <v>102</v>
      </c>
      <c r="F34" s="149"/>
      <c r="G34" s="150">
        <f>G33</f>
        <v>30160</v>
      </c>
      <c r="H34" s="149">
        <f t="shared" si="7"/>
        <v>30160</v>
      </c>
      <c r="I34" s="152">
        <f t="shared" si="8"/>
        <v>0</v>
      </c>
      <c r="J34" s="152">
        <f t="shared" si="9"/>
        <v>1</v>
      </c>
    </row>
    <row r="35" spans="2:10">
      <c r="B35" s="147"/>
      <c r="C35" s="147"/>
      <c r="D35" s="148">
        <v>4</v>
      </c>
      <c r="E35" s="148" t="s">
        <v>97</v>
      </c>
      <c r="F35" s="149">
        <v>433</v>
      </c>
      <c r="G35" s="150">
        <f>G34</f>
        <v>30160</v>
      </c>
      <c r="H35" s="149">
        <f t="shared" si="7"/>
        <v>30593</v>
      </c>
      <c r="I35" s="152">
        <f t="shared" si="8"/>
        <v>1.4153564540908051E-2</v>
      </c>
      <c r="J35" s="152">
        <f t="shared" si="9"/>
        <v>0.9858464354590919</v>
      </c>
    </row>
    <row r="36" spans="2:10">
      <c r="B36" s="147"/>
      <c r="C36" s="147"/>
      <c r="D36" s="148">
        <v>5</v>
      </c>
      <c r="E36" s="148" t="s">
        <v>98</v>
      </c>
      <c r="F36" s="149"/>
      <c r="G36" s="150">
        <f>G35</f>
        <v>30160</v>
      </c>
      <c r="H36" s="149">
        <f t="shared" si="7"/>
        <v>30160</v>
      </c>
      <c r="I36" s="152">
        <f t="shared" si="8"/>
        <v>0</v>
      </c>
      <c r="J36" s="152">
        <f t="shared" si="9"/>
        <v>1</v>
      </c>
    </row>
    <row r="37" spans="2:10">
      <c r="D37" s="154" t="s">
        <v>99</v>
      </c>
      <c r="E37" s="154"/>
      <c r="F37" s="157">
        <f>SUM(F31:F36)</f>
        <v>687</v>
      </c>
      <c r="G37" s="157">
        <f>G31</f>
        <v>30160</v>
      </c>
      <c r="H37" s="157">
        <f t="shared" si="7"/>
        <v>30847</v>
      </c>
      <c r="I37" s="156">
        <f t="shared" si="8"/>
        <v>2.2271209517943397E-2</v>
      </c>
      <c r="J37" s="156">
        <f t="shared" si="9"/>
        <v>0.97772879048205663</v>
      </c>
    </row>
    <row r="38" spans="2:10">
      <c r="B38" s="143"/>
    </row>
    <row r="39" spans="2:10">
      <c r="B39" s="145" t="s">
        <v>83</v>
      </c>
      <c r="C39" s="145" t="s">
        <v>84</v>
      </c>
      <c r="D39" s="145" t="s">
        <v>85</v>
      </c>
      <c r="E39" s="145" t="s">
        <v>86</v>
      </c>
      <c r="F39" s="145" t="s">
        <v>87</v>
      </c>
      <c r="G39" s="145" t="s">
        <v>88</v>
      </c>
      <c r="H39" s="145" t="s">
        <v>89</v>
      </c>
      <c r="I39" s="145" t="s">
        <v>90</v>
      </c>
      <c r="J39" s="145" t="s">
        <v>91</v>
      </c>
    </row>
    <row r="40" spans="2:10">
      <c r="B40" s="146">
        <v>0.01</v>
      </c>
      <c r="C40" s="147" t="s">
        <v>104</v>
      </c>
      <c r="D40" s="148">
        <v>1</v>
      </c>
      <c r="E40" s="148" t="s">
        <v>93</v>
      </c>
      <c r="F40" s="149"/>
      <c r="G40" s="150"/>
      <c r="H40" s="149">
        <f t="shared" ref="H40:H46" si="10">G40+F40</f>
        <v>0</v>
      </c>
      <c r="I40" s="152" t="e">
        <f t="shared" ref="I40:I46" si="11">(H40-G40)/H40</f>
        <v>#DIV/0!</v>
      </c>
      <c r="J40" s="152" t="e">
        <f t="shared" ref="J40:J46" si="12">G40/H40</f>
        <v>#DIV/0!</v>
      </c>
    </row>
    <row r="41" spans="2:10">
      <c r="B41" s="146"/>
      <c r="C41" s="147"/>
      <c r="D41" s="148">
        <v>2</v>
      </c>
      <c r="E41" s="148" t="s">
        <v>94</v>
      </c>
      <c r="F41" s="149"/>
      <c r="G41" s="150">
        <f>G40</f>
        <v>0</v>
      </c>
      <c r="H41" s="149">
        <f t="shared" si="10"/>
        <v>0</v>
      </c>
      <c r="I41" s="152" t="e">
        <f t="shared" si="11"/>
        <v>#DIV/0!</v>
      </c>
      <c r="J41" s="152" t="e">
        <f t="shared" si="12"/>
        <v>#DIV/0!</v>
      </c>
    </row>
    <row r="42" spans="2:10">
      <c r="B42" s="147"/>
      <c r="C42" s="147"/>
      <c r="D42" s="148">
        <v>2</v>
      </c>
      <c r="E42" s="148" t="s">
        <v>95</v>
      </c>
      <c r="F42" s="149">
        <v>6</v>
      </c>
      <c r="G42" s="150">
        <f>G40</f>
        <v>0</v>
      </c>
      <c r="H42" s="149">
        <f t="shared" si="10"/>
        <v>6</v>
      </c>
      <c r="I42" s="152">
        <f t="shared" si="11"/>
        <v>1</v>
      </c>
      <c r="J42" s="152">
        <f t="shared" si="12"/>
        <v>0</v>
      </c>
    </row>
    <row r="43" spans="2:10">
      <c r="B43" s="147"/>
      <c r="C43" s="147"/>
      <c r="D43" s="148">
        <v>3</v>
      </c>
      <c r="E43" s="148" t="s">
        <v>102</v>
      </c>
      <c r="F43" s="149"/>
      <c r="G43" s="150">
        <f>G42</f>
        <v>0</v>
      </c>
      <c r="H43" s="149">
        <f t="shared" si="10"/>
        <v>0</v>
      </c>
      <c r="I43" s="152" t="e">
        <f t="shared" si="11"/>
        <v>#DIV/0!</v>
      </c>
      <c r="J43" s="152" t="e">
        <f t="shared" si="12"/>
        <v>#DIV/0!</v>
      </c>
    </row>
    <row r="44" spans="2:10">
      <c r="B44" s="147"/>
      <c r="C44" s="147"/>
      <c r="D44" s="148">
        <v>4</v>
      </c>
      <c r="E44" s="148" t="s">
        <v>97</v>
      </c>
      <c r="F44" s="149"/>
      <c r="G44" s="150">
        <f>G43</f>
        <v>0</v>
      </c>
      <c r="H44" s="149">
        <f t="shared" si="10"/>
        <v>0</v>
      </c>
      <c r="I44" s="152" t="e">
        <f t="shared" si="11"/>
        <v>#DIV/0!</v>
      </c>
      <c r="J44" s="152" t="e">
        <f t="shared" si="12"/>
        <v>#DIV/0!</v>
      </c>
    </row>
    <row r="45" spans="2:10">
      <c r="B45" s="147"/>
      <c r="C45" s="147"/>
      <c r="D45" s="148">
        <v>5</v>
      </c>
      <c r="E45" s="148" t="s">
        <v>98</v>
      </c>
      <c r="F45" s="149"/>
      <c r="G45" s="150">
        <f>G44</f>
        <v>0</v>
      </c>
      <c r="H45" s="149">
        <f t="shared" si="10"/>
        <v>0</v>
      </c>
      <c r="I45" s="152" t="e">
        <f t="shared" si="11"/>
        <v>#DIV/0!</v>
      </c>
      <c r="J45" s="152" t="e">
        <f t="shared" si="12"/>
        <v>#DIV/0!</v>
      </c>
    </row>
    <row r="46" spans="2:10">
      <c r="D46" s="154" t="s">
        <v>99</v>
      </c>
      <c r="E46" s="154"/>
      <c r="F46" s="157">
        <f>SUM(F40:F45)</f>
        <v>6</v>
      </c>
      <c r="G46" s="157">
        <f>G40</f>
        <v>0</v>
      </c>
      <c r="H46" s="157">
        <f t="shared" si="10"/>
        <v>6</v>
      </c>
      <c r="I46" s="156">
        <f t="shared" si="11"/>
        <v>1</v>
      </c>
      <c r="J46" s="156">
        <f t="shared" si="12"/>
        <v>0</v>
      </c>
    </row>
    <row r="47" spans="2:10">
      <c r="B47" s="143"/>
    </row>
    <row r="48" spans="2:10">
      <c r="B48" s="145" t="s">
        <v>83</v>
      </c>
      <c r="C48" s="145" t="s">
        <v>84</v>
      </c>
      <c r="D48" s="145" t="s">
        <v>85</v>
      </c>
      <c r="E48" s="145" t="s">
        <v>86</v>
      </c>
      <c r="F48" s="145" t="s">
        <v>87</v>
      </c>
      <c r="G48" s="145" t="s">
        <v>88</v>
      </c>
      <c r="H48" s="145" t="s">
        <v>89</v>
      </c>
      <c r="I48" s="145" t="s">
        <v>90</v>
      </c>
      <c r="J48" s="145" t="s">
        <v>91</v>
      </c>
    </row>
    <row r="49" spans="2:14">
      <c r="B49" s="146">
        <v>0.01</v>
      </c>
      <c r="C49" s="147" t="s">
        <v>105</v>
      </c>
      <c r="D49" s="148">
        <v>1</v>
      </c>
      <c r="E49" s="148" t="s">
        <v>93</v>
      </c>
      <c r="F49" s="149"/>
      <c r="G49" s="150"/>
      <c r="H49" s="149">
        <f t="shared" ref="H49:H55" si="13">G49+F49</f>
        <v>0</v>
      </c>
      <c r="I49" s="152" t="e">
        <f t="shared" ref="I49:I55" si="14">(H49-G49)/H49</f>
        <v>#DIV/0!</v>
      </c>
      <c r="J49" s="152" t="e">
        <f t="shared" ref="J49:J55" si="15">G49/H49</f>
        <v>#DIV/0!</v>
      </c>
    </row>
    <row r="50" spans="2:14">
      <c r="B50" s="146"/>
      <c r="C50" s="147"/>
      <c r="D50" s="148">
        <v>2</v>
      </c>
      <c r="E50" s="148" t="s">
        <v>94</v>
      </c>
      <c r="F50" s="149"/>
      <c r="G50" s="150">
        <f>G49</f>
        <v>0</v>
      </c>
      <c r="H50" s="149">
        <f t="shared" si="13"/>
        <v>0</v>
      </c>
      <c r="I50" s="152" t="e">
        <f t="shared" si="14"/>
        <v>#DIV/0!</v>
      </c>
      <c r="J50" s="152" t="e">
        <f t="shared" si="15"/>
        <v>#DIV/0!</v>
      </c>
    </row>
    <row r="51" spans="2:14">
      <c r="B51" s="147"/>
      <c r="C51" s="147"/>
      <c r="D51" s="148">
        <v>2</v>
      </c>
      <c r="E51" s="148" t="s">
        <v>95</v>
      </c>
      <c r="F51" s="149"/>
      <c r="G51" s="150">
        <f>G49</f>
        <v>0</v>
      </c>
      <c r="H51" s="149">
        <f t="shared" si="13"/>
        <v>0</v>
      </c>
      <c r="I51" s="152" t="e">
        <f t="shared" si="14"/>
        <v>#DIV/0!</v>
      </c>
      <c r="J51" s="152" t="e">
        <f t="shared" si="15"/>
        <v>#DIV/0!</v>
      </c>
    </row>
    <row r="52" spans="2:14">
      <c r="B52" s="147"/>
      <c r="C52" s="147"/>
      <c r="D52" s="148">
        <v>3</v>
      </c>
      <c r="E52" s="148" t="s">
        <v>102</v>
      </c>
      <c r="F52" s="158"/>
      <c r="G52" s="150">
        <f>G51</f>
        <v>0</v>
      </c>
      <c r="H52" s="149">
        <f t="shared" si="13"/>
        <v>0</v>
      </c>
      <c r="I52" s="152" t="e">
        <f t="shared" si="14"/>
        <v>#DIV/0!</v>
      </c>
      <c r="J52" s="152" t="e">
        <f t="shared" si="15"/>
        <v>#DIV/0!</v>
      </c>
    </row>
    <row r="53" spans="2:14">
      <c r="B53" s="147"/>
      <c r="C53" s="147"/>
      <c r="D53" s="148">
        <v>4</v>
      </c>
      <c r="E53" s="148" t="s">
        <v>97</v>
      </c>
      <c r="F53" s="149"/>
      <c r="G53" s="150">
        <f>G52</f>
        <v>0</v>
      </c>
      <c r="H53" s="149">
        <f t="shared" si="13"/>
        <v>0</v>
      </c>
      <c r="I53" s="152" t="e">
        <f t="shared" si="14"/>
        <v>#DIV/0!</v>
      </c>
      <c r="J53" s="152" t="e">
        <f t="shared" si="15"/>
        <v>#DIV/0!</v>
      </c>
    </row>
    <row r="54" spans="2:14">
      <c r="B54" s="147"/>
      <c r="C54" s="147"/>
      <c r="D54" s="148">
        <v>5</v>
      </c>
      <c r="E54" s="148" t="s">
        <v>98</v>
      </c>
      <c r="F54" s="149"/>
      <c r="G54" s="150">
        <f>G53</f>
        <v>0</v>
      </c>
      <c r="H54" s="149">
        <f t="shared" si="13"/>
        <v>0</v>
      </c>
      <c r="I54" s="152" t="e">
        <f t="shared" si="14"/>
        <v>#DIV/0!</v>
      </c>
      <c r="J54" s="152" t="e">
        <f t="shared" si="15"/>
        <v>#DIV/0!</v>
      </c>
      <c r="N54" s="159"/>
    </row>
    <row r="55" spans="2:14">
      <c r="D55" s="154" t="s">
        <v>99</v>
      </c>
      <c r="E55" s="154"/>
      <c r="F55" s="157">
        <f>SUM(F49:F54)</f>
        <v>0</v>
      </c>
      <c r="G55" s="157">
        <f>G49</f>
        <v>0</v>
      </c>
      <c r="H55" s="157">
        <f t="shared" si="13"/>
        <v>0</v>
      </c>
      <c r="I55" s="156" t="e">
        <f t="shared" si="14"/>
        <v>#DIV/0!</v>
      </c>
      <c r="J55" s="156" t="e">
        <f t="shared" si="15"/>
        <v>#DIV/0!</v>
      </c>
    </row>
    <row r="56" spans="2:14">
      <c r="B56" s="143"/>
    </row>
    <row r="57" spans="2:14">
      <c r="B57" s="145" t="s">
        <v>83</v>
      </c>
      <c r="C57" s="145" t="s">
        <v>84</v>
      </c>
      <c r="D57" s="145" t="s">
        <v>85</v>
      </c>
      <c r="E57" s="145" t="s">
        <v>86</v>
      </c>
      <c r="F57" s="145" t="s">
        <v>87</v>
      </c>
      <c r="G57" s="145" t="s">
        <v>88</v>
      </c>
      <c r="H57" s="145" t="s">
        <v>89</v>
      </c>
      <c r="I57" s="145" t="s">
        <v>90</v>
      </c>
      <c r="J57" s="145" t="s">
        <v>91</v>
      </c>
    </row>
    <row r="58" spans="2:14">
      <c r="B58" s="146">
        <v>0.01</v>
      </c>
      <c r="C58" s="147" t="s">
        <v>106</v>
      </c>
      <c r="D58" s="148">
        <v>1</v>
      </c>
      <c r="E58" s="148" t="s">
        <v>93</v>
      </c>
      <c r="F58" s="149"/>
      <c r="G58" s="150"/>
      <c r="H58" s="149">
        <f t="shared" ref="H58:H64" si="16">G58+F58</f>
        <v>0</v>
      </c>
      <c r="I58" s="152" t="e">
        <f t="shared" ref="I58:I64" si="17">(H58-G58)/H58</f>
        <v>#DIV/0!</v>
      </c>
      <c r="J58" s="152" t="e">
        <f t="shared" ref="J58:J64" si="18">G58/H58</f>
        <v>#DIV/0!</v>
      </c>
    </row>
    <row r="59" spans="2:14">
      <c r="B59" s="146"/>
      <c r="C59" s="147"/>
      <c r="D59" s="148"/>
      <c r="E59" s="148" t="s">
        <v>94</v>
      </c>
      <c r="F59" s="149"/>
      <c r="G59" s="150">
        <f>G58</f>
        <v>0</v>
      </c>
      <c r="H59" s="149">
        <f t="shared" si="16"/>
        <v>0</v>
      </c>
      <c r="I59" s="152" t="e">
        <f t="shared" si="17"/>
        <v>#DIV/0!</v>
      </c>
      <c r="J59" s="152" t="e">
        <f t="shared" si="18"/>
        <v>#DIV/0!</v>
      </c>
    </row>
    <row r="60" spans="2:14">
      <c r="B60" s="147"/>
      <c r="C60" s="147"/>
      <c r="D60" s="148">
        <v>2</v>
      </c>
      <c r="E60" s="148" t="s">
        <v>95</v>
      </c>
      <c r="F60" s="149"/>
      <c r="G60" s="150">
        <f>G58</f>
        <v>0</v>
      </c>
      <c r="H60" s="149">
        <f t="shared" si="16"/>
        <v>0</v>
      </c>
      <c r="I60" s="152" t="e">
        <f t="shared" si="17"/>
        <v>#DIV/0!</v>
      </c>
      <c r="J60" s="152" t="e">
        <f t="shared" si="18"/>
        <v>#DIV/0!</v>
      </c>
    </row>
    <row r="61" spans="2:14">
      <c r="B61" s="147"/>
      <c r="C61" s="147"/>
      <c r="D61" s="148">
        <v>3</v>
      </c>
      <c r="E61" s="148" t="s">
        <v>102</v>
      </c>
      <c r="F61" s="149"/>
      <c r="G61" s="150">
        <f>G60</f>
        <v>0</v>
      </c>
      <c r="H61" s="149">
        <f t="shared" si="16"/>
        <v>0</v>
      </c>
      <c r="I61" s="152" t="e">
        <f t="shared" si="17"/>
        <v>#DIV/0!</v>
      </c>
      <c r="J61" s="152" t="e">
        <f t="shared" si="18"/>
        <v>#DIV/0!</v>
      </c>
    </row>
    <row r="62" spans="2:14">
      <c r="B62" s="147"/>
      <c r="C62" s="147"/>
      <c r="D62" s="148">
        <v>4</v>
      </c>
      <c r="E62" s="148" t="s">
        <v>97</v>
      </c>
      <c r="F62" s="149"/>
      <c r="G62" s="150">
        <f>G61</f>
        <v>0</v>
      </c>
      <c r="H62" s="149">
        <f t="shared" si="16"/>
        <v>0</v>
      </c>
      <c r="I62" s="152" t="e">
        <f t="shared" si="17"/>
        <v>#DIV/0!</v>
      </c>
      <c r="J62" s="152" t="e">
        <f t="shared" si="18"/>
        <v>#DIV/0!</v>
      </c>
    </row>
    <row r="63" spans="2:14">
      <c r="B63" s="147"/>
      <c r="C63" s="147"/>
      <c r="D63" s="148">
        <v>5</v>
      </c>
      <c r="E63" s="148" t="s">
        <v>98</v>
      </c>
      <c r="F63" s="149"/>
      <c r="G63" s="150">
        <f>G62</f>
        <v>0</v>
      </c>
      <c r="H63" s="149">
        <f t="shared" si="16"/>
        <v>0</v>
      </c>
      <c r="I63" s="152" t="e">
        <f t="shared" si="17"/>
        <v>#DIV/0!</v>
      </c>
      <c r="J63" s="152" t="e">
        <f t="shared" si="18"/>
        <v>#DIV/0!</v>
      </c>
    </row>
    <row r="64" spans="2:14">
      <c r="D64" s="154" t="s">
        <v>99</v>
      </c>
      <c r="E64" s="154"/>
      <c r="F64" s="157">
        <f>SUM(F58:F63)</f>
        <v>0</v>
      </c>
      <c r="G64" s="157">
        <f>G58</f>
        <v>0</v>
      </c>
      <c r="H64" s="157">
        <f t="shared" si="16"/>
        <v>0</v>
      </c>
      <c r="I64" s="156" t="e">
        <f t="shared" si="17"/>
        <v>#DIV/0!</v>
      </c>
      <c r="J64" s="156" t="e">
        <f t="shared" si="18"/>
        <v>#DIV/0!</v>
      </c>
    </row>
    <row r="65" spans="2:10">
      <c r="B65" s="143"/>
    </row>
    <row r="66" spans="2:10">
      <c r="B66" s="145" t="s">
        <v>83</v>
      </c>
      <c r="C66" s="145" t="s">
        <v>84</v>
      </c>
      <c r="D66" s="145" t="s">
        <v>85</v>
      </c>
      <c r="E66" s="145" t="s">
        <v>86</v>
      </c>
      <c r="F66" s="145" t="s">
        <v>87</v>
      </c>
      <c r="G66" s="145" t="s">
        <v>88</v>
      </c>
      <c r="H66" s="145" t="s">
        <v>89</v>
      </c>
      <c r="I66" s="145" t="s">
        <v>90</v>
      </c>
      <c r="J66" s="145" t="s">
        <v>91</v>
      </c>
    </row>
    <row r="67" spans="2:10">
      <c r="B67" s="146">
        <v>0.01</v>
      </c>
      <c r="C67" s="147" t="s">
        <v>107</v>
      </c>
      <c r="D67" s="148">
        <v>1</v>
      </c>
      <c r="E67" s="148" t="s">
        <v>93</v>
      </c>
      <c r="F67" s="149"/>
      <c r="G67" s="160"/>
      <c r="H67" s="161">
        <f t="shared" ref="H67:H73" si="19">G67+F67</f>
        <v>0</v>
      </c>
      <c r="I67" s="152" t="e">
        <f t="shared" ref="I67:I73" si="20">(H67-G67)/H67</f>
        <v>#DIV/0!</v>
      </c>
      <c r="J67" s="152" t="e">
        <f t="shared" ref="J67:J73" si="21">G67/H67</f>
        <v>#DIV/0!</v>
      </c>
    </row>
    <row r="68" spans="2:10">
      <c r="B68" s="146"/>
      <c r="C68" s="147"/>
      <c r="D68" s="148">
        <v>2</v>
      </c>
      <c r="E68" s="148" t="s">
        <v>94</v>
      </c>
      <c r="F68" s="149"/>
      <c r="G68" s="160">
        <f>G67</f>
        <v>0</v>
      </c>
      <c r="H68" s="161">
        <f t="shared" si="19"/>
        <v>0</v>
      </c>
      <c r="I68" s="152" t="e">
        <f t="shared" si="20"/>
        <v>#DIV/0!</v>
      </c>
      <c r="J68" s="152" t="e">
        <f t="shared" si="21"/>
        <v>#DIV/0!</v>
      </c>
    </row>
    <row r="69" spans="2:10">
      <c r="B69" s="147"/>
      <c r="C69" s="147"/>
      <c r="D69" s="148">
        <v>3</v>
      </c>
      <c r="E69" s="148" t="s">
        <v>95</v>
      </c>
      <c r="F69" s="149"/>
      <c r="G69" s="160">
        <f>G67</f>
        <v>0</v>
      </c>
      <c r="H69" s="161">
        <f t="shared" si="19"/>
        <v>0</v>
      </c>
      <c r="I69" s="152" t="e">
        <f t="shared" si="20"/>
        <v>#DIV/0!</v>
      </c>
      <c r="J69" s="152" t="e">
        <f t="shared" si="21"/>
        <v>#DIV/0!</v>
      </c>
    </row>
    <row r="70" spans="2:10">
      <c r="B70" s="147"/>
      <c r="C70" s="147"/>
      <c r="D70" s="148">
        <v>4</v>
      </c>
      <c r="E70" s="148" t="s">
        <v>102</v>
      </c>
      <c r="F70" s="149"/>
      <c r="G70" s="160">
        <f>G69</f>
        <v>0</v>
      </c>
      <c r="H70" s="161">
        <f t="shared" si="19"/>
        <v>0</v>
      </c>
      <c r="I70" s="152" t="e">
        <f t="shared" si="20"/>
        <v>#DIV/0!</v>
      </c>
      <c r="J70" s="152" t="e">
        <f t="shared" si="21"/>
        <v>#DIV/0!</v>
      </c>
    </row>
    <row r="71" spans="2:10">
      <c r="B71" s="147"/>
      <c r="C71" s="147"/>
      <c r="D71" s="148">
        <v>5</v>
      </c>
      <c r="E71" s="148" t="s">
        <v>97</v>
      </c>
      <c r="F71" s="158"/>
      <c r="G71" s="160">
        <f>G70</f>
        <v>0</v>
      </c>
      <c r="H71" s="161">
        <f t="shared" si="19"/>
        <v>0</v>
      </c>
      <c r="I71" s="152" t="e">
        <f t="shared" si="20"/>
        <v>#DIV/0!</v>
      </c>
      <c r="J71" s="152" t="e">
        <f t="shared" si="21"/>
        <v>#DIV/0!</v>
      </c>
    </row>
    <row r="72" spans="2:10">
      <c r="B72" s="147"/>
      <c r="C72" s="147"/>
      <c r="D72" s="148">
        <v>6</v>
      </c>
      <c r="E72" s="148" t="s">
        <v>98</v>
      </c>
      <c r="F72" s="149"/>
      <c r="G72" s="160">
        <f>G71</f>
        <v>0</v>
      </c>
      <c r="H72" s="161">
        <f t="shared" si="19"/>
        <v>0</v>
      </c>
      <c r="I72" s="152" t="e">
        <f t="shared" si="20"/>
        <v>#DIV/0!</v>
      </c>
      <c r="J72" s="152" t="e">
        <f t="shared" si="21"/>
        <v>#DIV/0!</v>
      </c>
    </row>
    <row r="73" spans="2:10">
      <c r="D73" s="154" t="s">
        <v>99</v>
      </c>
      <c r="E73" s="154"/>
      <c r="F73" s="157">
        <f>SUM(F67:F72)</f>
        <v>0</v>
      </c>
      <c r="G73" s="157">
        <f>G67</f>
        <v>0</v>
      </c>
      <c r="H73" s="157">
        <f t="shared" si="19"/>
        <v>0</v>
      </c>
      <c r="I73" s="156" t="e">
        <f t="shared" si="20"/>
        <v>#DIV/0!</v>
      </c>
      <c r="J73" s="156" t="e">
        <f t="shared" si="21"/>
        <v>#DIV/0!</v>
      </c>
    </row>
    <row r="75" spans="2:10">
      <c r="B75" s="145" t="s">
        <v>83</v>
      </c>
      <c r="C75" s="145" t="s">
        <v>84</v>
      </c>
      <c r="D75" s="145" t="s">
        <v>85</v>
      </c>
      <c r="E75" s="145" t="s">
        <v>86</v>
      </c>
      <c r="F75" s="145" t="s">
        <v>87</v>
      </c>
      <c r="G75" s="145" t="s">
        <v>88</v>
      </c>
      <c r="H75" s="145" t="s">
        <v>89</v>
      </c>
      <c r="I75" s="145" t="s">
        <v>90</v>
      </c>
      <c r="J75" s="145" t="s">
        <v>91</v>
      </c>
    </row>
    <row r="76" spans="2:10">
      <c r="B76" s="146">
        <v>0.01</v>
      </c>
      <c r="C76" s="147" t="s">
        <v>108</v>
      </c>
      <c r="D76" s="148">
        <v>1</v>
      </c>
      <c r="E76" s="148" t="s">
        <v>93</v>
      </c>
      <c r="F76" s="158"/>
      <c r="G76" s="162">
        <v>1357.2</v>
      </c>
      <c r="H76" s="158">
        <f t="shared" ref="H76:H82" si="22">G76+F76</f>
        <v>1357.2</v>
      </c>
      <c r="I76" s="152">
        <f t="shared" ref="I76:I82" si="23">(H76-G76)/H76</f>
        <v>0</v>
      </c>
      <c r="J76" s="152">
        <f t="shared" ref="J76:J82" si="24">G76/H76</f>
        <v>1</v>
      </c>
    </row>
    <row r="77" spans="2:10">
      <c r="B77" s="146"/>
      <c r="C77" s="147"/>
      <c r="D77" s="148">
        <v>2</v>
      </c>
      <c r="E77" s="148" t="s">
        <v>94</v>
      </c>
      <c r="F77" s="149">
        <v>1.8</v>
      </c>
      <c r="G77" s="162">
        <f>G76</f>
        <v>1357.2</v>
      </c>
      <c r="H77" s="158">
        <f t="shared" si="22"/>
        <v>1359</v>
      </c>
      <c r="I77" s="152">
        <f t="shared" si="23"/>
        <v>1.3245033112582448E-3</v>
      </c>
      <c r="J77" s="152">
        <f t="shared" si="24"/>
        <v>0.99867549668874178</v>
      </c>
    </row>
    <row r="78" spans="2:10">
      <c r="B78" s="147"/>
      <c r="C78" s="147"/>
      <c r="D78" s="148">
        <v>3</v>
      </c>
      <c r="E78" s="148" t="s">
        <v>95</v>
      </c>
      <c r="F78" s="149">
        <v>6.75</v>
      </c>
      <c r="G78" s="162">
        <f>G76</f>
        <v>1357.2</v>
      </c>
      <c r="H78" s="158">
        <f t="shared" si="22"/>
        <v>1363.95</v>
      </c>
      <c r="I78" s="152">
        <f t="shared" si="23"/>
        <v>4.9488617617947867E-3</v>
      </c>
      <c r="J78" s="152">
        <f t="shared" si="24"/>
        <v>0.99505113823820523</v>
      </c>
    </row>
    <row r="79" spans="2:10">
      <c r="B79" s="147"/>
      <c r="C79" s="147"/>
      <c r="D79" s="148">
        <v>4</v>
      </c>
      <c r="E79" s="148" t="s">
        <v>102</v>
      </c>
      <c r="F79" s="149"/>
      <c r="G79" s="162">
        <f>G78</f>
        <v>1357.2</v>
      </c>
      <c r="H79" s="158">
        <f t="shared" si="22"/>
        <v>1357.2</v>
      </c>
      <c r="I79" s="152">
        <f t="shared" si="23"/>
        <v>0</v>
      </c>
      <c r="J79" s="152">
        <f t="shared" si="24"/>
        <v>1</v>
      </c>
    </row>
    <row r="80" spans="2:10">
      <c r="B80" s="147"/>
      <c r="C80" s="147"/>
      <c r="D80" s="148">
        <v>5</v>
      </c>
      <c r="E80" s="148" t="s">
        <v>97</v>
      </c>
      <c r="F80" s="149"/>
      <c r="G80" s="162">
        <f>G79</f>
        <v>1357.2</v>
      </c>
      <c r="H80" s="158">
        <f t="shared" si="22"/>
        <v>1357.2</v>
      </c>
      <c r="I80" s="152">
        <f t="shared" si="23"/>
        <v>0</v>
      </c>
      <c r="J80" s="152">
        <f t="shared" si="24"/>
        <v>1</v>
      </c>
    </row>
    <row r="81" spans="2:10">
      <c r="B81" s="147"/>
      <c r="C81" s="147"/>
      <c r="D81" s="148">
        <v>6</v>
      </c>
      <c r="E81" s="148" t="s">
        <v>98</v>
      </c>
      <c r="F81" s="149"/>
      <c r="G81" s="150">
        <f>G80</f>
        <v>1357.2</v>
      </c>
      <c r="H81" s="149">
        <f t="shared" si="22"/>
        <v>1357.2</v>
      </c>
      <c r="I81" s="152">
        <f t="shared" si="23"/>
        <v>0</v>
      </c>
      <c r="J81" s="152">
        <f t="shared" si="24"/>
        <v>1</v>
      </c>
    </row>
    <row r="82" spans="2:10">
      <c r="D82" s="154" t="s">
        <v>99</v>
      </c>
      <c r="E82" s="154"/>
      <c r="F82" s="157">
        <f>SUM(F76:F81)</f>
        <v>8.5500000000000007</v>
      </c>
      <c r="G82" s="157">
        <f>G76</f>
        <v>1357.2</v>
      </c>
      <c r="H82" s="157">
        <f t="shared" si="22"/>
        <v>1365.75</v>
      </c>
      <c r="I82" s="156">
        <f t="shared" si="23"/>
        <v>6.2602965403624053E-3</v>
      </c>
      <c r="J82" s="156">
        <f t="shared" si="24"/>
        <v>0.99373970345963758</v>
      </c>
    </row>
  </sheetData>
  <mergeCells count="28">
    <mergeCell ref="D73:E73"/>
    <mergeCell ref="B76:B81"/>
    <mergeCell ref="C76:C81"/>
    <mergeCell ref="D82:E82"/>
    <mergeCell ref="D55:E55"/>
    <mergeCell ref="B58:B63"/>
    <mergeCell ref="C58:C63"/>
    <mergeCell ref="D64:E64"/>
    <mergeCell ref="B67:B72"/>
    <mergeCell ref="C67:C72"/>
    <mergeCell ref="D37:E37"/>
    <mergeCell ref="B40:B45"/>
    <mergeCell ref="C40:C45"/>
    <mergeCell ref="D46:E46"/>
    <mergeCell ref="B49:B54"/>
    <mergeCell ref="C49:C54"/>
    <mergeCell ref="D19:E19"/>
    <mergeCell ref="B22:B27"/>
    <mergeCell ref="C22:C27"/>
    <mergeCell ref="D28:E28"/>
    <mergeCell ref="B31:B36"/>
    <mergeCell ref="C31:C36"/>
    <mergeCell ref="B1:J1"/>
    <mergeCell ref="B4:B9"/>
    <mergeCell ref="C4:C9"/>
    <mergeCell ref="D10:E10"/>
    <mergeCell ref="B13:B18"/>
    <mergeCell ref="C13:C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I82"/>
  <sheetViews>
    <sheetView showGridLines="0" topLeftCell="A31" zoomScale="80" zoomScaleNormal="80" workbookViewId="0">
      <selection activeCell="F40" sqref="F40"/>
    </sheetView>
  </sheetViews>
  <sheetFormatPr defaultRowHeight="15"/>
  <cols>
    <col min="1" max="1" width="10.28515625" customWidth="1"/>
    <col min="2" max="2" width="17" customWidth="1"/>
    <col min="3" max="3" width="7" customWidth="1"/>
    <col min="4" max="4" width="30.140625" customWidth="1"/>
    <col min="5" max="9" width="12.5703125" customWidth="1"/>
    <col min="257" max="257" width="10.28515625" customWidth="1"/>
    <col min="258" max="258" width="17" customWidth="1"/>
    <col min="259" max="259" width="7" customWidth="1"/>
    <col min="260" max="260" width="30.140625" customWidth="1"/>
    <col min="261" max="265" width="12.5703125" customWidth="1"/>
    <col min="513" max="513" width="10.28515625" customWidth="1"/>
    <col min="514" max="514" width="17" customWidth="1"/>
    <col min="515" max="515" width="7" customWidth="1"/>
    <col min="516" max="516" width="30.140625" customWidth="1"/>
    <col min="517" max="521" width="12.5703125" customWidth="1"/>
    <col min="769" max="769" width="10.28515625" customWidth="1"/>
    <col min="770" max="770" width="17" customWidth="1"/>
    <col min="771" max="771" width="7" customWidth="1"/>
    <col min="772" max="772" width="30.140625" customWidth="1"/>
    <col min="773" max="777" width="12.5703125" customWidth="1"/>
    <col min="1025" max="1025" width="10.28515625" customWidth="1"/>
    <col min="1026" max="1026" width="17" customWidth="1"/>
    <col min="1027" max="1027" width="7" customWidth="1"/>
    <col min="1028" max="1028" width="30.140625" customWidth="1"/>
    <col min="1029" max="1033" width="12.5703125" customWidth="1"/>
    <col min="1281" max="1281" width="10.28515625" customWidth="1"/>
    <col min="1282" max="1282" width="17" customWidth="1"/>
    <col min="1283" max="1283" width="7" customWidth="1"/>
    <col min="1284" max="1284" width="30.140625" customWidth="1"/>
    <col min="1285" max="1289" width="12.5703125" customWidth="1"/>
    <col min="1537" max="1537" width="10.28515625" customWidth="1"/>
    <col min="1538" max="1538" width="17" customWidth="1"/>
    <col min="1539" max="1539" width="7" customWidth="1"/>
    <col min="1540" max="1540" width="30.140625" customWidth="1"/>
    <col min="1541" max="1545" width="12.5703125" customWidth="1"/>
    <col min="1793" max="1793" width="10.28515625" customWidth="1"/>
    <col min="1794" max="1794" width="17" customWidth="1"/>
    <col min="1795" max="1795" width="7" customWidth="1"/>
    <col min="1796" max="1796" width="30.140625" customWidth="1"/>
    <col min="1797" max="1801" width="12.5703125" customWidth="1"/>
    <col min="2049" max="2049" width="10.28515625" customWidth="1"/>
    <col min="2050" max="2050" width="17" customWidth="1"/>
    <col min="2051" max="2051" width="7" customWidth="1"/>
    <col min="2052" max="2052" width="30.140625" customWidth="1"/>
    <col min="2053" max="2057" width="12.5703125" customWidth="1"/>
    <col min="2305" max="2305" width="10.28515625" customWidth="1"/>
    <col min="2306" max="2306" width="17" customWidth="1"/>
    <col min="2307" max="2307" width="7" customWidth="1"/>
    <col min="2308" max="2308" width="30.140625" customWidth="1"/>
    <col min="2309" max="2313" width="12.5703125" customWidth="1"/>
    <col min="2561" max="2561" width="10.28515625" customWidth="1"/>
    <col min="2562" max="2562" width="17" customWidth="1"/>
    <col min="2563" max="2563" width="7" customWidth="1"/>
    <col min="2564" max="2564" width="30.140625" customWidth="1"/>
    <col min="2565" max="2569" width="12.5703125" customWidth="1"/>
    <col min="2817" max="2817" width="10.28515625" customWidth="1"/>
    <col min="2818" max="2818" width="17" customWidth="1"/>
    <col min="2819" max="2819" width="7" customWidth="1"/>
    <col min="2820" max="2820" width="30.140625" customWidth="1"/>
    <col min="2821" max="2825" width="12.5703125" customWidth="1"/>
    <col min="3073" max="3073" width="10.28515625" customWidth="1"/>
    <col min="3074" max="3074" width="17" customWidth="1"/>
    <col min="3075" max="3075" width="7" customWidth="1"/>
    <col min="3076" max="3076" width="30.140625" customWidth="1"/>
    <col min="3077" max="3081" width="12.5703125" customWidth="1"/>
    <col min="3329" max="3329" width="10.28515625" customWidth="1"/>
    <col min="3330" max="3330" width="17" customWidth="1"/>
    <col min="3331" max="3331" width="7" customWidth="1"/>
    <col min="3332" max="3332" width="30.140625" customWidth="1"/>
    <col min="3333" max="3337" width="12.5703125" customWidth="1"/>
    <col min="3585" max="3585" width="10.28515625" customWidth="1"/>
    <col min="3586" max="3586" width="17" customWidth="1"/>
    <col min="3587" max="3587" width="7" customWidth="1"/>
    <col min="3588" max="3588" width="30.140625" customWidth="1"/>
    <col min="3589" max="3593" width="12.5703125" customWidth="1"/>
    <col min="3841" max="3841" width="10.28515625" customWidth="1"/>
    <col min="3842" max="3842" width="17" customWidth="1"/>
    <col min="3843" max="3843" width="7" customWidth="1"/>
    <col min="3844" max="3844" width="30.140625" customWidth="1"/>
    <col min="3845" max="3849" width="12.5703125" customWidth="1"/>
    <col min="4097" max="4097" width="10.28515625" customWidth="1"/>
    <col min="4098" max="4098" width="17" customWidth="1"/>
    <col min="4099" max="4099" width="7" customWidth="1"/>
    <col min="4100" max="4100" width="30.140625" customWidth="1"/>
    <col min="4101" max="4105" width="12.5703125" customWidth="1"/>
    <col min="4353" max="4353" width="10.28515625" customWidth="1"/>
    <col min="4354" max="4354" width="17" customWidth="1"/>
    <col min="4355" max="4355" width="7" customWidth="1"/>
    <col min="4356" max="4356" width="30.140625" customWidth="1"/>
    <col min="4357" max="4361" width="12.5703125" customWidth="1"/>
    <col min="4609" max="4609" width="10.28515625" customWidth="1"/>
    <col min="4610" max="4610" width="17" customWidth="1"/>
    <col min="4611" max="4611" width="7" customWidth="1"/>
    <col min="4612" max="4612" width="30.140625" customWidth="1"/>
    <col min="4613" max="4617" width="12.5703125" customWidth="1"/>
    <col min="4865" max="4865" width="10.28515625" customWidth="1"/>
    <col min="4866" max="4866" width="17" customWidth="1"/>
    <col min="4867" max="4867" width="7" customWidth="1"/>
    <col min="4868" max="4868" width="30.140625" customWidth="1"/>
    <col min="4869" max="4873" width="12.5703125" customWidth="1"/>
    <col min="5121" max="5121" width="10.28515625" customWidth="1"/>
    <col min="5122" max="5122" width="17" customWidth="1"/>
    <col min="5123" max="5123" width="7" customWidth="1"/>
    <col min="5124" max="5124" width="30.140625" customWidth="1"/>
    <col min="5125" max="5129" width="12.5703125" customWidth="1"/>
    <col min="5377" max="5377" width="10.28515625" customWidth="1"/>
    <col min="5378" max="5378" width="17" customWidth="1"/>
    <col min="5379" max="5379" width="7" customWidth="1"/>
    <col min="5380" max="5380" width="30.140625" customWidth="1"/>
    <col min="5381" max="5385" width="12.5703125" customWidth="1"/>
    <col min="5633" max="5633" width="10.28515625" customWidth="1"/>
    <col min="5634" max="5634" width="17" customWidth="1"/>
    <col min="5635" max="5635" width="7" customWidth="1"/>
    <col min="5636" max="5636" width="30.140625" customWidth="1"/>
    <col min="5637" max="5641" width="12.5703125" customWidth="1"/>
    <col min="5889" max="5889" width="10.28515625" customWidth="1"/>
    <col min="5890" max="5890" width="17" customWidth="1"/>
    <col min="5891" max="5891" width="7" customWidth="1"/>
    <col min="5892" max="5892" width="30.140625" customWidth="1"/>
    <col min="5893" max="5897" width="12.5703125" customWidth="1"/>
    <col min="6145" max="6145" width="10.28515625" customWidth="1"/>
    <col min="6146" max="6146" width="17" customWidth="1"/>
    <col min="6147" max="6147" width="7" customWidth="1"/>
    <col min="6148" max="6148" width="30.140625" customWidth="1"/>
    <col min="6149" max="6153" width="12.5703125" customWidth="1"/>
    <col min="6401" max="6401" width="10.28515625" customWidth="1"/>
    <col min="6402" max="6402" width="17" customWidth="1"/>
    <col min="6403" max="6403" width="7" customWidth="1"/>
    <col min="6404" max="6404" width="30.140625" customWidth="1"/>
    <col min="6405" max="6409" width="12.5703125" customWidth="1"/>
    <col min="6657" max="6657" width="10.28515625" customWidth="1"/>
    <col min="6658" max="6658" width="17" customWidth="1"/>
    <col min="6659" max="6659" width="7" customWidth="1"/>
    <col min="6660" max="6660" width="30.140625" customWidth="1"/>
    <col min="6661" max="6665" width="12.5703125" customWidth="1"/>
    <col min="6913" max="6913" width="10.28515625" customWidth="1"/>
    <col min="6914" max="6914" width="17" customWidth="1"/>
    <col min="6915" max="6915" width="7" customWidth="1"/>
    <col min="6916" max="6916" width="30.140625" customWidth="1"/>
    <col min="6917" max="6921" width="12.5703125" customWidth="1"/>
    <col min="7169" max="7169" width="10.28515625" customWidth="1"/>
    <col min="7170" max="7170" width="17" customWidth="1"/>
    <col min="7171" max="7171" width="7" customWidth="1"/>
    <col min="7172" max="7172" width="30.140625" customWidth="1"/>
    <col min="7173" max="7177" width="12.5703125" customWidth="1"/>
    <col min="7425" max="7425" width="10.28515625" customWidth="1"/>
    <col min="7426" max="7426" width="17" customWidth="1"/>
    <col min="7427" max="7427" width="7" customWidth="1"/>
    <col min="7428" max="7428" width="30.140625" customWidth="1"/>
    <col min="7429" max="7433" width="12.5703125" customWidth="1"/>
    <col min="7681" max="7681" width="10.28515625" customWidth="1"/>
    <col min="7682" max="7682" width="17" customWidth="1"/>
    <col min="7683" max="7683" width="7" customWidth="1"/>
    <col min="7684" max="7684" width="30.140625" customWidth="1"/>
    <col min="7685" max="7689" width="12.5703125" customWidth="1"/>
    <col min="7937" max="7937" width="10.28515625" customWidth="1"/>
    <col min="7938" max="7938" width="17" customWidth="1"/>
    <col min="7939" max="7939" width="7" customWidth="1"/>
    <col min="7940" max="7940" width="30.140625" customWidth="1"/>
    <col min="7941" max="7945" width="12.5703125" customWidth="1"/>
    <col min="8193" max="8193" width="10.28515625" customWidth="1"/>
    <col min="8194" max="8194" width="17" customWidth="1"/>
    <col min="8195" max="8195" width="7" customWidth="1"/>
    <col min="8196" max="8196" width="30.140625" customWidth="1"/>
    <col min="8197" max="8201" width="12.5703125" customWidth="1"/>
    <col min="8449" max="8449" width="10.28515625" customWidth="1"/>
    <col min="8450" max="8450" width="17" customWidth="1"/>
    <col min="8451" max="8451" width="7" customWidth="1"/>
    <col min="8452" max="8452" width="30.140625" customWidth="1"/>
    <col min="8453" max="8457" width="12.5703125" customWidth="1"/>
    <col min="8705" max="8705" width="10.28515625" customWidth="1"/>
    <col min="8706" max="8706" width="17" customWidth="1"/>
    <col min="8707" max="8707" width="7" customWidth="1"/>
    <col min="8708" max="8708" width="30.140625" customWidth="1"/>
    <col min="8709" max="8713" width="12.5703125" customWidth="1"/>
    <col min="8961" max="8961" width="10.28515625" customWidth="1"/>
    <col min="8962" max="8962" width="17" customWidth="1"/>
    <col min="8963" max="8963" width="7" customWidth="1"/>
    <col min="8964" max="8964" width="30.140625" customWidth="1"/>
    <col min="8965" max="8969" width="12.5703125" customWidth="1"/>
    <col min="9217" max="9217" width="10.28515625" customWidth="1"/>
    <col min="9218" max="9218" width="17" customWidth="1"/>
    <col min="9219" max="9219" width="7" customWidth="1"/>
    <col min="9220" max="9220" width="30.140625" customWidth="1"/>
    <col min="9221" max="9225" width="12.5703125" customWidth="1"/>
    <col min="9473" max="9473" width="10.28515625" customWidth="1"/>
    <col min="9474" max="9474" width="17" customWidth="1"/>
    <col min="9475" max="9475" width="7" customWidth="1"/>
    <col min="9476" max="9476" width="30.140625" customWidth="1"/>
    <col min="9477" max="9481" width="12.5703125" customWidth="1"/>
    <col min="9729" max="9729" width="10.28515625" customWidth="1"/>
    <col min="9730" max="9730" width="17" customWidth="1"/>
    <col min="9731" max="9731" width="7" customWidth="1"/>
    <col min="9732" max="9732" width="30.140625" customWidth="1"/>
    <col min="9733" max="9737" width="12.5703125" customWidth="1"/>
    <col min="9985" max="9985" width="10.28515625" customWidth="1"/>
    <col min="9986" max="9986" width="17" customWidth="1"/>
    <col min="9987" max="9987" width="7" customWidth="1"/>
    <col min="9988" max="9988" width="30.140625" customWidth="1"/>
    <col min="9989" max="9993" width="12.5703125" customWidth="1"/>
    <col min="10241" max="10241" width="10.28515625" customWidth="1"/>
    <col min="10242" max="10242" width="17" customWidth="1"/>
    <col min="10243" max="10243" width="7" customWidth="1"/>
    <col min="10244" max="10244" width="30.140625" customWidth="1"/>
    <col min="10245" max="10249" width="12.5703125" customWidth="1"/>
    <col min="10497" max="10497" width="10.28515625" customWidth="1"/>
    <col min="10498" max="10498" width="17" customWidth="1"/>
    <col min="10499" max="10499" width="7" customWidth="1"/>
    <col min="10500" max="10500" width="30.140625" customWidth="1"/>
    <col min="10501" max="10505" width="12.5703125" customWidth="1"/>
    <col min="10753" max="10753" width="10.28515625" customWidth="1"/>
    <col min="10754" max="10754" width="17" customWidth="1"/>
    <col min="10755" max="10755" width="7" customWidth="1"/>
    <col min="10756" max="10756" width="30.140625" customWidth="1"/>
    <col min="10757" max="10761" width="12.5703125" customWidth="1"/>
    <col min="11009" max="11009" width="10.28515625" customWidth="1"/>
    <col min="11010" max="11010" width="17" customWidth="1"/>
    <col min="11011" max="11011" width="7" customWidth="1"/>
    <col min="11012" max="11012" width="30.140625" customWidth="1"/>
    <col min="11013" max="11017" width="12.5703125" customWidth="1"/>
    <col min="11265" max="11265" width="10.28515625" customWidth="1"/>
    <col min="11266" max="11266" width="17" customWidth="1"/>
    <col min="11267" max="11267" width="7" customWidth="1"/>
    <col min="11268" max="11268" width="30.140625" customWidth="1"/>
    <col min="11269" max="11273" width="12.5703125" customWidth="1"/>
    <col min="11521" max="11521" width="10.28515625" customWidth="1"/>
    <col min="11522" max="11522" width="17" customWidth="1"/>
    <col min="11523" max="11523" width="7" customWidth="1"/>
    <col min="11524" max="11524" width="30.140625" customWidth="1"/>
    <col min="11525" max="11529" width="12.5703125" customWidth="1"/>
    <col min="11777" max="11777" width="10.28515625" customWidth="1"/>
    <col min="11778" max="11778" width="17" customWidth="1"/>
    <col min="11779" max="11779" width="7" customWidth="1"/>
    <col min="11780" max="11780" width="30.140625" customWidth="1"/>
    <col min="11781" max="11785" width="12.5703125" customWidth="1"/>
    <col min="12033" max="12033" width="10.28515625" customWidth="1"/>
    <col min="12034" max="12034" width="17" customWidth="1"/>
    <col min="12035" max="12035" width="7" customWidth="1"/>
    <col min="12036" max="12036" width="30.140625" customWidth="1"/>
    <col min="12037" max="12041" width="12.5703125" customWidth="1"/>
    <col min="12289" max="12289" width="10.28515625" customWidth="1"/>
    <col min="12290" max="12290" width="17" customWidth="1"/>
    <col min="12291" max="12291" width="7" customWidth="1"/>
    <col min="12292" max="12292" width="30.140625" customWidth="1"/>
    <col min="12293" max="12297" width="12.5703125" customWidth="1"/>
    <col min="12545" max="12545" width="10.28515625" customWidth="1"/>
    <col min="12546" max="12546" width="17" customWidth="1"/>
    <col min="12547" max="12547" width="7" customWidth="1"/>
    <col min="12548" max="12548" width="30.140625" customWidth="1"/>
    <col min="12549" max="12553" width="12.5703125" customWidth="1"/>
    <col min="12801" max="12801" width="10.28515625" customWidth="1"/>
    <col min="12802" max="12802" width="17" customWidth="1"/>
    <col min="12803" max="12803" width="7" customWidth="1"/>
    <col min="12804" max="12804" width="30.140625" customWidth="1"/>
    <col min="12805" max="12809" width="12.5703125" customWidth="1"/>
    <col min="13057" max="13057" width="10.28515625" customWidth="1"/>
    <col min="13058" max="13058" width="17" customWidth="1"/>
    <col min="13059" max="13059" width="7" customWidth="1"/>
    <col min="13060" max="13060" width="30.140625" customWidth="1"/>
    <col min="13061" max="13065" width="12.5703125" customWidth="1"/>
    <col min="13313" max="13313" width="10.28515625" customWidth="1"/>
    <col min="13314" max="13314" width="17" customWidth="1"/>
    <col min="13315" max="13315" width="7" customWidth="1"/>
    <col min="13316" max="13316" width="30.140625" customWidth="1"/>
    <col min="13317" max="13321" width="12.5703125" customWidth="1"/>
    <col min="13569" max="13569" width="10.28515625" customWidth="1"/>
    <col min="13570" max="13570" width="17" customWidth="1"/>
    <col min="13571" max="13571" width="7" customWidth="1"/>
    <col min="13572" max="13572" width="30.140625" customWidth="1"/>
    <col min="13573" max="13577" width="12.5703125" customWidth="1"/>
    <col min="13825" max="13825" width="10.28515625" customWidth="1"/>
    <col min="13826" max="13826" width="17" customWidth="1"/>
    <col min="13827" max="13827" width="7" customWidth="1"/>
    <col min="13828" max="13828" width="30.140625" customWidth="1"/>
    <col min="13829" max="13833" width="12.5703125" customWidth="1"/>
    <col min="14081" max="14081" width="10.28515625" customWidth="1"/>
    <col min="14082" max="14082" width="17" customWidth="1"/>
    <col min="14083" max="14083" width="7" customWidth="1"/>
    <col min="14084" max="14084" width="30.140625" customWidth="1"/>
    <col min="14085" max="14089" width="12.5703125" customWidth="1"/>
    <col min="14337" max="14337" width="10.28515625" customWidth="1"/>
    <col min="14338" max="14338" width="17" customWidth="1"/>
    <col min="14339" max="14339" width="7" customWidth="1"/>
    <col min="14340" max="14340" width="30.140625" customWidth="1"/>
    <col min="14341" max="14345" width="12.5703125" customWidth="1"/>
    <col min="14593" max="14593" width="10.28515625" customWidth="1"/>
    <col min="14594" max="14594" width="17" customWidth="1"/>
    <col min="14595" max="14595" width="7" customWidth="1"/>
    <col min="14596" max="14596" width="30.140625" customWidth="1"/>
    <col min="14597" max="14601" width="12.5703125" customWidth="1"/>
    <col min="14849" max="14849" width="10.28515625" customWidth="1"/>
    <col min="14850" max="14850" width="17" customWidth="1"/>
    <col min="14851" max="14851" width="7" customWidth="1"/>
    <col min="14852" max="14852" width="30.140625" customWidth="1"/>
    <col min="14853" max="14857" width="12.5703125" customWidth="1"/>
    <col min="15105" max="15105" width="10.28515625" customWidth="1"/>
    <col min="15106" max="15106" width="17" customWidth="1"/>
    <col min="15107" max="15107" width="7" customWidth="1"/>
    <col min="15108" max="15108" width="30.140625" customWidth="1"/>
    <col min="15109" max="15113" width="12.5703125" customWidth="1"/>
    <col min="15361" max="15361" width="10.28515625" customWidth="1"/>
    <col min="15362" max="15362" width="17" customWidth="1"/>
    <col min="15363" max="15363" width="7" customWidth="1"/>
    <col min="15364" max="15364" width="30.140625" customWidth="1"/>
    <col min="15365" max="15369" width="12.5703125" customWidth="1"/>
    <col min="15617" max="15617" width="10.28515625" customWidth="1"/>
    <col min="15618" max="15618" width="17" customWidth="1"/>
    <col min="15619" max="15619" width="7" customWidth="1"/>
    <col min="15620" max="15620" width="30.140625" customWidth="1"/>
    <col min="15621" max="15625" width="12.5703125" customWidth="1"/>
    <col min="15873" max="15873" width="10.28515625" customWidth="1"/>
    <col min="15874" max="15874" width="17" customWidth="1"/>
    <col min="15875" max="15875" width="7" customWidth="1"/>
    <col min="15876" max="15876" width="30.140625" customWidth="1"/>
    <col min="15877" max="15881" width="12.5703125" customWidth="1"/>
    <col min="16129" max="16129" width="10.28515625" customWidth="1"/>
    <col min="16130" max="16130" width="17" customWidth="1"/>
    <col min="16131" max="16131" width="7" customWidth="1"/>
    <col min="16132" max="16132" width="30.140625" customWidth="1"/>
    <col min="16133" max="16137" width="12.5703125" customWidth="1"/>
  </cols>
  <sheetData>
    <row r="1" spans="1:9" ht="20.25">
      <c r="A1" s="163" t="s">
        <v>109</v>
      </c>
      <c r="B1" s="163"/>
      <c r="C1" s="163"/>
      <c r="D1" s="163"/>
      <c r="E1" s="163"/>
      <c r="F1" s="163"/>
      <c r="G1" s="163"/>
      <c r="H1" s="163"/>
      <c r="I1" s="163"/>
    </row>
    <row r="3" spans="1:9">
      <c r="A3" s="145" t="s">
        <v>83</v>
      </c>
      <c r="B3" s="145" t="s">
        <v>84</v>
      </c>
      <c r="C3" s="145" t="s">
        <v>85</v>
      </c>
      <c r="D3" s="145" t="s">
        <v>86</v>
      </c>
      <c r="E3" s="145" t="s">
        <v>87</v>
      </c>
      <c r="F3" s="145" t="s">
        <v>88</v>
      </c>
      <c r="G3" s="145" t="s">
        <v>89</v>
      </c>
      <c r="H3" s="145" t="s">
        <v>90</v>
      </c>
      <c r="I3" s="145" t="s">
        <v>91</v>
      </c>
    </row>
    <row r="4" spans="1:9" ht="15" customHeight="1">
      <c r="A4" s="164">
        <v>0.01</v>
      </c>
      <c r="B4" s="165" t="s">
        <v>92</v>
      </c>
      <c r="C4" s="148">
        <v>1</v>
      </c>
      <c r="D4" s="148" t="s">
        <v>93</v>
      </c>
      <c r="E4" s="166">
        <f>+'[2]01'!F4+'[2]02'!F4+'[2]03'!F4+'[2]04'!F4+'[2]05'!F4+'[2]06'!F4+'[2]07'!F4+'[2]08'!F4+'[2]09'!F4+'[2]10'!F4+'[2]11'!F4+'[2]12'!F4+'[2]13'!F4+'[2]14'!F4+'[2]15'!F4+'[2]16'!F4+'[2]17'!F4+'[2]18'!F4+'[2]19'!F4+'[2]20'!F4+'[2]21'!F4+'[2]22'!F4+'[2]23'!F4+'[2]24'!F4+'[2]25'!F4+'[2]26'!F4+'[2]27'!F4+'[2]28'!F4+'[2]29'!F4+'[2]30'!F4+'[2]31'!F4</f>
        <v>0</v>
      </c>
      <c r="F4" s="166">
        <f>+'[2]01'!G4+'[2]02'!G4+'[2]03'!G4+'[2]04'!G4+'[2]05'!G4+'[2]06'!G4+'[2]07'!G4+'[2]08'!G4+'[2]09'!G4+'[2]10'!G4+'[2]11'!G4+'[2]12'!G4+'[2]13'!G4+'[2]14'!G4+'[2]15'!G4+'[2]16'!G4+'[2]17'!G4+'[2]18'!G4+'[2]19'!G4+'[2]20'!G4+'[2]21'!G4+'[2]22'!G4+'[2]23'!G4+'[2]24'!G4+'[2]25'!G4+'[2]26'!G4+'[2]27'!G4+'[2]28'!G4+'[2]29'!G4+'[2]30'!G4+'[2]31'!G4</f>
        <v>36576</v>
      </c>
      <c r="G4" s="166">
        <f>F4+E4</f>
        <v>36576</v>
      </c>
      <c r="H4" s="151">
        <f t="shared" ref="H4:H9" si="0">(G4-F4)/G4</f>
        <v>0</v>
      </c>
      <c r="I4" s="152">
        <f>F4/G4</f>
        <v>1</v>
      </c>
    </row>
    <row r="5" spans="1:9" ht="16.5">
      <c r="A5" s="167"/>
      <c r="B5" s="168"/>
      <c r="C5" s="148">
        <v>2</v>
      </c>
      <c r="D5" s="148" t="s">
        <v>94</v>
      </c>
      <c r="E5" s="166">
        <f>+'[2]01'!F5+'[2]02'!F5+'[2]03'!F5+'[2]04'!F5+'[2]05'!F5+'[2]06'!F5+'[2]07'!F5+'[2]08'!F5+'[2]09'!F5+'[2]10'!F5+'[2]11'!F5+'[2]12'!F5+'[2]13'!F5+'[2]14'!F5+'[2]15'!F5+'[2]16'!F5+'[2]17'!F5+'[2]18'!F5+'[2]19'!F5+'[2]20'!F5+'[2]21'!F5+'[2]22'!F5+'[2]23'!F5+'[2]24'!F5+'[2]25'!F5+'[2]26'!F5+'[2]27'!F5+'[2]28'!F5+'[2]29'!F5+'[2]30'!F5+'[2]31'!F5</f>
        <v>43</v>
      </c>
      <c r="F5" s="169">
        <f>F4</f>
        <v>36576</v>
      </c>
      <c r="G5" s="166">
        <f>F5+E5</f>
        <v>36619</v>
      </c>
      <c r="H5" s="152">
        <f t="shared" si="0"/>
        <v>1.1742538026707446E-3</v>
      </c>
      <c r="I5" s="152">
        <f>F5/G5</f>
        <v>0.99882574619732922</v>
      </c>
    </row>
    <row r="6" spans="1:9" ht="16.5">
      <c r="A6" s="167"/>
      <c r="B6" s="168"/>
      <c r="C6" s="148">
        <v>3</v>
      </c>
      <c r="D6" s="148" t="s">
        <v>95</v>
      </c>
      <c r="E6" s="166">
        <f>+'[2]01'!F6+'[2]02'!F6+'[2]03'!F6+'[2]04'!F6+'[2]05'!F6+'[2]06'!F6+'[2]07'!F6+'[2]08'!F6+'[2]09'!F6+'[2]10'!F6+'[2]11'!F6+'[2]12'!F6+'[2]13'!F6+'[2]14'!F6+'[2]15'!F6+'[2]16'!F6+'[2]17'!F6+'[2]18'!F6+'[2]19'!F6+'[2]20'!F6+'[2]21'!F6+'[2]22'!F6+'[2]23'!F6+'[2]24'!F6+'[2]25'!F6+'[2]26'!F6+'[2]27'!F6+'[2]28'!F6+'[2]29'!F6+'[2]30'!F6+'[2]31'!F6</f>
        <v>69</v>
      </c>
      <c r="F6" s="169">
        <f>F4</f>
        <v>36576</v>
      </c>
      <c r="G6" s="166">
        <f>$G$4+E6</f>
        <v>36645</v>
      </c>
      <c r="H6" s="152">
        <f t="shared" si="0"/>
        <v>1.882930822758903E-3</v>
      </c>
      <c r="I6" s="152">
        <f>$G$4/G6</f>
        <v>0.99811706917724108</v>
      </c>
    </row>
    <row r="7" spans="1:9" ht="16.5">
      <c r="A7" s="167"/>
      <c r="B7" s="168"/>
      <c r="C7" s="148">
        <v>4</v>
      </c>
      <c r="D7" s="148" t="s">
        <v>96</v>
      </c>
      <c r="E7" s="166">
        <f>+'[2]01'!F7+'[2]02'!F7+'[2]03'!F7+'[2]04'!F7+'[2]05'!F7+'[2]06'!F7+'[2]07'!F7+'[2]08'!F7+'[2]09'!F7+'[2]10'!F7+'[2]11'!F7+'[2]12'!F7+'[2]13'!F7+'[2]14'!F7+'[2]15'!F7+'[2]16'!F7+'[2]17'!F7+'[2]18'!F7+'[2]19'!F7+'[2]20'!F7+'[2]21'!F7+'[2]22'!F7+'[2]23'!F7+'[2]24'!F7+'[2]25'!F7+'[2]26'!F7+'[2]27'!F7+'[2]28'!F7+'[2]29'!F7+'[2]30'!F7+'[2]31'!F7</f>
        <v>14</v>
      </c>
      <c r="F7" s="169">
        <f>F6</f>
        <v>36576</v>
      </c>
      <c r="G7" s="166">
        <f>$G$4+E7</f>
        <v>36590</v>
      </c>
      <c r="H7" s="152">
        <f t="shared" si="0"/>
        <v>3.8261820169445204E-4</v>
      </c>
      <c r="I7" s="152">
        <f>$G$4/G7</f>
        <v>0.9996173817983055</v>
      </c>
    </row>
    <row r="8" spans="1:9" ht="16.5">
      <c r="A8" s="167"/>
      <c r="B8" s="168"/>
      <c r="C8" s="148">
        <v>5</v>
      </c>
      <c r="D8" s="148" t="s">
        <v>97</v>
      </c>
      <c r="E8" s="166">
        <f>+'[2]01'!F8+'[2]02'!F8+'[2]03'!F8+'[2]04'!F8+'[2]05'!F8+'[2]06'!F8+'[2]07'!F8+'[2]08'!F8+'[2]09'!F8+'[2]10'!F8+'[2]11'!F8+'[2]12'!F8+'[2]13'!F8+'[2]14'!F8+'[2]15'!F8+'[2]16'!F8+'[2]17'!F8+'[2]18'!F8+'[2]19'!F8+'[2]20'!F8+'[2]21'!F8+'[2]22'!F8+'[2]23'!F8+'[2]24'!F8+'[2]25'!F8+'[2]26'!F8+'[2]27'!F8+'[2]28'!F8+'[2]29'!F8+'[2]30'!F8+'[2]31'!F8</f>
        <v>180</v>
      </c>
      <c r="F8" s="169">
        <f>F7</f>
        <v>36576</v>
      </c>
      <c r="G8" s="166">
        <f>$G$4+E8</f>
        <v>36756</v>
      </c>
      <c r="H8" s="152">
        <f t="shared" si="0"/>
        <v>4.8971596474045058E-3</v>
      </c>
      <c r="I8" s="152">
        <f>$G$4/G8</f>
        <v>0.99510284035259544</v>
      </c>
    </row>
    <row r="9" spans="1:9" ht="16.5">
      <c r="A9" s="170"/>
      <c r="B9" s="171"/>
      <c r="C9" s="148">
        <v>6</v>
      </c>
      <c r="D9" s="148" t="s">
        <v>98</v>
      </c>
      <c r="E9" s="166">
        <f>+'[2]01'!F9+'[2]02'!F9+'[2]03'!F9+'[2]04'!F9+'[2]05'!F9+'[2]06'!F9+'[2]07'!F9+'[2]08'!F9+'[2]09'!F9+'[2]10'!F9+'[2]11'!F9+'[2]12'!F9+'[2]13'!F9+'[2]14'!F9+'[2]15'!F9+'[2]16'!F9+'[2]17'!F9+'[2]18'!F9+'[2]19'!F9+'[2]20'!F9+'[2]21'!F9+'[2]22'!F9+'[2]23'!F9+'[2]24'!F9+'[2]25'!F9+'[2]26'!F9+'[2]27'!F9+'[2]28'!F9+'[2]29'!F9+'[2]30'!F9+'[2]31'!F9</f>
        <v>0</v>
      </c>
      <c r="F9" s="169">
        <f>F8</f>
        <v>36576</v>
      </c>
      <c r="G9" s="166">
        <f>$G$4+E9</f>
        <v>36576</v>
      </c>
      <c r="H9" s="152">
        <f t="shared" si="0"/>
        <v>0</v>
      </c>
      <c r="I9" s="152">
        <f>$G$4/G9</f>
        <v>1</v>
      </c>
    </row>
    <row r="10" spans="1:9" ht="16.5">
      <c r="A10" s="142"/>
      <c r="B10" s="142"/>
      <c r="C10" s="172" t="s">
        <v>99</v>
      </c>
      <c r="D10" s="173"/>
      <c r="E10" s="174">
        <f>SUM(E4:E9)</f>
        <v>306</v>
      </c>
      <c r="F10" s="174">
        <f>F4</f>
        <v>36576</v>
      </c>
      <c r="G10" s="174">
        <f>F10+E10</f>
        <v>36882</v>
      </c>
      <c r="H10" s="156">
        <f>(G10-F4)/G10</f>
        <v>8.2967301122498782E-3</v>
      </c>
      <c r="I10" s="156">
        <f>F4/G10</f>
        <v>0.99170326988775015</v>
      </c>
    </row>
    <row r="11" spans="1:9" ht="16.5">
      <c r="A11" s="143"/>
      <c r="B11" s="142"/>
      <c r="C11" s="142"/>
      <c r="D11" s="142"/>
      <c r="E11" s="142"/>
      <c r="F11" s="142"/>
      <c r="G11" s="142"/>
      <c r="H11" s="142"/>
      <c r="I11" s="142"/>
    </row>
    <row r="12" spans="1:9" s="175" customFormat="1">
      <c r="A12" s="145" t="s">
        <v>83</v>
      </c>
      <c r="B12" s="145" t="s">
        <v>84</v>
      </c>
      <c r="C12" s="145" t="s">
        <v>85</v>
      </c>
      <c r="D12" s="145" t="s">
        <v>86</v>
      </c>
      <c r="E12" s="145" t="s">
        <v>87</v>
      </c>
      <c r="F12" s="145" t="s">
        <v>88</v>
      </c>
      <c r="G12" s="145" t="s">
        <v>89</v>
      </c>
      <c r="H12" s="145" t="s">
        <v>90</v>
      </c>
      <c r="I12" s="145" t="s">
        <v>91</v>
      </c>
    </row>
    <row r="13" spans="1:9" ht="16.5">
      <c r="A13" s="164">
        <v>0.01</v>
      </c>
      <c r="B13" s="165" t="s">
        <v>100</v>
      </c>
      <c r="C13" s="148">
        <v>1</v>
      </c>
      <c r="D13" s="148" t="s">
        <v>93</v>
      </c>
      <c r="E13" s="166">
        <f>+'[2]01'!F13+'[2]02'!F13+'[2]03'!F13+'[2]04'!F13+'[2]05'!F13+'[2]06'!F13+'[2]07'!F13+'[2]08'!F13+'[2]09'!F13+'[2]10'!F13+'[2]11'!F13+'[2]12'!F13+'[2]13'!F13+'[2]14'!F13+'[2]15'!F13+'[2]16'!F13+'[2]17'!F13+'[2]18'!F13+'[2]19'!F13+'[2]20'!F13+'[2]21'!F13+'[2]22'!F13+'[2]23'!F13+'[2]24'!F13+'[2]25'!F13+'[2]26'!F13+'[2]27'!F13+'[2]28'!F13+'[2]29'!F13+'[2]30'!F13+'[2]31'!F13</f>
        <v>0</v>
      </c>
      <c r="F13" s="166">
        <f>+'[2]01'!G13+'[2]02'!G13+'[2]03'!G13+'[2]04'!G13+'[2]05'!G13+'[2]06'!G13+'[2]07'!G13+'[2]08'!G13+'[2]09'!G13+'[2]10'!G13+'[2]11'!G13+'[2]12'!G13+'[2]13'!G13+'[2]14'!G13+'[2]15'!G13+'[2]16'!G13+'[2]17'!G13+'[2]18'!G13+'[2]19'!G13+'[2]20'!G13+'[2]21'!G13+'[2]22'!G13+'[2]23'!G13+'[2]24'!G13+'[2]25'!G13+'[2]26'!G13+'[2]27'!G13+'[2]28'!G13+'[2]29'!G13+'[2]30'!G13+'[2]31'!G13</f>
        <v>38453</v>
      </c>
      <c r="G13" s="166">
        <f t="shared" ref="G13:G18" si="1">F13+E13</f>
        <v>38453</v>
      </c>
      <c r="H13" s="152">
        <f t="shared" ref="H13:H18" si="2">(G13-F13)/G13</f>
        <v>0</v>
      </c>
      <c r="I13" s="152">
        <f t="shared" ref="I13:I18" si="3">F13/G13</f>
        <v>1</v>
      </c>
    </row>
    <row r="14" spans="1:9" ht="16.5">
      <c r="A14" s="167"/>
      <c r="B14" s="168"/>
      <c r="C14" s="148">
        <v>2</v>
      </c>
      <c r="D14" s="148" t="s">
        <v>94</v>
      </c>
      <c r="E14" s="166">
        <f>+'[2]01'!F14+'[2]02'!F14+'[2]03'!F14+'[2]04'!F14+'[2]05'!F14+'[2]06'!F14+'[2]07'!F14+'[2]08'!F14+'[2]09'!F14+'[2]10'!F14+'[2]11'!F14+'[2]12'!F14+'[2]13'!F14+'[2]14'!F14+'[2]15'!F14+'[2]16'!F14+'[2]17'!F14+'[2]18'!F14+'[2]19'!F14+'[2]20'!F14+'[2]21'!F14+'[2]22'!F14+'[2]23'!F14+'[2]24'!F14+'[2]25'!F14+'[2]26'!F14+'[2]27'!F14+'[2]28'!F14+'[2]29'!F14+'[2]30'!F14+'[2]31'!F14</f>
        <v>75</v>
      </c>
      <c r="F14" s="169">
        <f>F13</f>
        <v>38453</v>
      </c>
      <c r="G14" s="166">
        <f t="shared" si="1"/>
        <v>38528</v>
      </c>
      <c r="H14" s="152">
        <f t="shared" si="2"/>
        <v>1.9466362126245847E-3</v>
      </c>
      <c r="I14" s="152">
        <f t="shared" si="3"/>
        <v>0.99805336378737541</v>
      </c>
    </row>
    <row r="15" spans="1:9" ht="16.5">
      <c r="A15" s="167"/>
      <c r="B15" s="168"/>
      <c r="C15" s="148">
        <v>2</v>
      </c>
      <c r="D15" s="148" t="s">
        <v>95</v>
      </c>
      <c r="E15" s="166">
        <f>+'[2]01'!F15+'[2]02'!F15+'[2]03'!F15+'[2]04'!F15+'[2]05'!F15+'[2]06'!F15+'[2]07'!F15+'[2]08'!F15+'[2]09'!F15+'[2]10'!F15+'[2]11'!F15+'[2]12'!F15+'[2]13'!F15+'[2]14'!F15+'[2]15'!F15+'[2]16'!F15+'[2]17'!F15+'[2]18'!F15+'[2]19'!F15+'[2]20'!F15+'[2]21'!F15+'[2]22'!F15+'[2]23'!F15+'[2]24'!F15+'[2]25'!F15+'[2]26'!F15+'[2]27'!F15+'[2]28'!F15+'[2]29'!F15+'[2]30'!F15+'[2]31'!F15</f>
        <v>136</v>
      </c>
      <c r="F15" s="169">
        <f>F13</f>
        <v>38453</v>
      </c>
      <c r="G15" s="166">
        <f t="shared" si="1"/>
        <v>38589</v>
      </c>
      <c r="H15" s="152">
        <f t="shared" si="2"/>
        <v>3.5243204021871517E-3</v>
      </c>
      <c r="I15" s="152">
        <f t="shared" si="3"/>
        <v>0.9964756795978128</v>
      </c>
    </row>
    <row r="16" spans="1:9" ht="16.5">
      <c r="A16" s="167"/>
      <c r="B16" s="168"/>
      <c r="C16" s="148">
        <v>3</v>
      </c>
      <c r="D16" s="148" t="s">
        <v>96</v>
      </c>
      <c r="E16" s="166">
        <f>+'[2]01'!F16+'[2]02'!F16+'[2]03'!F16+'[2]04'!F16+'[2]05'!F16+'[2]06'!F16+'[2]07'!F16+'[2]08'!F16+'[2]09'!F16+'[2]10'!F16+'[2]11'!F16+'[2]12'!F16+'[2]13'!F16+'[2]14'!F16+'[2]15'!F16+'[2]16'!F16+'[2]17'!F16+'[2]18'!F16+'[2]19'!F16+'[2]20'!F16+'[2]21'!F16+'[2]22'!F16+'[2]23'!F16+'[2]24'!F16+'[2]25'!F16+'[2]26'!F16+'[2]27'!F16+'[2]28'!F16+'[2]29'!F16+'[2]30'!F16+'[2]31'!F16</f>
        <v>17</v>
      </c>
      <c r="F16" s="169">
        <f>F15</f>
        <v>38453</v>
      </c>
      <c r="G16" s="166">
        <f t="shared" si="1"/>
        <v>38470</v>
      </c>
      <c r="H16" s="152">
        <f t="shared" si="2"/>
        <v>4.4190278138809462E-4</v>
      </c>
      <c r="I16" s="152">
        <f t="shared" si="3"/>
        <v>0.99955809721861189</v>
      </c>
    </row>
    <row r="17" spans="1:9" ht="16.5">
      <c r="A17" s="167"/>
      <c r="B17" s="168"/>
      <c r="C17" s="148">
        <v>4</v>
      </c>
      <c r="D17" s="148" t="s">
        <v>97</v>
      </c>
      <c r="E17" s="166">
        <f>+'[2]01'!F17+'[2]02'!F17+'[2]03'!F17+'[2]04'!F17+'[2]05'!F17+'[2]06'!F17+'[2]07'!F17+'[2]08'!F17+'[2]09'!F17+'[2]10'!F17+'[2]11'!F17+'[2]12'!F17+'[2]13'!F17+'[2]14'!F17+'[2]15'!F17+'[2]16'!F17+'[2]17'!F17+'[2]18'!F17+'[2]19'!F17+'[2]20'!F17+'[2]21'!F17+'[2]22'!F17+'[2]23'!F17+'[2]24'!F17+'[2]25'!F17+'[2]26'!F17+'[2]27'!F17+'[2]28'!F17+'[2]29'!F17+'[2]30'!F17+'[2]31'!F17</f>
        <v>246</v>
      </c>
      <c r="F17" s="169">
        <f>F16</f>
        <v>38453</v>
      </c>
      <c r="G17" s="166">
        <f t="shared" si="1"/>
        <v>38699</v>
      </c>
      <c r="H17" s="152">
        <f t="shared" si="2"/>
        <v>6.3567534044807359E-3</v>
      </c>
      <c r="I17" s="152">
        <f t="shared" si="3"/>
        <v>0.99364324659551928</v>
      </c>
    </row>
    <row r="18" spans="1:9" ht="16.5">
      <c r="A18" s="170"/>
      <c r="B18" s="171"/>
      <c r="C18" s="148">
        <v>5</v>
      </c>
      <c r="D18" s="148" t="s">
        <v>98</v>
      </c>
      <c r="E18" s="166">
        <f>+'[2]01'!F18+'[2]02'!F18+'[2]03'!F18+'[2]04'!F18+'[2]05'!F18+'[2]06'!F18+'[2]07'!F18+'[2]08'!F18+'[2]09'!F18+'[2]10'!F18+'[2]11'!F18+'[2]12'!F18+'[2]13'!F18+'[2]14'!F18+'[2]15'!F18+'[2]16'!F18+'[2]17'!F18+'[2]18'!F18+'[2]19'!F18+'[2]20'!F18+'[2]21'!F18+'[2]22'!F18+'[2]23'!F18+'[2]24'!F18+'[2]25'!F18+'[2]26'!F18+'[2]27'!F18+'[2]28'!F18+'[2]29'!F18+'[2]30'!F18+'[2]31'!F18</f>
        <v>0</v>
      </c>
      <c r="F18" s="169">
        <f>F17</f>
        <v>38453</v>
      </c>
      <c r="G18" s="166">
        <f t="shared" si="1"/>
        <v>38453</v>
      </c>
      <c r="H18" s="152">
        <f t="shared" si="2"/>
        <v>0</v>
      </c>
      <c r="I18" s="152">
        <f t="shared" si="3"/>
        <v>1</v>
      </c>
    </row>
    <row r="19" spans="1:9" ht="16.5">
      <c r="A19" s="142"/>
      <c r="B19" s="142"/>
      <c r="C19" s="172" t="s">
        <v>99</v>
      </c>
      <c r="D19" s="173"/>
      <c r="E19" s="174">
        <f>SUM(E13:E18)</f>
        <v>474</v>
      </c>
      <c r="F19" s="174">
        <f>F13</f>
        <v>38453</v>
      </c>
      <c r="G19" s="174">
        <f>F19+E19</f>
        <v>38927</v>
      </c>
      <c r="H19" s="156">
        <f>(G19-F13)/G19</f>
        <v>1.2176638323014874E-2</v>
      </c>
      <c r="I19" s="156">
        <f>F13/G19</f>
        <v>0.98782336167698515</v>
      </c>
    </row>
    <row r="20" spans="1:9" ht="16.5">
      <c r="A20" s="143"/>
      <c r="B20" s="142"/>
      <c r="C20" s="142"/>
      <c r="D20" s="142"/>
      <c r="E20" s="142"/>
      <c r="F20" s="142"/>
      <c r="G20" s="142"/>
      <c r="H20" s="142"/>
      <c r="I20" s="142"/>
    </row>
    <row r="21" spans="1:9">
      <c r="A21" s="145" t="s">
        <v>83</v>
      </c>
      <c r="B21" s="145" t="s">
        <v>84</v>
      </c>
      <c r="C21" s="145" t="s">
        <v>85</v>
      </c>
      <c r="D21" s="145" t="s">
        <v>86</v>
      </c>
      <c r="E21" s="145" t="s">
        <v>87</v>
      </c>
      <c r="F21" s="145" t="s">
        <v>88</v>
      </c>
      <c r="G21" s="145" t="s">
        <v>89</v>
      </c>
      <c r="H21" s="145" t="s">
        <v>90</v>
      </c>
      <c r="I21" s="145" t="s">
        <v>91</v>
      </c>
    </row>
    <row r="22" spans="1:9" s="176" customFormat="1" ht="16.5">
      <c r="A22" s="164">
        <v>0.01</v>
      </c>
      <c r="B22" s="165" t="s">
        <v>101</v>
      </c>
      <c r="C22" s="148">
        <v>1</v>
      </c>
      <c r="D22" s="148" t="s">
        <v>93</v>
      </c>
      <c r="E22" s="166">
        <f>+'[2]01'!F22+'[2]02'!F22+'[2]03'!F22+'[2]04'!F22+'[2]05'!F22+'[2]06'!F22+'[2]07'!F22+'[2]08'!F22+'[2]09'!F22+'[2]10'!F22+'[2]11'!F22+'[2]12'!F22+'[2]13'!F22+'[2]14'!F22+'[2]15'!F22+'[2]16'!F22+'[2]17'!F22+'[2]18'!F22+'[2]19'!F22+'[2]20'!F22+'[2]21'!F22+'[2]22'!F22+'[2]23'!F22+'[2]24'!F22+'[2]25'!F22+'[2]26'!F22+'[2]27'!F22+'[2]28'!F22+'[2]29'!F22+'[2]30'!F22+'[2]31'!F22</f>
        <v>0</v>
      </c>
      <c r="F22" s="166">
        <f>+'[2]01'!G22+'[2]02'!G22+'[2]03'!G22+'[2]04'!G22+'[2]05'!G22+'[2]06'!G22+'[2]07'!G22+'[2]08'!G22+'[2]09'!G22+'[2]10'!G22+'[2]11'!G22+'[2]12'!G22+'[2]13'!G22+'[2]14'!G22+'[2]15'!G22+'[2]16'!G22+'[2]17'!G22+'[2]18'!G22+'[2]19'!G22+'[2]20'!G22+'[2]21'!G22+'[2]22'!G22+'[2]23'!G22+'[2]24'!G22+'[2]25'!G22+'[2]26'!G22+'[2]27'!G22+'[2]28'!G22+'[2]29'!G22+'[2]30'!G22+'[2]31'!G22</f>
        <v>228752</v>
      </c>
      <c r="G22" s="166">
        <f t="shared" ref="G22:G27" si="4">F22+E22</f>
        <v>228752</v>
      </c>
      <c r="H22" s="152">
        <f t="shared" ref="H22:H27" si="5">(G22-F22)/G22</f>
        <v>0</v>
      </c>
      <c r="I22" s="152">
        <f t="shared" ref="I22:I27" si="6">F22/G22</f>
        <v>1</v>
      </c>
    </row>
    <row r="23" spans="1:9" ht="16.5">
      <c r="A23" s="167"/>
      <c r="B23" s="168"/>
      <c r="C23" s="148">
        <v>2</v>
      </c>
      <c r="D23" s="148" t="s">
        <v>94</v>
      </c>
      <c r="E23" s="166">
        <f>+'[2]01'!F23+'[2]02'!F23+'[2]03'!F23+'[2]04'!F23+'[2]05'!F23+'[2]06'!F23+'[2]07'!F23+'[2]08'!F23+'[2]09'!F23+'[2]10'!F23+'[2]11'!F23+'[2]12'!F23+'[2]13'!F23+'[2]14'!F23+'[2]15'!F23+'[2]16'!F23+'[2]17'!F23+'[2]18'!F23+'[2]19'!F23+'[2]20'!F23+'[2]21'!F23+'[2]22'!F23+'[2]23'!F23+'[2]24'!F23+'[2]25'!F23+'[2]26'!F23+'[2]27'!F23+'[2]28'!F23+'[2]29'!F23+'[2]30'!F23+'[2]31'!F23</f>
        <v>121</v>
      </c>
      <c r="F23" s="169">
        <f>F22</f>
        <v>228752</v>
      </c>
      <c r="G23" s="166">
        <f t="shared" si="4"/>
        <v>228873</v>
      </c>
      <c r="H23" s="152">
        <f t="shared" si="5"/>
        <v>5.2867747615489814E-4</v>
      </c>
      <c r="I23" s="152">
        <f t="shared" si="6"/>
        <v>0.99947132252384507</v>
      </c>
    </row>
    <row r="24" spans="1:9" ht="16.5">
      <c r="A24" s="167"/>
      <c r="B24" s="168"/>
      <c r="C24" s="148">
        <v>2</v>
      </c>
      <c r="D24" s="148" t="s">
        <v>95</v>
      </c>
      <c r="E24" s="166">
        <f>+'[2]01'!F24+'[2]02'!F24+'[2]03'!F24+'[2]04'!F24+'[2]05'!F24+'[2]06'!F24+'[2]07'!F24+'[2]08'!F24+'[2]09'!F24+'[2]10'!F24+'[2]11'!F24+'[2]12'!F24+'[2]13'!F24+'[2]14'!F24+'[2]15'!F24+'[2]16'!F24+'[2]17'!F24+'[2]18'!F24+'[2]19'!F24+'[2]20'!F24+'[2]21'!F24+'[2]22'!F24+'[2]23'!F24+'[2]24'!F24+'[2]25'!F24+'[2]26'!F24+'[2]27'!F24+'[2]28'!F24+'[2]29'!F24+'[2]30'!F24+'[2]31'!F24</f>
        <v>892</v>
      </c>
      <c r="F24" s="169">
        <f>F22</f>
        <v>228752</v>
      </c>
      <c r="G24" s="166">
        <f t="shared" si="4"/>
        <v>229644</v>
      </c>
      <c r="H24" s="152">
        <f t="shared" si="5"/>
        <v>3.8842730487188867E-3</v>
      </c>
      <c r="I24" s="152">
        <f t="shared" si="6"/>
        <v>0.99611572695128114</v>
      </c>
    </row>
    <row r="25" spans="1:9" ht="16.5">
      <c r="A25" s="167"/>
      <c r="B25" s="168"/>
      <c r="C25" s="148">
        <v>3</v>
      </c>
      <c r="D25" s="148" t="s">
        <v>102</v>
      </c>
      <c r="E25" s="166">
        <f>+'[2]01'!F25+'[2]02'!F25+'[2]03'!F25+'[2]04'!F25+'[2]05'!F25+'[2]06'!F25+'[2]07'!F25+'[2]08'!F25+'[2]09'!F25+'[2]10'!F25+'[2]11'!F25+'[2]12'!F25+'[2]13'!F25+'[2]14'!F25+'[2]15'!F25+'[2]16'!F25+'[2]17'!F25+'[2]18'!F25+'[2]19'!F25+'[2]20'!F25+'[2]21'!F25+'[2]22'!F25+'[2]23'!F25+'[2]24'!F25+'[2]25'!F25+'[2]26'!F25+'[2]27'!F25+'[2]28'!F25+'[2]29'!F25+'[2]30'!F25+'[2]31'!F25</f>
        <v>0</v>
      </c>
      <c r="F25" s="169">
        <f>F24</f>
        <v>228752</v>
      </c>
      <c r="G25" s="166">
        <f t="shared" si="4"/>
        <v>228752</v>
      </c>
      <c r="H25" s="152">
        <f t="shared" si="5"/>
        <v>0</v>
      </c>
      <c r="I25" s="152">
        <f t="shared" si="6"/>
        <v>1</v>
      </c>
    </row>
    <row r="26" spans="1:9" ht="16.5">
      <c r="A26" s="167"/>
      <c r="B26" s="168"/>
      <c r="C26" s="148">
        <v>4</v>
      </c>
      <c r="D26" s="148" t="s">
        <v>97</v>
      </c>
      <c r="E26" s="166">
        <f>+'[2]01'!F26+'[2]02'!F26+'[2]03'!F26+'[2]04'!F26+'[2]05'!F26+'[2]06'!F26+'[2]07'!F26+'[2]08'!F26+'[2]09'!F26+'[2]10'!F26+'[2]11'!F26+'[2]12'!F26+'[2]13'!F26+'[2]14'!F26+'[2]15'!F26+'[2]16'!F26+'[2]17'!F26+'[2]18'!F26+'[2]19'!F26+'[2]20'!F26+'[2]21'!F26+'[2]22'!F26+'[2]23'!F26+'[2]24'!F26+'[2]25'!F26+'[2]26'!F26+'[2]27'!F26+'[2]28'!F26+'[2]29'!F26+'[2]30'!F26+'[2]31'!F26</f>
        <v>394</v>
      </c>
      <c r="F26" s="169">
        <f>F25</f>
        <v>228752</v>
      </c>
      <c r="G26" s="166">
        <f t="shared" si="4"/>
        <v>229146</v>
      </c>
      <c r="H26" s="152">
        <f t="shared" si="5"/>
        <v>1.7194277883969173E-3</v>
      </c>
      <c r="I26" s="152">
        <f t="shared" si="6"/>
        <v>0.99828057221160305</v>
      </c>
    </row>
    <row r="27" spans="1:9" ht="16.5">
      <c r="A27" s="170"/>
      <c r="B27" s="171"/>
      <c r="C27" s="148">
        <v>5</v>
      </c>
      <c r="D27" s="148" t="s">
        <v>98</v>
      </c>
      <c r="E27" s="166">
        <f>+'[2]01'!F27+'[2]02'!F27+'[2]03'!F27+'[2]04'!F27+'[2]05'!F27+'[2]06'!F27+'[2]07'!F27+'[2]08'!F27+'[2]09'!F27+'[2]10'!F27+'[2]11'!F27+'[2]12'!F27+'[2]13'!F27+'[2]14'!F27+'[2]15'!F27+'[2]16'!F27+'[2]17'!F27+'[2]18'!F27+'[2]19'!F27+'[2]20'!F27+'[2]21'!F27+'[2]22'!F27+'[2]23'!F27+'[2]24'!F27+'[2]25'!F27+'[2]26'!F27+'[2]27'!F27+'[2]28'!F27+'[2]29'!F27+'[2]30'!F27+'[2]31'!F27</f>
        <v>448</v>
      </c>
      <c r="F27" s="169">
        <f>F26</f>
        <v>228752</v>
      </c>
      <c r="G27" s="166">
        <f t="shared" si="4"/>
        <v>229200</v>
      </c>
      <c r="H27" s="152">
        <f t="shared" si="5"/>
        <v>1.9546247818499128E-3</v>
      </c>
      <c r="I27" s="152">
        <f t="shared" si="6"/>
        <v>0.99804537521815007</v>
      </c>
    </row>
    <row r="28" spans="1:9" ht="16.5">
      <c r="A28" s="142"/>
      <c r="B28" s="142"/>
      <c r="C28" s="172" t="s">
        <v>99</v>
      </c>
      <c r="D28" s="173"/>
      <c r="E28" s="174">
        <f>SUM(E22:E27)</f>
        <v>1855</v>
      </c>
      <c r="F28" s="174">
        <f>F22</f>
        <v>228752</v>
      </c>
      <c r="G28" s="174">
        <f>F28+E28</f>
        <v>230607</v>
      </c>
      <c r="H28" s="156">
        <f>(G28-F22)/G28</f>
        <v>8.0439882570780587E-3</v>
      </c>
      <c r="I28" s="156">
        <f>F22/G28</f>
        <v>0.99195601174292192</v>
      </c>
    </row>
    <row r="29" spans="1:9" ht="16.5">
      <c r="A29" s="143"/>
      <c r="B29" s="142"/>
      <c r="C29" s="142"/>
      <c r="D29" s="142"/>
      <c r="E29" s="142"/>
      <c r="F29" s="142"/>
      <c r="G29" s="142"/>
      <c r="H29" s="142"/>
      <c r="I29" s="142"/>
    </row>
    <row r="30" spans="1:9">
      <c r="A30" s="145" t="s">
        <v>83</v>
      </c>
      <c r="B30" s="145" t="s">
        <v>84</v>
      </c>
      <c r="C30" s="145" t="s">
        <v>85</v>
      </c>
      <c r="D30" s="145" t="s">
        <v>86</v>
      </c>
      <c r="E30" s="145" t="s">
        <v>87</v>
      </c>
      <c r="F30" s="145" t="s">
        <v>88</v>
      </c>
      <c r="G30" s="145" t="s">
        <v>89</v>
      </c>
      <c r="H30" s="145" t="s">
        <v>90</v>
      </c>
      <c r="I30" s="145" t="s">
        <v>91</v>
      </c>
    </row>
    <row r="31" spans="1:9" s="176" customFormat="1" ht="16.5">
      <c r="A31" s="164">
        <v>0.01</v>
      </c>
      <c r="B31" s="165" t="s">
        <v>103</v>
      </c>
      <c r="C31" s="148">
        <v>1</v>
      </c>
      <c r="D31" s="148" t="s">
        <v>93</v>
      </c>
      <c r="E31" s="166">
        <f>+'[2]01'!F31+'[2]02'!F31+'[2]03'!F31+'[2]04'!F31+'[2]05'!F31+'[2]06'!F31+'[2]07'!F31+'[2]08'!F31+'[2]09'!F31+'[2]10'!F31+'[2]11'!F31+'[2]12'!F31+'[2]13'!F31+'[2]14'!F31+'[2]15'!F31+'[2]16'!F31+'[2]17'!F31+'[2]18'!F31+'[2]19'!F31+'[2]20'!F31+'[2]21'!F31+'[2]22'!F31+'[2]23'!F31+'[2]24'!F31+'[2]25'!F31+'[2]26'!F31+'[2]27'!F31+'[2]28'!F31+'[2]29'!F31+'[2]30'!F31+'[2]31'!F31</f>
        <v>0</v>
      </c>
      <c r="F31" s="166">
        <f>+'[2]01'!G31+'[2]02'!G31+'[2]03'!G31+'[2]04'!G31+'[2]05'!G31+'[2]06'!G31+'[2]07'!G31+'[2]08'!G31+'[2]09'!G31+'[2]10'!G31+'[2]11'!G31+'[2]12'!G31+'[2]13'!G31+'[2]14'!G31+'[2]15'!G31+'[2]16'!G31+'[2]17'!G31+'[2]18'!G31+'[2]19'!G31+'[2]20'!G31+'[2]21'!G31+'[2]22'!G31+'[2]23'!G31+'[2]24'!G31+'[2]25'!G31+'[2]26'!G31+'[2]27'!G31+'[2]28'!G31+'[2]29'!G31+'[2]30'!G31+'[2]31'!G31</f>
        <v>338131</v>
      </c>
      <c r="G31" s="166">
        <f t="shared" ref="G31:G36" si="7">F31+E31</f>
        <v>338131</v>
      </c>
      <c r="H31" s="152">
        <f t="shared" ref="H31:H36" si="8">(G31-F31)/G31</f>
        <v>0</v>
      </c>
      <c r="I31" s="152">
        <f t="shared" ref="I31:I36" si="9">F31/G31</f>
        <v>1</v>
      </c>
    </row>
    <row r="32" spans="1:9" ht="16.5">
      <c r="A32" s="167"/>
      <c r="B32" s="168"/>
      <c r="C32" s="148">
        <v>2</v>
      </c>
      <c r="D32" s="148" t="s">
        <v>94</v>
      </c>
      <c r="E32" s="166">
        <f>+'[2]01'!F32+'[2]02'!F32+'[2]03'!F32+'[2]04'!F32+'[2]05'!F32+'[2]06'!F32+'[2]07'!F32+'[2]08'!F32+'[2]09'!F32+'[2]10'!F32+'[2]11'!F32+'[2]12'!F32+'[2]13'!F32+'[2]14'!F32+'[2]15'!F32+'[2]16'!F32+'[2]17'!F32+'[2]18'!F32+'[2]19'!F32+'[2]20'!F32+'[2]21'!F32+'[2]22'!F32+'[2]23'!F32+'[2]24'!F32+'[2]25'!F32+'[2]26'!F32+'[2]27'!F32+'[2]28'!F32+'[2]29'!F32+'[2]30'!F32+'[2]31'!F32</f>
        <v>1376</v>
      </c>
      <c r="F32" s="169">
        <f>F31</f>
        <v>338131</v>
      </c>
      <c r="G32" s="166">
        <f t="shared" si="7"/>
        <v>339507</v>
      </c>
      <c r="H32" s="152">
        <f t="shared" si="8"/>
        <v>4.0529355801205867E-3</v>
      </c>
      <c r="I32" s="152">
        <f t="shared" si="9"/>
        <v>0.99594706441987946</v>
      </c>
    </row>
    <row r="33" spans="1:9" ht="16.5">
      <c r="A33" s="167"/>
      <c r="B33" s="168"/>
      <c r="C33" s="148">
        <v>2</v>
      </c>
      <c r="D33" s="148" t="s">
        <v>95</v>
      </c>
      <c r="E33" s="166">
        <f>+'[2]01'!F33+'[2]02'!F33+'[2]03'!F33+'[2]04'!F33+'[2]05'!F33+'[2]06'!F33+'[2]07'!F33+'[2]08'!F33+'[2]09'!F33+'[2]10'!F33+'[2]11'!F33+'[2]12'!F33+'[2]13'!F33+'[2]14'!F33+'[2]15'!F33+'[2]16'!F33+'[2]17'!F33+'[2]18'!F33+'[2]19'!F33+'[2]20'!F33+'[2]21'!F33+'[2]22'!F33+'[2]23'!F33+'[2]24'!F33+'[2]25'!F33+'[2]26'!F33+'[2]27'!F33+'[2]28'!F33+'[2]29'!F33+'[2]30'!F33+'[2]31'!F33</f>
        <v>970</v>
      </c>
      <c r="F33" s="169">
        <f>F31</f>
        <v>338131</v>
      </c>
      <c r="G33" s="166">
        <f t="shared" si="7"/>
        <v>339101</v>
      </c>
      <c r="H33" s="152">
        <f t="shared" si="8"/>
        <v>2.8605046873940213E-3</v>
      </c>
      <c r="I33" s="152">
        <f t="shared" si="9"/>
        <v>0.99713949531260593</v>
      </c>
    </row>
    <row r="34" spans="1:9" ht="16.5">
      <c r="A34" s="167"/>
      <c r="B34" s="168"/>
      <c r="C34" s="148">
        <v>3</v>
      </c>
      <c r="D34" s="148" t="s">
        <v>96</v>
      </c>
      <c r="E34" s="166">
        <f>+'[2]01'!F34+'[2]02'!F34+'[2]03'!F34+'[2]04'!F34+'[2]05'!F34+'[2]06'!F34+'[2]07'!F34+'[2]08'!F34+'[2]09'!F34+'[2]10'!F34+'[2]11'!F34+'[2]12'!F34+'[2]13'!F34+'[2]14'!F34+'[2]15'!F34+'[2]16'!F34+'[2]17'!F34+'[2]18'!F34+'[2]19'!F34+'[2]20'!F34+'[2]21'!F34+'[2]22'!F34+'[2]23'!F34+'[2]24'!F34+'[2]25'!F34+'[2]26'!F34+'[2]27'!F34+'[2]28'!F34+'[2]29'!F34+'[2]30'!F34+'[2]31'!F34</f>
        <v>0</v>
      </c>
      <c r="F34" s="169">
        <f>F33</f>
        <v>338131</v>
      </c>
      <c r="G34" s="166">
        <f t="shared" si="7"/>
        <v>338131</v>
      </c>
      <c r="H34" s="152">
        <f t="shared" si="8"/>
        <v>0</v>
      </c>
      <c r="I34" s="152">
        <f t="shared" si="9"/>
        <v>1</v>
      </c>
    </row>
    <row r="35" spans="1:9" ht="16.5">
      <c r="A35" s="167"/>
      <c r="B35" s="168"/>
      <c r="C35" s="148">
        <v>4</v>
      </c>
      <c r="D35" s="148" t="s">
        <v>97</v>
      </c>
      <c r="E35" s="166">
        <f>+'[2]01'!F35+'[2]02'!F35+'[2]03'!F35+'[2]04'!F35+'[2]05'!F35+'[2]06'!F35+'[2]07'!F35+'[2]08'!F35+'[2]09'!F35+'[2]10'!F35+'[2]11'!F35+'[2]12'!F35+'[2]13'!F35+'[2]14'!F35+'[2]15'!F35+'[2]16'!F35+'[2]17'!F35+'[2]18'!F35+'[2]19'!F35+'[2]20'!F35+'[2]21'!F35+'[2]22'!F35+'[2]23'!F35+'[2]24'!F35+'[2]25'!F35+'[2]26'!F35+'[2]27'!F35+'[2]28'!F35+'[2]29'!F35+'[2]30'!F35+'[2]31'!F35</f>
        <v>2924</v>
      </c>
      <c r="F35" s="169">
        <f>F34</f>
        <v>338131</v>
      </c>
      <c r="G35" s="166">
        <f t="shared" si="7"/>
        <v>341055</v>
      </c>
      <c r="H35" s="152">
        <f t="shared" si="8"/>
        <v>8.5733972526425353E-3</v>
      </c>
      <c r="I35" s="152">
        <f t="shared" si="9"/>
        <v>0.9914266027473575</v>
      </c>
    </row>
    <row r="36" spans="1:9" ht="16.5">
      <c r="A36" s="170"/>
      <c r="B36" s="171"/>
      <c r="C36" s="148">
        <v>5</v>
      </c>
      <c r="D36" s="148" t="s">
        <v>98</v>
      </c>
      <c r="E36" s="166">
        <f>+'[2]01'!F36+'[2]02'!F36+'[2]03'!F36+'[2]04'!F36+'[2]05'!F36+'[2]06'!F36+'[2]07'!F36+'[2]08'!F36+'[2]09'!F36+'[2]10'!F36+'[2]11'!F36+'[2]12'!F36+'[2]13'!F36+'[2]14'!F36+'[2]15'!F36+'[2]16'!F36+'[2]17'!F36+'[2]18'!F36+'[2]19'!F36+'[2]20'!F36+'[2]21'!F36+'[2]22'!F36+'[2]23'!F36+'[2]24'!F36+'[2]25'!F36+'[2]26'!F36+'[2]27'!F36+'[2]28'!F36+'[2]29'!F36+'[2]30'!F36+'[2]31'!F36</f>
        <v>0</v>
      </c>
      <c r="F36" s="169">
        <f>F35</f>
        <v>338131</v>
      </c>
      <c r="G36" s="166">
        <f t="shared" si="7"/>
        <v>338131</v>
      </c>
      <c r="H36" s="152">
        <f t="shared" si="8"/>
        <v>0</v>
      </c>
      <c r="I36" s="152">
        <f t="shared" si="9"/>
        <v>1</v>
      </c>
    </row>
    <row r="37" spans="1:9" ht="16.5">
      <c r="A37" s="142"/>
      <c r="B37" s="142"/>
      <c r="C37" s="172" t="s">
        <v>99</v>
      </c>
      <c r="D37" s="173"/>
      <c r="E37" s="174">
        <f>SUM(E31:E36)</f>
        <v>5270</v>
      </c>
      <c r="F37" s="174">
        <f>F31</f>
        <v>338131</v>
      </c>
      <c r="G37" s="174">
        <f>F37+E37</f>
        <v>343401</v>
      </c>
      <c r="H37" s="156">
        <f>(G37-F31)/G37</f>
        <v>1.5346489963628527E-2</v>
      </c>
      <c r="I37" s="156">
        <f>F31/G37</f>
        <v>0.98465351003637147</v>
      </c>
    </row>
    <row r="38" spans="1:9" ht="16.5">
      <c r="A38" s="143"/>
      <c r="B38" s="142"/>
      <c r="C38" s="142"/>
      <c r="D38" s="142"/>
      <c r="E38" s="142"/>
      <c r="F38" s="142"/>
      <c r="G38" s="142"/>
      <c r="H38" s="142"/>
      <c r="I38" s="142"/>
    </row>
    <row r="39" spans="1:9">
      <c r="A39" s="145" t="s">
        <v>83</v>
      </c>
      <c r="B39" s="145" t="s">
        <v>84</v>
      </c>
      <c r="C39" s="145" t="s">
        <v>85</v>
      </c>
      <c r="D39" s="145" t="s">
        <v>86</v>
      </c>
      <c r="E39" s="145" t="s">
        <v>87</v>
      </c>
      <c r="F39" s="145" t="s">
        <v>88</v>
      </c>
      <c r="G39" s="145" t="s">
        <v>89</v>
      </c>
      <c r="H39" s="145" t="s">
        <v>90</v>
      </c>
      <c r="I39" s="145" t="s">
        <v>91</v>
      </c>
    </row>
    <row r="40" spans="1:9" ht="16.5">
      <c r="A40" s="164">
        <v>0.01</v>
      </c>
      <c r="B40" s="165" t="s">
        <v>104</v>
      </c>
      <c r="C40" s="148">
        <v>1</v>
      </c>
      <c r="D40" s="148" t="s">
        <v>93</v>
      </c>
      <c r="E40" s="166">
        <f>+'[2]01'!F40+'[2]02'!F40+'[2]03'!F40+'[2]04'!F40+'[2]05'!F40+'[2]06'!F40+'[2]07'!F40+'[2]08'!F40+'[2]09'!F40+'[2]10'!F40+'[2]11'!F40+'[2]12'!F40+'[2]13'!F40+'[2]14'!F40+'[2]15'!F40+'[2]16'!F40+'[2]17'!F40+'[2]18'!F40+'[2]19'!F40+'[2]20'!F40+'[2]21'!F40+'[2]22'!F40+'[2]23'!F40+'[2]24'!F40+'[2]25'!F40+'[2]26'!F40+'[2]27'!F40+'[2]28'!F40+'[2]29'!F40+'[2]30'!F40+'[2]31'!F40</f>
        <v>0</v>
      </c>
      <c r="F40" s="166">
        <f>+'[2]01'!G40+'[2]02'!G40+'[2]03'!G40+'[2]04'!G40+'[2]05'!G40+'[2]06'!G40+'[2]07'!G40+'[2]08'!G40+'[2]09'!G40+'[2]10'!G40+'[2]11'!G40+'[2]12'!G40+'[2]13'!G40+'[2]14'!G40+'[2]15'!G40+'[2]16'!G40+'[2]17'!G40+'[2]18'!G40+'[2]19'!G40+'[2]20'!G40+'[2]21'!G40+'[2]22'!G40+'[2]23'!G40+'[2]24'!G40+'[2]25'!G40+'[2]26'!G40+'[2]27'!G40+'[2]28'!G40+'[2]29'!G40+'[2]30'!G40+'[2]31'!G40</f>
        <v>166968</v>
      </c>
      <c r="G40" s="166">
        <f t="shared" ref="G40:G45" si="10">F40+E40</f>
        <v>166968</v>
      </c>
      <c r="H40" s="152">
        <f t="shared" ref="H40:H45" si="11">(G40-F40)/G40</f>
        <v>0</v>
      </c>
      <c r="I40" s="152">
        <f t="shared" ref="I40:I45" si="12">F40/G40</f>
        <v>1</v>
      </c>
    </row>
    <row r="41" spans="1:9" ht="16.5">
      <c r="A41" s="167"/>
      <c r="B41" s="168"/>
      <c r="C41" s="148">
        <v>2</v>
      </c>
      <c r="D41" s="148" t="s">
        <v>94</v>
      </c>
      <c r="E41" s="166">
        <f>+'[2]01'!F41+'[2]02'!F41+'[2]03'!F41+'[2]04'!F41+'[2]05'!F41+'[2]06'!F41+'[2]07'!F41+'[2]08'!F41+'[2]09'!F41+'[2]10'!F41+'[2]11'!F41+'[2]12'!F41+'[2]13'!F41+'[2]14'!F41+'[2]15'!F41+'[2]16'!F41+'[2]17'!F41+'[2]18'!F41+'[2]19'!F41+'[2]20'!F41+'[2]21'!F41+'[2]22'!F41+'[2]23'!F41+'[2]24'!F41+'[2]25'!F41+'[2]26'!F41+'[2]27'!F41+'[2]28'!F41+'[2]29'!F41+'[2]30'!F41+'[2]31'!F41</f>
        <v>17</v>
      </c>
      <c r="F41" s="169">
        <f>F40</f>
        <v>166968</v>
      </c>
      <c r="G41" s="166">
        <f t="shared" si="10"/>
        <v>166985</v>
      </c>
      <c r="H41" s="152">
        <f t="shared" si="11"/>
        <v>1.0180555139683205E-4</v>
      </c>
      <c r="I41" s="152">
        <f t="shared" si="12"/>
        <v>0.99989819444860317</v>
      </c>
    </row>
    <row r="42" spans="1:9" ht="16.5">
      <c r="A42" s="167"/>
      <c r="B42" s="168"/>
      <c r="C42" s="148">
        <v>2</v>
      </c>
      <c r="D42" s="148" t="s">
        <v>95</v>
      </c>
      <c r="E42" s="166">
        <f>+'[2]01'!F42+'[2]02'!F42+'[2]03'!F42+'[2]04'!F42+'[2]05'!F42+'[2]06'!F42+'[2]07'!F42+'[2]08'!F42+'[2]09'!F42+'[2]10'!F42+'[2]11'!F42+'[2]12'!F42+'[2]13'!F42+'[2]14'!F42+'[2]15'!F42+'[2]16'!F42+'[2]17'!F42+'[2]18'!F42+'[2]19'!F42+'[2]20'!F42+'[2]21'!F42+'[2]22'!F42+'[2]23'!F42+'[2]24'!F42+'[2]25'!F42+'[2]26'!F42+'[2]27'!F42+'[2]28'!F42+'[2]29'!F42+'[2]30'!F42+'[2]31'!F42</f>
        <v>765</v>
      </c>
      <c r="F42" s="169">
        <f>F40</f>
        <v>166968</v>
      </c>
      <c r="G42" s="166">
        <f t="shared" si="10"/>
        <v>167733</v>
      </c>
      <c r="H42" s="152">
        <f t="shared" si="11"/>
        <v>4.5608198744433118E-3</v>
      </c>
      <c r="I42" s="152">
        <f t="shared" si="12"/>
        <v>0.99543918012555666</v>
      </c>
    </row>
    <row r="43" spans="1:9" ht="16.5">
      <c r="A43" s="167"/>
      <c r="B43" s="168"/>
      <c r="C43" s="148">
        <v>3</v>
      </c>
      <c r="D43" s="148" t="s">
        <v>96</v>
      </c>
      <c r="E43" s="166">
        <f>+'[2]01'!F43+'[2]02'!F43+'[2]03'!F43+'[2]04'!F43+'[2]05'!F43+'[2]06'!F43+'[2]07'!F43+'[2]08'!F43+'[2]09'!F43+'[2]10'!F43+'[2]11'!F43+'[2]12'!F43+'[2]13'!F43+'[2]14'!F43+'[2]15'!F43+'[2]16'!F43+'[2]17'!F43+'[2]18'!F43+'[2]19'!F43+'[2]20'!F43+'[2]21'!F43+'[2]22'!F43+'[2]23'!F43+'[2]24'!F43+'[2]25'!F43+'[2]26'!F43+'[2]27'!F43+'[2]28'!F43+'[2]29'!F43+'[2]30'!F43+'[2]31'!F43</f>
        <v>0</v>
      </c>
      <c r="F43" s="169">
        <f>F42</f>
        <v>166968</v>
      </c>
      <c r="G43" s="166">
        <f t="shared" si="10"/>
        <v>166968</v>
      </c>
      <c r="H43" s="152">
        <f t="shared" si="11"/>
        <v>0</v>
      </c>
      <c r="I43" s="152">
        <f t="shared" si="12"/>
        <v>1</v>
      </c>
    </row>
    <row r="44" spans="1:9" ht="16.5">
      <c r="A44" s="167"/>
      <c r="B44" s="168"/>
      <c r="C44" s="148">
        <v>4</v>
      </c>
      <c r="D44" s="148" t="s">
        <v>97</v>
      </c>
      <c r="E44" s="166">
        <f>+'[2]01'!F44+'[2]02'!F44+'[2]03'!F44+'[2]04'!F44+'[2]05'!F44+'[2]06'!F44+'[2]07'!F44+'[2]08'!F44+'[2]09'!F44+'[2]10'!F44+'[2]11'!F44+'[2]12'!F44+'[2]13'!F44+'[2]14'!F44+'[2]15'!F44+'[2]16'!F44+'[2]17'!F44+'[2]18'!F44+'[2]19'!F44+'[2]20'!F44+'[2]21'!F44+'[2]22'!F44+'[2]23'!F44+'[2]24'!F44+'[2]25'!F44+'[2]26'!F44+'[2]27'!F44+'[2]28'!F44+'[2]29'!F44+'[2]30'!F44+'[2]31'!F44</f>
        <v>228</v>
      </c>
      <c r="F44" s="169">
        <f>F43</f>
        <v>166968</v>
      </c>
      <c r="G44" s="166">
        <f t="shared" si="10"/>
        <v>167196</v>
      </c>
      <c r="H44" s="152">
        <f t="shared" si="11"/>
        <v>1.3636689872963468E-3</v>
      </c>
      <c r="I44" s="152">
        <f t="shared" si="12"/>
        <v>0.99863633101270366</v>
      </c>
    </row>
    <row r="45" spans="1:9" ht="16.5">
      <c r="A45" s="170"/>
      <c r="B45" s="171"/>
      <c r="C45" s="148">
        <v>5</v>
      </c>
      <c r="D45" s="148" t="s">
        <v>98</v>
      </c>
      <c r="E45" s="166">
        <f>+'[2]01'!F45+'[2]02'!F45+'[2]03'!F45+'[2]04'!F45+'[2]05'!F45+'[2]06'!F45+'[2]07'!F45+'[2]08'!F45+'[2]09'!F45+'[2]10'!F45+'[2]11'!F45+'[2]12'!F45+'[2]13'!F45+'[2]14'!F45+'[2]15'!F45+'[2]16'!F45+'[2]17'!F45+'[2]18'!F45+'[2]19'!F45+'[2]20'!F45+'[2]21'!F45+'[2]22'!F45+'[2]23'!F45+'[2]24'!F45+'[2]25'!F45+'[2]26'!F45+'[2]27'!F45+'[2]28'!F45+'[2]29'!F45+'[2]30'!F45+'[2]31'!F45</f>
        <v>151</v>
      </c>
      <c r="F45" s="169">
        <f>F44</f>
        <v>166968</v>
      </c>
      <c r="G45" s="166">
        <f t="shared" si="10"/>
        <v>167119</v>
      </c>
      <c r="H45" s="152">
        <f t="shared" si="11"/>
        <v>9.0354777134855999E-4</v>
      </c>
      <c r="I45" s="152">
        <f t="shared" si="12"/>
        <v>0.9990964522286514</v>
      </c>
    </row>
    <row r="46" spans="1:9" ht="16.5">
      <c r="A46" s="142"/>
      <c r="B46" s="142"/>
      <c r="C46" s="172" t="s">
        <v>99</v>
      </c>
      <c r="D46" s="173"/>
      <c r="E46" s="174">
        <f>SUM(E40:E45)</f>
        <v>1161</v>
      </c>
      <c r="F46" s="174">
        <f>F40</f>
        <v>166968</v>
      </c>
      <c r="G46" s="174">
        <f>F46+E46</f>
        <v>168129</v>
      </c>
      <c r="H46" s="156">
        <f>(G46-F40)/G46</f>
        <v>6.9054119158503289E-3</v>
      </c>
      <c r="I46" s="156">
        <f>F40/G46</f>
        <v>0.99309458808414963</v>
      </c>
    </row>
    <row r="47" spans="1:9" ht="16.5">
      <c r="A47" s="143"/>
      <c r="B47" s="142"/>
      <c r="C47" s="142"/>
      <c r="D47" s="142"/>
      <c r="E47" s="142"/>
      <c r="F47" s="142"/>
      <c r="G47" s="142"/>
      <c r="H47" s="142"/>
      <c r="I47" s="142"/>
    </row>
    <row r="48" spans="1:9">
      <c r="A48" s="145" t="s">
        <v>83</v>
      </c>
      <c r="B48" s="145" t="s">
        <v>84</v>
      </c>
      <c r="C48" s="145" t="s">
        <v>85</v>
      </c>
      <c r="D48" s="145" t="s">
        <v>86</v>
      </c>
      <c r="E48" s="145" t="s">
        <v>87</v>
      </c>
      <c r="F48" s="145" t="s">
        <v>88</v>
      </c>
      <c r="G48" s="145" t="s">
        <v>89</v>
      </c>
      <c r="H48" s="145" t="s">
        <v>90</v>
      </c>
      <c r="I48" s="145" t="s">
        <v>91</v>
      </c>
    </row>
    <row r="49" spans="1:9" ht="16.5">
      <c r="A49" s="164">
        <v>0.01</v>
      </c>
      <c r="B49" s="165" t="s">
        <v>105</v>
      </c>
      <c r="C49" s="148">
        <v>1</v>
      </c>
      <c r="D49" s="148" t="s">
        <v>93</v>
      </c>
      <c r="E49" s="166">
        <f>+'[2]01'!F49+'[2]02'!F49+'[2]03'!F49+'[2]04'!F49+'[2]05'!F49+'[2]06'!F49+'[2]07'!F49+'[2]08'!F49+'[2]09'!F49+'[2]10'!F49+'[2]11'!F49+'[2]12'!F49+'[2]13'!F49+'[2]14'!F49+'[2]15'!F49+'[2]16'!F49+'[2]17'!F49+'[2]18'!F49+'[2]19'!F49+'[2]20'!F49+'[2]21'!F49+'[2]22'!F49+'[2]23'!F49+'[2]24'!F49+'[2]25'!F49+'[2]26'!F49+'[2]27'!F49+'[2]28'!F49+'[2]29'!F49+'[2]30'!F49+'[2]31'!F49</f>
        <v>0</v>
      </c>
      <c r="F49" s="166">
        <f>+'[2]01'!G49+'[2]02'!G49+'[2]03'!G49+'[2]04'!G49+'[2]05'!G49+'[2]06'!G49+'[2]07'!G49+'[2]08'!G49+'[2]09'!G49+'[2]10'!G49+'[2]11'!G49+'[2]12'!G49+'[2]13'!G49+'[2]14'!G49+'[2]15'!G49+'[2]16'!G49+'[2]17'!G49+'[2]18'!G49+'[2]19'!G49+'[2]20'!G49+'[2]21'!G49+'[2]22'!G49+'[2]23'!G49+'[2]24'!G49+'[2]25'!G49+'[2]26'!G49+'[2]27'!G49+'[2]28'!G49+'[2]29'!G49+'[2]30'!G49+'[2]31'!G49</f>
        <v>58092</v>
      </c>
      <c r="G49" s="166">
        <f t="shared" ref="G49:G54" si="13">F49+E49</f>
        <v>58092</v>
      </c>
      <c r="H49" s="152">
        <f t="shared" ref="H49:H54" si="14">(G49-F49)/G49</f>
        <v>0</v>
      </c>
      <c r="I49" s="152">
        <f t="shared" ref="I49:I54" si="15">F49/G49</f>
        <v>1</v>
      </c>
    </row>
    <row r="50" spans="1:9" ht="16.5">
      <c r="A50" s="167"/>
      <c r="B50" s="168"/>
      <c r="C50" s="148">
        <v>2</v>
      </c>
      <c r="D50" s="148" t="s">
        <v>94</v>
      </c>
      <c r="E50" s="166">
        <f>+'[2]01'!F50+'[2]02'!F50+'[2]03'!F50+'[2]04'!F50+'[2]05'!F50+'[2]06'!F50+'[2]07'!F50+'[2]08'!F50+'[2]09'!F50+'[2]10'!F50+'[2]11'!F50+'[2]12'!F50+'[2]13'!F50+'[2]14'!F50+'[2]15'!F50+'[2]16'!F50+'[2]17'!F50+'[2]18'!F50+'[2]19'!F50+'[2]20'!F50+'[2]21'!F50+'[2]22'!F50+'[2]23'!F50+'[2]24'!F50+'[2]25'!F50+'[2]26'!F50+'[2]27'!F50+'[2]28'!F50+'[2]29'!F50+'[2]30'!F50+'[2]31'!F50</f>
        <v>8</v>
      </c>
      <c r="F50" s="169">
        <f>F49</f>
        <v>58092</v>
      </c>
      <c r="G50" s="166">
        <f t="shared" si="13"/>
        <v>58100</v>
      </c>
      <c r="H50" s="152">
        <f t="shared" si="14"/>
        <v>1.3769363166953529E-4</v>
      </c>
      <c r="I50" s="152">
        <f t="shared" si="15"/>
        <v>0.99986230636833051</v>
      </c>
    </row>
    <row r="51" spans="1:9" ht="16.5">
      <c r="A51" s="167"/>
      <c r="B51" s="168"/>
      <c r="C51" s="148">
        <v>2</v>
      </c>
      <c r="D51" s="148" t="s">
        <v>95</v>
      </c>
      <c r="E51" s="166">
        <f>+'[2]01'!F51+'[2]02'!F51+'[2]03'!F51+'[2]04'!F51+'[2]05'!F51+'[2]06'!F51+'[2]07'!F51+'[2]08'!F51+'[2]09'!F51+'[2]10'!F51+'[2]11'!F51+'[2]12'!F51+'[2]13'!F51+'[2]14'!F51+'[2]15'!F51+'[2]16'!F51+'[2]17'!F51+'[2]18'!F51+'[2]19'!F51+'[2]20'!F51+'[2]21'!F51+'[2]22'!F51+'[2]23'!F51+'[2]24'!F51+'[2]25'!F51+'[2]26'!F51+'[2]27'!F51+'[2]28'!F51+'[2]29'!F51+'[2]30'!F51+'[2]31'!F51</f>
        <v>60</v>
      </c>
      <c r="F51" s="169">
        <f>F49</f>
        <v>58092</v>
      </c>
      <c r="G51" s="166">
        <f t="shared" si="13"/>
        <v>58152</v>
      </c>
      <c r="H51" s="152">
        <f t="shared" si="14"/>
        <v>1.0317787866281469E-3</v>
      </c>
      <c r="I51" s="152">
        <f t="shared" si="15"/>
        <v>0.99896822121337181</v>
      </c>
    </row>
    <row r="52" spans="1:9" ht="16.5">
      <c r="A52" s="167"/>
      <c r="B52" s="168"/>
      <c r="C52" s="148">
        <v>3</v>
      </c>
      <c r="D52" s="148" t="s">
        <v>96</v>
      </c>
      <c r="E52" s="166">
        <f>+'[2]01'!F52+'[2]02'!F52+'[2]03'!F52+'[2]04'!F52+'[2]05'!F52+'[2]06'!F52+'[2]07'!F52+'[2]08'!F52+'[2]09'!F52+'[2]10'!F52+'[2]11'!F52+'[2]12'!F52+'[2]13'!F52+'[2]14'!F52+'[2]15'!F52+'[2]16'!F52+'[2]17'!F52+'[2]18'!F52+'[2]19'!F52+'[2]20'!F52+'[2]21'!F52+'[2]22'!F52+'[2]23'!F52+'[2]24'!F52+'[2]25'!F52+'[2]26'!F52+'[2]27'!F52+'[2]28'!F52+'[2]29'!F52+'[2]30'!F52+'[2]31'!F52</f>
        <v>0</v>
      </c>
      <c r="F52" s="169">
        <f>F51</f>
        <v>58092</v>
      </c>
      <c r="G52" s="166">
        <f t="shared" si="13"/>
        <v>58092</v>
      </c>
      <c r="H52" s="152">
        <f t="shared" si="14"/>
        <v>0</v>
      </c>
      <c r="I52" s="152">
        <f t="shared" si="15"/>
        <v>1</v>
      </c>
    </row>
    <row r="53" spans="1:9" ht="16.5">
      <c r="A53" s="167"/>
      <c r="B53" s="168"/>
      <c r="C53" s="148">
        <v>4</v>
      </c>
      <c r="D53" s="148" t="s">
        <v>97</v>
      </c>
      <c r="E53" s="166">
        <f>+'[2]01'!F53+'[2]02'!F53+'[2]03'!F53+'[2]04'!F53+'[2]05'!F53+'[2]06'!F53+'[2]07'!F53+'[2]08'!F53+'[2]09'!F53+'[2]10'!F53+'[2]11'!F53+'[2]12'!F53+'[2]13'!F53+'[2]14'!F53+'[2]15'!F53+'[2]16'!F53+'[2]17'!F53+'[2]18'!F53+'[2]19'!F53+'[2]20'!F53+'[2]21'!F53+'[2]22'!F53+'[2]23'!F53+'[2]24'!F53+'[2]25'!F53+'[2]26'!F53+'[2]27'!F53+'[2]28'!F53+'[2]29'!F53+'[2]30'!F53+'[2]31'!F53</f>
        <v>0</v>
      </c>
      <c r="F53" s="169">
        <f>F52</f>
        <v>58092</v>
      </c>
      <c r="G53" s="166">
        <f t="shared" si="13"/>
        <v>58092</v>
      </c>
      <c r="H53" s="152">
        <f t="shared" si="14"/>
        <v>0</v>
      </c>
      <c r="I53" s="152">
        <f t="shared" si="15"/>
        <v>1</v>
      </c>
    </row>
    <row r="54" spans="1:9" ht="16.5">
      <c r="A54" s="170"/>
      <c r="B54" s="171"/>
      <c r="C54" s="148">
        <v>5</v>
      </c>
      <c r="D54" s="148" t="s">
        <v>98</v>
      </c>
      <c r="E54" s="166">
        <f>+'[2]01'!F54+'[2]02'!F54+'[2]03'!F54+'[2]04'!F54+'[2]05'!F54+'[2]06'!F54+'[2]07'!F54+'[2]08'!F54+'[2]09'!F54+'[2]10'!F54+'[2]11'!F54+'[2]12'!F54+'[2]13'!F54+'[2]14'!F54+'[2]15'!F54+'[2]16'!F54+'[2]17'!F54+'[2]18'!F54+'[2]19'!F54+'[2]20'!F54+'[2]21'!F54+'[2]22'!F54+'[2]23'!F54+'[2]24'!F54+'[2]25'!F54+'[2]26'!F54+'[2]27'!F54+'[2]28'!F54+'[2]29'!F54+'[2]30'!F54+'[2]31'!F54</f>
        <v>70</v>
      </c>
      <c r="F54" s="169">
        <f>F53</f>
        <v>58092</v>
      </c>
      <c r="G54" s="166">
        <f t="shared" si="13"/>
        <v>58162</v>
      </c>
      <c r="H54" s="152">
        <f t="shared" si="14"/>
        <v>1.2035349540937383E-3</v>
      </c>
      <c r="I54" s="152">
        <f t="shared" si="15"/>
        <v>0.99879646504590625</v>
      </c>
    </row>
    <row r="55" spans="1:9" ht="16.5">
      <c r="A55" s="142"/>
      <c r="B55" s="142"/>
      <c r="C55" s="172" t="s">
        <v>99</v>
      </c>
      <c r="D55" s="173"/>
      <c r="E55" s="174">
        <f>SUM(E49:E54)</f>
        <v>138</v>
      </c>
      <c r="F55" s="174">
        <f>F49</f>
        <v>58092</v>
      </c>
      <c r="G55" s="174">
        <f>F55+E55</f>
        <v>58230</v>
      </c>
      <c r="H55" s="156">
        <f>(G55-F49)/G55</f>
        <v>2.3699124162802677E-3</v>
      </c>
      <c r="I55" s="156">
        <f>F49/G55</f>
        <v>0.99763008758371974</v>
      </c>
    </row>
    <row r="56" spans="1:9" ht="16.5">
      <c r="A56" s="143"/>
      <c r="B56" s="142"/>
      <c r="C56" s="142"/>
      <c r="D56" s="142"/>
      <c r="E56" s="142"/>
      <c r="F56" s="142"/>
      <c r="G56" s="142"/>
      <c r="H56" s="142"/>
      <c r="I56" s="142"/>
    </row>
    <row r="57" spans="1:9">
      <c r="A57" s="145" t="s">
        <v>83</v>
      </c>
      <c r="B57" s="145" t="s">
        <v>84</v>
      </c>
      <c r="C57" s="145" t="s">
        <v>85</v>
      </c>
      <c r="D57" s="145" t="s">
        <v>86</v>
      </c>
      <c r="E57" s="145" t="s">
        <v>87</v>
      </c>
      <c r="F57" s="145" t="s">
        <v>88</v>
      </c>
      <c r="G57" s="145" t="s">
        <v>89</v>
      </c>
      <c r="H57" s="145" t="s">
        <v>90</v>
      </c>
      <c r="I57" s="145" t="s">
        <v>91</v>
      </c>
    </row>
    <row r="58" spans="1:9" ht="16.5">
      <c r="A58" s="164">
        <v>0.01</v>
      </c>
      <c r="B58" s="165" t="s">
        <v>106</v>
      </c>
      <c r="C58" s="148">
        <v>1</v>
      </c>
      <c r="D58" s="148" t="s">
        <v>93</v>
      </c>
      <c r="E58" s="166">
        <f>+'[2]01'!F58+'[2]02'!F58+'[2]03'!F58+'[2]04'!F58+'[2]05'!F58+'[2]06'!F58+'[2]07'!F58+'[2]08'!F58+'[2]09'!F58+'[2]10'!F58+'[2]11'!F58+'[2]12'!F58+'[2]13'!F58+'[2]14'!F58+'[2]15'!F58+'[2]16'!F58+'[2]17'!F58+'[2]18'!F58+'[2]19'!F58+'[2]20'!F58+'[2]21'!F58+'[2]22'!F58+'[2]23'!F58+'[2]24'!F58+'[2]25'!F58+'[2]26'!F58+'[2]27'!F58+'[2]28'!F58+'[2]29'!F58+'[2]30'!F58+'[2]31'!F58</f>
        <v>0</v>
      </c>
      <c r="F58" s="166">
        <f>+'[2]01'!G58+'[2]02'!G58+'[2]03'!G58+'[2]04'!G58+'[2]05'!G58+'[2]06'!G58+'[2]07'!G58+'[2]08'!G58+'[2]09'!G58+'[2]10'!G58+'[2]11'!G58+'[2]12'!G58+'[2]13'!G58+'[2]14'!G58+'[2]15'!G58+'[2]16'!G58+'[2]17'!G58+'[2]18'!G58+'[2]19'!G58+'[2]20'!G58+'[2]21'!G58+'[2]22'!G58+'[2]23'!G58+'[2]24'!G58+'[2]25'!G58+'[2]26'!G58+'[2]27'!G58+'[2]28'!G58+'[2]29'!G58+'[2]30'!G58+'[2]31'!G58</f>
        <v>3438</v>
      </c>
      <c r="G58" s="166">
        <f t="shared" ref="G58:G63" si="16">F58+E58</f>
        <v>3438</v>
      </c>
      <c r="H58" s="152">
        <f t="shared" ref="H58:H63" si="17">(G58-F58)/G58</f>
        <v>0</v>
      </c>
      <c r="I58" s="152">
        <f t="shared" ref="I58:I63" si="18">F58/G58</f>
        <v>1</v>
      </c>
    </row>
    <row r="59" spans="1:9" ht="16.5">
      <c r="A59" s="167"/>
      <c r="B59" s="168"/>
      <c r="C59" s="148"/>
      <c r="D59" s="148" t="s">
        <v>94</v>
      </c>
      <c r="E59" s="166">
        <f>+'[2]01'!F59+'[2]02'!F59+'[2]03'!F59+'[2]04'!F59+'[2]05'!F59+'[2]06'!F59+'[2]07'!F59+'[2]08'!F59+'[2]09'!F59+'[2]10'!F59+'[2]11'!F59+'[2]12'!F59+'[2]13'!F59+'[2]14'!F59+'[2]15'!F59+'[2]16'!F59+'[2]17'!F59+'[2]18'!F59+'[2]19'!F59+'[2]20'!F59+'[2]21'!F59+'[2]22'!F59+'[2]23'!F59+'[2]24'!F59+'[2]25'!F59+'[2]26'!F59+'[2]27'!F59+'[2]28'!F59+'[2]29'!F59+'[2]30'!F59+'[2]31'!F59</f>
        <v>0</v>
      </c>
      <c r="F59" s="169">
        <f>F58</f>
        <v>3438</v>
      </c>
      <c r="G59" s="166">
        <f t="shared" si="16"/>
        <v>3438</v>
      </c>
      <c r="H59" s="152">
        <f t="shared" si="17"/>
        <v>0</v>
      </c>
      <c r="I59" s="152">
        <f t="shared" si="18"/>
        <v>1</v>
      </c>
    </row>
    <row r="60" spans="1:9" ht="16.5">
      <c r="A60" s="167"/>
      <c r="B60" s="168"/>
      <c r="C60" s="148">
        <v>2</v>
      </c>
      <c r="D60" s="148" t="s">
        <v>95</v>
      </c>
      <c r="E60" s="166">
        <f>+'[2]01'!F60+'[2]02'!F60+'[2]03'!F60+'[2]04'!F60+'[2]05'!F60+'[2]06'!F60+'[2]07'!F60+'[2]08'!F60+'[2]09'!F60+'[2]10'!F60+'[2]11'!F60+'[2]12'!F60+'[2]13'!F60+'[2]14'!F60+'[2]15'!F60+'[2]16'!F60+'[2]17'!F60+'[2]18'!F60+'[2]19'!F60+'[2]20'!F60+'[2]21'!F60+'[2]22'!F60+'[2]23'!F60+'[2]24'!F60+'[2]25'!F60+'[2]26'!F60+'[2]27'!F60+'[2]28'!F60+'[2]29'!F60+'[2]30'!F60+'[2]31'!F60</f>
        <v>18</v>
      </c>
      <c r="F60" s="169">
        <f>F58</f>
        <v>3438</v>
      </c>
      <c r="G60" s="166">
        <f t="shared" si="16"/>
        <v>3456</v>
      </c>
      <c r="H60" s="152">
        <f t="shared" si="17"/>
        <v>5.208333333333333E-3</v>
      </c>
      <c r="I60" s="152">
        <f t="shared" si="18"/>
        <v>0.99479166666666663</v>
      </c>
    </row>
    <row r="61" spans="1:9" ht="16.5">
      <c r="A61" s="167"/>
      <c r="B61" s="168"/>
      <c r="C61" s="148">
        <v>3</v>
      </c>
      <c r="D61" s="148" t="s">
        <v>96</v>
      </c>
      <c r="E61" s="166">
        <f>+'[2]01'!F61+'[2]02'!F61+'[2]03'!F61+'[2]04'!F61+'[2]05'!F61+'[2]06'!F61+'[2]07'!F61+'[2]08'!F61+'[2]09'!F61+'[2]10'!F61+'[2]11'!F61+'[2]12'!F61+'[2]13'!F61+'[2]14'!F61+'[2]15'!F61+'[2]16'!F61+'[2]17'!F61+'[2]18'!F61+'[2]19'!F61+'[2]20'!F61+'[2]21'!F61+'[2]22'!F61+'[2]23'!F61+'[2]24'!F61+'[2]25'!F61+'[2]26'!F61+'[2]27'!F61+'[2]28'!F61+'[2]29'!F61+'[2]30'!F61+'[2]31'!F61</f>
        <v>0</v>
      </c>
      <c r="F61" s="169">
        <f>F60</f>
        <v>3438</v>
      </c>
      <c r="G61" s="166">
        <f t="shared" si="16"/>
        <v>3438</v>
      </c>
      <c r="H61" s="152">
        <f t="shared" si="17"/>
        <v>0</v>
      </c>
      <c r="I61" s="152">
        <f t="shared" si="18"/>
        <v>1</v>
      </c>
    </row>
    <row r="62" spans="1:9" ht="16.5">
      <c r="A62" s="167"/>
      <c r="B62" s="168"/>
      <c r="C62" s="148">
        <v>4</v>
      </c>
      <c r="D62" s="148" t="s">
        <v>97</v>
      </c>
      <c r="E62" s="166">
        <f>+'[2]01'!F62+'[2]02'!F62+'[2]03'!F62+'[2]04'!F62+'[2]05'!F62+'[2]06'!F62+'[2]07'!F62+'[2]08'!F62+'[2]09'!F62+'[2]10'!F62+'[2]11'!F62+'[2]12'!F62+'[2]13'!F62+'[2]14'!F62+'[2]15'!F62+'[2]16'!F62+'[2]17'!F62+'[2]18'!F62+'[2]19'!F62+'[2]20'!F62+'[2]21'!F62+'[2]22'!F62+'[2]23'!F62+'[2]24'!F62+'[2]25'!F62+'[2]26'!F62+'[2]27'!F62+'[2]28'!F62+'[2]29'!F62+'[2]30'!F62+'[2]31'!F62</f>
        <v>0</v>
      </c>
      <c r="F62" s="169">
        <f>F61</f>
        <v>3438</v>
      </c>
      <c r="G62" s="166">
        <f t="shared" si="16"/>
        <v>3438</v>
      </c>
      <c r="H62" s="152">
        <f t="shared" si="17"/>
        <v>0</v>
      </c>
      <c r="I62" s="152">
        <f t="shared" si="18"/>
        <v>1</v>
      </c>
    </row>
    <row r="63" spans="1:9" ht="16.5">
      <c r="A63" s="170"/>
      <c r="B63" s="171"/>
      <c r="C63" s="148">
        <v>5</v>
      </c>
      <c r="D63" s="148" t="s">
        <v>98</v>
      </c>
      <c r="E63" s="166">
        <f>+'[2]01'!F63+'[2]02'!F63+'[2]03'!F63+'[2]04'!F63+'[2]05'!F63+'[2]06'!F63+'[2]07'!F63+'[2]08'!F63+'[2]09'!F63+'[2]10'!F63+'[2]11'!F63+'[2]12'!F63+'[2]13'!F63+'[2]14'!F63+'[2]15'!F63+'[2]16'!F63+'[2]17'!F63+'[2]18'!F63+'[2]19'!F63+'[2]20'!F63+'[2]21'!F63+'[2]22'!F63+'[2]23'!F63+'[2]24'!F63+'[2]25'!F63+'[2]26'!F63+'[2]27'!F63+'[2]28'!F63+'[2]29'!F63+'[2]30'!F63+'[2]31'!F63</f>
        <v>0</v>
      </c>
      <c r="F63" s="169">
        <f>F62</f>
        <v>3438</v>
      </c>
      <c r="G63" s="166">
        <f t="shared" si="16"/>
        <v>3438</v>
      </c>
      <c r="H63" s="152">
        <f t="shared" si="17"/>
        <v>0</v>
      </c>
      <c r="I63" s="152">
        <f t="shared" si="18"/>
        <v>1</v>
      </c>
    </row>
    <row r="64" spans="1:9" ht="16.5">
      <c r="A64" s="142"/>
      <c r="B64" s="142"/>
      <c r="C64" s="172" t="s">
        <v>99</v>
      </c>
      <c r="D64" s="173"/>
      <c r="E64" s="174">
        <f>SUM(E58:E63)</f>
        <v>18</v>
      </c>
      <c r="F64" s="174">
        <f>F58</f>
        <v>3438</v>
      </c>
      <c r="G64" s="174">
        <f>F64+E64</f>
        <v>3456</v>
      </c>
      <c r="H64" s="156">
        <f>(G64-F58)/G64</f>
        <v>5.208333333333333E-3</v>
      </c>
      <c r="I64" s="156">
        <f>F58/G64</f>
        <v>0.99479166666666663</v>
      </c>
    </row>
    <row r="65" spans="1:9" ht="16.5">
      <c r="A65" s="143"/>
      <c r="B65" s="142"/>
      <c r="C65" s="142"/>
      <c r="D65" s="142"/>
      <c r="E65" s="142"/>
      <c r="F65" s="142"/>
      <c r="G65" s="142"/>
      <c r="H65" s="142"/>
      <c r="I65" s="142"/>
    </row>
    <row r="66" spans="1:9">
      <c r="A66" s="145" t="s">
        <v>83</v>
      </c>
      <c r="B66" s="145" t="s">
        <v>84</v>
      </c>
      <c r="C66" s="145" t="s">
        <v>85</v>
      </c>
      <c r="D66" s="145" t="s">
        <v>86</v>
      </c>
      <c r="E66" s="145" t="s">
        <v>87</v>
      </c>
      <c r="F66" s="145" t="s">
        <v>88</v>
      </c>
      <c r="G66" s="145" t="s">
        <v>89</v>
      </c>
      <c r="H66" s="145" t="s">
        <v>90</v>
      </c>
      <c r="I66" s="145" t="s">
        <v>91</v>
      </c>
    </row>
    <row r="67" spans="1:9" ht="16.5">
      <c r="A67" s="164">
        <v>0.01</v>
      </c>
      <c r="B67" s="165" t="s">
        <v>107</v>
      </c>
      <c r="C67" s="148">
        <v>1</v>
      </c>
      <c r="D67" s="148" t="s">
        <v>93</v>
      </c>
      <c r="E67" s="177">
        <f>+'[2]01'!F67+'[2]02'!F67+'[2]03'!F67+'[2]04'!F67+'[2]05'!F67+'[2]06'!F67+'[2]07'!F67+'[2]08'!F67+'[2]09'!F67+'[2]10'!F67+'[2]11'!F67+'[2]12'!F67+'[2]13'!F67+'[2]14'!F67+'[2]15'!F67+'[2]16'!F67+'[2]17'!F67+'[2]18'!F67+'[2]19'!F67+'[2]20'!F67+'[2]21'!F67+'[2]22'!F67+'[2]23'!F67+'[2]24'!F67+'[2]25'!F67+'[2]26'!F67+'[2]27'!F67+'[2]28'!F67+'[2]29'!F67+'[2]30'!F67+'[2]31'!F67</f>
        <v>0</v>
      </c>
      <c r="F67" s="177">
        <f>+'[2]01'!G67+'[2]02'!G67+'[2]03'!G67+'[2]04'!G67+'[2]05'!G67+'[2]06'!G67+'[2]07'!G67+'[2]08'!G67+'[2]09'!G67+'[2]10'!G67+'[2]11'!G67+'[2]12'!G67+'[2]13'!G67+'[2]14'!G67+'[2]15'!G67+'[2]16'!G67+'[2]17'!G67+'[2]18'!G67+'[2]19'!G67+'[2]20'!G67+'[2]21'!G67+'[2]22'!G67+'[2]23'!G67+'[2]24'!G67+'[2]25'!G67+'[2]26'!G67+'[2]27'!G67+'[2]28'!G67+'[2]29'!G67+'[2]30'!G67+'[2]31'!G67</f>
        <v>143.42099999999999</v>
      </c>
      <c r="G67" s="177">
        <f t="shared" ref="G67:G73" si="19">F67+E67</f>
        <v>143.42099999999999</v>
      </c>
      <c r="H67" s="152">
        <f t="shared" ref="H67:H72" si="20">(G67-F67)/G67</f>
        <v>0</v>
      </c>
      <c r="I67" s="152">
        <f t="shared" ref="I67:I72" si="21">F67/G67</f>
        <v>1</v>
      </c>
    </row>
    <row r="68" spans="1:9" ht="16.5">
      <c r="A68" s="167"/>
      <c r="B68" s="168"/>
      <c r="C68" s="148">
        <v>2</v>
      </c>
      <c r="D68" s="148" t="s">
        <v>94</v>
      </c>
      <c r="E68" s="177">
        <f>+'[2]01'!F68+'[2]02'!F68+'[2]03'!F68+'[2]04'!F68+'[2]05'!F68+'[2]06'!F68+'[2]07'!F68+'[2]08'!F68+'[2]09'!F68+'[2]10'!F68+'[2]11'!F68+'[2]12'!F68+'[2]13'!F68+'[2]14'!F68+'[2]15'!F68+'[2]16'!F68+'[2]17'!F68+'[2]18'!F68+'[2]19'!F68+'[2]20'!F68+'[2]21'!F68+'[2]22'!F68+'[2]23'!F68+'[2]24'!F68+'[2]25'!F68+'[2]26'!F68+'[2]27'!F68+'[2]28'!F68+'[2]29'!F68+'[2]30'!F68+'[2]31'!F68</f>
        <v>0.87950000000000006</v>
      </c>
      <c r="F68" s="177">
        <f>+F67</f>
        <v>143.42099999999999</v>
      </c>
      <c r="G68" s="177">
        <f t="shared" si="19"/>
        <v>144.3005</v>
      </c>
      <c r="H68" s="152">
        <f t="shared" si="20"/>
        <v>6.0949199760223097E-3</v>
      </c>
      <c r="I68" s="152">
        <f t="shared" si="21"/>
        <v>0.99390508002397771</v>
      </c>
    </row>
    <row r="69" spans="1:9" ht="16.5">
      <c r="A69" s="167"/>
      <c r="B69" s="168"/>
      <c r="C69" s="148">
        <v>3</v>
      </c>
      <c r="D69" s="148" t="s">
        <v>95</v>
      </c>
      <c r="E69" s="177">
        <f>+'[2]01'!F69+'[2]02'!F69+'[2]03'!F69+'[2]04'!F69+'[2]05'!F69+'[2]06'!F69+'[2]07'!F69+'[2]08'!F69+'[2]09'!F69+'[2]10'!F69+'[2]11'!F69+'[2]12'!F69+'[2]13'!F69+'[2]14'!F69+'[2]15'!F69+'[2]16'!F69+'[2]17'!F69+'[2]18'!F69+'[2]19'!F69+'[2]20'!F69+'[2]21'!F69+'[2]22'!F69+'[2]23'!F69+'[2]24'!F69+'[2]25'!F69+'[2]26'!F69+'[2]27'!F69+'[2]28'!F69+'[2]29'!F69+'[2]30'!F69+'[2]31'!F69</f>
        <v>0.22900000000000001</v>
      </c>
      <c r="F69" s="177">
        <f>+F67</f>
        <v>143.42099999999999</v>
      </c>
      <c r="G69" s="177">
        <f t="shared" si="19"/>
        <v>143.65</v>
      </c>
      <c r="H69" s="152">
        <f t="shared" si="20"/>
        <v>1.594152453881054E-3</v>
      </c>
      <c r="I69" s="152">
        <f t="shared" si="21"/>
        <v>0.99840584754611894</v>
      </c>
    </row>
    <row r="70" spans="1:9" ht="16.5">
      <c r="A70" s="167"/>
      <c r="B70" s="168"/>
      <c r="C70" s="148">
        <v>4</v>
      </c>
      <c r="D70" s="148" t="s">
        <v>96</v>
      </c>
      <c r="E70" s="177">
        <f>+'[2]01'!F70+'[2]02'!F70+'[2]03'!F70+'[2]04'!F70+'[2]05'!F70+'[2]06'!F70+'[2]07'!F70+'[2]08'!F70+'[2]09'!F70+'[2]10'!F70+'[2]11'!F70+'[2]12'!F70+'[2]13'!F70+'[2]14'!F70+'[2]15'!F70+'[2]16'!F70+'[2]17'!F70+'[2]18'!F70+'[2]19'!F70+'[2]20'!F70+'[2]21'!F70+'[2]22'!F70+'[2]23'!F70+'[2]24'!F70+'[2]25'!F70+'[2]26'!F70+'[2]27'!F70+'[2]28'!F70+'[2]29'!F70+'[2]30'!F70+'[2]31'!F70</f>
        <v>0</v>
      </c>
      <c r="F70" s="178">
        <f>+F67</f>
        <v>143.42099999999999</v>
      </c>
      <c r="G70" s="177">
        <f t="shared" si="19"/>
        <v>143.42099999999999</v>
      </c>
      <c r="H70" s="152">
        <f t="shared" si="20"/>
        <v>0</v>
      </c>
      <c r="I70" s="152">
        <f t="shared" si="21"/>
        <v>1</v>
      </c>
    </row>
    <row r="71" spans="1:9" ht="16.5">
      <c r="A71" s="167"/>
      <c r="B71" s="168"/>
      <c r="C71" s="148">
        <v>5</v>
      </c>
      <c r="D71" s="148" t="s">
        <v>97</v>
      </c>
      <c r="E71" s="177">
        <f>+'[2]01'!F71+'[2]02'!F71+'[2]03'!F71+'[2]04'!F71+'[2]05'!F71+'[2]06'!F71+'[2]07'!F71+'[2]08'!F71+'[2]09'!F71+'[2]10'!F71+'[2]11'!F71+'[2]12'!F71+'[2]13'!F71+'[2]14'!F71+'[2]15'!F71+'[2]16'!F71+'[2]17'!F71+'[2]18'!F71+'[2]19'!F71+'[2]20'!F71+'[2]21'!F71+'[2]22'!F71+'[2]23'!F71+'[2]24'!F71+'[2]25'!F71+'[2]26'!F71+'[2]27'!F71+'[2]28'!F71+'[2]29'!F71+'[2]30'!F71+'[2]31'!F71</f>
        <v>2.7</v>
      </c>
      <c r="F71" s="178">
        <f>+F67</f>
        <v>143.42099999999999</v>
      </c>
      <c r="G71" s="177">
        <f t="shared" si="19"/>
        <v>146.12099999999998</v>
      </c>
      <c r="H71" s="152">
        <f t="shared" si="20"/>
        <v>1.8477836861231368E-2</v>
      </c>
      <c r="I71" s="152">
        <f t="shared" si="21"/>
        <v>0.98152216313876861</v>
      </c>
    </row>
    <row r="72" spans="1:9" ht="16.5">
      <c r="A72" s="170"/>
      <c r="B72" s="171"/>
      <c r="C72" s="148">
        <v>6</v>
      </c>
      <c r="D72" s="148" t="s">
        <v>98</v>
      </c>
      <c r="E72" s="177">
        <f>+'[2]01'!F72+'[2]02'!F72+'[2]03'!F72+'[2]04'!F72+'[2]05'!F72+'[2]06'!F72+'[2]07'!F72+'[2]08'!F72+'[2]09'!F72+'[2]10'!F72+'[2]11'!F72+'[2]12'!F72+'[2]13'!F72+'[2]14'!F72+'[2]15'!F72+'[2]16'!F72+'[2]17'!F72+'[2]18'!F72+'[2]19'!F72+'[2]20'!F72+'[2]21'!F72+'[2]22'!F72+'[2]23'!F72+'[2]24'!F72+'[2]25'!F72+'[2]26'!F72+'[2]27'!F72+'[2]28'!F72+'[2]29'!F72+'[2]30'!F72+'[2]31'!F72</f>
        <v>0</v>
      </c>
      <c r="F72" s="178">
        <f>F71</f>
        <v>143.42099999999999</v>
      </c>
      <c r="G72" s="177">
        <f t="shared" si="19"/>
        <v>143.42099999999999</v>
      </c>
      <c r="H72" s="152">
        <f t="shared" si="20"/>
        <v>0</v>
      </c>
      <c r="I72" s="152">
        <f t="shared" si="21"/>
        <v>1</v>
      </c>
    </row>
    <row r="73" spans="1:9" ht="16.5">
      <c r="A73" s="142"/>
      <c r="B73" s="142"/>
      <c r="C73" s="172" t="s">
        <v>99</v>
      </c>
      <c r="D73" s="173"/>
      <c r="E73" s="179">
        <f>SUM(E67:E72)</f>
        <v>3.8085000000000004</v>
      </c>
      <c r="F73" s="179">
        <f>F67</f>
        <v>143.42099999999999</v>
      </c>
      <c r="G73" s="179">
        <f t="shared" si="19"/>
        <v>147.2295</v>
      </c>
      <c r="H73" s="156">
        <f>(G73-F67)/G73</f>
        <v>2.5867777857019207E-2</v>
      </c>
      <c r="I73" s="156">
        <f>F67/G73</f>
        <v>0.97413222214298079</v>
      </c>
    </row>
    <row r="74" spans="1:9" ht="16.5">
      <c r="A74" s="142"/>
      <c r="B74" s="142"/>
      <c r="C74" s="142"/>
      <c r="D74" s="142"/>
      <c r="E74" s="142"/>
      <c r="F74" s="142"/>
      <c r="G74" s="142"/>
      <c r="H74" s="142"/>
      <c r="I74" s="142"/>
    </row>
    <row r="75" spans="1:9">
      <c r="A75" s="145" t="s">
        <v>83</v>
      </c>
      <c r="B75" s="145" t="s">
        <v>84</v>
      </c>
      <c r="C75" s="145" t="s">
        <v>85</v>
      </c>
      <c r="D75" s="145" t="s">
        <v>86</v>
      </c>
      <c r="E75" s="145" t="s">
        <v>87</v>
      </c>
      <c r="F75" s="145" t="s">
        <v>88</v>
      </c>
      <c r="G75" s="145" t="s">
        <v>89</v>
      </c>
      <c r="H75" s="145" t="s">
        <v>90</v>
      </c>
      <c r="I75" s="145" t="s">
        <v>91</v>
      </c>
    </row>
    <row r="76" spans="1:9" ht="16.5">
      <c r="A76" s="164">
        <v>0.01</v>
      </c>
      <c r="B76" s="165" t="s">
        <v>108</v>
      </c>
      <c r="C76" s="148">
        <v>1</v>
      </c>
      <c r="D76" s="148" t="s">
        <v>93</v>
      </c>
      <c r="E76" s="166">
        <f>+'[2]01'!F76+'[2]02'!F76+'[2]03'!F76+'[2]04'!F76+'[2]05'!F76+'[2]06'!F76+'[2]07'!F76+'[2]08'!F76+'[2]09'!F76+'[2]10'!F76+'[2]11'!F76+'[2]12'!F76+'[2]13'!F76+'[2]14'!F76+'[2]15'!F76+'[2]16'!F76+'[2]17'!F76+'[2]18'!F76+'[2]19'!F76+'[2]20'!F76+'[2]21'!F76+'[2]22'!F76+'[2]23'!F76+'[2]24'!F76+'[2]25'!F76+'[2]26'!F76+'[2]27'!F76+'[2]28'!F76+'[2]29'!F76+'[2]30'!F76+'[2]31'!F76</f>
        <v>0</v>
      </c>
      <c r="F76" s="166">
        <f>+'[2]01'!G76+'[2]02'!G76+'[2]03'!G76+'[2]04'!G76+'[2]05'!G76+'[2]06'!G76+'[2]07'!G76+'[2]08'!G76+'[2]09'!G76+'[2]10'!G76+'[2]11'!G76+'[2]12'!G76+'[2]13'!G76+'[2]14'!G76+'[2]15'!G76+'[2]16'!G76+'[2]17'!G76+'[2]18'!G76+'[2]19'!G76+'[2]20'!G76+'[2]21'!G76+'[2]22'!G76+'[2]23'!G76+'[2]24'!G76+'[2]25'!G76+'[2]26'!G76+'[2]27'!G76+'[2]28'!G76+'[2]29'!G76+'[2]30'!G76+'[2]31'!G76</f>
        <v>32446.63</v>
      </c>
      <c r="G76" s="166">
        <f t="shared" ref="G76:G81" si="22">F76+E76</f>
        <v>32446.63</v>
      </c>
      <c r="H76" s="152">
        <f t="shared" ref="H76:H81" si="23">(G76-F76)/G76</f>
        <v>0</v>
      </c>
      <c r="I76" s="152">
        <f t="shared" ref="I76:I81" si="24">F76/G76</f>
        <v>1</v>
      </c>
    </row>
    <row r="77" spans="1:9" ht="16.5">
      <c r="A77" s="167"/>
      <c r="B77" s="168"/>
      <c r="C77" s="148">
        <v>2</v>
      </c>
      <c r="D77" s="148" t="s">
        <v>94</v>
      </c>
      <c r="E77" s="166">
        <f>+'[2]01'!F77+'[2]02'!F77+'[2]03'!F77+'[2]04'!F77+'[2]05'!F77+'[2]06'!F77+'[2]07'!F77+'[2]08'!F77+'[2]09'!F77+'[2]10'!F77+'[2]11'!F77+'[2]12'!F77+'[2]13'!F77+'[2]14'!F77+'[2]15'!F77+'[2]16'!F77+'[2]17'!F77+'[2]18'!F77+'[2]19'!F77+'[2]20'!F77+'[2]21'!F77+'[2]22'!F77+'[2]23'!F77+'[2]24'!F77+'[2]25'!F77+'[2]26'!F77+'[2]27'!F77+'[2]28'!F77+'[2]29'!F77+'[2]30'!F77+'[2]31'!F77</f>
        <v>33.1</v>
      </c>
      <c r="F77" s="169">
        <f>F76</f>
        <v>32446.63</v>
      </c>
      <c r="G77" s="166">
        <f t="shared" si="22"/>
        <v>32479.73</v>
      </c>
      <c r="H77" s="152">
        <f t="shared" si="23"/>
        <v>1.0190971415094444E-3</v>
      </c>
      <c r="I77" s="152">
        <f t="shared" si="24"/>
        <v>0.9989809028584905</v>
      </c>
    </row>
    <row r="78" spans="1:9" ht="16.5">
      <c r="A78" s="167"/>
      <c r="B78" s="168"/>
      <c r="C78" s="148">
        <v>3</v>
      </c>
      <c r="D78" s="148" t="s">
        <v>95</v>
      </c>
      <c r="E78" s="166">
        <f>+'[2]01'!F78+'[2]02'!F78+'[2]03'!F78+'[2]04'!F78+'[2]05'!F78+'[2]06'!F78+'[2]07'!F78+'[2]08'!F78+'[2]09'!F78+'[2]10'!F78+'[2]11'!F78+'[2]12'!F78+'[2]13'!F78+'[2]14'!F78+'[2]15'!F78+'[2]16'!F78+'[2]17'!F78+'[2]18'!F78+'[2]19'!F78+'[2]20'!F78+'[2]21'!F78+'[2]22'!F78+'[2]23'!F78+'[2]24'!F78+'[2]25'!F78+'[2]26'!F78+'[2]27'!F78+'[2]28'!F78+'[2]29'!F78+'[2]30'!F78+'[2]31'!F78</f>
        <v>77.399999999999991</v>
      </c>
      <c r="F78" s="169">
        <f>F76</f>
        <v>32446.63</v>
      </c>
      <c r="G78" s="166">
        <f t="shared" si="22"/>
        <v>32524.030000000002</v>
      </c>
      <c r="H78" s="152">
        <f t="shared" si="23"/>
        <v>2.3797788896394896E-3</v>
      </c>
      <c r="I78" s="152">
        <f t="shared" si="24"/>
        <v>0.99762022111036053</v>
      </c>
    </row>
    <row r="79" spans="1:9" ht="16.5">
      <c r="A79" s="167"/>
      <c r="B79" s="168"/>
      <c r="C79" s="148">
        <v>4</v>
      </c>
      <c r="D79" s="148" t="s">
        <v>102</v>
      </c>
      <c r="E79" s="166">
        <f>+'[2]01'!F79+'[2]02'!F79+'[2]03'!F79+'[2]04'!F79+'[2]05'!F79+'[2]06'!F79+'[2]07'!F79+'[2]08'!F79+'[2]09'!F79+'[2]10'!F79+'[2]11'!F79+'[2]12'!F79+'[2]13'!F79+'[2]14'!F79+'[2]15'!F79+'[2]16'!F79+'[2]17'!F79+'[2]18'!F79+'[2]19'!F79+'[2]20'!F79+'[2]21'!F79+'[2]22'!F79+'[2]23'!F79+'[2]24'!F79+'[2]25'!F79+'[2]26'!F79+'[2]27'!F79+'[2]28'!F79+'[2]29'!F79+'[2]30'!F79+'[2]31'!F79</f>
        <v>13.5</v>
      </c>
      <c r="F79" s="169">
        <f>F78</f>
        <v>32446.63</v>
      </c>
      <c r="G79" s="166">
        <f t="shared" si="22"/>
        <v>32460.13</v>
      </c>
      <c r="H79" s="152">
        <f t="shared" si="23"/>
        <v>4.1589482235591783E-4</v>
      </c>
      <c r="I79" s="152">
        <f t="shared" si="24"/>
        <v>0.99958410517764407</v>
      </c>
    </row>
    <row r="80" spans="1:9" ht="16.5">
      <c r="A80" s="167"/>
      <c r="B80" s="168"/>
      <c r="C80" s="148">
        <v>5</v>
      </c>
      <c r="D80" s="148" t="s">
        <v>97</v>
      </c>
      <c r="E80" s="166">
        <f>+'[2]01'!F80+'[2]02'!F80+'[2]03'!F80+'[2]04'!F80+'[2]05'!F80+'[2]06'!F80+'[2]07'!F80+'[2]08'!F80+'[2]09'!F80+'[2]10'!F80+'[2]11'!F80+'[2]12'!F80+'[2]13'!F80+'[2]14'!F80+'[2]15'!F80+'[2]16'!F80+'[2]17'!F80+'[2]18'!F80+'[2]19'!F80+'[2]20'!F80+'[2]21'!F80+'[2]22'!F80+'[2]23'!F80+'[2]24'!F80+'[2]25'!F80+'[2]26'!F80+'[2]27'!F80+'[2]28'!F80+'[2]29'!F80+'[2]30'!F80+'[2]31'!F80</f>
        <v>64.650000000000006</v>
      </c>
      <c r="F80" s="169">
        <f>F79</f>
        <v>32446.63</v>
      </c>
      <c r="G80" s="166">
        <f t="shared" si="22"/>
        <v>32511.280000000002</v>
      </c>
      <c r="H80" s="152">
        <f t="shared" si="23"/>
        <v>1.9885405926804928E-3</v>
      </c>
      <c r="I80" s="152">
        <f t="shared" si="24"/>
        <v>0.9980114594073195</v>
      </c>
    </row>
    <row r="81" spans="1:9" ht="16.5">
      <c r="A81" s="170"/>
      <c r="B81" s="171"/>
      <c r="C81" s="148">
        <v>6</v>
      </c>
      <c r="D81" s="148" t="s">
        <v>98</v>
      </c>
      <c r="E81" s="166">
        <f>+'[2]01'!F81+'[2]02'!F81+'[2]03'!F81+'[2]04'!F81+'[2]05'!F81+'[2]06'!F81+'[2]07'!F81+'[2]08'!F81+'[2]09'!F81+'[2]10'!F81+'[2]11'!F81+'[2]12'!F81+'[2]13'!F81+'[2]14'!F81+'[2]15'!F81+'[2]16'!F81+'[2]17'!F81+'[2]18'!F81+'[2]19'!F81+'[2]20'!F81+'[2]21'!F81+'[2]22'!F81+'[2]23'!F81+'[2]24'!F81+'[2]25'!F81+'[2]26'!F81+'[2]27'!F81+'[2]28'!F81+'[2]29'!F81+'[2]30'!F81+'[2]31'!F81</f>
        <v>0</v>
      </c>
      <c r="F81" s="169">
        <f>F80</f>
        <v>32446.63</v>
      </c>
      <c r="G81" s="166">
        <f t="shared" si="22"/>
        <v>32446.63</v>
      </c>
      <c r="H81" s="152">
        <f t="shared" si="23"/>
        <v>0</v>
      </c>
      <c r="I81" s="152">
        <f t="shared" si="24"/>
        <v>1</v>
      </c>
    </row>
    <row r="82" spans="1:9" ht="16.5">
      <c r="A82" s="142"/>
      <c r="B82" s="142"/>
      <c r="C82" s="172" t="s">
        <v>99</v>
      </c>
      <c r="D82" s="173"/>
      <c r="E82" s="179">
        <f>SUM(E76:E81)</f>
        <v>188.65</v>
      </c>
      <c r="F82" s="179">
        <f>F76</f>
        <v>32446.63</v>
      </c>
      <c r="G82" s="179">
        <f>F82+E82</f>
        <v>32635.280000000002</v>
      </c>
      <c r="H82" s="156">
        <f>(G82-F76)/G82</f>
        <v>5.780554050708357E-3</v>
      </c>
      <c r="I82" s="156">
        <f>F76/G82</f>
        <v>0.99421944594929168</v>
      </c>
    </row>
  </sheetData>
  <mergeCells count="28">
    <mergeCell ref="C73:D73"/>
    <mergeCell ref="A76:A81"/>
    <mergeCell ref="B76:B81"/>
    <mergeCell ref="C82:D82"/>
    <mergeCell ref="C55:D55"/>
    <mergeCell ref="A58:A63"/>
    <mergeCell ref="B58:B63"/>
    <mergeCell ref="C64:D64"/>
    <mergeCell ref="A67:A72"/>
    <mergeCell ref="B67:B72"/>
    <mergeCell ref="C37:D37"/>
    <mergeCell ref="A40:A45"/>
    <mergeCell ref="B40:B45"/>
    <mergeCell ref="C46:D46"/>
    <mergeCell ref="A49:A54"/>
    <mergeCell ref="B49:B54"/>
    <mergeCell ref="C19:D19"/>
    <mergeCell ref="A22:A27"/>
    <mergeCell ref="B22:B27"/>
    <mergeCell ref="C28:D28"/>
    <mergeCell ref="A31:A36"/>
    <mergeCell ref="B31:B36"/>
    <mergeCell ref="A1:I1"/>
    <mergeCell ref="A4:A9"/>
    <mergeCell ref="B4:B9"/>
    <mergeCell ref="C10:D10"/>
    <mergeCell ref="A13:A18"/>
    <mergeCell ref="B13:B18"/>
  </mergeCells>
  <pageMargins left="0.17" right="0.17" top="0.75" bottom="0.75" header="0.3" footer="0.3"/>
  <pageSetup scale="80" orientation="landscape" horizontalDpi="300" verticalDpi="300" r:id="rId1"/>
</worksheet>
</file>

<file path=xl/worksheets/sheet6.xml><?xml version="1.0" encoding="utf-8"?>
<worksheet xmlns="http://schemas.openxmlformats.org/spreadsheetml/2006/main" xmlns:r="http://schemas.openxmlformats.org/officeDocument/2006/relationships">
  <dimension ref="B5:K45"/>
  <sheetViews>
    <sheetView tabSelected="1" topLeftCell="A28" workbookViewId="0">
      <selection activeCell="O16" sqref="O16"/>
    </sheetView>
  </sheetViews>
  <sheetFormatPr defaultRowHeight="15"/>
  <cols>
    <col min="2" max="2" width="37.140625" bestFit="1" customWidth="1"/>
    <col min="3" max="3" width="7.7109375" bestFit="1" customWidth="1"/>
  </cols>
  <sheetData>
    <row r="5" spans="2:11">
      <c r="B5" s="180" t="s">
        <v>110</v>
      </c>
      <c r="C5" s="180"/>
      <c r="D5" s="180"/>
      <c r="E5" s="180"/>
      <c r="F5" s="180"/>
      <c r="G5" s="180"/>
      <c r="H5" s="180"/>
      <c r="I5" s="180"/>
      <c r="J5" s="180"/>
      <c r="K5" s="180"/>
    </row>
    <row r="8" spans="2:11">
      <c r="B8" s="181" t="s">
        <v>111</v>
      </c>
      <c r="C8" s="182">
        <v>46174</v>
      </c>
      <c r="D8" s="182"/>
      <c r="E8" s="182"/>
      <c r="F8" s="182"/>
      <c r="G8" s="183" t="s">
        <v>70</v>
      </c>
      <c r="H8" s="183" t="s">
        <v>72</v>
      </c>
      <c r="I8" s="183" t="s">
        <v>112</v>
      </c>
      <c r="J8" s="183"/>
      <c r="K8" s="183"/>
    </row>
    <row r="9" spans="2:11">
      <c r="B9" s="184"/>
      <c r="C9" s="185" t="s">
        <v>113</v>
      </c>
      <c r="D9" s="185" t="s">
        <v>87</v>
      </c>
      <c r="E9" s="185" t="s">
        <v>114</v>
      </c>
      <c r="F9" s="185" t="s">
        <v>88</v>
      </c>
      <c r="G9" s="183"/>
      <c r="H9" s="183"/>
      <c r="I9" s="185" t="s">
        <v>65</v>
      </c>
      <c r="J9" s="185" t="s">
        <v>115</v>
      </c>
      <c r="K9" s="185" t="s">
        <v>116</v>
      </c>
    </row>
    <row r="10" spans="2:11">
      <c r="B10" s="1"/>
      <c r="C10" s="1"/>
      <c r="D10" s="1"/>
      <c r="E10" s="1"/>
      <c r="F10" s="1"/>
      <c r="G10" s="1"/>
      <c r="H10" s="1"/>
      <c r="I10" s="1"/>
      <c r="J10" s="1"/>
      <c r="K10" s="1"/>
    </row>
    <row r="11" spans="2:11">
      <c r="B11" s="1" t="s">
        <v>117</v>
      </c>
      <c r="C11" s="1" t="s">
        <v>118</v>
      </c>
      <c r="D11" s="1">
        <v>306</v>
      </c>
      <c r="E11" s="1">
        <v>36882</v>
      </c>
      <c r="F11" s="1">
        <v>36576</v>
      </c>
      <c r="G11" s="1">
        <v>8.2967301122498782E-3</v>
      </c>
      <c r="H11" s="1">
        <v>0.99170326988775015</v>
      </c>
      <c r="I11" s="1">
        <v>-62.819999999999709</v>
      </c>
      <c r="J11" s="1">
        <v>2600</v>
      </c>
      <c r="K11" s="1">
        <v>-163331.99999999924</v>
      </c>
    </row>
    <row r="12" spans="2:11">
      <c r="B12" s="1" t="s">
        <v>119</v>
      </c>
      <c r="C12" s="1" t="s">
        <v>118</v>
      </c>
      <c r="D12" s="1">
        <v>474</v>
      </c>
      <c r="E12" s="1">
        <v>38927</v>
      </c>
      <c r="F12" s="1">
        <v>38453</v>
      </c>
      <c r="G12" s="1">
        <v>1.2176638323014874E-2</v>
      </c>
      <c r="H12" s="1">
        <v>0.98782336167698515</v>
      </c>
      <c r="I12" s="1">
        <v>84.730000000003201</v>
      </c>
      <c r="J12" s="1">
        <v>1670</v>
      </c>
      <c r="K12" s="1">
        <v>141499.10000000533</v>
      </c>
    </row>
    <row r="13" spans="2:11">
      <c r="B13" s="1" t="s">
        <v>120</v>
      </c>
      <c r="C13" s="1" t="s">
        <v>118</v>
      </c>
      <c r="D13" s="1">
        <v>1855</v>
      </c>
      <c r="E13" s="1">
        <v>230607</v>
      </c>
      <c r="F13" s="1">
        <v>228752</v>
      </c>
      <c r="G13" s="1">
        <v>8.0439882570780587E-3</v>
      </c>
      <c r="H13" s="1">
        <v>0.99195601174292192</v>
      </c>
      <c r="I13" s="1">
        <v>-451.07000000000698</v>
      </c>
      <c r="J13" s="1">
        <v>1100</v>
      </c>
      <c r="K13" s="1">
        <v>-496177.00000000768</v>
      </c>
    </row>
    <row r="14" spans="2:11">
      <c r="B14" s="1" t="s">
        <v>121</v>
      </c>
      <c r="C14" s="1" t="s">
        <v>122</v>
      </c>
      <c r="D14" s="1">
        <v>3.8085000000000004</v>
      </c>
      <c r="E14" s="1">
        <v>147.2295</v>
      </c>
      <c r="F14" s="1">
        <v>143.42099999999999</v>
      </c>
      <c r="G14" s="1">
        <v>2.5867777857019207E-2</v>
      </c>
      <c r="H14" s="1">
        <v>0.97413222214298079</v>
      </c>
      <c r="I14" s="1">
        <v>2.3362050000000067</v>
      </c>
      <c r="J14" s="1">
        <v>24</v>
      </c>
      <c r="K14" s="1">
        <v>56.068920000000162</v>
      </c>
    </row>
    <row r="15" spans="2:11">
      <c r="B15" s="1" t="s">
        <v>123</v>
      </c>
      <c r="C15" s="1" t="s">
        <v>118</v>
      </c>
      <c r="D15" s="1">
        <v>5270</v>
      </c>
      <c r="E15" s="1">
        <v>343401</v>
      </c>
      <c r="F15" s="1">
        <v>338131</v>
      </c>
      <c r="G15" s="1">
        <v>1.5346489963628527E-2</v>
      </c>
      <c r="H15" s="1">
        <v>0.98465351003637147</v>
      </c>
      <c r="I15" s="1">
        <v>1835.9899999999907</v>
      </c>
      <c r="J15" s="1">
        <v>195</v>
      </c>
      <c r="K15" s="1">
        <v>358018.04999999818</v>
      </c>
    </row>
    <row r="16" spans="2:11">
      <c r="B16" s="1" t="s">
        <v>124</v>
      </c>
      <c r="C16" s="1" t="s">
        <v>125</v>
      </c>
      <c r="D16" s="1">
        <v>0</v>
      </c>
      <c r="E16" s="1">
        <v>0</v>
      </c>
      <c r="F16" s="1">
        <v>0</v>
      </c>
      <c r="G16" s="1"/>
      <c r="H16" s="1"/>
      <c r="I16" s="1">
        <v>0</v>
      </c>
      <c r="J16" s="1"/>
      <c r="K16" s="1">
        <v>0</v>
      </c>
    </row>
    <row r="17" spans="2:11">
      <c r="B17" s="1" t="s">
        <v>126</v>
      </c>
      <c r="C17" s="1" t="s">
        <v>118</v>
      </c>
      <c r="D17" s="1">
        <v>1161</v>
      </c>
      <c r="E17" s="1">
        <v>168129</v>
      </c>
      <c r="F17" s="1">
        <v>166968</v>
      </c>
      <c r="G17" s="1">
        <v>6.9054119158503289E-3</v>
      </c>
      <c r="H17" s="1">
        <v>0.99309458808414963</v>
      </c>
      <c r="I17" s="1">
        <v>-520.29000000000815</v>
      </c>
      <c r="J17" s="1">
        <v>84</v>
      </c>
      <c r="K17" s="1">
        <v>-43704.360000000685</v>
      </c>
    </row>
    <row r="18" spans="2:11">
      <c r="B18" s="1" t="s">
        <v>127</v>
      </c>
      <c r="C18" s="1" t="s">
        <v>118</v>
      </c>
      <c r="D18" s="1">
        <v>138</v>
      </c>
      <c r="E18" s="1">
        <v>58230</v>
      </c>
      <c r="F18" s="1">
        <v>58092</v>
      </c>
      <c r="G18" s="1">
        <v>2.3699124162802677E-3</v>
      </c>
      <c r="H18" s="1">
        <v>0.99763008758371974</v>
      </c>
      <c r="I18" s="1">
        <v>-444.30000000000291</v>
      </c>
      <c r="J18" s="1">
        <v>84</v>
      </c>
      <c r="K18" s="1">
        <v>-37321.200000000244</v>
      </c>
    </row>
    <row r="19" spans="2:11">
      <c r="B19" s="1" t="s">
        <v>128</v>
      </c>
      <c r="C19" s="1" t="s">
        <v>125</v>
      </c>
      <c r="D19" s="1">
        <v>188.65</v>
      </c>
      <c r="E19" s="1">
        <v>32635.280000000002</v>
      </c>
      <c r="F19" s="1">
        <v>32446.63</v>
      </c>
      <c r="G19" s="1">
        <v>5.780554050708357E-3</v>
      </c>
      <c r="H19" s="1">
        <v>0.99421944594929168</v>
      </c>
      <c r="I19" s="1">
        <v>-137.70279999999912</v>
      </c>
      <c r="J19" s="1">
        <v>60</v>
      </c>
      <c r="K19" s="1">
        <v>-8262.1679999999469</v>
      </c>
    </row>
    <row r="20" spans="2:11">
      <c r="B20" s="1" t="s">
        <v>129</v>
      </c>
      <c r="C20" s="1" t="s">
        <v>118</v>
      </c>
      <c r="D20" s="1">
        <v>0</v>
      </c>
      <c r="E20" s="1">
        <v>0</v>
      </c>
      <c r="F20" s="1">
        <v>0</v>
      </c>
      <c r="G20" s="1" t="e">
        <v>#DIV/0!</v>
      </c>
      <c r="H20" s="1" t="e">
        <v>#DIV/0!</v>
      </c>
      <c r="I20" s="1">
        <v>0</v>
      </c>
      <c r="J20" s="1"/>
      <c r="K20" s="1">
        <v>0</v>
      </c>
    </row>
    <row r="21" spans="2:11">
      <c r="B21" s="1" t="s">
        <v>130</v>
      </c>
      <c r="C21" s="1" t="s">
        <v>118</v>
      </c>
      <c r="D21" s="1">
        <v>18</v>
      </c>
      <c r="E21" s="1">
        <v>3456</v>
      </c>
      <c r="F21" s="1">
        <v>3438</v>
      </c>
      <c r="G21" s="1">
        <v>5.208333333333333E-3</v>
      </c>
      <c r="H21" s="1">
        <v>0.99479166666666663</v>
      </c>
      <c r="I21" s="1">
        <v>-16.559999999999945</v>
      </c>
      <c r="J21" s="1">
        <v>84</v>
      </c>
      <c r="K21" s="1">
        <v>-1391.0399999999954</v>
      </c>
    </row>
    <row r="22" spans="2:11">
      <c r="B22" s="1"/>
      <c r="C22" s="1"/>
      <c r="D22" s="1"/>
      <c r="E22" s="1"/>
      <c r="F22" s="1"/>
      <c r="G22" s="1"/>
      <c r="H22" s="1"/>
      <c r="I22" s="1">
        <v>306.87340499997708</v>
      </c>
      <c r="J22" s="1"/>
      <c r="K22" s="1">
        <v>-249223.5090800043</v>
      </c>
    </row>
    <row r="24" spans="2:11">
      <c r="C24" t="s">
        <v>131</v>
      </c>
    </row>
    <row r="26" spans="2:11">
      <c r="B26" t="s">
        <v>132</v>
      </c>
    </row>
    <row r="27" spans="2:11">
      <c r="B27" t="s">
        <v>133</v>
      </c>
      <c r="C27" t="s">
        <v>73</v>
      </c>
      <c r="D27" t="s">
        <v>134</v>
      </c>
      <c r="E27" t="s">
        <v>99</v>
      </c>
    </row>
    <row r="28" spans="2:11">
      <c r="B28" t="s">
        <v>117</v>
      </c>
      <c r="C28">
        <v>14</v>
      </c>
      <c r="D28">
        <v>2600</v>
      </c>
      <c r="E28">
        <v>36400</v>
      </c>
    </row>
    <row r="29" spans="2:11">
      <c r="B29" t="s">
        <v>119</v>
      </c>
      <c r="C29">
        <v>17</v>
      </c>
      <c r="D29">
        <v>1670</v>
      </c>
      <c r="E29">
        <v>28390</v>
      </c>
    </row>
    <row r="30" spans="2:11">
      <c r="B30" t="s">
        <v>120</v>
      </c>
      <c r="C30">
        <v>0</v>
      </c>
      <c r="D30">
        <v>1100</v>
      </c>
      <c r="E30">
        <v>0</v>
      </c>
    </row>
    <row r="31" spans="2:11">
      <c r="B31" t="s">
        <v>121</v>
      </c>
      <c r="C31">
        <v>0</v>
      </c>
      <c r="D31">
        <v>24</v>
      </c>
      <c r="E31">
        <v>0</v>
      </c>
    </row>
    <row r="32" spans="2:11">
      <c r="B32" t="s">
        <v>123</v>
      </c>
      <c r="C32">
        <v>0</v>
      </c>
      <c r="D32">
        <v>195</v>
      </c>
      <c r="E32">
        <v>0</v>
      </c>
    </row>
    <row r="33" spans="2:10">
      <c r="B33" t="s">
        <v>126</v>
      </c>
      <c r="C33">
        <v>0</v>
      </c>
      <c r="D33">
        <v>84</v>
      </c>
      <c r="E33">
        <v>0</v>
      </c>
    </row>
    <row r="34" spans="2:10">
      <c r="B34" t="s">
        <v>127</v>
      </c>
      <c r="C34">
        <v>0</v>
      </c>
      <c r="D34">
        <v>84</v>
      </c>
      <c r="E34">
        <v>0</v>
      </c>
    </row>
    <row r="35" spans="2:10">
      <c r="B35" t="s">
        <v>130</v>
      </c>
      <c r="C35">
        <v>0</v>
      </c>
      <c r="D35">
        <v>84</v>
      </c>
      <c r="E35">
        <v>0</v>
      </c>
    </row>
    <row r="36" spans="2:10">
      <c r="B36" t="s">
        <v>128</v>
      </c>
      <c r="C36">
        <v>13.5</v>
      </c>
      <c r="D36">
        <v>60</v>
      </c>
      <c r="E36">
        <v>810</v>
      </c>
    </row>
    <row r="37" spans="2:10">
      <c r="B37" t="s">
        <v>99</v>
      </c>
      <c r="E37">
        <v>65600</v>
      </c>
    </row>
    <row r="40" spans="2:10">
      <c r="B40" t="s">
        <v>135</v>
      </c>
    </row>
    <row r="41" spans="2:10">
      <c r="B41" t="s">
        <v>136</v>
      </c>
      <c r="C41" t="s">
        <v>137</v>
      </c>
      <c r="D41" t="s">
        <v>138</v>
      </c>
      <c r="E41" t="s">
        <v>139</v>
      </c>
    </row>
    <row r="42" spans="2:10">
      <c r="B42" t="s">
        <v>140</v>
      </c>
      <c r="C42">
        <v>43</v>
      </c>
      <c r="D42">
        <v>2600</v>
      </c>
      <c r="E42">
        <v>111800</v>
      </c>
    </row>
    <row r="43" spans="2:10">
      <c r="B43" t="s">
        <v>100</v>
      </c>
      <c r="C43">
        <v>75</v>
      </c>
      <c r="D43">
        <v>1670</v>
      </c>
      <c r="E43">
        <v>125250</v>
      </c>
    </row>
    <row r="44" spans="2:10">
      <c r="B44" t="s">
        <v>103</v>
      </c>
      <c r="C44">
        <v>1376</v>
      </c>
      <c r="D44">
        <v>24</v>
      </c>
      <c r="E44">
        <v>33024</v>
      </c>
    </row>
    <row r="45" spans="2:10">
      <c r="B45" t="s">
        <v>99</v>
      </c>
      <c r="E45">
        <v>270074</v>
      </c>
      <c r="J45">
        <v>0</v>
      </c>
    </row>
  </sheetData>
  <mergeCells count="6">
    <mergeCell ref="B5:K5"/>
    <mergeCell ref="C8:F8"/>
    <mergeCell ref="G8:G9"/>
    <mergeCell ref="H8:H9"/>
    <mergeCell ref="I8:K8"/>
    <mergeCell ref="B8: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TARGET</vt:lpstr>
      <vt:lpstr>Sheet2</vt:lpstr>
      <vt:lpstr>PPR-PVDC&amp;WIRE.</vt:lpstr>
      <vt:lpstr>09</vt:lpstr>
      <vt:lpstr>SUMMARY</vt:lpstr>
      <vt:lpstr>Sheet6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2026-08-24T06:38:11Z</dcterms:created>
  <dcterms:modified xsi:type="dcterms:W3CDTF">2026-08-31T08:52:53Z</dcterms:modified>
</cp:coreProperties>
</file>